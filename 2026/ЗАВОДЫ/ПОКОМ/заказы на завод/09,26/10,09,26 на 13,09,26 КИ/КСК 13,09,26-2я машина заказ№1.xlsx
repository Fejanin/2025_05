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9DFE8B64-963D-4FE6-A81F-74DC75036B5D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заказа'!$A$18:$AF$569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заказа'!$X$565:$X$565</definedName>
    <definedName name="GrossWeightTotalR">'Бланк заказа'!$Y$565:$Y$565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заказа'!$X$566:$X$566</definedName>
    <definedName name="PalletQtyTotalR">'Бланк заказа'!$Y$566:$Y$566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заказа'!$B$39:$B$39</definedName>
    <definedName name="ProductId100">'Бланк заказа'!$B$194:$B$194</definedName>
    <definedName name="ProductId101">'Бланк заказа'!$B$195:$B$195</definedName>
    <definedName name="ProductId102">'Бланк заказа'!$B$199:$B$199</definedName>
    <definedName name="ProductId103">'Бланк заказа'!$B$200:$B$200</definedName>
    <definedName name="ProductId104">'Бланк заказа'!$B$201:$B$201</definedName>
    <definedName name="ProductId105">'Бланк заказа'!$B$205:$B$205</definedName>
    <definedName name="ProductId106">'Бланк заказа'!$B$209:$B$209</definedName>
    <definedName name="ProductId107">'Бланк заказа'!$B$215:$B$215</definedName>
    <definedName name="ProductId108">'Бланк заказа'!$B$216:$B$216</definedName>
    <definedName name="ProductId109">'Бланк заказа'!$B$217:$B$217</definedName>
    <definedName name="ProductId11">'Бланк заказа'!$B$40:$B$40</definedName>
    <definedName name="ProductId110">'Бланк заказа'!$B$218:$B$218</definedName>
    <definedName name="ProductId111">'Бланк заказа'!$B$219:$B$219</definedName>
    <definedName name="ProductId112">'Бланк заказа'!$B$220:$B$220</definedName>
    <definedName name="ProductId113">'Бланк заказа'!$B$221:$B$221</definedName>
    <definedName name="ProductId114">'Бланк заказа'!$B$226:$B$226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заказа'!$B$240:$B$240</definedName>
    <definedName name="ProductId126">'Бланк заказа'!$B$241:$B$241</definedName>
    <definedName name="ProductId127">'Бланк заказа'!$B$242:$B$242</definedName>
    <definedName name="ProductId128">'Бланк заказа'!$B$243:$B$243</definedName>
    <definedName name="ProductId129">'Бланк заказа'!$B$247:$B$247</definedName>
    <definedName name="ProductId13">'Бланк заказа'!$B$47:$B$47</definedName>
    <definedName name="ProductId130">'Бланк заказа'!$B$248:$B$248</definedName>
    <definedName name="ProductId131">'Бланк заказа'!$B$249:$B$249</definedName>
    <definedName name="ProductId132">'Бланк заказа'!$B$250:$B$250</definedName>
    <definedName name="ProductId133">'Бланк заказа'!$B$251:$B$251</definedName>
    <definedName name="ProductId134">'Бланк заказа'!$B$255:$B$255</definedName>
    <definedName name="ProductId135">'Бланк заказа'!$B$256:$B$256</definedName>
    <definedName name="ProductId136">'Бланк заказа'!$B$257:$B$257</definedName>
    <definedName name="ProductId137">'Бланк заказа'!$B$261:$B$261</definedName>
    <definedName name="ProductId138">'Бланк заказа'!$B$266:$B$266</definedName>
    <definedName name="ProductId139">'Бланк заказа'!$B$267:$B$267</definedName>
    <definedName name="ProductId14">'Бланк заказа'!$B$48:$B$48</definedName>
    <definedName name="ProductId140">'Бланк заказа'!$B$271:$B$271</definedName>
    <definedName name="ProductId141">'Бланк заказа'!$B$272:$B$272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заказа'!$B$280:$B$280</definedName>
    <definedName name="ProductId147">'Бланк заказа'!$B$281:$B$281</definedName>
    <definedName name="ProductId148">'Бланк заказа'!$B$282:$B$282</definedName>
    <definedName name="ProductId149">'Бланк заказа'!$B$283:$B$283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заказа'!$B$295:$B$295</definedName>
    <definedName name="ProductId159">'Бланк заказа'!$B$296:$B$296</definedName>
    <definedName name="ProductId16">'Бланк заказа'!$B$50:$B$50</definedName>
    <definedName name="ProductId160">'Бланк заказа'!$B$297:$B$297</definedName>
    <definedName name="ProductId161">'Бланк заказа'!$B$298:$B$298</definedName>
    <definedName name="ProductId162">'Бланк заказа'!$B$302:$B$302</definedName>
    <definedName name="ProductId163">'Бланк заказа'!$B$303:$B$303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заказа'!$B$311:$B$311</definedName>
    <definedName name="ProductId168">'Бланк заказа'!$B$312:$B$312</definedName>
    <definedName name="ProductId169">'Бланк заказа'!$B$313:$B$313</definedName>
    <definedName name="ProductId17">'Бланк заказа'!$B$55:$B$55</definedName>
    <definedName name="ProductId170">'Бланк заказа'!$B$314:$B$314</definedName>
    <definedName name="ProductId171">'Бланк заказа'!$B$318:$B$318</definedName>
    <definedName name="ProductId172">'Бланк заказа'!$B$322:$B$322</definedName>
    <definedName name="ProductId173">'Бланк заказа'!$B$326:$B$326</definedName>
    <definedName name="ProductId174">'Бланк заказа'!$B$327:$B$327</definedName>
    <definedName name="ProductId175">'Бланк заказа'!$B$328:$B$328</definedName>
    <definedName name="ProductId176">'Бланк заказа'!$B$333:$B$333</definedName>
    <definedName name="ProductId177">'Бланк заказа'!$B$334:$B$334</definedName>
    <definedName name="ProductId178">'Бланк заказа'!$B$335:$B$335</definedName>
    <definedName name="ProductId179">'Бланк заказа'!$B$336:$B$336</definedName>
    <definedName name="ProductId18">'Бланк заказа'!$B$56:$B$56</definedName>
    <definedName name="ProductId180">'Бланк заказа'!$B$337:$B$337</definedName>
    <definedName name="ProductId181">'Бланк заказа'!$B$342:$B$342</definedName>
    <definedName name="ProductId182">'Бланк заказа'!$B$343:$B$343</definedName>
    <definedName name="ProductId183">'Бланк заказа'!$B$344:$B$344</definedName>
    <definedName name="ProductId184">'Бланк заказа'!$B$349:$B$349</definedName>
    <definedName name="ProductId185">'Бланк заказа'!$B$350:$B$350</definedName>
    <definedName name="ProductId186">'Бланк заказа'!$B$351:$B$351</definedName>
    <definedName name="ProductId187">'Бланк заказа'!$B$352:$B$352</definedName>
    <definedName name="ProductId188">'Бланк заказа'!$B$353:$B$353</definedName>
    <definedName name="ProductId189">'Бланк заказа'!$B$357:$B$357</definedName>
    <definedName name="ProductId19">'Бланк заказа'!$B$57:$B$57</definedName>
    <definedName name="ProductId190">'Бланк заказа'!$B$358:$B$358</definedName>
    <definedName name="ProductId191">'Бланк заказа'!$B$363:$B$363</definedName>
    <definedName name="ProductId192">'Бланк заказа'!$B$364:$B$364</definedName>
    <definedName name="ProductId193">'Бланк заказа'!$B$365:$B$365</definedName>
    <definedName name="ProductId194">'Бланк заказа'!$B$370:$B$370</definedName>
    <definedName name="ProductId195">'Бланк заказа'!$B$371:$B$371</definedName>
    <definedName name="ProductId196">'Бланк заказа'!$B$372:$B$372</definedName>
    <definedName name="ProductId197">'Бланк заказа'!$B$373:$B$373</definedName>
    <definedName name="ProductId198">'Бланк заказа'!$B$374:$B$374</definedName>
    <definedName name="ProductId199">'Бланк заказа'!$B$375:$B$375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заказа'!$B$382:$B$382</definedName>
    <definedName name="ProductId204">'Бланк заказа'!$B$383:$B$383</definedName>
    <definedName name="ProductId205">'Бланк заказа'!$B$384:$B$384</definedName>
    <definedName name="ProductId206">'Бланк заказа'!$B$385:$B$385</definedName>
    <definedName name="ProductId207">'Бланк заказа'!$B$389:$B$389</definedName>
    <definedName name="ProductId208">'Бланк заказа'!$B$390:$B$390</definedName>
    <definedName name="ProductId209">'Бланк заказа'!$B$391:$B$391</definedName>
    <definedName name="ProductId21">'Бланк заказа'!$B$59:$B$59</definedName>
    <definedName name="ProductId210">'Бланк заказа'!$B$392:$B$392</definedName>
    <definedName name="ProductId211">'Бланк заказа'!$B$396:$B$396</definedName>
    <definedName name="ProductId212">'Бланк заказа'!$B$397:$B$397</definedName>
    <definedName name="ProductId213">'Бланк заказа'!$B$398:$B$398</definedName>
    <definedName name="ProductId214">'Бланк заказа'!$B$402:$B$402</definedName>
    <definedName name="ProductId215">'Бланк заказа'!$B$403:$B$403</definedName>
    <definedName name="ProductId216">'Бланк заказа'!$B$404:$B$404</definedName>
    <definedName name="ProductId217">'Бланк заказа'!$B$405:$B$405</definedName>
    <definedName name="ProductId218">'Бланк заказа'!$B$409:$B$409</definedName>
    <definedName name="ProductId219">'Бланк заказа'!$B$410:$B$410</definedName>
    <definedName name="ProductId22">'Бланк заказа'!$B$60:$B$60</definedName>
    <definedName name="ProductId220">'Бланк заказа'!$B$411:$B$411</definedName>
    <definedName name="ProductId221">'Бланк заказа'!$B$415:$B$415</definedName>
    <definedName name="ProductId222">'Бланк заказа'!$B$416:$B$416</definedName>
    <definedName name="ProductId223">'Бланк заказа'!$B$417:$B$417</definedName>
    <definedName name="ProductId224">'Бланк заказа'!$B$422:$B$422</definedName>
    <definedName name="ProductId225">'Бланк заказа'!$B$423:$B$423</definedName>
    <definedName name="ProductId226">'Бланк заказа'!$B$428:$B$428</definedName>
    <definedName name="ProductId227">'Бланк заказа'!$B$429:$B$429</definedName>
    <definedName name="ProductId228">'Бланк заказа'!$B$430:$B$430</definedName>
    <definedName name="ProductId229">'Бланк заказа'!$B$436:$B$436</definedName>
    <definedName name="ProductId23">'Бланк заказа'!$B$64:$B$64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заказа'!$B$440:$B$440</definedName>
    <definedName name="ProductId234">'Бланк заказа'!$B$441:$B$441</definedName>
    <definedName name="ProductId235">'Бланк заказа'!$B$442:$B$442</definedName>
    <definedName name="ProductId236">'Бланк заказа'!$B$443:$B$443</definedName>
    <definedName name="ProductId237">'Бланк заказа'!$B$447:$B$447</definedName>
    <definedName name="ProductId238">'Бланк заказа'!$B$448:$B$448</definedName>
    <definedName name="ProductId239">'Бланк заказа'!$B$449:$B$449</definedName>
    <definedName name="ProductId24">'Бланк заказа'!$B$65:$B$65</definedName>
    <definedName name="ProductId240">'Бланк заказа'!$B$453:$B$453</definedName>
    <definedName name="ProductId241">'Бланк заказа'!$B$454:$B$454</definedName>
    <definedName name="ProductId242">'Бланк заказа'!$B$455:$B$455</definedName>
    <definedName name="ProductId243">'Бланк заказа'!$B$459:$B$459</definedName>
    <definedName name="ProductId244">'Бланк заказа'!$B$460:$B$460</definedName>
    <definedName name="ProductId245">'Бланк заказа'!$B$465:$B$465</definedName>
    <definedName name="ProductId246">'Бланк заказа'!$B$466:$B$466</definedName>
    <definedName name="ProductId247">'Бланк заказа'!$B$470:$B$470</definedName>
    <definedName name="ProductId248">'Бланк заказа'!$B$474:$B$474</definedName>
    <definedName name="ProductId249">'Бланк заказа'!$B$475:$B$475</definedName>
    <definedName name="ProductId25">'Бланк заказа'!$B$66:$B$66</definedName>
    <definedName name="ProductId250">'Бланк заказа'!$B$476:$B$476</definedName>
    <definedName name="ProductId251">'Бланк заказа'!$B$482:$B$482</definedName>
    <definedName name="ProductId252">'Бланк заказа'!$B$483:$B$483</definedName>
    <definedName name="ProductId253">'Бланк заказа'!$B$484:$B$484</definedName>
    <definedName name="ProductId254">'Бланк заказа'!$B$485:$B$485</definedName>
    <definedName name="ProductId255">'Бланк заказа'!$B$486:$B$486</definedName>
    <definedName name="ProductId256">'Бланк заказа'!$B$487:$B$487</definedName>
    <definedName name="ProductId257">'Бланк заказа'!$B$491:$B$491</definedName>
    <definedName name="ProductId258">'Бланк заказа'!$B$492:$B$492</definedName>
    <definedName name="ProductId259">'Бланк заказа'!$B$497:$B$497</definedName>
    <definedName name="ProductId26">'Бланк заказа'!$B$67:$B$67</definedName>
    <definedName name="ProductId260">'Бланк заказа'!$B$501:$B$501</definedName>
    <definedName name="ProductId261">'Бланк заказа'!$B$502:$B$502</definedName>
    <definedName name="ProductId262">'Бланк заказа'!$B$503:$B$503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заказа'!$B$514:$B$514</definedName>
    <definedName name="ProductId269">'Бланк заказа'!$B$515:$B$515</definedName>
    <definedName name="ProductId27">'Бланк заказа'!$B$71:$B$71</definedName>
    <definedName name="ProductId270">'Бланк заказа'!$B$516:$B$516</definedName>
    <definedName name="ProductId271">'Бланк заказа'!$B$517:$B$517</definedName>
    <definedName name="ProductId272">'Бланк заказа'!$B$521:$B$521</definedName>
    <definedName name="ProductId273">'Бланк заказа'!$B$522:$B$522</definedName>
    <definedName name="ProductId274">'Бланк заказа'!$B$523:$B$523</definedName>
    <definedName name="ProductId275">'Бланк заказа'!$B$527:$B$527</definedName>
    <definedName name="ProductId276">'Бланк заказа'!$B$528:$B$528</definedName>
    <definedName name="ProductId277">'Бланк заказа'!$B$529:$B$529</definedName>
    <definedName name="ProductId278">'Бланк заказа'!$B$530:$B$530</definedName>
    <definedName name="ProductId279">'Бланк заказа'!$B$531:$B$531</definedName>
    <definedName name="ProductId28">'Бланк заказа'!$B$72:$B$72</definedName>
    <definedName name="ProductId280">'Бланк заказа'!$B$532:$B$532</definedName>
    <definedName name="ProductId281">'Бланк заказа'!$B$533:$B$533</definedName>
    <definedName name="ProductId282">'Бланк заказа'!$B$539:$B$539</definedName>
    <definedName name="ProductId283">'Бланк заказа'!$B$543:$B$543</definedName>
    <definedName name="ProductId284">'Бланк заказа'!$B$547:$B$547</definedName>
    <definedName name="ProductId285">'Бланк заказа'!$B$551:$B$551</definedName>
    <definedName name="ProductId286">'Бланк заказа'!$B$555:$B$555</definedName>
    <definedName name="ProductId287">'Бланк заказа'!$B$556:$B$556</definedName>
    <definedName name="ProductId288">'Бланк заказа'!$B$561:$B$561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заказа'!$B$99:$B$99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заказа'!$B$111:$B$111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заказа'!$B$119:$B$119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заказа'!$B$126:$B$126</definedName>
    <definedName name="ProductId63">'Бланк заказа'!$B$127:$B$127</definedName>
    <definedName name="ProductId64">'Бланк заказа'!$B$128:$B$128</definedName>
    <definedName name="ProductId65">'Бланк заказа'!$B$129:$B$129</definedName>
    <definedName name="ProductId66">'Бланк заказа'!$B$130:$B$130</definedName>
    <definedName name="ProductId67">'Бланк заказа'!$B$134:$B$134</definedName>
    <definedName name="ProductId68">'Бланк заказа'!$B$135:$B$135</definedName>
    <definedName name="ProductId69">'Бланк заказа'!$B$140:$B$140</definedName>
    <definedName name="ProductId7">'Бланк заказа'!$B$31:$B$31</definedName>
    <definedName name="ProductId70">'Бланк заказа'!$B$141:$B$141</definedName>
    <definedName name="ProductId71">'Бланк заказа'!$B$145:$B$145</definedName>
    <definedName name="ProductId72">'Бланк заказа'!$B$146:$B$146</definedName>
    <definedName name="ProductId73">'Бланк заказа'!$B$150:$B$150</definedName>
    <definedName name="ProductId74">'Бланк заказа'!$B$151:$B$151</definedName>
    <definedName name="ProductId75">'Бланк заказа'!$B$156:$B$156</definedName>
    <definedName name="ProductId76">'Бланк заказа'!$B$157:$B$157</definedName>
    <definedName name="ProductId77">'Бланк заказа'!$B$158:$B$158</definedName>
    <definedName name="ProductId78">'Бланк заказа'!$B$159:$B$159</definedName>
    <definedName name="ProductId79">'Бланк заказа'!$B$160:$B$160</definedName>
    <definedName name="ProductId8">'Бланк заказа'!$B$37:$B$37</definedName>
    <definedName name="ProductId80">'Бланк заказа'!$B$161:$B$161</definedName>
    <definedName name="ProductId81">'Бланк заказа'!$B$162:$B$162</definedName>
    <definedName name="ProductId82">'Бланк заказа'!$B$166:$B$166</definedName>
    <definedName name="ProductId83">'Бланк заказа'!$B$171:$B$171</definedName>
    <definedName name="ProductId84">'Бланк заказа'!$B$172:$B$172</definedName>
    <definedName name="ProductId85">'Бланк заказа'!$B$173:$B$173</definedName>
    <definedName name="ProductId86">'Бланк заказа'!$B$177:$B$177</definedName>
    <definedName name="ProductId87">'Бланк заказа'!$B$178:$B$178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заказа'!$B$187:$B$187</definedName>
    <definedName name="ProductId94">'Бланк заказа'!$B$188:$B$188</definedName>
    <definedName name="ProductId95">'Бланк заказа'!$B$189:$B$189</definedName>
    <definedName name="ProductId96">'Бланк заказа'!$B$190:$B$190</definedName>
    <definedName name="ProductId97">'Бланк заказа'!$B$191:$B$191</definedName>
    <definedName name="ProductId98">'Бланк заказа'!$B$192:$B$192</definedName>
    <definedName name="ProductId99">'Бланк заказа'!$B$193:$B$193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заказа'!$X$194:$X$194</definedName>
    <definedName name="SalesQty101">'Бланк заказа'!$X$195:$X$195</definedName>
    <definedName name="SalesQty102">'Бланк заказа'!$X$199:$X$199</definedName>
    <definedName name="SalesQty103">'Бланк заказа'!$X$200:$X$200</definedName>
    <definedName name="SalesQty104">'Бланк заказа'!$X$201:$X$201</definedName>
    <definedName name="SalesQty105">'Бланк заказа'!$X$205:$X$205</definedName>
    <definedName name="SalesQty106">'Бланк заказа'!$X$209:$X$209</definedName>
    <definedName name="SalesQty107">'Бланк заказа'!$X$215:$X$215</definedName>
    <definedName name="SalesQty108">'Бланк заказа'!$X$216:$X$216</definedName>
    <definedName name="SalesQty109">'Бланк заказа'!$X$217:$X$217</definedName>
    <definedName name="SalesQty11">'Бланк заказа'!$X$40:$X$40</definedName>
    <definedName name="SalesQty110">'Бланк заказа'!$X$218:$X$218</definedName>
    <definedName name="SalesQty111">'Бланк заказа'!$X$219:$X$219</definedName>
    <definedName name="SalesQty112">'Бланк заказа'!$X$220:$X$220</definedName>
    <definedName name="SalesQty113">'Бланк заказа'!$X$221:$X$221</definedName>
    <definedName name="SalesQty114">'Бланк заказа'!$X$226:$X$226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заказа'!$X$240:$X$240</definedName>
    <definedName name="SalesQty126">'Бланк заказа'!$X$241:$X$241</definedName>
    <definedName name="SalesQty127">'Бланк заказа'!$X$242:$X$242</definedName>
    <definedName name="SalesQty128">'Бланк заказа'!$X$243:$X$243</definedName>
    <definedName name="SalesQty129">'Бланк заказа'!$X$247:$X$247</definedName>
    <definedName name="SalesQty13">'Бланк заказа'!$X$47:$X$47</definedName>
    <definedName name="SalesQty130">'Бланк заказа'!$X$248:$X$248</definedName>
    <definedName name="SalesQty131">'Бланк заказа'!$X$249:$X$249</definedName>
    <definedName name="SalesQty132">'Бланк заказа'!$X$250:$X$250</definedName>
    <definedName name="SalesQty133">'Бланк заказа'!$X$251:$X$251</definedName>
    <definedName name="SalesQty134">'Бланк заказа'!$X$255:$X$255</definedName>
    <definedName name="SalesQty135">'Бланк заказа'!$X$256:$X$256</definedName>
    <definedName name="SalesQty136">'Бланк заказа'!$X$257:$X$257</definedName>
    <definedName name="SalesQty137">'Бланк заказа'!$X$261:$X$261</definedName>
    <definedName name="SalesQty138">'Бланк заказа'!$X$266:$X$266</definedName>
    <definedName name="SalesQty139">'Бланк заказа'!$X$267:$X$267</definedName>
    <definedName name="SalesQty14">'Бланк заказа'!$X$48:$X$48</definedName>
    <definedName name="SalesQty140">'Бланк заказа'!$X$271:$X$271</definedName>
    <definedName name="SalesQty141">'Бланк заказа'!$X$272:$X$272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заказа'!$X$280:$X$280</definedName>
    <definedName name="SalesQty147">'Бланк заказа'!$X$281:$X$281</definedName>
    <definedName name="SalesQty148">'Бланк заказа'!$X$282:$X$282</definedName>
    <definedName name="SalesQty149">'Бланк заказа'!$X$283:$X$283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заказа'!$X$295:$X$295</definedName>
    <definedName name="SalesQty159">'Бланк заказа'!$X$296:$X$296</definedName>
    <definedName name="SalesQty16">'Бланк заказа'!$X$50:$X$50</definedName>
    <definedName name="SalesQty160">'Бланк заказа'!$X$297:$X$297</definedName>
    <definedName name="SalesQty161">'Бланк заказа'!$X$298:$X$298</definedName>
    <definedName name="SalesQty162">'Бланк заказа'!$X$302:$X$302</definedName>
    <definedName name="SalesQty163">'Бланк заказа'!$X$303:$X$303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заказа'!$X$311:$X$311</definedName>
    <definedName name="SalesQty168">'Бланк заказа'!$X$312:$X$312</definedName>
    <definedName name="SalesQty169">'Бланк заказа'!$X$313:$X$313</definedName>
    <definedName name="SalesQty17">'Бланк заказа'!$X$55:$X$55</definedName>
    <definedName name="SalesQty170">'Бланк заказа'!$X$314:$X$314</definedName>
    <definedName name="SalesQty171">'Бланк заказа'!$X$318:$X$318</definedName>
    <definedName name="SalesQty172">'Бланк заказа'!$X$322:$X$322</definedName>
    <definedName name="SalesQty173">'Бланк заказа'!$X$326:$X$326</definedName>
    <definedName name="SalesQty174">'Бланк заказа'!$X$327:$X$327</definedName>
    <definedName name="SalesQty175">'Бланк заказа'!$X$328:$X$328</definedName>
    <definedName name="SalesQty176">'Бланк заказа'!$X$333:$X$333</definedName>
    <definedName name="SalesQty177">'Бланк заказа'!$X$334:$X$334</definedName>
    <definedName name="SalesQty178">'Бланк заказа'!$X$335:$X$335</definedName>
    <definedName name="SalesQty179">'Бланк заказа'!$X$336:$X$336</definedName>
    <definedName name="SalesQty18">'Бланк заказа'!$X$56:$X$56</definedName>
    <definedName name="SalesQty180">'Бланк заказа'!$X$337:$X$337</definedName>
    <definedName name="SalesQty181">'Бланк заказа'!$X$342:$X$342</definedName>
    <definedName name="SalesQty182">'Бланк заказа'!$X$343:$X$343</definedName>
    <definedName name="SalesQty183">'Бланк заказа'!$X$344:$X$344</definedName>
    <definedName name="SalesQty184">'Бланк заказа'!$X$349:$X$349</definedName>
    <definedName name="SalesQty185">'Бланк заказа'!$X$350:$X$350</definedName>
    <definedName name="SalesQty186">'Бланк заказа'!$X$351:$X$351</definedName>
    <definedName name="SalesQty187">'Бланк заказа'!$X$352:$X$352</definedName>
    <definedName name="SalesQty188">'Бланк заказа'!$X$353:$X$353</definedName>
    <definedName name="SalesQty189">'Бланк заказа'!$X$357:$X$357</definedName>
    <definedName name="SalesQty19">'Бланк заказа'!$X$57:$X$57</definedName>
    <definedName name="SalesQty190">'Бланк заказа'!$X$358:$X$358</definedName>
    <definedName name="SalesQty191">'Бланк заказа'!$X$363:$X$363</definedName>
    <definedName name="SalesQty192">'Бланк заказа'!$X$364:$X$364</definedName>
    <definedName name="SalesQty193">'Бланк заказа'!$X$365:$X$365</definedName>
    <definedName name="SalesQty194">'Бланк заказа'!$X$370:$X$370</definedName>
    <definedName name="SalesQty195">'Бланк заказа'!$X$371:$X$371</definedName>
    <definedName name="SalesQty196">'Бланк заказа'!$X$372:$X$372</definedName>
    <definedName name="SalesQty197">'Бланк заказа'!$X$373:$X$373</definedName>
    <definedName name="SalesQty198">'Бланк заказа'!$X$374:$X$374</definedName>
    <definedName name="SalesQty199">'Бланк заказа'!$X$375:$X$375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заказа'!$X$382:$X$382</definedName>
    <definedName name="SalesQty204">'Бланк заказа'!$X$383:$X$383</definedName>
    <definedName name="SalesQty205">'Бланк заказа'!$X$384:$X$384</definedName>
    <definedName name="SalesQty206">'Бланк заказа'!$X$385:$X$385</definedName>
    <definedName name="SalesQty207">'Бланк заказа'!$X$389:$X$389</definedName>
    <definedName name="SalesQty208">'Бланк заказа'!$X$390:$X$390</definedName>
    <definedName name="SalesQty209">'Бланк заказа'!$X$391:$X$391</definedName>
    <definedName name="SalesQty21">'Бланк заказа'!$X$59:$X$59</definedName>
    <definedName name="SalesQty210">'Бланк заказа'!$X$392:$X$392</definedName>
    <definedName name="SalesQty211">'Бланк заказа'!$X$396:$X$396</definedName>
    <definedName name="SalesQty212">'Бланк заказа'!$X$397:$X$397</definedName>
    <definedName name="SalesQty213">'Бланк заказа'!$X$398:$X$398</definedName>
    <definedName name="SalesQty214">'Бланк заказа'!$X$402:$X$402</definedName>
    <definedName name="SalesQty215">'Бланк заказа'!$X$403:$X$403</definedName>
    <definedName name="SalesQty216">'Бланк заказа'!$X$404:$X$404</definedName>
    <definedName name="SalesQty217">'Бланк заказа'!$X$405:$X$405</definedName>
    <definedName name="SalesQty218">'Бланк заказа'!$X$409:$X$409</definedName>
    <definedName name="SalesQty219">'Бланк заказа'!$X$410:$X$410</definedName>
    <definedName name="SalesQty22">'Бланк заказа'!$X$60:$X$60</definedName>
    <definedName name="SalesQty220">'Бланк заказа'!$X$411:$X$411</definedName>
    <definedName name="SalesQty221">'Бланк заказа'!$X$415:$X$415</definedName>
    <definedName name="SalesQty222">'Бланк заказа'!$X$416:$X$416</definedName>
    <definedName name="SalesQty223">'Бланк заказа'!$X$417:$X$417</definedName>
    <definedName name="SalesQty224">'Бланк заказа'!$X$422:$X$422</definedName>
    <definedName name="SalesQty225">'Бланк заказа'!$X$423:$X$423</definedName>
    <definedName name="SalesQty226">'Бланк заказа'!$X$428:$X$428</definedName>
    <definedName name="SalesQty227">'Бланк заказа'!$X$429:$X$429</definedName>
    <definedName name="SalesQty228">'Бланк заказа'!$X$430:$X$430</definedName>
    <definedName name="SalesQty229">'Бланк заказа'!$X$436:$X$436</definedName>
    <definedName name="SalesQty23">'Бланк заказа'!$X$64:$X$64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заказа'!$X$440:$X$440</definedName>
    <definedName name="SalesQty234">'Бланк заказа'!$X$441:$X$441</definedName>
    <definedName name="SalesQty235">'Бланк заказа'!$X$442:$X$442</definedName>
    <definedName name="SalesQty236">'Бланк заказа'!$X$443:$X$443</definedName>
    <definedName name="SalesQty237">'Бланк заказа'!$X$447:$X$447</definedName>
    <definedName name="SalesQty238">'Бланк заказа'!$X$448:$X$448</definedName>
    <definedName name="SalesQty239">'Бланк заказа'!$X$449:$X$449</definedName>
    <definedName name="SalesQty24">'Бланк заказа'!$X$65:$X$65</definedName>
    <definedName name="SalesQty240">'Бланк заказа'!$X$453:$X$453</definedName>
    <definedName name="SalesQty241">'Бланк заказа'!$X$454:$X$454</definedName>
    <definedName name="SalesQty242">'Бланк заказа'!$X$455:$X$455</definedName>
    <definedName name="SalesQty243">'Бланк заказа'!$X$459:$X$459</definedName>
    <definedName name="SalesQty244">'Бланк заказа'!$X$460:$X$460</definedName>
    <definedName name="SalesQty245">'Бланк заказа'!$X$465:$X$465</definedName>
    <definedName name="SalesQty246">'Бланк заказа'!$X$466:$X$466</definedName>
    <definedName name="SalesQty247">'Бланк заказа'!$X$470:$X$470</definedName>
    <definedName name="SalesQty248">'Бланк заказа'!$X$474:$X$474</definedName>
    <definedName name="SalesQty249">'Бланк заказа'!$X$475:$X$475</definedName>
    <definedName name="SalesQty25">'Бланк заказа'!$X$66:$X$66</definedName>
    <definedName name="SalesQty250">'Бланк заказа'!$X$476:$X$476</definedName>
    <definedName name="SalesQty251">'Бланк заказа'!$X$482:$X$482</definedName>
    <definedName name="SalesQty252">'Бланк заказа'!$X$483:$X$483</definedName>
    <definedName name="SalesQty253">'Бланк заказа'!$X$484:$X$484</definedName>
    <definedName name="SalesQty254">'Бланк заказа'!$X$485:$X$485</definedName>
    <definedName name="SalesQty255">'Бланк заказа'!$X$486:$X$486</definedName>
    <definedName name="SalesQty256">'Бланк заказа'!$X$487:$X$487</definedName>
    <definedName name="SalesQty257">'Бланк заказа'!$X$491:$X$491</definedName>
    <definedName name="SalesQty258">'Бланк заказа'!$X$492:$X$492</definedName>
    <definedName name="SalesQty259">'Бланк заказа'!$X$497:$X$497</definedName>
    <definedName name="SalesQty26">'Бланк заказа'!$X$67:$X$67</definedName>
    <definedName name="SalesQty260">'Бланк заказа'!$X$501:$X$501</definedName>
    <definedName name="SalesQty261">'Бланк заказа'!$X$502:$X$502</definedName>
    <definedName name="SalesQty262">'Бланк заказа'!$X$503:$X$503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заказа'!$X$514:$X$514</definedName>
    <definedName name="SalesQty269">'Бланк заказа'!$X$515:$X$515</definedName>
    <definedName name="SalesQty27">'Бланк заказа'!$X$71:$X$71</definedName>
    <definedName name="SalesQty270">'Бланк заказа'!$X$516:$X$516</definedName>
    <definedName name="SalesQty271">'Бланк заказа'!$X$517:$X$517</definedName>
    <definedName name="SalesQty272">'Бланк заказа'!$X$521:$X$521</definedName>
    <definedName name="SalesQty273">'Бланк заказа'!$X$522:$X$522</definedName>
    <definedName name="SalesQty274">'Бланк заказа'!$X$523:$X$523</definedName>
    <definedName name="SalesQty275">'Бланк заказа'!$X$527:$X$527</definedName>
    <definedName name="SalesQty276">'Бланк заказа'!$X$528:$X$528</definedName>
    <definedName name="SalesQty277">'Бланк заказа'!$X$529:$X$529</definedName>
    <definedName name="SalesQty278">'Бланк заказа'!$X$530:$X$530</definedName>
    <definedName name="SalesQty279">'Бланк заказа'!$X$531:$X$531</definedName>
    <definedName name="SalesQty28">'Бланк заказа'!$X$72:$X$72</definedName>
    <definedName name="SalesQty280">'Бланк заказа'!$X$532:$X$532</definedName>
    <definedName name="SalesQty281">'Бланк заказа'!$X$533:$X$533</definedName>
    <definedName name="SalesQty282">'Бланк заказа'!$X$539:$X$539</definedName>
    <definedName name="SalesQty283">'Бланк заказа'!$X$543:$X$543</definedName>
    <definedName name="SalesQty284">'Бланк заказа'!$X$547:$X$547</definedName>
    <definedName name="SalesQty285">'Бланк заказа'!$X$551:$X$551</definedName>
    <definedName name="SalesQty286">'Бланк заказа'!$X$555:$X$555</definedName>
    <definedName name="SalesQty287">'Бланк заказа'!$X$556:$X$556</definedName>
    <definedName name="SalesQty288">'Бланк заказа'!$X$561:$X$561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заказа'!$X$99:$X$99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заказа'!$X$111:$X$111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заказа'!$X$119:$X$119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заказа'!$X$126:$X$126</definedName>
    <definedName name="SalesQty63">'Бланк заказа'!$X$127:$X$127</definedName>
    <definedName name="SalesQty64">'Бланк заказа'!$X$128:$X$128</definedName>
    <definedName name="SalesQty65">'Бланк заказа'!$X$129:$X$129</definedName>
    <definedName name="SalesQty66">'Бланк заказа'!$X$130:$X$130</definedName>
    <definedName name="SalesQty67">'Бланк заказа'!$X$134:$X$134</definedName>
    <definedName name="SalesQty68">'Бланк заказа'!$X$135:$X$135</definedName>
    <definedName name="SalesQty69">'Бланк заказа'!$X$140:$X$140</definedName>
    <definedName name="SalesQty7">'Бланк заказа'!$X$31:$X$31</definedName>
    <definedName name="SalesQty70">'Бланк заказа'!$X$141:$X$141</definedName>
    <definedName name="SalesQty71">'Бланк заказа'!$X$145:$X$145</definedName>
    <definedName name="SalesQty72">'Бланк заказа'!$X$146:$X$146</definedName>
    <definedName name="SalesQty73">'Бланк заказа'!$X$150:$X$150</definedName>
    <definedName name="SalesQty74">'Бланк заказа'!$X$151:$X$151</definedName>
    <definedName name="SalesQty75">'Бланк заказа'!$X$156:$X$156</definedName>
    <definedName name="SalesQty76">'Бланк заказа'!$X$157:$X$157</definedName>
    <definedName name="SalesQty77">'Бланк заказа'!$X$158:$X$158</definedName>
    <definedName name="SalesQty78">'Бланк заказа'!$X$159:$X$159</definedName>
    <definedName name="SalesQty79">'Бланк заказа'!$X$160:$X$160</definedName>
    <definedName name="SalesQty8">'Бланк заказа'!$X$37:$X$37</definedName>
    <definedName name="SalesQty80">'Бланк заказа'!$X$161:$X$161</definedName>
    <definedName name="SalesQty81">'Бланк заказа'!$X$162:$X$162</definedName>
    <definedName name="SalesQty82">'Бланк заказа'!$X$166:$X$166</definedName>
    <definedName name="SalesQty83">'Бланк заказа'!$X$171:$X$171</definedName>
    <definedName name="SalesQty84">'Бланк заказа'!$X$172:$X$172</definedName>
    <definedName name="SalesQty85">'Бланк заказа'!$X$173:$X$173</definedName>
    <definedName name="SalesQty86">'Бланк заказа'!$X$177:$X$177</definedName>
    <definedName name="SalesQty87">'Бланк заказа'!$X$178:$X$178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заказа'!$X$187:$X$187</definedName>
    <definedName name="SalesQty94">'Бланк заказа'!$X$188:$X$188</definedName>
    <definedName name="SalesQty95">'Бланк заказа'!$X$189:$X$189</definedName>
    <definedName name="SalesQty96">'Бланк заказа'!$X$190:$X$190</definedName>
    <definedName name="SalesQty97">'Бланк заказа'!$X$191:$X$191</definedName>
    <definedName name="SalesQty98">'Бланк заказа'!$X$192:$X$192</definedName>
    <definedName name="SalesQty99">'Бланк заказа'!$X$193:$X$193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заказа'!$Y$194:$Y$194</definedName>
    <definedName name="SalesRoundBox101">'Бланк заказа'!$Y$195:$Y$195</definedName>
    <definedName name="SalesRoundBox102">'Бланк заказа'!$Y$199:$Y$199</definedName>
    <definedName name="SalesRoundBox103">'Бланк заказа'!$Y$200:$Y$200</definedName>
    <definedName name="SalesRoundBox104">'Бланк заказа'!$Y$201:$Y$201</definedName>
    <definedName name="SalesRoundBox105">'Бланк заказа'!$Y$205:$Y$205</definedName>
    <definedName name="SalesRoundBox106">'Бланк заказа'!$Y$209:$Y$209</definedName>
    <definedName name="SalesRoundBox107">'Бланк заказа'!$Y$215:$Y$215</definedName>
    <definedName name="SalesRoundBox108">'Бланк заказа'!$Y$216:$Y$216</definedName>
    <definedName name="SalesRoundBox109">'Бланк заказа'!$Y$217:$Y$217</definedName>
    <definedName name="SalesRoundBox11">'Бланк заказа'!$Y$40:$Y$40</definedName>
    <definedName name="SalesRoundBox110">'Бланк заказа'!$Y$218:$Y$218</definedName>
    <definedName name="SalesRoundBox111">'Бланк заказа'!$Y$219:$Y$219</definedName>
    <definedName name="SalesRoundBox112">'Бланк заказа'!$Y$220:$Y$220</definedName>
    <definedName name="SalesRoundBox113">'Бланк заказа'!$Y$221:$Y$221</definedName>
    <definedName name="SalesRoundBox114">'Бланк заказа'!$Y$226:$Y$226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заказа'!$Y$240:$Y$240</definedName>
    <definedName name="SalesRoundBox126">'Бланк заказа'!$Y$241:$Y$241</definedName>
    <definedName name="SalesRoundBox127">'Бланк заказа'!$Y$242:$Y$242</definedName>
    <definedName name="SalesRoundBox128">'Бланк заказа'!$Y$243:$Y$243</definedName>
    <definedName name="SalesRoundBox129">'Бланк заказа'!$Y$247:$Y$247</definedName>
    <definedName name="SalesRoundBox13">'Бланк заказа'!$Y$47:$Y$47</definedName>
    <definedName name="SalesRoundBox130">'Бланк заказа'!$Y$248:$Y$248</definedName>
    <definedName name="SalesRoundBox131">'Бланк заказа'!$Y$249:$Y$249</definedName>
    <definedName name="SalesRoundBox132">'Бланк заказа'!$Y$250:$Y$250</definedName>
    <definedName name="SalesRoundBox133">'Бланк заказа'!$Y$251:$Y$251</definedName>
    <definedName name="SalesRoundBox134">'Бланк заказа'!$Y$255:$Y$255</definedName>
    <definedName name="SalesRoundBox135">'Бланк заказа'!$Y$256:$Y$256</definedName>
    <definedName name="SalesRoundBox136">'Бланк заказа'!$Y$257:$Y$257</definedName>
    <definedName name="SalesRoundBox137">'Бланк заказа'!$Y$261:$Y$261</definedName>
    <definedName name="SalesRoundBox138">'Бланк заказа'!$Y$266:$Y$266</definedName>
    <definedName name="SalesRoundBox139">'Бланк заказа'!$Y$267:$Y$267</definedName>
    <definedName name="SalesRoundBox14">'Бланк заказа'!$Y$48:$Y$48</definedName>
    <definedName name="SalesRoundBox140">'Бланк заказа'!$Y$271:$Y$271</definedName>
    <definedName name="SalesRoundBox141">'Бланк заказа'!$Y$272:$Y$272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заказа'!$Y$280:$Y$280</definedName>
    <definedName name="SalesRoundBox147">'Бланк заказа'!$Y$281:$Y$281</definedName>
    <definedName name="SalesRoundBox148">'Бланк заказа'!$Y$282:$Y$282</definedName>
    <definedName name="SalesRoundBox149">'Бланк заказа'!$Y$283:$Y$283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заказа'!$Y$295:$Y$295</definedName>
    <definedName name="SalesRoundBox159">'Бланк заказа'!$Y$296:$Y$296</definedName>
    <definedName name="SalesRoundBox16">'Бланк заказа'!$Y$50:$Y$50</definedName>
    <definedName name="SalesRoundBox160">'Бланк заказа'!$Y$297:$Y$297</definedName>
    <definedName name="SalesRoundBox161">'Бланк заказа'!$Y$298:$Y$298</definedName>
    <definedName name="SalesRoundBox162">'Бланк заказа'!$Y$302:$Y$302</definedName>
    <definedName name="SalesRoundBox163">'Бланк заказа'!$Y$303:$Y$303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заказа'!$Y$311:$Y$311</definedName>
    <definedName name="SalesRoundBox168">'Бланк заказа'!$Y$312:$Y$312</definedName>
    <definedName name="SalesRoundBox169">'Бланк заказа'!$Y$313:$Y$313</definedName>
    <definedName name="SalesRoundBox17">'Бланк заказа'!$Y$55:$Y$55</definedName>
    <definedName name="SalesRoundBox170">'Бланк заказа'!$Y$314:$Y$314</definedName>
    <definedName name="SalesRoundBox171">'Бланк заказа'!$Y$318:$Y$318</definedName>
    <definedName name="SalesRoundBox172">'Бланк заказа'!$Y$322:$Y$322</definedName>
    <definedName name="SalesRoundBox173">'Бланк заказа'!$Y$326:$Y$326</definedName>
    <definedName name="SalesRoundBox174">'Бланк заказа'!$Y$327:$Y$327</definedName>
    <definedName name="SalesRoundBox175">'Бланк заказа'!$Y$328:$Y$328</definedName>
    <definedName name="SalesRoundBox176">'Бланк заказа'!$Y$333:$Y$333</definedName>
    <definedName name="SalesRoundBox177">'Бланк заказа'!$Y$334:$Y$334</definedName>
    <definedName name="SalesRoundBox178">'Бланк заказа'!$Y$335:$Y$335</definedName>
    <definedName name="SalesRoundBox179">'Бланк заказа'!$Y$336:$Y$336</definedName>
    <definedName name="SalesRoundBox18">'Бланк заказа'!$Y$56:$Y$56</definedName>
    <definedName name="SalesRoundBox180">'Бланк заказа'!$Y$337:$Y$337</definedName>
    <definedName name="SalesRoundBox181">'Бланк заказа'!$Y$342:$Y$342</definedName>
    <definedName name="SalesRoundBox182">'Бланк заказа'!$Y$343:$Y$343</definedName>
    <definedName name="SalesRoundBox183">'Бланк заказа'!$Y$344:$Y$344</definedName>
    <definedName name="SalesRoundBox184">'Бланк заказа'!$Y$349:$Y$349</definedName>
    <definedName name="SalesRoundBox185">'Бланк заказа'!$Y$350:$Y$350</definedName>
    <definedName name="SalesRoundBox186">'Бланк заказа'!$Y$351:$Y$351</definedName>
    <definedName name="SalesRoundBox187">'Бланк заказа'!$Y$352:$Y$352</definedName>
    <definedName name="SalesRoundBox188">'Бланк заказа'!$Y$353:$Y$353</definedName>
    <definedName name="SalesRoundBox189">'Бланк заказа'!$Y$357:$Y$357</definedName>
    <definedName name="SalesRoundBox19">'Бланк заказа'!$Y$57:$Y$57</definedName>
    <definedName name="SalesRoundBox190">'Бланк заказа'!$Y$358:$Y$358</definedName>
    <definedName name="SalesRoundBox191">'Бланк заказа'!$Y$363:$Y$363</definedName>
    <definedName name="SalesRoundBox192">'Бланк заказа'!$Y$364:$Y$364</definedName>
    <definedName name="SalesRoundBox193">'Бланк заказа'!$Y$365:$Y$365</definedName>
    <definedName name="SalesRoundBox194">'Бланк заказа'!$Y$370:$Y$370</definedName>
    <definedName name="SalesRoundBox195">'Бланк заказа'!$Y$371:$Y$371</definedName>
    <definedName name="SalesRoundBox196">'Бланк заказа'!$Y$372:$Y$372</definedName>
    <definedName name="SalesRoundBox197">'Бланк заказа'!$Y$373:$Y$373</definedName>
    <definedName name="SalesRoundBox198">'Бланк заказа'!$Y$374:$Y$374</definedName>
    <definedName name="SalesRoundBox199">'Бланк заказа'!$Y$375:$Y$375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заказа'!$Y$382:$Y$382</definedName>
    <definedName name="SalesRoundBox204">'Бланк заказа'!$Y$383:$Y$383</definedName>
    <definedName name="SalesRoundBox205">'Бланк заказа'!$Y$384:$Y$384</definedName>
    <definedName name="SalesRoundBox206">'Бланк заказа'!$Y$385:$Y$385</definedName>
    <definedName name="SalesRoundBox207">'Бланк заказа'!$Y$389:$Y$389</definedName>
    <definedName name="SalesRoundBox208">'Бланк заказа'!$Y$390:$Y$390</definedName>
    <definedName name="SalesRoundBox209">'Бланк заказа'!$Y$391:$Y$391</definedName>
    <definedName name="SalesRoundBox21">'Бланк заказа'!$Y$59:$Y$59</definedName>
    <definedName name="SalesRoundBox210">'Бланк заказа'!$Y$392:$Y$392</definedName>
    <definedName name="SalesRoundBox211">'Бланк заказа'!$Y$396:$Y$396</definedName>
    <definedName name="SalesRoundBox212">'Бланк заказа'!$Y$397:$Y$397</definedName>
    <definedName name="SalesRoundBox213">'Бланк заказа'!$Y$398:$Y$398</definedName>
    <definedName name="SalesRoundBox214">'Бланк заказа'!$Y$402:$Y$402</definedName>
    <definedName name="SalesRoundBox215">'Бланк заказа'!$Y$403:$Y$403</definedName>
    <definedName name="SalesRoundBox216">'Бланк заказа'!$Y$404:$Y$404</definedName>
    <definedName name="SalesRoundBox217">'Бланк заказа'!$Y$405:$Y$405</definedName>
    <definedName name="SalesRoundBox218">'Бланк заказа'!$Y$409:$Y$409</definedName>
    <definedName name="SalesRoundBox219">'Бланк заказа'!$Y$410:$Y$410</definedName>
    <definedName name="SalesRoundBox22">'Бланк заказа'!$Y$60:$Y$60</definedName>
    <definedName name="SalesRoundBox220">'Бланк заказа'!$Y$411:$Y$411</definedName>
    <definedName name="SalesRoundBox221">'Бланк заказа'!$Y$415:$Y$415</definedName>
    <definedName name="SalesRoundBox222">'Бланк заказа'!$Y$416:$Y$416</definedName>
    <definedName name="SalesRoundBox223">'Бланк заказа'!$Y$417:$Y$417</definedName>
    <definedName name="SalesRoundBox224">'Бланк заказа'!$Y$422:$Y$422</definedName>
    <definedName name="SalesRoundBox225">'Бланк заказа'!$Y$423:$Y$423</definedName>
    <definedName name="SalesRoundBox226">'Бланк заказа'!$Y$428:$Y$428</definedName>
    <definedName name="SalesRoundBox227">'Бланк заказа'!$Y$429:$Y$429</definedName>
    <definedName name="SalesRoundBox228">'Бланк заказа'!$Y$430:$Y$430</definedName>
    <definedName name="SalesRoundBox229">'Бланк заказа'!$Y$436:$Y$436</definedName>
    <definedName name="SalesRoundBox23">'Бланк заказа'!$Y$64:$Y$64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заказа'!$Y$440:$Y$440</definedName>
    <definedName name="SalesRoundBox234">'Бланк заказа'!$Y$441:$Y$441</definedName>
    <definedName name="SalesRoundBox235">'Бланк заказа'!$Y$442:$Y$442</definedName>
    <definedName name="SalesRoundBox236">'Бланк заказа'!$Y$443:$Y$443</definedName>
    <definedName name="SalesRoundBox237">'Бланк заказа'!$Y$447:$Y$447</definedName>
    <definedName name="SalesRoundBox238">'Бланк заказа'!$Y$448:$Y$448</definedName>
    <definedName name="SalesRoundBox239">'Бланк заказа'!$Y$449:$Y$449</definedName>
    <definedName name="SalesRoundBox24">'Бланк заказа'!$Y$65:$Y$65</definedName>
    <definedName name="SalesRoundBox240">'Бланк заказа'!$Y$453:$Y$453</definedName>
    <definedName name="SalesRoundBox241">'Бланк заказа'!$Y$454:$Y$454</definedName>
    <definedName name="SalesRoundBox242">'Бланк заказа'!$Y$455:$Y$455</definedName>
    <definedName name="SalesRoundBox243">'Бланк заказа'!$Y$459:$Y$459</definedName>
    <definedName name="SalesRoundBox244">'Бланк заказа'!$Y$460:$Y$460</definedName>
    <definedName name="SalesRoundBox245">'Бланк заказа'!$Y$465:$Y$465</definedName>
    <definedName name="SalesRoundBox246">'Бланк заказа'!$Y$466:$Y$466</definedName>
    <definedName name="SalesRoundBox247">'Бланк заказа'!$Y$470:$Y$470</definedName>
    <definedName name="SalesRoundBox248">'Бланк заказа'!$Y$474:$Y$474</definedName>
    <definedName name="SalesRoundBox249">'Бланк заказа'!$Y$475:$Y$475</definedName>
    <definedName name="SalesRoundBox25">'Бланк заказа'!$Y$66:$Y$66</definedName>
    <definedName name="SalesRoundBox250">'Бланк заказа'!$Y$476:$Y$476</definedName>
    <definedName name="SalesRoundBox251">'Бланк заказа'!$Y$482:$Y$482</definedName>
    <definedName name="SalesRoundBox252">'Бланк заказа'!$Y$483:$Y$483</definedName>
    <definedName name="SalesRoundBox253">'Бланк заказа'!$Y$484:$Y$484</definedName>
    <definedName name="SalesRoundBox254">'Бланк заказа'!$Y$485:$Y$485</definedName>
    <definedName name="SalesRoundBox255">'Бланк заказа'!$Y$486:$Y$486</definedName>
    <definedName name="SalesRoundBox256">'Бланк заказа'!$Y$487:$Y$487</definedName>
    <definedName name="SalesRoundBox257">'Бланк заказа'!$Y$491:$Y$491</definedName>
    <definedName name="SalesRoundBox258">'Бланк заказа'!$Y$492:$Y$492</definedName>
    <definedName name="SalesRoundBox259">'Бланк заказа'!$Y$497:$Y$497</definedName>
    <definedName name="SalesRoundBox26">'Бланк заказа'!$Y$67:$Y$67</definedName>
    <definedName name="SalesRoundBox260">'Бланк заказа'!$Y$501:$Y$501</definedName>
    <definedName name="SalesRoundBox261">'Бланк заказа'!$Y$502:$Y$502</definedName>
    <definedName name="SalesRoundBox262">'Бланк заказа'!$Y$503:$Y$503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заказа'!$Y$514:$Y$514</definedName>
    <definedName name="SalesRoundBox269">'Бланк заказа'!$Y$515:$Y$515</definedName>
    <definedName name="SalesRoundBox27">'Бланк заказа'!$Y$71:$Y$71</definedName>
    <definedName name="SalesRoundBox270">'Бланк заказа'!$Y$516:$Y$516</definedName>
    <definedName name="SalesRoundBox271">'Бланк заказа'!$Y$517:$Y$517</definedName>
    <definedName name="SalesRoundBox272">'Бланк заказа'!$Y$521:$Y$521</definedName>
    <definedName name="SalesRoundBox273">'Бланк заказа'!$Y$522:$Y$522</definedName>
    <definedName name="SalesRoundBox274">'Бланк заказа'!$Y$523:$Y$523</definedName>
    <definedName name="SalesRoundBox275">'Бланк заказа'!$Y$527:$Y$527</definedName>
    <definedName name="SalesRoundBox276">'Бланк заказа'!$Y$528:$Y$528</definedName>
    <definedName name="SalesRoundBox277">'Бланк заказа'!$Y$529:$Y$529</definedName>
    <definedName name="SalesRoundBox278">'Бланк заказа'!$Y$530:$Y$530</definedName>
    <definedName name="SalesRoundBox279">'Бланк заказа'!$Y$531:$Y$531</definedName>
    <definedName name="SalesRoundBox28">'Бланк заказа'!$Y$72:$Y$72</definedName>
    <definedName name="SalesRoundBox280">'Бланк заказа'!$Y$532:$Y$532</definedName>
    <definedName name="SalesRoundBox281">'Бланк заказа'!$Y$533:$Y$533</definedName>
    <definedName name="SalesRoundBox282">'Бланк заказа'!$Y$539:$Y$539</definedName>
    <definedName name="SalesRoundBox283">'Бланк заказа'!$Y$543:$Y$543</definedName>
    <definedName name="SalesRoundBox284">'Бланк заказа'!$Y$547:$Y$547</definedName>
    <definedName name="SalesRoundBox285">'Бланк заказа'!$Y$551:$Y$551</definedName>
    <definedName name="SalesRoundBox286">'Бланк заказа'!$Y$555:$Y$555</definedName>
    <definedName name="SalesRoundBox287">'Бланк заказа'!$Y$556:$Y$556</definedName>
    <definedName name="SalesRoundBox288">'Бланк заказа'!$Y$561:$Y$561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заказа'!$Y$99:$Y$99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заказа'!$Y$111:$Y$111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заказа'!$Y$119:$Y$119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заказа'!$Y$126:$Y$126</definedName>
    <definedName name="SalesRoundBox63">'Бланк заказа'!$Y$127:$Y$127</definedName>
    <definedName name="SalesRoundBox64">'Бланк заказа'!$Y$128:$Y$128</definedName>
    <definedName name="SalesRoundBox65">'Бланк заказа'!$Y$129:$Y$129</definedName>
    <definedName name="SalesRoundBox66">'Бланк заказа'!$Y$130:$Y$130</definedName>
    <definedName name="SalesRoundBox67">'Бланк заказа'!$Y$134:$Y$134</definedName>
    <definedName name="SalesRoundBox68">'Бланк заказа'!$Y$135:$Y$135</definedName>
    <definedName name="SalesRoundBox69">'Бланк заказа'!$Y$140:$Y$140</definedName>
    <definedName name="SalesRoundBox7">'Бланк заказа'!$Y$31:$Y$31</definedName>
    <definedName name="SalesRoundBox70">'Бланк заказа'!$Y$141:$Y$141</definedName>
    <definedName name="SalesRoundBox71">'Бланк заказа'!$Y$145:$Y$145</definedName>
    <definedName name="SalesRoundBox72">'Бланк заказа'!$Y$146:$Y$146</definedName>
    <definedName name="SalesRoundBox73">'Бланк заказа'!$Y$150:$Y$150</definedName>
    <definedName name="SalesRoundBox74">'Бланк заказа'!$Y$151:$Y$151</definedName>
    <definedName name="SalesRoundBox75">'Бланк заказа'!$Y$156:$Y$156</definedName>
    <definedName name="SalesRoundBox76">'Бланк заказа'!$Y$157:$Y$157</definedName>
    <definedName name="SalesRoundBox77">'Бланк заказа'!$Y$158:$Y$158</definedName>
    <definedName name="SalesRoundBox78">'Бланк заказа'!$Y$159:$Y$159</definedName>
    <definedName name="SalesRoundBox79">'Бланк заказа'!$Y$160:$Y$160</definedName>
    <definedName name="SalesRoundBox8">'Бланк заказа'!$Y$37:$Y$37</definedName>
    <definedName name="SalesRoundBox80">'Бланк заказа'!$Y$161:$Y$161</definedName>
    <definedName name="SalesRoundBox81">'Бланк заказа'!$Y$162:$Y$162</definedName>
    <definedName name="SalesRoundBox82">'Бланк заказа'!$Y$166:$Y$166</definedName>
    <definedName name="SalesRoundBox83">'Бланк заказа'!$Y$171:$Y$171</definedName>
    <definedName name="SalesRoundBox84">'Бланк заказа'!$Y$172:$Y$172</definedName>
    <definedName name="SalesRoundBox85">'Бланк заказа'!$Y$173:$Y$173</definedName>
    <definedName name="SalesRoundBox86">'Бланк заказа'!$Y$177:$Y$177</definedName>
    <definedName name="SalesRoundBox87">'Бланк заказа'!$Y$178:$Y$178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заказа'!$Y$187:$Y$187</definedName>
    <definedName name="SalesRoundBox94">'Бланк заказа'!$Y$188:$Y$188</definedName>
    <definedName name="SalesRoundBox95">'Бланк заказа'!$Y$189:$Y$189</definedName>
    <definedName name="SalesRoundBox96">'Бланк заказа'!$Y$190:$Y$190</definedName>
    <definedName name="SalesRoundBox97">'Бланк заказа'!$Y$191:$Y$191</definedName>
    <definedName name="SalesRoundBox98">'Бланк заказа'!$Y$192:$Y$192</definedName>
    <definedName name="SalesRoundBox99">'Бланк заказа'!$Y$193:$Y$193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заказа'!$W$194:$W$194</definedName>
    <definedName name="UnitOfMeasure101">'Бланк заказа'!$W$195:$W$195</definedName>
    <definedName name="UnitOfMeasure102">'Бланк заказа'!$W$199:$W$199</definedName>
    <definedName name="UnitOfMeasure103">'Бланк заказа'!$W$200:$W$200</definedName>
    <definedName name="UnitOfMeasure104">'Бланк заказа'!$W$201:$W$201</definedName>
    <definedName name="UnitOfMeasure105">'Бланк заказа'!$W$205:$W$205</definedName>
    <definedName name="UnitOfMeasure106">'Бланк заказа'!$W$209:$W$209</definedName>
    <definedName name="UnitOfMeasure107">'Бланк заказа'!$W$215:$W$215</definedName>
    <definedName name="UnitOfMeasure108">'Бланк заказа'!$W$216:$W$216</definedName>
    <definedName name="UnitOfMeasure109">'Бланк заказа'!$W$217:$W$217</definedName>
    <definedName name="UnitOfMeasure11">'Бланк заказа'!$W$40:$W$40</definedName>
    <definedName name="UnitOfMeasure110">'Бланк заказа'!$W$218:$W$218</definedName>
    <definedName name="UnitOfMeasure111">'Бланк заказа'!$W$219:$W$219</definedName>
    <definedName name="UnitOfMeasure112">'Бланк заказа'!$W$220:$W$220</definedName>
    <definedName name="UnitOfMeasure113">'Бланк заказа'!$W$221:$W$221</definedName>
    <definedName name="UnitOfMeasure114">'Бланк заказа'!$W$226:$W$226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заказа'!$W$240:$W$240</definedName>
    <definedName name="UnitOfMeasure126">'Бланк заказа'!$W$241:$W$241</definedName>
    <definedName name="UnitOfMeasure127">'Бланк заказа'!$W$242:$W$242</definedName>
    <definedName name="UnitOfMeasure128">'Бланк заказа'!$W$243:$W$243</definedName>
    <definedName name="UnitOfMeasure129">'Бланк заказа'!$W$247:$W$247</definedName>
    <definedName name="UnitOfMeasure13">'Бланк заказа'!$W$47:$W$47</definedName>
    <definedName name="UnitOfMeasure130">'Бланк заказа'!$W$248:$W$248</definedName>
    <definedName name="UnitOfMeasure131">'Бланк заказа'!$W$249:$W$249</definedName>
    <definedName name="UnitOfMeasure132">'Бланк заказа'!$W$250:$W$250</definedName>
    <definedName name="UnitOfMeasure133">'Бланк заказа'!$W$251:$W$251</definedName>
    <definedName name="UnitOfMeasure134">'Бланк заказа'!$W$255:$W$255</definedName>
    <definedName name="UnitOfMeasure135">'Бланк заказа'!$W$256:$W$256</definedName>
    <definedName name="UnitOfMeasure136">'Бланк заказа'!$W$257:$W$257</definedName>
    <definedName name="UnitOfMeasure137">'Бланк заказа'!$W$261:$W$261</definedName>
    <definedName name="UnitOfMeasure138">'Бланк заказа'!$W$266:$W$266</definedName>
    <definedName name="UnitOfMeasure139">'Бланк заказа'!$W$267:$W$267</definedName>
    <definedName name="UnitOfMeasure14">'Бланк заказа'!$W$48:$W$48</definedName>
    <definedName name="UnitOfMeasure140">'Бланк заказа'!$W$271:$W$271</definedName>
    <definedName name="UnitOfMeasure141">'Бланк заказа'!$W$272:$W$272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заказа'!$W$280:$W$280</definedName>
    <definedName name="UnitOfMeasure147">'Бланк заказа'!$W$281:$W$281</definedName>
    <definedName name="UnitOfMeasure148">'Бланк заказа'!$W$282:$W$282</definedName>
    <definedName name="UnitOfMeasure149">'Бланк заказа'!$W$283:$W$283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заказа'!$W$295:$W$295</definedName>
    <definedName name="UnitOfMeasure159">'Бланк заказа'!$W$296:$W$296</definedName>
    <definedName name="UnitOfMeasure16">'Бланк заказа'!$W$50:$W$50</definedName>
    <definedName name="UnitOfMeasure160">'Бланк заказа'!$W$297:$W$297</definedName>
    <definedName name="UnitOfMeasure161">'Бланк заказа'!$W$298:$W$298</definedName>
    <definedName name="UnitOfMeasure162">'Бланк заказа'!$W$302:$W$302</definedName>
    <definedName name="UnitOfMeasure163">'Бланк заказа'!$W$303:$W$303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заказа'!$W$311:$W$311</definedName>
    <definedName name="UnitOfMeasure168">'Бланк заказа'!$W$312:$W$312</definedName>
    <definedName name="UnitOfMeasure169">'Бланк заказа'!$W$313:$W$313</definedName>
    <definedName name="UnitOfMeasure17">'Бланк заказа'!$W$55:$W$55</definedName>
    <definedName name="UnitOfMeasure170">'Бланк заказа'!$W$314:$W$314</definedName>
    <definedName name="UnitOfMeasure171">'Бланк заказа'!$W$318:$W$318</definedName>
    <definedName name="UnitOfMeasure172">'Бланк заказа'!$W$322:$W$322</definedName>
    <definedName name="UnitOfMeasure173">'Бланк заказа'!$W$326:$W$326</definedName>
    <definedName name="UnitOfMeasure174">'Бланк заказа'!$W$327:$W$327</definedName>
    <definedName name="UnitOfMeasure175">'Бланк заказа'!$W$328:$W$328</definedName>
    <definedName name="UnitOfMeasure176">'Бланк заказа'!$W$333:$W$333</definedName>
    <definedName name="UnitOfMeasure177">'Бланк заказа'!$W$334:$W$334</definedName>
    <definedName name="UnitOfMeasure178">'Бланк заказа'!$W$335:$W$335</definedName>
    <definedName name="UnitOfMeasure179">'Бланк заказа'!$W$336:$W$336</definedName>
    <definedName name="UnitOfMeasure18">'Бланк заказа'!$W$56:$W$56</definedName>
    <definedName name="UnitOfMeasure180">'Бланк заказа'!$W$337:$W$337</definedName>
    <definedName name="UnitOfMeasure181">'Бланк заказа'!$W$342:$W$342</definedName>
    <definedName name="UnitOfMeasure182">'Бланк заказа'!$W$343:$W$343</definedName>
    <definedName name="UnitOfMeasure183">'Бланк заказа'!$W$344:$W$344</definedName>
    <definedName name="UnitOfMeasure184">'Бланк заказа'!$W$349:$W$349</definedName>
    <definedName name="UnitOfMeasure185">'Бланк заказа'!$W$350:$W$350</definedName>
    <definedName name="UnitOfMeasure186">'Бланк заказа'!$W$351:$W$351</definedName>
    <definedName name="UnitOfMeasure187">'Бланк заказа'!$W$352:$W$352</definedName>
    <definedName name="UnitOfMeasure188">'Бланк заказа'!$W$353:$W$353</definedName>
    <definedName name="UnitOfMeasure189">'Бланк заказа'!$W$357:$W$357</definedName>
    <definedName name="UnitOfMeasure19">'Бланк заказа'!$W$57:$W$57</definedName>
    <definedName name="UnitOfMeasure190">'Бланк заказа'!$W$358:$W$358</definedName>
    <definedName name="UnitOfMeasure191">'Бланк заказа'!$W$363:$W$363</definedName>
    <definedName name="UnitOfMeasure192">'Бланк заказа'!$W$364:$W$364</definedName>
    <definedName name="UnitOfMeasure193">'Бланк заказа'!$W$365:$W$365</definedName>
    <definedName name="UnitOfMeasure194">'Бланк заказа'!$W$370:$W$370</definedName>
    <definedName name="UnitOfMeasure195">'Бланк заказа'!$W$371:$W$371</definedName>
    <definedName name="UnitOfMeasure196">'Бланк заказа'!$W$372:$W$372</definedName>
    <definedName name="UnitOfMeasure197">'Бланк заказа'!$W$373:$W$373</definedName>
    <definedName name="UnitOfMeasure198">'Бланк заказа'!$W$374:$W$374</definedName>
    <definedName name="UnitOfMeasure199">'Бланк заказа'!$W$375:$W$375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заказа'!$W$382:$W$382</definedName>
    <definedName name="UnitOfMeasure204">'Бланк заказа'!$W$383:$W$383</definedName>
    <definedName name="UnitOfMeasure205">'Бланк заказа'!$W$384:$W$384</definedName>
    <definedName name="UnitOfMeasure206">'Бланк заказа'!$W$385:$W$385</definedName>
    <definedName name="UnitOfMeasure207">'Бланк заказа'!$W$389:$W$389</definedName>
    <definedName name="UnitOfMeasure208">'Бланк заказа'!$W$390:$W$390</definedName>
    <definedName name="UnitOfMeasure209">'Бланк заказа'!$W$391:$W$391</definedName>
    <definedName name="UnitOfMeasure21">'Бланк заказа'!$W$59:$W$59</definedName>
    <definedName name="UnitOfMeasure210">'Бланк заказа'!$W$392:$W$392</definedName>
    <definedName name="UnitOfMeasure211">'Бланк заказа'!$W$396:$W$396</definedName>
    <definedName name="UnitOfMeasure212">'Бланк заказа'!$W$397:$W$397</definedName>
    <definedName name="UnitOfMeasure213">'Бланк заказа'!$W$398:$W$398</definedName>
    <definedName name="UnitOfMeasure214">'Бланк заказа'!$W$402:$W$402</definedName>
    <definedName name="UnitOfMeasure215">'Бланк заказа'!$W$403:$W$403</definedName>
    <definedName name="UnitOfMeasure216">'Бланк заказа'!$W$404:$W$404</definedName>
    <definedName name="UnitOfMeasure217">'Бланк заказа'!$W$405:$W$405</definedName>
    <definedName name="UnitOfMeasure218">'Бланк заказа'!$W$409:$W$409</definedName>
    <definedName name="UnitOfMeasure219">'Бланк заказа'!$W$410:$W$410</definedName>
    <definedName name="UnitOfMeasure22">'Бланк заказа'!$W$60:$W$60</definedName>
    <definedName name="UnitOfMeasure220">'Бланк заказа'!$W$411:$W$411</definedName>
    <definedName name="UnitOfMeasure221">'Бланк заказа'!$W$415:$W$415</definedName>
    <definedName name="UnitOfMeasure222">'Бланк заказа'!$W$416:$W$416</definedName>
    <definedName name="UnitOfMeasure223">'Бланк заказа'!$W$417:$W$417</definedName>
    <definedName name="UnitOfMeasure224">'Бланк заказа'!$W$422:$W$422</definedName>
    <definedName name="UnitOfMeasure225">'Бланк заказа'!$W$423:$W$423</definedName>
    <definedName name="UnitOfMeasure226">'Бланк заказа'!$W$428:$W$428</definedName>
    <definedName name="UnitOfMeasure227">'Бланк заказа'!$W$429:$W$429</definedName>
    <definedName name="UnitOfMeasure228">'Бланк заказа'!$W$430:$W$430</definedName>
    <definedName name="UnitOfMeasure229">'Бланк заказа'!$W$436:$W$436</definedName>
    <definedName name="UnitOfMeasure23">'Бланк заказа'!$W$64:$W$64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заказа'!$W$440:$W$440</definedName>
    <definedName name="UnitOfMeasure234">'Бланк заказа'!$W$441:$W$441</definedName>
    <definedName name="UnitOfMeasure235">'Бланк заказа'!$W$442:$W$442</definedName>
    <definedName name="UnitOfMeasure236">'Бланк заказа'!$W$443:$W$443</definedName>
    <definedName name="UnitOfMeasure237">'Бланк заказа'!$W$447:$W$447</definedName>
    <definedName name="UnitOfMeasure238">'Бланк заказа'!$W$448:$W$448</definedName>
    <definedName name="UnitOfMeasure239">'Бланк заказа'!$W$449:$W$449</definedName>
    <definedName name="UnitOfMeasure24">'Бланк заказа'!$W$65:$W$65</definedName>
    <definedName name="UnitOfMeasure240">'Бланк заказа'!$W$453:$W$453</definedName>
    <definedName name="UnitOfMeasure241">'Бланк заказа'!$W$454:$W$454</definedName>
    <definedName name="UnitOfMeasure242">'Бланк заказа'!$W$455:$W$455</definedName>
    <definedName name="UnitOfMeasure243">'Бланк заказа'!$W$459:$W$459</definedName>
    <definedName name="UnitOfMeasure244">'Бланк заказа'!$W$460:$W$460</definedName>
    <definedName name="UnitOfMeasure245">'Бланк заказа'!$W$465:$W$465</definedName>
    <definedName name="UnitOfMeasure246">'Бланк заказа'!$W$466:$W$466</definedName>
    <definedName name="UnitOfMeasure247">'Бланк заказа'!$W$470:$W$470</definedName>
    <definedName name="UnitOfMeasure248">'Бланк заказа'!$W$474:$W$474</definedName>
    <definedName name="UnitOfMeasure249">'Бланк заказа'!$W$475:$W$475</definedName>
    <definedName name="UnitOfMeasure25">'Бланк заказа'!$W$66:$W$66</definedName>
    <definedName name="UnitOfMeasure250">'Бланк заказа'!$W$476:$W$476</definedName>
    <definedName name="UnitOfMeasure251">'Бланк заказа'!$W$482:$W$482</definedName>
    <definedName name="UnitOfMeasure252">'Бланк заказа'!$W$483:$W$483</definedName>
    <definedName name="UnitOfMeasure253">'Бланк заказа'!$W$484:$W$484</definedName>
    <definedName name="UnitOfMeasure254">'Бланк заказа'!$W$485:$W$485</definedName>
    <definedName name="UnitOfMeasure255">'Бланк заказа'!$W$486:$W$486</definedName>
    <definedName name="UnitOfMeasure256">'Бланк заказа'!$W$487:$W$487</definedName>
    <definedName name="UnitOfMeasure257">'Бланк заказа'!$W$491:$W$491</definedName>
    <definedName name="UnitOfMeasure258">'Бланк заказа'!$W$492:$W$492</definedName>
    <definedName name="UnitOfMeasure259">'Бланк заказа'!$W$497:$W$497</definedName>
    <definedName name="UnitOfMeasure26">'Бланк заказа'!$W$67:$W$67</definedName>
    <definedName name="UnitOfMeasure260">'Бланк заказа'!$W$501:$W$501</definedName>
    <definedName name="UnitOfMeasure261">'Бланк заказа'!$W$502:$W$502</definedName>
    <definedName name="UnitOfMeasure262">'Бланк заказа'!$W$503:$W$503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заказа'!$W$514:$W$514</definedName>
    <definedName name="UnitOfMeasure269">'Бланк заказа'!$W$515:$W$515</definedName>
    <definedName name="UnitOfMeasure27">'Бланк заказа'!$W$71:$W$71</definedName>
    <definedName name="UnitOfMeasure270">'Бланк заказа'!$W$516:$W$516</definedName>
    <definedName name="UnitOfMeasure271">'Бланк заказа'!$W$517:$W$517</definedName>
    <definedName name="UnitOfMeasure272">'Бланк заказа'!$W$521:$W$521</definedName>
    <definedName name="UnitOfMeasure273">'Бланк заказа'!$W$522:$W$522</definedName>
    <definedName name="UnitOfMeasure274">'Бланк заказа'!$W$523:$W$523</definedName>
    <definedName name="UnitOfMeasure275">'Бланк заказа'!$W$527:$W$527</definedName>
    <definedName name="UnitOfMeasure276">'Бланк заказа'!$W$528:$W$528</definedName>
    <definedName name="UnitOfMeasure277">'Бланк заказа'!$W$529:$W$529</definedName>
    <definedName name="UnitOfMeasure278">'Бланк заказа'!$W$530:$W$530</definedName>
    <definedName name="UnitOfMeasure279">'Бланк заказа'!$W$531:$W$531</definedName>
    <definedName name="UnitOfMeasure28">'Бланк заказа'!$W$72:$W$72</definedName>
    <definedName name="UnitOfMeasure280">'Бланк заказа'!$W$532:$W$532</definedName>
    <definedName name="UnitOfMeasure281">'Бланк заказа'!$W$533:$W$533</definedName>
    <definedName name="UnitOfMeasure282">'Бланк заказа'!$W$539:$W$539</definedName>
    <definedName name="UnitOfMeasure283">'Бланк заказа'!$W$543:$W$543</definedName>
    <definedName name="UnitOfMeasure284">'Бланк заказа'!$W$547:$W$547</definedName>
    <definedName name="UnitOfMeasure285">'Бланк заказа'!$W$551:$W$551</definedName>
    <definedName name="UnitOfMeasure286">'Бланк заказа'!$W$555:$W$555</definedName>
    <definedName name="UnitOfMeasure287">'Бланк заказа'!$W$556:$W$556</definedName>
    <definedName name="UnitOfMeasure288">'Бланк заказа'!$W$561:$W$561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заказа'!$W$99:$W$99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заказа'!$W$111:$W$111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заказа'!$W$119:$W$119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заказа'!$W$126:$W$126</definedName>
    <definedName name="UnitOfMeasure63">'Бланк заказа'!$W$127:$W$127</definedName>
    <definedName name="UnitOfMeasure64">'Бланк заказа'!$W$128:$W$128</definedName>
    <definedName name="UnitOfMeasure65">'Бланк заказа'!$W$129:$W$129</definedName>
    <definedName name="UnitOfMeasure66">'Бланк заказа'!$W$130:$W$130</definedName>
    <definedName name="UnitOfMeasure67">'Бланк заказа'!$W$134:$W$134</definedName>
    <definedName name="UnitOfMeasure68">'Бланк заказа'!$W$135:$W$135</definedName>
    <definedName name="UnitOfMeasure69">'Бланк заказа'!$W$140:$W$140</definedName>
    <definedName name="UnitOfMeasure7">'Бланк заказа'!$W$31:$W$31</definedName>
    <definedName name="UnitOfMeasure70">'Бланк заказа'!$W$141:$W$141</definedName>
    <definedName name="UnitOfMeasure71">'Бланк заказа'!$W$145:$W$145</definedName>
    <definedName name="UnitOfMeasure72">'Бланк заказа'!$W$146:$W$146</definedName>
    <definedName name="UnitOfMeasure73">'Бланк заказа'!$W$150:$W$150</definedName>
    <definedName name="UnitOfMeasure74">'Бланк заказа'!$W$151:$W$151</definedName>
    <definedName name="UnitOfMeasure75">'Бланк заказа'!$W$156:$W$156</definedName>
    <definedName name="UnitOfMeasure76">'Бланк заказа'!$W$157:$W$157</definedName>
    <definedName name="UnitOfMeasure77">'Бланк заказа'!$W$158:$W$158</definedName>
    <definedName name="UnitOfMeasure78">'Бланк заказа'!$W$159:$W$159</definedName>
    <definedName name="UnitOfMeasure79">'Бланк заказа'!$W$160:$W$160</definedName>
    <definedName name="UnitOfMeasure8">'Бланк заказа'!$W$37:$W$37</definedName>
    <definedName name="UnitOfMeasure80">'Бланк заказа'!$W$161:$W$161</definedName>
    <definedName name="UnitOfMeasure81">'Бланк заказа'!$W$162:$W$162</definedName>
    <definedName name="UnitOfMeasure82">'Бланк заказа'!$W$166:$W$166</definedName>
    <definedName name="UnitOfMeasure83">'Бланк заказа'!$W$171:$W$171</definedName>
    <definedName name="UnitOfMeasure84">'Бланк заказа'!$W$172:$W$172</definedName>
    <definedName name="UnitOfMeasure85">'Бланк заказа'!$W$173:$W$173</definedName>
    <definedName name="UnitOfMeasure86">'Бланк заказа'!$W$177:$W$177</definedName>
    <definedName name="UnitOfMeasure87">'Бланк заказа'!$W$178:$W$178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заказа'!$W$187:$W$187</definedName>
    <definedName name="UnitOfMeasure94">'Бланк заказа'!$W$188:$W$188</definedName>
    <definedName name="UnitOfMeasure95">'Бланк заказа'!$W$189:$W$189</definedName>
    <definedName name="UnitOfMeasure96">'Бланк заказа'!$W$190:$W$190</definedName>
    <definedName name="UnitOfMeasure97">'Бланк заказа'!$W$191:$W$191</definedName>
    <definedName name="UnitOfMeasure98">'Бланк заказа'!$W$192:$W$192</definedName>
    <definedName name="UnitOfMeasure99">'Бланк заказа'!$W$193:$W$193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63" i="2" l="1"/>
  <c r="X562" i="2"/>
  <c r="BO561" i="2"/>
  <c r="BM561" i="2"/>
  <c r="Y561" i="2"/>
  <c r="AC574" i="2" s="1"/>
  <c r="P561" i="2"/>
  <c r="X558" i="2"/>
  <c r="X557" i="2"/>
  <c r="BO556" i="2"/>
  <c r="BM556" i="2"/>
  <c r="Y556" i="2"/>
  <c r="BP556" i="2" s="1"/>
  <c r="P556" i="2"/>
  <c r="BO555" i="2"/>
  <c r="BM555" i="2"/>
  <c r="Y555" i="2"/>
  <c r="P555" i="2"/>
  <c r="X553" i="2"/>
  <c r="X552" i="2"/>
  <c r="BO551" i="2"/>
  <c r="BM551" i="2"/>
  <c r="Y551" i="2"/>
  <c r="Y552" i="2" s="1"/>
  <c r="P551" i="2"/>
  <c r="X549" i="2"/>
  <c r="X548" i="2"/>
  <c r="BO547" i="2"/>
  <c r="BM547" i="2"/>
  <c r="Y547" i="2"/>
  <c r="Z547" i="2" s="1"/>
  <c r="Z548" i="2" s="1"/>
  <c r="P547" i="2"/>
  <c r="X545" i="2"/>
  <c r="X544" i="2"/>
  <c r="BO543" i="2"/>
  <c r="BM543" i="2"/>
  <c r="Y543" i="2"/>
  <c r="P543" i="2"/>
  <c r="X541" i="2"/>
  <c r="X540" i="2"/>
  <c r="BO539" i="2"/>
  <c r="BM539" i="2"/>
  <c r="Y539" i="2"/>
  <c r="Y540" i="2" s="1"/>
  <c r="P539" i="2"/>
  <c r="X535" i="2"/>
  <c r="X534" i="2"/>
  <c r="BO533" i="2"/>
  <c r="BM533" i="2"/>
  <c r="Y533" i="2"/>
  <c r="Z533" i="2" s="1"/>
  <c r="P533" i="2"/>
  <c r="BO532" i="2"/>
  <c r="BM532" i="2"/>
  <c r="Y532" i="2"/>
  <c r="BP532" i="2" s="1"/>
  <c r="P532" i="2"/>
  <c r="BO531" i="2"/>
  <c r="BM531" i="2"/>
  <c r="Y531" i="2"/>
  <c r="P531" i="2"/>
  <c r="BO530" i="2"/>
  <c r="BM530" i="2"/>
  <c r="Y530" i="2"/>
  <c r="Z530" i="2" s="1"/>
  <c r="P530" i="2"/>
  <c r="BO529" i="2"/>
  <c r="BM529" i="2"/>
  <c r="Y529" i="2"/>
  <c r="BP529" i="2" s="1"/>
  <c r="P529" i="2"/>
  <c r="BO528" i="2"/>
  <c r="BM528" i="2"/>
  <c r="Y528" i="2"/>
  <c r="BP528" i="2" s="1"/>
  <c r="P528" i="2"/>
  <c r="BO527" i="2"/>
  <c r="BM527" i="2"/>
  <c r="Y527" i="2"/>
  <c r="BP527" i="2" s="1"/>
  <c r="P527" i="2"/>
  <c r="X525" i="2"/>
  <c r="X524" i="2"/>
  <c r="BO523" i="2"/>
  <c r="BM523" i="2"/>
  <c r="Y523" i="2"/>
  <c r="BN523" i="2" s="1"/>
  <c r="P523" i="2"/>
  <c r="BO522" i="2"/>
  <c r="BM522" i="2"/>
  <c r="Y522" i="2"/>
  <c r="P522" i="2"/>
  <c r="BO521" i="2"/>
  <c r="BM521" i="2"/>
  <c r="Y521" i="2"/>
  <c r="BP521" i="2" s="1"/>
  <c r="P521" i="2"/>
  <c r="X519" i="2"/>
  <c r="X518" i="2"/>
  <c r="BO517" i="2"/>
  <c r="BM517" i="2"/>
  <c r="Y517" i="2"/>
  <c r="BP517" i="2" s="1"/>
  <c r="P517" i="2"/>
  <c r="BO516" i="2"/>
  <c r="BM516" i="2"/>
  <c r="Y516" i="2"/>
  <c r="BP516" i="2" s="1"/>
  <c r="P516" i="2"/>
  <c r="BO515" i="2"/>
  <c r="BM515" i="2"/>
  <c r="Y515" i="2"/>
  <c r="Z515" i="2" s="1"/>
  <c r="P515" i="2"/>
  <c r="BO514" i="2"/>
  <c r="BM514" i="2"/>
  <c r="Y514" i="2"/>
  <c r="BN514" i="2" s="1"/>
  <c r="P514" i="2"/>
  <c r="BO513" i="2"/>
  <c r="BM513" i="2"/>
  <c r="Y513" i="2"/>
  <c r="BP513" i="2" s="1"/>
  <c r="P513" i="2"/>
  <c r="BO512" i="2"/>
  <c r="BM512" i="2"/>
  <c r="Y512" i="2"/>
  <c r="BP512" i="2" s="1"/>
  <c r="P512" i="2"/>
  <c r="BO511" i="2"/>
  <c r="BM511" i="2"/>
  <c r="Y511" i="2"/>
  <c r="P511" i="2"/>
  <c r="BO510" i="2"/>
  <c r="BM510" i="2"/>
  <c r="Y510" i="2"/>
  <c r="Z510" i="2" s="1"/>
  <c r="P510" i="2"/>
  <c r="BO509" i="2"/>
  <c r="BM509" i="2"/>
  <c r="Y509" i="2"/>
  <c r="P509" i="2"/>
  <c r="X505" i="2"/>
  <c r="X504" i="2"/>
  <c r="BO503" i="2"/>
  <c r="BM503" i="2"/>
  <c r="Y503" i="2"/>
  <c r="Z503" i="2" s="1"/>
  <c r="P503" i="2"/>
  <c r="BO502" i="2"/>
  <c r="BM502" i="2"/>
  <c r="Y502" i="2"/>
  <c r="BP502" i="2" s="1"/>
  <c r="P502" i="2"/>
  <c r="BO501" i="2"/>
  <c r="BM501" i="2"/>
  <c r="Y501" i="2"/>
  <c r="BP501" i="2" s="1"/>
  <c r="P501" i="2"/>
  <c r="X499" i="2"/>
  <c r="X498" i="2"/>
  <c r="BO497" i="2"/>
  <c r="BM497" i="2"/>
  <c r="Y497" i="2"/>
  <c r="P497" i="2"/>
  <c r="X494" i="2"/>
  <c r="X493" i="2"/>
  <c r="BP492" i="2"/>
  <c r="BO492" i="2"/>
  <c r="BM492" i="2"/>
  <c r="Y492" i="2"/>
  <c r="P492" i="2"/>
  <c r="BO491" i="2"/>
  <c r="BM491" i="2"/>
  <c r="Y491" i="2"/>
  <c r="BP491" i="2" s="1"/>
  <c r="P491" i="2"/>
  <c r="X489" i="2"/>
  <c r="X488" i="2"/>
  <c r="BO487" i="2"/>
  <c r="BM487" i="2"/>
  <c r="Y487" i="2"/>
  <c r="P487" i="2"/>
  <c r="BO486" i="2"/>
  <c r="BM486" i="2"/>
  <c r="Y486" i="2"/>
  <c r="BP486" i="2" s="1"/>
  <c r="P486" i="2"/>
  <c r="BO485" i="2"/>
  <c r="BM485" i="2"/>
  <c r="Y485" i="2"/>
  <c r="Z485" i="2" s="1"/>
  <c r="P485" i="2"/>
  <c r="BO484" i="2"/>
  <c r="BM484" i="2"/>
  <c r="Y484" i="2"/>
  <c r="BP484" i="2" s="1"/>
  <c r="P484" i="2"/>
  <c r="BO483" i="2"/>
  <c r="BM483" i="2"/>
  <c r="Y483" i="2"/>
  <c r="BP483" i="2" s="1"/>
  <c r="P483" i="2"/>
  <c r="BO482" i="2"/>
  <c r="BM482" i="2"/>
  <c r="Y482" i="2"/>
  <c r="P482" i="2"/>
  <c r="X478" i="2"/>
  <c r="X477" i="2"/>
  <c r="BO476" i="2"/>
  <c r="BM476" i="2"/>
  <c r="Z476" i="2"/>
  <c r="Y476" i="2"/>
  <c r="BN476" i="2" s="1"/>
  <c r="P476" i="2"/>
  <c r="BO475" i="2"/>
  <c r="BM475" i="2"/>
  <c r="Y475" i="2"/>
  <c r="P475" i="2"/>
  <c r="BO474" i="2"/>
  <c r="BM474" i="2"/>
  <c r="Y474" i="2"/>
  <c r="BP474" i="2" s="1"/>
  <c r="P474" i="2"/>
  <c r="X472" i="2"/>
  <c r="X471" i="2"/>
  <c r="BO470" i="2"/>
  <c r="BM470" i="2"/>
  <c r="Y470" i="2"/>
  <c r="Y471" i="2" s="1"/>
  <c r="P470" i="2"/>
  <c r="X468" i="2"/>
  <c r="X467" i="2"/>
  <c r="BO466" i="2"/>
  <c r="BN466" i="2"/>
  <c r="BM466" i="2"/>
  <c r="Z466" i="2"/>
  <c r="Y466" i="2"/>
  <c r="BP466" i="2" s="1"/>
  <c r="P466" i="2"/>
  <c r="BO465" i="2"/>
  <c r="BM465" i="2"/>
  <c r="Y465" i="2"/>
  <c r="Y468" i="2" s="1"/>
  <c r="P465" i="2"/>
  <c r="X462" i="2"/>
  <c r="X461" i="2"/>
  <c r="BO460" i="2"/>
  <c r="BM460" i="2"/>
  <c r="Y460" i="2"/>
  <c r="Z460" i="2" s="1"/>
  <c r="P460" i="2"/>
  <c r="BO459" i="2"/>
  <c r="BM459" i="2"/>
  <c r="Y459" i="2"/>
  <c r="BP459" i="2" s="1"/>
  <c r="P459" i="2"/>
  <c r="X457" i="2"/>
  <c r="X456" i="2"/>
  <c r="BO455" i="2"/>
  <c r="BM455" i="2"/>
  <c r="Y455" i="2"/>
  <c r="Z455" i="2" s="1"/>
  <c r="P455" i="2"/>
  <c r="BO454" i="2"/>
  <c r="BM454" i="2"/>
  <c r="Y454" i="2"/>
  <c r="BP454" i="2" s="1"/>
  <c r="P454" i="2"/>
  <c r="BO453" i="2"/>
  <c r="BM453" i="2"/>
  <c r="Y453" i="2"/>
  <c r="BP453" i="2" s="1"/>
  <c r="P453" i="2"/>
  <c r="X451" i="2"/>
  <c r="X450" i="2"/>
  <c r="BO449" i="2"/>
  <c r="BM449" i="2"/>
  <c r="Y449" i="2"/>
  <c r="BP449" i="2" s="1"/>
  <c r="P449" i="2"/>
  <c r="BO448" i="2"/>
  <c r="BM448" i="2"/>
  <c r="Y448" i="2"/>
  <c r="Z448" i="2" s="1"/>
  <c r="P448" i="2"/>
  <c r="BO447" i="2"/>
  <c r="BM447" i="2"/>
  <c r="Y447" i="2"/>
  <c r="P447" i="2"/>
  <c r="X445" i="2"/>
  <c r="X444" i="2"/>
  <c r="BO443" i="2"/>
  <c r="BM443" i="2"/>
  <c r="Y443" i="2"/>
  <c r="BP443" i="2" s="1"/>
  <c r="P443" i="2"/>
  <c r="BO442" i="2"/>
  <c r="BM442" i="2"/>
  <c r="Y442" i="2"/>
  <c r="BP442" i="2" s="1"/>
  <c r="P442" i="2"/>
  <c r="BO441" i="2"/>
  <c r="BM441" i="2"/>
  <c r="Y441" i="2"/>
  <c r="BP441" i="2" s="1"/>
  <c r="P441" i="2"/>
  <c r="BO440" i="2"/>
  <c r="BM440" i="2"/>
  <c r="Y440" i="2"/>
  <c r="BN440" i="2" s="1"/>
  <c r="P440" i="2"/>
  <c r="BO439" i="2"/>
  <c r="BM439" i="2"/>
  <c r="Y439" i="2"/>
  <c r="BP439" i="2" s="1"/>
  <c r="P439" i="2"/>
  <c r="BO438" i="2"/>
  <c r="BM438" i="2"/>
  <c r="Y438" i="2"/>
  <c r="Z438" i="2" s="1"/>
  <c r="P438" i="2"/>
  <c r="BO437" i="2"/>
  <c r="BM437" i="2"/>
  <c r="Y437" i="2"/>
  <c r="BP437" i="2" s="1"/>
  <c r="P437" i="2"/>
  <c r="BO436" i="2"/>
  <c r="BM436" i="2"/>
  <c r="Y436" i="2"/>
  <c r="BP436" i="2" s="1"/>
  <c r="P436" i="2"/>
  <c r="X432" i="2"/>
  <c r="X431" i="2"/>
  <c r="BO430" i="2"/>
  <c r="BM430" i="2"/>
  <c r="Y430" i="2"/>
  <c r="P430" i="2"/>
  <c r="BO429" i="2"/>
  <c r="BM429" i="2"/>
  <c r="Y429" i="2"/>
  <c r="Z429" i="2" s="1"/>
  <c r="P429" i="2"/>
  <c r="BO428" i="2"/>
  <c r="BM428" i="2"/>
  <c r="Y428" i="2"/>
  <c r="P428" i="2"/>
  <c r="X425" i="2"/>
  <c r="X424" i="2"/>
  <c r="BO423" i="2"/>
  <c r="BM423" i="2"/>
  <c r="Y423" i="2"/>
  <c r="BP423" i="2" s="1"/>
  <c r="P423" i="2"/>
  <c r="BO422" i="2"/>
  <c r="BM422" i="2"/>
  <c r="Y422" i="2"/>
  <c r="BN422" i="2" s="1"/>
  <c r="P422" i="2"/>
  <c r="X419" i="2"/>
  <c r="X418" i="2"/>
  <c r="BO417" i="2"/>
  <c r="BM417" i="2"/>
  <c r="Y417" i="2"/>
  <c r="BN417" i="2" s="1"/>
  <c r="P417" i="2"/>
  <c r="BO416" i="2"/>
  <c r="BM416" i="2"/>
  <c r="Y416" i="2"/>
  <c r="BP416" i="2" s="1"/>
  <c r="P416" i="2"/>
  <c r="BO415" i="2"/>
  <c r="BM415" i="2"/>
  <c r="Y415" i="2"/>
  <c r="BP415" i="2" s="1"/>
  <c r="P415" i="2"/>
  <c r="X413" i="2"/>
  <c r="X412" i="2"/>
  <c r="BO411" i="2"/>
  <c r="BM411" i="2"/>
  <c r="Y411" i="2"/>
  <c r="P411" i="2"/>
  <c r="BO410" i="2"/>
  <c r="BM410" i="2"/>
  <c r="Y410" i="2"/>
  <c r="BP410" i="2" s="1"/>
  <c r="P410" i="2"/>
  <c r="BO409" i="2"/>
  <c r="BM409" i="2"/>
  <c r="Y409" i="2"/>
  <c r="BP409" i="2" s="1"/>
  <c r="P409" i="2"/>
  <c r="X407" i="2"/>
  <c r="X406" i="2"/>
  <c r="BO405" i="2"/>
  <c r="BM405" i="2"/>
  <c r="Y405" i="2"/>
  <c r="BP405" i="2" s="1"/>
  <c r="P405" i="2"/>
  <c r="BO404" i="2"/>
  <c r="BM404" i="2"/>
  <c r="Y404" i="2"/>
  <c r="BN404" i="2" s="1"/>
  <c r="P404" i="2"/>
  <c r="BO403" i="2"/>
  <c r="BM403" i="2"/>
  <c r="Y403" i="2"/>
  <c r="BP403" i="2" s="1"/>
  <c r="P403" i="2"/>
  <c r="BO402" i="2"/>
  <c r="BM402" i="2"/>
  <c r="Y402" i="2"/>
  <c r="Z402" i="2" s="1"/>
  <c r="P402" i="2"/>
  <c r="X400" i="2"/>
  <c r="X399" i="2"/>
  <c r="BO398" i="2"/>
  <c r="BM398" i="2"/>
  <c r="Y398" i="2"/>
  <c r="BP398" i="2" s="1"/>
  <c r="P398" i="2"/>
  <c r="BO397" i="2"/>
  <c r="BM397" i="2"/>
  <c r="Y397" i="2"/>
  <c r="BP397" i="2" s="1"/>
  <c r="P397" i="2"/>
  <c r="BO396" i="2"/>
  <c r="BM396" i="2"/>
  <c r="Y396" i="2"/>
  <c r="P396" i="2"/>
  <c r="X394" i="2"/>
  <c r="X393" i="2"/>
  <c r="BO392" i="2"/>
  <c r="BM392" i="2"/>
  <c r="Y392" i="2"/>
  <c r="Z392" i="2" s="1"/>
  <c r="P392" i="2"/>
  <c r="BO391" i="2"/>
  <c r="BM391" i="2"/>
  <c r="Y391" i="2"/>
  <c r="BP391" i="2" s="1"/>
  <c r="P391" i="2"/>
  <c r="BO390" i="2"/>
  <c r="BM390" i="2"/>
  <c r="Y390" i="2"/>
  <c r="BP390" i="2" s="1"/>
  <c r="P390" i="2"/>
  <c r="BO389" i="2"/>
  <c r="BM389" i="2"/>
  <c r="Y389" i="2"/>
  <c r="BN389" i="2" s="1"/>
  <c r="P389" i="2"/>
  <c r="X387" i="2"/>
  <c r="X386" i="2"/>
  <c r="BO385" i="2"/>
  <c r="BM385" i="2"/>
  <c r="Y385" i="2"/>
  <c r="BP385" i="2" s="1"/>
  <c r="P385" i="2"/>
  <c r="BO384" i="2"/>
  <c r="BM384" i="2"/>
  <c r="Y384" i="2"/>
  <c r="BP384" i="2" s="1"/>
  <c r="P384" i="2"/>
  <c r="BO383" i="2"/>
  <c r="BM383" i="2"/>
  <c r="Y383" i="2"/>
  <c r="P383" i="2"/>
  <c r="BO382" i="2"/>
  <c r="BM382" i="2"/>
  <c r="Y382" i="2"/>
  <c r="Z382" i="2" s="1"/>
  <c r="P382" i="2"/>
  <c r="BO381" i="2"/>
  <c r="BM381" i="2"/>
  <c r="Y381" i="2"/>
  <c r="BP381" i="2" s="1"/>
  <c r="P381" i="2"/>
  <c r="BO380" i="2"/>
  <c r="BM380" i="2"/>
  <c r="Y380" i="2"/>
  <c r="BP380" i="2" s="1"/>
  <c r="P380" i="2"/>
  <c r="BO379" i="2"/>
  <c r="BM379" i="2"/>
  <c r="Y379" i="2"/>
  <c r="BN379" i="2" s="1"/>
  <c r="P379" i="2"/>
  <c r="X377" i="2"/>
  <c r="X376" i="2"/>
  <c r="BO375" i="2"/>
  <c r="BM375" i="2"/>
  <c r="Y375" i="2"/>
  <c r="BP375" i="2" s="1"/>
  <c r="P375" i="2"/>
  <c r="BO374" i="2"/>
  <c r="BM374" i="2"/>
  <c r="Y374" i="2"/>
  <c r="BP374" i="2" s="1"/>
  <c r="P374" i="2"/>
  <c r="BO373" i="2"/>
  <c r="BM373" i="2"/>
  <c r="Y373" i="2"/>
  <c r="P373" i="2"/>
  <c r="BO372" i="2"/>
  <c r="BM372" i="2"/>
  <c r="Y372" i="2"/>
  <c r="Z372" i="2" s="1"/>
  <c r="P372" i="2"/>
  <c r="BO371" i="2"/>
  <c r="BM371" i="2"/>
  <c r="Y371" i="2"/>
  <c r="BP371" i="2" s="1"/>
  <c r="P371" i="2"/>
  <c r="BO370" i="2"/>
  <c r="BM370" i="2"/>
  <c r="Y370" i="2"/>
  <c r="P370" i="2"/>
  <c r="X367" i="2"/>
  <c r="X366" i="2"/>
  <c r="BO365" i="2"/>
  <c r="BM365" i="2"/>
  <c r="Y365" i="2"/>
  <c r="BN365" i="2" s="1"/>
  <c r="P365" i="2"/>
  <c r="BO364" i="2"/>
  <c r="BM364" i="2"/>
  <c r="Y364" i="2"/>
  <c r="BN364" i="2" s="1"/>
  <c r="P364" i="2"/>
  <c r="BO363" i="2"/>
  <c r="BM363" i="2"/>
  <c r="Y363" i="2"/>
  <c r="BP363" i="2" s="1"/>
  <c r="P363" i="2"/>
  <c r="X360" i="2"/>
  <c r="X359" i="2"/>
  <c r="BO358" i="2"/>
  <c r="BM358" i="2"/>
  <c r="Y358" i="2"/>
  <c r="Z358" i="2" s="1"/>
  <c r="P358" i="2"/>
  <c r="BO357" i="2"/>
  <c r="BM357" i="2"/>
  <c r="Y357" i="2"/>
  <c r="BP357" i="2" s="1"/>
  <c r="P357" i="2"/>
  <c r="X355" i="2"/>
  <c r="X354" i="2"/>
  <c r="BO353" i="2"/>
  <c r="BM353" i="2"/>
  <c r="Y353" i="2"/>
  <c r="BP353" i="2" s="1"/>
  <c r="P353" i="2"/>
  <c r="BO352" i="2"/>
  <c r="BM352" i="2"/>
  <c r="Y352" i="2"/>
  <c r="P352" i="2"/>
  <c r="BO351" i="2"/>
  <c r="BM351" i="2"/>
  <c r="Y351" i="2"/>
  <c r="Z351" i="2" s="1"/>
  <c r="P351" i="2"/>
  <c r="BO350" i="2"/>
  <c r="BM350" i="2"/>
  <c r="Y350" i="2"/>
  <c r="BP350" i="2" s="1"/>
  <c r="P350" i="2"/>
  <c r="BO349" i="2"/>
  <c r="BM349" i="2"/>
  <c r="Z349" i="2"/>
  <c r="Y349" i="2"/>
  <c r="BP349" i="2" s="1"/>
  <c r="P349" i="2"/>
  <c r="X346" i="2"/>
  <c r="X345" i="2"/>
  <c r="BO344" i="2"/>
  <c r="BM344" i="2"/>
  <c r="Y344" i="2"/>
  <c r="P344" i="2"/>
  <c r="BO343" i="2"/>
  <c r="BM343" i="2"/>
  <c r="Y343" i="2"/>
  <c r="Z343" i="2" s="1"/>
  <c r="P343" i="2"/>
  <c r="BO342" i="2"/>
  <c r="BM342" i="2"/>
  <c r="Y342" i="2"/>
  <c r="P342" i="2"/>
  <c r="X339" i="2"/>
  <c r="X338" i="2"/>
  <c r="BO337" i="2"/>
  <c r="BM337" i="2"/>
  <c r="Y337" i="2"/>
  <c r="BP337" i="2" s="1"/>
  <c r="P337" i="2"/>
  <c r="BO336" i="2"/>
  <c r="BM336" i="2"/>
  <c r="Y336" i="2"/>
  <c r="Z336" i="2" s="1"/>
  <c r="P336" i="2"/>
  <c r="BO335" i="2"/>
  <c r="BM335" i="2"/>
  <c r="Y335" i="2"/>
  <c r="BP335" i="2" s="1"/>
  <c r="P335" i="2"/>
  <c r="BO334" i="2"/>
  <c r="BM334" i="2"/>
  <c r="Y334" i="2"/>
  <c r="BP334" i="2" s="1"/>
  <c r="P334" i="2"/>
  <c r="BO333" i="2"/>
  <c r="BM333" i="2"/>
  <c r="Y333" i="2"/>
  <c r="BN333" i="2" s="1"/>
  <c r="P333" i="2"/>
  <c r="X330" i="2"/>
  <c r="X329" i="2"/>
  <c r="BO328" i="2"/>
  <c r="BM328" i="2"/>
  <c r="Y328" i="2"/>
  <c r="BN328" i="2" s="1"/>
  <c r="P328" i="2"/>
  <c r="BO327" i="2"/>
  <c r="BM327" i="2"/>
  <c r="Y327" i="2"/>
  <c r="BP327" i="2" s="1"/>
  <c r="P327" i="2"/>
  <c r="BO326" i="2"/>
  <c r="BM326" i="2"/>
  <c r="Y326" i="2"/>
  <c r="BP326" i="2" s="1"/>
  <c r="P326" i="2"/>
  <c r="X324" i="2"/>
  <c r="X323" i="2"/>
  <c r="BO322" i="2"/>
  <c r="BM322" i="2"/>
  <c r="Y322" i="2"/>
  <c r="Y323" i="2" s="1"/>
  <c r="P322" i="2"/>
  <c r="X320" i="2"/>
  <c r="X319" i="2"/>
  <c r="BO318" i="2"/>
  <c r="BM318" i="2"/>
  <c r="Y318" i="2"/>
  <c r="BP318" i="2" s="1"/>
  <c r="P318" i="2"/>
  <c r="X316" i="2"/>
  <c r="X315" i="2"/>
  <c r="BO314" i="2"/>
  <c r="BM314" i="2"/>
  <c r="Y314" i="2"/>
  <c r="BP314" i="2" s="1"/>
  <c r="P314" i="2"/>
  <c r="BO313" i="2"/>
  <c r="BM313" i="2"/>
  <c r="Y313" i="2"/>
  <c r="Z313" i="2" s="1"/>
  <c r="P313" i="2"/>
  <c r="BO312" i="2"/>
  <c r="BM312" i="2"/>
  <c r="Y312" i="2"/>
  <c r="BP312" i="2" s="1"/>
  <c r="P312" i="2"/>
  <c r="BO311" i="2"/>
  <c r="BM311" i="2"/>
  <c r="Y311" i="2"/>
  <c r="BP311" i="2" s="1"/>
  <c r="P311" i="2"/>
  <c r="BO310" i="2"/>
  <c r="BM310" i="2"/>
  <c r="Y310" i="2"/>
  <c r="P310" i="2"/>
  <c r="BO309" i="2"/>
  <c r="BM309" i="2"/>
  <c r="Y309" i="2"/>
  <c r="BP309" i="2" s="1"/>
  <c r="P309" i="2"/>
  <c r="BO308" i="2"/>
  <c r="BM308" i="2"/>
  <c r="Y308" i="2"/>
  <c r="BN308" i="2" s="1"/>
  <c r="P308" i="2"/>
  <c r="X305" i="2"/>
  <c r="X304" i="2"/>
  <c r="BO303" i="2"/>
  <c r="BM303" i="2"/>
  <c r="Y303" i="2"/>
  <c r="P303" i="2"/>
  <c r="BO302" i="2"/>
  <c r="BM302" i="2"/>
  <c r="Y302" i="2"/>
  <c r="Z302" i="2" s="1"/>
  <c r="P302" i="2"/>
  <c r="X300" i="2"/>
  <c r="X299" i="2"/>
  <c r="BO298" i="2"/>
  <c r="BM298" i="2"/>
  <c r="Y298" i="2"/>
  <c r="BP298" i="2" s="1"/>
  <c r="P298" i="2"/>
  <c r="BO297" i="2"/>
  <c r="BM297" i="2"/>
  <c r="Y297" i="2"/>
  <c r="BP297" i="2" s="1"/>
  <c r="P297" i="2"/>
  <c r="BO296" i="2"/>
  <c r="BM296" i="2"/>
  <c r="Y296" i="2"/>
  <c r="P296" i="2"/>
  <c r="BO295" i="2"/>
  <c r="BM295" i="2"/>
  <c r="Y295" i="2"/>
  <c r="BN295" i="2" s="1"/>
  <c r="P295" i="2"/>
  <c r="BO294" i="2"/>
  <c r="BM294" i="2"/>
  <c r="Y294" i="2"/>
  <c r="P294" i="2"/>
  <c r="BO293" i="2"/>
  <c r="BM293" i="2"/>
  <c r="Y293" i="2"/>
  <c r="BP293" i="2" s="1"/>
  <c r="P293" i="2"/>
  <c r="BO292" i="2"/>
  <c r="BM292" i="2"/>
  <c r="Y292" i="2"/>
  <c r="Z292" i="2" s="1"/>
  <c r="P292" i="2"/>
  <c r="BO291" i="2"/>
  <c r="BM291" i="2"/>
  <c r="Y291" i="2"/>
  <c r="BP291" i="2" s="1"/>
  <c r="P291" i="2"/>
  <c r="BO290" i="2"/>
  <c r="BM290" i="2"/>
  <c r="Y290" i="2"/>
  <c r="BP290" i="2" s="1"/>
  <c r="P290" i="2"/>
  <c r="BO289" i="2"/>
  <c r="BM289" i="2"/>
  <c r="Y289" i="2"/>
  <c r="P289" i="2"/>
  <c r="BO288" i="2"/>
  <c r="BM288" i="2"/>
  <c r="Y288" i="2"/>
  <c r="BN288" i="2" s="1"/>
  <c r="P288" i="2"/>
  <c r="BO287" i="2"/>
  <c r="BM287" i="2"/>
  <c r="Y287" i="2"/>
  <c r="BN287" i="2" s="1"/>
  <c r="P287" i="2"/>
  <c r="X285" i="2"/>
  <c r="X284" i="2"/>
  <c r="BO283" i="2"/>
  <c r="BM283" i="2"/>
  <c r="Y283" i="2"/>
  <c r="P283" i="2"/>
  <c r="BO282" i="2"/>
  <c r="BM282" i="2"/>
  <c r="Y282" i="2"/>
  <c r="Z282" i="2" s="1"/>
  <c r="P282" i="2"/>
  <c r="BO281" i="2"/>
  <c r="BM281" i="2"/>
  <c r="Y281" i="2"/>
  <c r="BP281" i="2" s="1"/>
  <c r="P281" i="2"/>
  <c r="BO280" i="2"/>
  <c r="BM280" i="2"/>
  <c r="Y280" i="2"/>
  <c r="BP280" i="2" s="1"/>
  <c r="P280" i="2"/>
  <c r="BO279" i="2"/>
  <c r="BM279" i="2"/>
  <c r="Y279" i="2"/>
  <c r="BN279" i="2" s="1"/>
  <c r="P279" i="2"/>
  <c r="BP278" i="2"/>
  <c r="BO278" i="2"/>
  <c r="BM278" i="2"/>
  <c r="Y278" i="2"/>
  <c r="P278" i="2"/>
  <c r="BO277" i="2"/>
  <c r="BM277" i="2"/>
  <c r="Y277" i="2"/>
  <c r="BP277" i="2" s="1"/>
  <c r="P277" i="2"/>
  <c r="BO276" i="2"/>
  <c r="BM276" i="2"/>
  <c r="Y276" i="2"/>
  <c r="P276" i="2"/>
  <c r="X274" i="2"/>
  <c r="X273" i="2"/>
  <c r="BO272" i="2"/>
  <c r="BM272" i="2"/>
  <c r="Y272" i="2"/>
  <c r="P272" i="2"/>
  <c r="BO271" i="2"/>
  <c r="BM271" i="2"/>
  <c r="Y271" i="2"/>
  <c r="P271" i="2"/>
  <c r="X269" i="2"/>
  <c r="X268" i="2"/>
  <c r="BO267" i="2"/>
  <c r="BM267" i="2"/>
  <c r="Y267" i="2"/>
  <c r="BP267" i="2" s="1"/>
  <c r="P267" i="2"/>
  <c r="BO266" i="2"/>
  <c r="BM266" i="2"/>
  <c r="Y266" i="2"/>
  <c r="BP266" i="2" s="1"/>
  <c r="P266" i="2"/>
  <c r="X263" i="2"/>
  <c r="X262" i="2"/>
  <c r="BO261" i="2"/>
  <c r="BM261" i="2"/>
  <c r="Y261" i="2"/>
  <c r="BN261" i="2" s="1"/>
  <c r="P261" i="2"/>
  <c r="X259" i="2"/>
  <c r="X258" i="2"/>
  <c r="BO257" i="2"/>
  <c r="BM257" i="2"/>
  <c r="Y257" i="2"/>
  <c r="BP257" i="2" s="1"/>
  <c r="P257" i="2"/>
  <c r="BO256" i="2"/>
  <c r="BM256" i="2"/>
  <c r="Y256" i="2"/>
  <c r="P256" i="2"/>
  <c r="BO255" i="2"/>
  <c r="BM255" i="2"/>
  <c r="Y255" i="2"/>
  <c r="BP255" i="2" s="1"/>
  <c r="P255" i="2"/>
  <c r="X253" i="2"/>
  <c r="X252" i="2"/>
  <c r="BO251" i="2"/>
  <c r="BM251" i="2"/>
  <c r="Y251" i="2"/>
  <c r="BP251" i="2" s="1"/>
  <c r="P251" i="2"/>
  <c r="BO250" i="2"/>
  <c r="BM250" i="2"/>
  <c r="Y250" i="2"/>
  <c r="BP250" i="2" s="1"/>
  <c r="P250" i="2"/>
  <c r="BO249" i="2"/>
  <c r="BM249" i="2"/>
  <c r="Y249" i="2"/>
  <c r="P249" i="2"/>
  <c r="BO248" i="2"/>
  <c r="BM248" i="2"/>
  <c r="Y248" i="2"/>
  <c r="BP248" i="2" s="1"/>
  <c r="P248" i="2"/>
  <c r="BO247" i="2"/>
  <c r="BM247" i="2"/>
  <c r="Y247" i="2"/>
  <c r="P247" i="2"/>
  <c r="X245" i="2"/>
  <c r="X244" i="2"/>
  <c r="BO243" i="2"/>
  <c r="BM243" i="2"/>
  <c r="Y243" i="2"/>
  <c r="BP243" i="2" s="1"/>
  <c r="P243" i="2"/>
  <c r="BO242" i="2"/>
  <c r="BM242" i="2"/>
  <c r="Y242" i="2"/>
  <c r="BN242" i="2" s="1"/>
  <c r="P242" i="2"/>
  <c r="BO241" i="2"/>
  <c r="BM241" i="2"/>
  <c r="Y241" i="2"/>
  <c r="BP241" i="2" s="1"/>
  <c r="P241" i="2"/>
  <c r="BO240" i="2"/>
  <c r="BM240" i="2"/>
  <c r="Y240" i="2"/>
  <c r="BP240" i="2" s="1"/>
  <c r="P240" i="2"/>
  <c r="BO239" i="2"/>
  <c r="BM239" i="2"/>
  <c r="Y239" i="2"/>
  <c r="P239" i="2"/>
  <c r="BO238" i="2"/>
  <c r="BM238" i="2"/>
  <c r="Y238" i="2"/>
  <c r="BP238" i="2" s="1"/>
  <c r="P238" i="2"/>
  <c r="BO237" i="2"/>
  <c r="BM237" i="2"/>
  <c r="Y237" i="2"/>
  <c r="BP237" i="2" s="1"/>
  <c r="P237" i="2"/>
  <c r="BO236" i="2"/>
  <c r="BM236" i="2"/>
  <c r="Y236" i="2"/>
  <c r="BN236" i="2" s="1"/>
  <c r="P236" i="2"/>
  <c r="BO235" i="2"/>
  <c r="BM235" i="2"/>
  <c r="Y235" i="2"/>
  <c r="BN235" i="2" s="1"/>
  <c r="P235" i="2"/>
  <c r="BO234" i="2"/>
  <c r="BM234" i="2"/>
  <c r="Y234" i="2"/>
  <c r="P234" i="2"/>
  <c r="BO233" i="2"/>
  <c r="BM233" i="2"/>
  <c r="Y233" i="2"/>
  <c r="BP233" i="2" s="1"/>
  <c r="P233" i="2"/>
  <c r="BO232" i="2"/>
  <c r="BM232" i="2"/>
  <c r="Y232" i="2"/>
  <c r="Z232" i="2" s="1"/>
  <c r="P232" i="2"/>
  <c r="BO231" i="2"/>
  <c r="BM231" i="2"/>
  <c r="Y231" i="2"/>
  <c r="BN231" i="2" s="1"/>
  <c r="P231" i="2"/>
  <c r="BO230" i="2"/>
  <c r="BM230" i="2"/>
  <c r="Y230" i="2"/>
  <c r="BN230" i="2" s="1"/>
  <c r="P230" i="2"/>
  <c r="X228" i="2"/>
  <c r="X227" i="2"/>
  <c r="BO226" i="2"/>
  <c r="BM226" i="2"/>
  <c r="Y226" i="2"/>
  <c r="P226" i="2"/>
  <c r="X223" i="2"/>
  <c r="X222" i="2"/>
  <c r="BO221" i="2"/>
  <c r="BM221" i="2"/>
  <c r="Z221" i="2"/>
  <c r="Y221" i="2"/>
  <c r="BN221" i="2" s="1"/>
  <c r="P221" i="2"/>
  <c r="BO220" i="2"/>
  <c r="BM220" i="2"/>
  <c r="Y220" i="2"/>
  <c r="P220" i="2"/>
  <c r="BO219" i="2"/>
  <c r="BM219" i="2"/>
  <c r="Y219" i="2"/>
  <c r="BP219" i="2" s="1"/>
  <c r="P219" i="2"/>
  <c r="BO218" i="2"/>
  <c r="BM218" i="2"/>
  <c r="Y218" i="2"/>
  <c r="Z218" i="2" s="1"/>
  <c r="P218" i="2"/>
  <c r="BO217" i="2"/>
  <c r="BM217" i="2"/>
  <c r="Y217" i="2"/>
  <c r="BP217" i="2" s="1"/>
  <c r="P217" i="2"/>
  <c r="BO216" i="2"/>
  <c r="BM216" i="2"/>
  <c r="Y216" i="2"/>
  <c r="P216" i="2"/>
  <c r="BO215" i="2"/>
  <c r="BM215" i="2"/>
  <c r="Y215" i="2"/>
  <c r="BN215" i="2" s="1"/>
  <c r="P215" i="2"/>
  <c r="X211" i="2"/>
  <c r="X210" i="2"/>
  <c r="BP209" i="2"/>
  <c r="BO209" i="2"/>
  <c r="BM209" i="2"/>
  <c r="Y209" i="2"/>
  <c r="P209" i="2"/>
  <c r="X207" i="2"/>
  <c r="X206" i="2"/>
  <c r="BO205" i="2"/>
  <c r="BM205" i="2"/>
  <c r="Y205" i="2"/>
  <c r="Y207" i="2" s="1"/>
  <c r="P205" i="2"/>
  <c r="X203" i="2"/>
  <c r="X202" i="2"/>
  <c r="BO201" i="2"/>
  <c r="BM201" i="2"/>
  <c r="Y201" i="2"/>
  <c r="P201" i="2"/>
  <c r="BO200" i="2"/>
  <c r="BM200" i="2"/>
  <c r="Y200" i="2"/>
  <c r="BP200" i="2" s="1"/>
  <c r="P200" i="2"/>
  <c r="BO199" i="2"/>
  <c r="BM199" i="2"/>
  <c r="Z199" i="2"/>
  <c r="Y199" i="2"/>
  <c r="BP199" i="2" s="1"/>
  <c r="P199" i="2"/>
  <c r="X197" i="2"/>
  <c r="X196" i="2"/>
  <c r="BO195" i="2"/>
  <c r="BM195" i="2"/>
  <c r="Y195" i="2"/>
  <c r="BP195" i="2" s="1"/>
  <c r="P195" i="2"/>
  <c r="BO194" i="2"/>
  <c r="BM194" i="2"/>
  <c r="Y194" i="2"/>
  <c r="Z194" i="2" s="1"/>
  <c r="P194" i="2"/>
  <c r="BO193" i="2"/>
  <c r="BM193" i="2"/>
  <c r="Y193" i="2"/>
  <c r="BP193" i="2" s="1"/>
  <c r="BO192" i="2"/>
  <c r="BM192" i="2"/>
  <c r="Y192" i="2"/>
  <c r="Z192" i="2" s="1"/>
  <c r="P192" i="2"/>
  <c r="BO191" i="2"/>
  <c r="BM191" i="2"/>
  <c r="Y191" i="2"/>
  <c r="BP191" i="2" s="1"/>
  <c r="P191" i="2"/>
  <c r="BO190" i="2"/>
  <c r="BM190" i="2"/>
  <c r="Y190" i="2"/>
  <c r="BN190" i="2" s="1"/>
  <c r="P190" i="2"/>
  <c r="BO189" i="2"/>
  <c r="BM189" i="2"/>
  <c r="Y189" i="2"/>
  <c r="Z189" i="2" s="1"/>
  <c r="BO188" i="2"/>
  <c r="BM188" i="2"/>
  <c r="Y188" i="2"/>
  <c r="P188" i="2"/>
  <c r="BO187" i="2"/>
  <c r="BM187" i="2"/>
  <c r="Y187" i="2"/>
  <c r="BP187" i="2" s="1"/>
  <c r="BO186" i="2"/>
  <c r="BM186" i="2"/>
  <c r="Y186" i="2"/>
  <c r="P186" i="2"/>
  <c r="BO185" i="2"/>
  <c r="BM185" i="2"/>
  <c r="Y185" i="2"/>
  <c r="BP185" i="2" s="1"/>
  <c r="BO184" i="2"/>
  <c r="BM184" i="2"/>
  <c r="Y184" i="2"/>
  <c r="BN184" i="2" s="1"/>
  <c r="P184" i="2"/>
  <c r="BO183" i="2"/>
  <c r="BM183" i="2"/>
  <c r="Y183" i="2"/>
  <c r="BN183" i="2" s="1"/>
  <c r="P183" i="2"/>
  <c r="BO182" i="2"/>
  <c r="BM182" i="2"/>
  <c r="Y182" i="2"/>
  <c r="BP182" i="2" s="1"/>
  <c r="P182" i="2"/>
  <c r="X180" i="2"/>
  <c r="X179" i="2"/>
  <c r="BO178" i="2"/>
  <c r="BM178" i="2"/>
  <c r="Y178" i="2"/>
  <c r="BP178" i="2" s="1"/>
  <c r="P178" i="2"/>
  <c r="BO177" i="2"/>
  <c r="BM177" i="2"/>
  <c r="Y177" i="2"/>
  <c r="BP177" i="2" s="1"/>
  <c r="P177" i="2"/>
  <c r="X175" i="2"/>
  <c r="X174" i="2"/>
  <c r="BO173" i="2"/>
  <c r="BM173" i="2"/>
  <c r="Y173" i="2"/>
  <c r="BN173" i="2" s="1"/>
  <c r="P173" i="2"/>
  <c r="BO172" i="2"/>
  <c r="BM172" i="2"/>
  <c r="Y172" i="2"/>
  <c r="P172" i="2"/>
  <c r="BO171" i="2"/>
  <c r="BM171" i="2"/>
  <c r="Y171" i="2"/>
  <c r="P171" i="2"/>
  <c r="X168" i="2"/>
  <c r="X167" i="2"/>
  <c r="BO166" i="2"/>
  <c r="BM166" i="2"/>
  <c r="Y166" i="2"/>
  <c r="Y167" i="2" s="1"/>
  <c r="P166" i="2"/>
  <c r="X164" i="2"/>
  <c r="X163" i="2"/>
  <c r="BO162" i="2"/>
  <c r="BM162" i="2"/>
  <c r="Y162" i="2"/>
  <c r="BP162" i="2" s="1"/>
  <c r="P162" i="2"/>
  <c r="BO161" i="2"/>
  <c r="BM161" i="2"/>
  <c r="Y161" i="2"/>
  <c r="BN161" i="2" s="1"/>
  <c r="P161" i="2"/>
  <c r="BO160" i="2"/>
  <c r="BM160" i="2"/>
  <c r="Y160" i="2"/>
  <c r="BP160" i="2" s="1"/>
  <c r="P160" i="2"/>
  <c r="BO159" i="2"/>
  <c r="BM159" i="2"/>
  <c r="Y159" i="2"/>
  <c r="BP159" i="2" s="1"/>
  <c r="P159" i="2"/>
  <c r="BO158" i="2"/>
  <c r="BM158" i="2"/>
  <c r="Y158" i="2"/>
  <c r="BP158" i="2" s="1"/>
  <c r="P158" i="2"/>
  <c r="BO157" i="2"/>
  <c r="BM157" i="2"/>
  <c r="Y157" i="2"/>
  <c r="P157" i="2"/>
  <c r="BO156" i="2"/>
  <c r="BM156" i="2"/>
  <c r="Y156" i="2"/>
  <c r="P156" i="2"/>
  <c r="X153" i="2"/>
  <c r="X152" i="2"/>
  <c r="BO151" i="2"/>
  <c r="BM151" i="2"/>
  <c r="Y151" i="2"/>
  <c r="BP151" i="2" s="1"/>
  <c r="P151" i="2"/>
  <c r="BO150" i="2"/>
  <c r="BM150" i="2"/>
  <c r="Y150" i="2"/>
  <c r="P150" i="2"/>
  <c r="X148" i="2"/>
  <c r="X147" i="2"/>
  <c r="BO146" i="2"/>
  <c r="BM146" i="2"/>
  <c r="Y146" i="2"/>
  <c r="P146" i="2"/>
  <c r="BO145" i="2"/>
  <c r="BM145" i="2"/>
  <c r="Y145" i="2"/>
  <c r="P145" i="2"/>
  <c r="X143" i="2"/>
  <c r="X142" i="2"/>
  <c r="BO141" i="2"/>
  <c r="BM141" i="2"/>
  <c r="Y141" i="2"/>
  <c r="BP141" i="2" s="1"/>
  <c r="P141" i="2"/>
  <c r="BO140" i="2"/>
  <c r="BM140" i="2"/>
  <c r="Y140" i="2"/>
  <c r="P140" i="2"/>
  <c r="X137" i="2"/>
  <c r="X136" i="2"/>
  <c r="BO135" i="2"/>
  <c r="BM135" i="2"/>
  <c r="Y135" i="2"/>
  <c r="BO134" i="2"/>
  <c r="BM134" i="2"/>
  <c r="Y134" i="2"/>
  <c r="BP134" i="2" s="1"/>
  <c r="P134" i="2"/>
  <c r="X132" i="2"/>
  <c r="X131" i="2"/>
  <c r="BO130" i="2"/>
  <c r="BM130" i="2"/>
  <c r="Y130" i="2"/>
  <c r="BP130" i="2" s="1"/>
  <c r="BO129" i="2"/>
  <c r="BM129" i="2"/>
  <c r="Y129" i="2"/>
  <c r="BP129" i="2" s="1"/>
  <c r="P129" i="2"/>
  <c r="BO128" i="2"/>
  <c r="BM128" i="2"/>
  <c r="Y128" i="2"/>
  <c r="BO127" i="2"/>
  <c r="BM127" i="2"/>
  <c r="Y127" i="2"/>
  <c r="BN127" i="2" s="1"/>
  <c r="P127" i="2"/>
  <c r="BO126" i="2"/>
  <c r="BM126" i="2"/>
  <c r="Y126" i="2"/>
  <c r="Z126" i="2" s="1"/>
  <c r="BO125" i="2"/>
  <c r="BM125" i="2"/>
  <c r="Y125" i="2"/>
  <c r="P125" i="2"/>
  <c r="BO124" i="2"/>
  <c r="BM124" i="2"/>
  <c r="Y124" i="2"/>
  <c r="BP124" i="2" s="1"/>
  <c r="BO123" i="2"/>
  <c r="BM123" i="2"/>
  <c r="Y123" i="2"/>
  <c r="P123" i="2"/>
  <c r="X121" i="2"/>
  <c r="X120" i="2"/>
  <c r="BO119" i="2"/>
  <c r="BM119" i="2"/>
  <c r="Y119" i="2"/>
  <c r="BP119" i="2" s="1"/>
  <c r="P119" i="2"/>
  <c r="BO118" i="2"/>
  <c r="BM118" i="2"/>
  <c r="Y118" i="2"/>
  <c r="Z118" i="2" s="1"/>
  <c r="P118" i="2"/>
  <c r="BO117" i="2"/>
  <c r="BM117" i="2"/>
  <c r="Y117" i="2"/>
  <c r="BP117" i="2" s="1"/>
  <c r="P117" i="2"/>
  <c r="BO116" i="2"/>
  <c r="BM116" i="2"/>
  <c r="Y116" i="2"/>
  <c r="BP116" i="2" s="1"/>
  <c r="P116" i="2"/>
  <c r="BP115" i="2"/>
  <c r="BO115" i="2"/>
  <c r="BM115" i="2"/>
  <c r="Y115" i="2"/>
  <c r="BN115" i="2" s="1"/>
  <c r="P115" i="2"/>
  <c r="X113" i="2"/>
  <c r="X112" i="2"/>
  <c r="BO111" i="2"/>
  <c r="BM111" i="2"/>
  <c r="Y111" i="2"/>
  <c r="P111" i="2"/>
  <c r="BO110" i="2"/>
  <c r="BM110" i="2"/>
  <c r="Y110" i="2"/>
  <c r="BO109" i="2"/>
  <c r="BM109" i="2"/>
  <c r="Y109" i="2"/>
  <c r="P109" i="2"/>
  <c r="BO108" i="2"/>
  <c r="BM108" i="2"/>
  <c r="Y108" i="2"/>
  <c r="P108" i="2"/>
  <c r="BO107" i="2"/>
  <c r="BM107" i="2"/>
  <c r="Y107" i="2"/>
  <c r="BP107" i="2" s="1"/>
  <c r="P107" i="2"/>
  <c r="BO106" i="2"/>
  <c r="BM106" i="2"/>
  <c r="Y106" i="2"/>
  <c r="Z106" i="2" s="1"/>
  <c r="P106" i="2"/>
  <c r="BO105" i="2"/>
  <c r="BM105" i="2"/>
  <c r="Y105" i="2"/>
  <c r="BN105" i="2" s="1"/>
  <c r="P105" i="2"/>
  <c r="BO104" i="2"/>
  <c r="BM104" i="2"/>
  <c r="Y104" i="2"/>
  <c r="P104" i="2"/>
  <c r="X101" i="2"/>
  <c r="X100" i="2"/>
  <c r="BO99" i="2"/>
  <c r="BM99" i="2"/>
  <c r="Y99" i="2"/>
  <c r="P99" i="2"/>
  <c r="BO98" i="2"/>
  <c r="BM98" i="2"/>
  <c r="Y98" i="2"/>
  <c r="BN98" i="2" s="1"/>
  <c r="BO97" i="2"/>
  <c r="BM97" i="2"/>
  <c r="Y97" i="2"/>
  <c r="Z97" i="2" s="1"/>
  <c r="P97" i="2"/>
  <c r="BO96" i="2"/>
  <c r="BM96" i="2"/>
  <c r="Y96" i="2"/>
  <c r="BP96" i="2" s="1"/>
  <c r="BO95" i="2"/>
  <c r="BM95" i="2"/>
  <c r="Y95" i="2"/>
  <c r="P95" i="2"/>
  <c r="BO94" i="2"/>
  <c r="BM94" i="2"/>
  <c r="Y94" i="2"/>
  <c r="Z94" i="2" s="1"/>
  <c r="BO93" i="2"/>
  <c r="BM93" i="2"/>
  <c r="Y93" i="2"/>
  <c r="BP93" i="2" s="1"/>
  <c r="P93" i="2"/>
  <c r="X91" i="2"/>
  <c r="X90" i="2"/>
  <c r="BO89" i="2"/>
  <c r="BM89" i="2"/>
  <c r="Y89" i="2"/>
  <c r="Z89" i="2" s="1"/>
  <c r="P89" i="2"/>
  <c r="BO88" i="2"/>
  <c r="BM88" i="2"/>
  <c r="Y88" i="2"/>
  <c r="BP88" i="2" s="1"/>
  <c r="P88" i="2"/>
  <c r="BO87" i="2"/>
  <c r="BM87" i="2"/>
  <c r="Y87" i="2"/>
  <c r="BO86" i="2"/>
  <c r="BM86" i="2"/>
  <c r="Y86" i="2"/>
  <c r="BN86" i="2" s="1"/>
  <c r="P86" i="2"/>
  <c r="BO85" i="2"/>
  <c r="BM85" i="2"/>
  <c r="Y85" i="2"/>
  <c r="Z85" i="2" s="1"/>
  <c r="P85" i="2"/>
  <c r="X82" i="2"/>
  <c r="X81" i="2"/>
  <c r="BO80" i="2"/>
  <c r="BM80" i="2"/>
  <c r="Y80" i="2"/>
  <c r="BN80" i="2" s="1"/>
  <c r="P80" i="2"/>
  <c r="BO79" i="2"/>
  <c r="BM79" i="2"/>
  <c r="Y79" i="2"/>
  <c r="BN79" i="2" s="1"/>
  <c r="P79" i="2"/>
  <c r="BO78" i="2"/>
  <c r="BM78" i="2"/>
  <c r="Y78" i="2"/>
  <c r="BP78" i="2" s="1"/>
  <c r="P78" i="2"/>
  <c r="BO77" i="2"/>
  <c r="BM77" i="2"/>
  <c r="Y77" i="2"/>
  <c r="Y82" i="2" s="1"/>
  <c r="P77" i="2"/>
  <c r="X75" i="2"/>
  <c r="X74" i="2"/>
  <c r="BO73" i="2"/>
  <c r="BM73" i="2"/>
  <c r="Y73" i="2"/>
  <c r="Z73" i="2" s="1"/>
  <c r="P73" i="2"/>
  <c r="BO72" i="2"/>
  <c r="BM72" i="2"/>
  <c r="Y72" i="2"/>
  <c r="BP72" i="2" s="1"/>
  <c r="P72" i="2"/>
  <c r="BO71" i="2"/>
  <c r="BM71" i="2"/>
  <c r="Y71" i="2"/>
  <c r="BP71" i="2" s="1"/>
  <c r="P71" i="2"/>
  <c r="X69" i="2"/>
  <c r="X68" i="2"/>
  <c r="BO67" i="2"/>
  <c r="BM67" i="2"/>
  <c r="Y67" i="2"/>
  <c r="BP67" i="2" s="1"/>
  <c r="P67" i="2"/>
  <c r="BO66" i="2"/>
  <c r="BM66" i="2"/>
  <c r="Y66" i="2"/>
  <c r="BN66" i="2" s="1"/>
  <c r="P66" i="2"/>
  <c r="BO65" i="2"/>
  <c r="BM65" i="2"/>
  <c r="Y65" i="2"/>
  <c r="BP65" i="2" s="1"/>
  <c r="P65" i="2"/>
  <c r="BO64" i="2"/>
  <c r="BM64" i="2"/>
  <c r="Y64" i="2"/>
  <c r="P64" i="2"/>
  <c r="X62" i="2"/>
  <c r="X61" i="2"/>
  <c r="BO60" i="2"/>
  <c r="BM60" i="2"/>
  <c r="Y60" i="2"/>
  <c r="BP60" i="2" s="1"/>
  <c r="P60" i="2"/>
  <c r="BO59" i="2"/>
  <c r="BM59" i="2"/>
  <c r="Y59" i="2"/>
  <c r="BN59" i="2" s="1"/>
  <c r="P59" i="2"/>
  <c r="BO58" i="2"/>
  <c r="BM58" i="2"/>
  <c r="Y58" i="2"/>
  <c r="BP58" i="2" s="1"/>
  <c r="P58" i="2"/>
  <c r="BO57" i="2"/>
  <c r="BM57" i="2"/>
  <c r="Y57" i="2"/>
  <c r="BN57" i="2" s="1"/>
  <c r="P57" i="2"/>
  <c r="BO56" i="2"/>
  <c r="BM56" i="2"/>
  <c r="Y56" i="2"/>
  <c r="BN56" i="2" s="1"/>
  <c r="P56" i="2"/>
  <c r="BO55" i="2"/>
  <c r="BM55" i="2"/>
  <c r="Y55" i="2"/>
  <c r="BP55" i="2" s="1"/>
  <c r="P55" i="2"/>
  <c r="X52" i="2"/>
  <c r="X51" i="2"/>
  <c r="BP50" i="2"/>
  <c r="BO50" i="2"/>
  <c r="BM50" i="2"/>
  <c r="Y50" i="2"/>
  <c r="Z50" i="2" s="1"/>
  <c r="P50" i="2"/>
  <c r="BO49" i="2"/>
  <c r="BM49" i="2"/>
  <c r="Y49" i="2"/>
  <c r="BP49" i="2" s="1"/>
  <c r="P49" i="2"/>
  <c r="BO48" i="2"/>
  <c r="BM48" i="2"/>
  <c r="Y48" i="2"/>
  <c r="BN48" i="2" s="1"/>
  <c r="P48" i="2"/>
  <c r="BO47" i="2"/>
  <c r="BM47" i="2"/>
  <c r="Y47" i="2"/>
  <c r="BN47" i="2" s="1"/>
  <c r="P47" i="2"/>
  <c r="X43" i="2"/>
  <c r="X42" i="2"/>
  <c r="BO41" i="2"/>
  <c r="BM41" i="2"/>
  <c r="Y41" i="2"/>
  <c r="Z41" i="2" s="1"/>
  <c r="P41" i="2"/>
  <c r="BO40" i="2"/>
  <c r="BM40" i="2"/>
  <c r="Y40" i="2"/>
  <c r="BN40" i="2" s="1"/>
  <c r="P40" i="2"/>
  <c r="BO39" i="2"/>
  <c r="BM39" i="2"/>
  <c r="Y39" i="2"/>
  <c r="BN39" i="2" s="1"/>
  <c r="P39" i="2"/>
  <c r="BO38" i="2"/>
  <c r="BM38" i="2"/>
  <c r="Y38" i="2"/>
  <c r="BN38" i="2" s="1"/>
  <c r="P38" i="2"/>
  <c r="BO37" i="2"/>
  <c r="BM37" i="2"/>
  <c r="Y37" i="2"/>
  <c r="BP37" i="2" s="1"/>
  <c r="P37" i="2"/>
  <c r="X33" i="2"/>
  <c r="X32" i="2"/>
  <c r="BO31" i="2"/>
  <c r="BM31" i="2"/>
  <c r="Y31" i="2"/>
  <c r="BP31" i="2" s="1"/>
  <c r="P31" i="2"/>
  <c r="BO30" i="2"/>
  <c r="BM30" i="2"/>
  <c r="Y30" i="2"/>
  <c r="BN30" i="2" s="1"/>
  <c r="P30" i="2"/>
  <c r="BO29" i="2"/>
  <c r="BM29" i="2"/>
  <c r="Y29" i="2"/>
  <c r="Z29" i="2" s="1"/>
  <c r="P29" i="2"/>
  <c r="BO28" i="2"/>
  <c r="BM28" i="2"/>
  <c r="Y28" i="2"/>
  <c r="BP28" i="2" s="1"/>
  <c r="P28" i="2"/>
  <c r="BO27" i="2"/>
  <c r="BM27" i="2"/>
  <c r="Y27" i="2"/>
  <c r="Y33" i="2" s="1"/>
  <c r="P27" i="2"/>
  <c r="X25" i="2"/>
  <c r="X24" i="2"/>
  <c r="BO23" i="2"/>
  <c r="BM23" i="2"/>
  <c r="Y23" i="2"/>
  <c r="BN23" i="2" s="1"/>
  <c r="P23" i="2"/>
  <c r="BO22" i="2"/>
  <c r="BM22" i="2"/>
  <c r="Y22" i="2"/>
  <c r="BP22" i="2" s="1"/>
  <c r="P22" i="2"/>
  <c r="H10" i="2"/>
  <c r="A9" i="2"/>
  <c r="A10" i="2" s="1"/>
  <c r="D7" i="2"/>
  <c r="Q6" i="2"/>
  <c r="P2" i="2"/>
  <c r="BN28" i="2" l="1"/>
  <c r="BN93" i="2"/>
  <c r="BN118" i="2"/>
  <c r="BN185" i="2"/>
  <c r="BN218" i="2"/>
  <c r="BN233" i="2"/>
  <c r="BN250" i="2"/>
  <c r="BN292" i="2"/>
  <c r="BN384" i="2"/>
  <c r="BN410" i="2"/>
  <c r="BN455" i="2"/>
  <c r="BN486" i="2"/>
  <c r="BN512" i="2"/>
  <c r="BN521" i="2"/>
  <c r="BN31" i="2"/>
  <c r="BP38" i="2"/>
  <c r="Z105" i="2"/>
  <c r="BN107" i="2"/>
  <c r="BN159" i="2"/>
  <c r="BP173" i="2"/>
  <c r="BN191" i="2"/>
  <c r="Z205" i="2"/>
  <c r="Z206" i="2" s="1"/>
  <c r="BN240" i="2"/>
  <c r="BN298" i="2"/>
  <c r="Z318" i="2"/>
  <c r="Z319" i="2" s="1"/>
  <c r="BN397" i="2"/>
  <c r="BN416" i="2"/>
  <c r="Z436" i="2"/>
  <c r="BN436" i="2"/>
  <c r="BN443" i="2"/>
  <c r="BN516" i="2"/>
  <c r="Y366" i="2"/>
  <c r="Z241" i="2"/>
  <c r="BN293" i="2"/>
  <c r="Z293" i="2"/>
  <c r="Y399" i="2"/>
  <c r="BN474" i="2"/>
  <c r="Z396" i="2"/>
  <c r="Z127" i="2"/>
  <c r="Z93" i="2"/>
  <c r="Z532" i="2"/>
  <c r="BN530" i="2"/>
  <c r="Z521" i="2"/>
  <c r="BN515" i="2"/>
  <c r="Z512" i="2"/>
  <c r="BN510" i="2"/>
  <c r="BN503" i="2"/>
  <c r="BN502" i="2"/>
  <c r="Z486" i="2"/>
  <c r="Z474" i="2"/>
  <c r="BP465" i="2"/>
  <c r="Z465" i="2"/>
  <c r="Z467" i="2" s="1"/>
  <c r="Y467" i="2"/>
  <c r="BN460" i="2"/>
  <c r="Y462" i="2"/>
  <c r="BN454" i="2"/>
  <c r="Y451" i="2"/>
  <c r="Z442" i="2"/>
  <c r="BN442" i="2"/>
  <c r="Z440" i="2"/>
  <c r="Y432" i="2"/>
  <c r="BN429" i="2"/>
  <c r="BP428" i="2"/>
  <c r="BP422" i="2"/>
  <c r="Z417" i="2"/>
  <c r="Z415" i="2"/>
  <c r="Z404" i="2"/>
  <c r="Z397" i="2"/>
  <c r="BP396" i="2"/>
  <c r="BN392" i="2"/>
  <c r="BP389" i="2"/>
  <c r="Y394" i="2"/>
  <c r="BN382" i="2"/>
  <c r="Y387" i="2"/>
  <c r="BP379" i="2"/>
  <c r="Z374" i="2"/>
  <c r="BN374" i="2"/>
  <c r="BN372" i="2"/>
  <c r="Z363" i="2"/>
  <c r="Z353" i="2"/>
  <c r="BN351" i="2"/>
  <c r="BN343" i="2"/>
  <c r="Z337" i="2"/>
  <c r="BN336" i="2"/>
  <c r="BP333" i="2"/>
  <c r="Z328" i="2"/>
  <c r="BN327" i="2"/>
  <c r="Z327" i="2"/>
  <c r="Z326" i="2"/>
  <c r="BN326" i="2"/>
  <c r="BN313" i="2"/>
  <c r="Z295" i="2"/>
  <c r="Y299" i="2"/>
  <c r="Z277" i="2"/>
  <c r="BN266" i="2"/>
  <c r="Z261" i="2"/>
  <c r="Z262" i="2" s="1"/>
  <c r="Z251" i="2"/>
  <c r="Y252" i="2"/>
  <c r="Z242" i="2"/>
  <c r="Z240" i="2"/>
  <c r="Z233" i="2"/>
  <c r="Z231" i="2"/>
  <c r="Z230" i="2"/>
  <c r="Z219" i="2"/>
  <c r="BN199" i="2"/>
  <c r="BN194" i="2"/>
  <c r="BN192" i="2"/>
  <c r="Z191" i="2"/>
  <c r="Z190" i="2"/>
  <c r="BN187" i="2"/>
  <c r="Z185" i="2"/>
  <c r="Z184" i="2"/>
  <c r="BP184" i="2"/>
  <c r="Y179" i="2"/>
  <c r="BP161" i="2"/>
  <c r="Z161" i="2"/>
  <c r="Y148" i="2"/>
  <c r="BN145" i="2"/>
  <c r="Y136" i="2"/>
  <c r="Z107" i="2"/>
  <c r="BN106" i="2"/>
  <c r="Y112" i="2"/>
  <c r="Z104" i="2"/>
  <c r="BP98" i="2"/>
  <c r="Y100" i="2"/>
  <c r="Z86" i="2"/>
  <c r="BP86" i="2"/>
  <c r="BP80" i="2"/>
  <c r="Z77" i="2"/>
  <c r="BP77" i="2"/>
  <c r="BN77" i="2"/>
  <c r="X568" i="2"/>
  <c r="Z48" i="2"/>
  <c r="BN41" i="2"/>
  <c r="Z31" i="2"/>
  <c r="Z28" i="2"/>
  <c r="X565" i="2"/>
  <c r="H9" i="2"/>
  <c r="X566" i="2"/>
  <c r="X564" i="2"/>
  <c r="Z27" i="2"/>
  <c r="BP27" i="2"/>
  <c r="Z30" i="2"/>
  <c r="BP30" i="2"/>
  <c r="Y32" i="2"/>
  <c r="Z40" i="2"/>
  <c r="BP40" i="2"/>
  <c r="Z55" i="2"/>
  <c r="BP56" i="2"/>
  <c r="Z59" i="2"/>
  <c r="BP59" i="2"/>
  <c r="Y69" i="2"/>
  <c r="BN65" i="2"/>
  <c r="Y75" i="2"/>
  <c r="BN78" i="2"/>
  <c r="F574" i="2"/>
  <c r="Y91" i="2"/>
  <c r="Y90" i="2"/>
  <c r="BP85" i="2"/>
  <c r="BP87" i="2"/>
  <c r="BN87" i="2"/>
  <c r="BP110" i="2"/>
  <c r="Z110" i="2"/>
  <c r="BN110" i="2"/>
  <c r="BN111" i="2"/>
  <c r="BP111" i="2"/>
  <c r="BP125" i="2"/>
  <c r="Z125" i="2"/>
  <c r="BN125" i="2"/>
  <c r="BP157" i="2"/>
  <c r="Z157" i="2"/>
  <c r="BN157" i="2"/>
  <c r="BN158" i="2"/>
  <c r="Z158" i="2"/>
  <c r="BN201" i="2"/>
  <c r="BP201" i="2"/>
  <c r="BP216" i="2"/>
  <c r="BN216" i="2"/>
  <c r="Z249" i="2"/>
  <c r="BN249" i="2"/>
  <c r="BN256" i="2"/>
  <c r="BP256" i="2"/>
  <c r="BP271" i="2"/>
  <c r="Y274" i="2"/>
  <c r="Z272" i="2"/>
  <c r="BN272" i="2"/>
  <c r="BP283" i="2"/>
  <c r="BN283" i="2"/>
  <c r="Z283" i="2"/>
  <c r="BN352" i="2"/>
  <c r="BP352" i="2"/>
  <c r="Z352" i="2"/>
  <c r="BN385" i="2"/>
  <c r="Z385" i="2"/>
  <c r="Z409" i="2"/>
  <c r="BN409" i="2"/>
  <c r="Y431" i="2"/>
  <c r="Z428" i="2"/>
  <c r="Y25" i="2"/>
  <c r="BP29" i="2"/>
  <c r="BP39" i="2"/>
  <c r="Y68" i="2"/>
  <c r="BN99" i="2"/>
  <c r="BP99" i="2"/>
  <c r="BP108" i="2"/>
  <c r="BN108" i="2"/>
  <c r="Z108" i="2"/>
  <c r="BN109" i="2"/>
  <c r="BP109" i="2"/>
  <c r="BN116" i="2"/>
  <c r="BP123" i="2"/>
  <c r="BN123" i="2"/>
  <c r="Z123" i="2"/>
  <c r="Y147" i="2"/>
  <c r="BP145" i="2"/>
  <c r="BN166" i="2"/>
  <c r="Y168" i="2"/>
  <c r="BP192" i="2"/>
  <c r="BN195" i="2"/>
  <c r="BN209" i="2"/>
  <c r="Y210" i="2"/>
  <c r="Y211" i="2"/>
  <c r="Z209" i="2"/>
  <c r="Z210" i="2" s="1"/>
  <c r="BP234" i="2"/>
  <c r="BN234" i="2"/>
  <c r="Z234" i="2"/>
  <c r="Z239" i="2"/>
  <c r="BN239" i="2"/>
  <c r="Y244" i="2"/>
  <c r="BN375" i="2"/>
  <c r="Z375" i="2"/>
  <c r="Y400" i="2"/>
  <c r="BN398" i="2"/>
  <c r="Z405" i="2"/>
  <c r="BN405" i="2"/>
  <c r="Z441" i="2"/>
  <c r="BN441" i="2"/>
  <c r="Y457" i="2"/>
  <c r="Z453" i="2"/>
  <c r="BP475" i="2"/>
  <c r="BN475" i="2"/>
  <c r="Z475" i="2"/>
  <c r="Z477" i="2" s="1"/>
  <c r="Y488" i="2"/>
  <c r="BP482" i="2"/>
  <c r="Z491" i="2"/>
  <c r="BN491" i="2"/>
  <c r="BP511" i="2"/>
  <c r="BN511" i="2"/>
  <c r="Z511" i="2"/>
  <c r="BP555" i="2"/>
  <c r="Z555" i="2"/>
  <c r="Y24" i="2"/>
  <c r="BP23" i="2"/>
  <c r="BN27" i="2"/>
  <c r="Z39" i="2"/>
  <c r="BP41" i="2"/>
  <c r="BP48" i="2"/>
  <c r="BN55" i="2"/>
  <c r="Y61" i="2"/>
  <c r="BN64" i="2"/>
  <c r="Z65" i="2"/>
  <c r="BP66" i="2"/>
  <c r="BN67" i="2"/>
  <c r="BN71" i="2"/>
  <c r="Y74" i="2"/>
  <c r="Z78" i="2"/>
  <c r="BP79" i="2"/>
  <c r="BN89" i="2"/>
  <c r="Y131" i="2"/>
  <c r="BN150" i="2"/>
  <c r="BP150" i="2"/>
  <c r="Z150" i="2"/>
  <c r="BN177" i="2"/>
  <c r="Z177" i="2"/>
  <c r="Y180" i="2"/>
  <c r="BN182" i="2"/>
  <c r="BP186" i="2"/>
  <c r="BN186" i="2"/>
  <c r="Z186" i="2"/>
  <c r="BP188" i="2"/>
  <c r="Z188" i="2"/>
  <c r="BN188" i="2"/>
  <c r="BP220" i="2"/>
  <c r="BN220" i="2"/>
  <c r="Z220" i="2"/>
  <c r="Y227" i="2"/>
  <c r="BP226" i="2"/>
  <c r="Y285" i="2"/>
  <c r="BN276" i="2"/>
  <c r="BP276" i="2"/>
  <c r="Z276" i="2"/>
  <c r="BP294" i="2"/>
  <c r="BN294" i="2"/>
  <c r="Z294" i="2"/>
  <c r="BN310" i="2"/>
  <c r="BP310" i="2"/>
  <c r="Q574" i="2"/>
  <c r="BN342" i="2"/>
  <c r="Z342" i="2"/>
  <c r="BN350" i="2"/>
  <c r="Z350" i="2"/>
  <c r="Y376" i="2"/>
  <c r="BN430" i="2"/>
  <c r="BP430" i="2"/>
  <c r="Z430" i="2"/>
  <c r="Y477" i="2"/>
  <c r="BP531" i="2"/>
  <c r="BN531" i="2"/>
  <c r="Z531" i="2"/>
  <c r="BN29" i="2"/>
  <c r="BN73" i="2"/>
  <c r="BN95" i="2"/>
  <c r="BN119" i="2"/>
  <c r="Y121" i="2"/>
  <c r="BN128" i="2"/>
  <c r="BP128" i="2"/>
  <c r="BP146" i="2"/>
  <c r="Z146" i="2"/>
  <c r="BN146" i="2"/>
  <c r="J574" i="2"/>
  <c r="BN171" i="2"/>
  <c r="Z171" i="2"/>
  <c r="Y174" i="2"/>
  <c r="BP172" i="2"/>
  <c r="BN178" i="2"/>
  <c r="Z178" i="2"/>
  <c r="Y222" i="2"/>
  <c r="BN289" i="2"/>
  <c r="BP289" i="2"/>
  <c r="BP296" i="2"/>
  <c r="BN296" i="2"/>
  <c r="BP303" i="2"/>
  <c r="BN303" i="2"/>
  <c r="Z303" i="2"/>
  <c r="Y345" i="2"/>
  <c r="BP344" i="2"/>
  <c r="BP373" i="2"/>
  <c r="BN373" i="2"/>
  <c r="Z373" i="2"/>
  <c r="Y377" i="2"/>
  <c r="BP383" i="2"/>
  <c r="BN383" i="2"/>
  <c r="Z383" i="2"/>
  <c r="BP487" i="2"/>
  <c r="BN487" i="2"/>
  <c r="Z487" i="2"/>
  <c r="Y505" i="2"/>
  <c r="Z501" i="2"/>
  <c r="BN513" i="2"/>
  <c r="Z513" i="2"/>
  <c r="BP522" i="2"/>
  <c r="Y524" i="2"/>
  <c r="Y525" i="2"/>
  <c r="Z522" i="2"/>
  <c r="Y545" i="2"/>
  <c r="Z543" i="2"/>
  <c r="Z544" i="2" s="1"/>
  <c r="BN94" i="2"/>
  <c r="BP105" i="2"/>
  <c r="Y137" i="2"/>
  <c r="Y143" i="2"/>
  <c r="I574" i="2"/>
  <c r="BN219" i="2"/>
  <c r="BP231" i="2"/>
  <c r="BN232" i="2"/>
  <c r="BP235" i="2"/>
  <c r="BP242" i="2"/>
  <c r="BN243" i="2"/>
  <c r="Y262" i="2"/>
  <c r="Y284" i="2"/>
  <c r="BP279" i="2"/>
  <c r="BN282" i="2"/>
  <c r="Y300" i="2"/>
  <c r="BN302" i="2"/>
  <c r="O574" i="2"/>
  <c r="BN314" i="2"/>
  <c r="Y316" i="2"/>
  <c r="Y319" i="2"/>
  <c r="Y329" i="2"/>
  <c r="Y354" i="2"/>
  <c r="BP364" i="2"/>
  <c r="Y412" i="2"/>
  <c r="Y418" i="2"/>
  <c r="Z574" i="2"/>
  <c r="BP523" i="2"/>
  <c r="BP215" i="2"/>
  <c r="BP221" i="2"/>
  <c r="Y223" i="2"/>
  <c r="BP236" i="2"/>
  <c r="BN241" i="2"/>
  <c r="Y245" i="2"/>
  <c r="Z250" i="2"/>
  <c r="BN251" i="2"/>
  <c r="BN277" i="2"/>
  <c r="Z287" i="2"/>
  <c r="BP288" i="2"/>
  <c r="BP295" i="2"/>
  <c r="Z298" i="2"/>
  <c r="Z308" i="2"/>
  <c r="BN318" i="2"/>
  <c r="Z329" i="2"/>
  <c r="BN337" i="2"/>
  <c r="Y339" i="2"/>
  <c r="BP343" i="2"/>
  <c r="BP351" i="2"/>
  <c r="BN353" i="2"/>
  <c r="BN363" i="2"/>
  <c r="Z364" i="2"/>
  <c r="Y386" i="2"/>
  <c r="BN396" i="2"/>
  <c r="Z403" i="2"/>
  <c r="BP404" i="2"/>
  <c r="BN415" i="2"/>
  <c r="Z416" i="2"/>
  <c r="BP429" i="2"/>
  <c r="W574" i="2"/>
  <c r="Z439" i="2"/>
  <c r="BP440" i="2"/>
  <c r="Z443" i="2"/>
  <c r="Z449" i="2"/>
  <c r="BN465" i="2"/>
  <c r="BP476" i="2"/>
  <c r="Y478" i="2"/>
  <c r="Y493" i="2"/>
  <c r="Z497" i="2"/>
  <c r="Z498" i="2" s="1"/>
  <c r="Y518" i="2"/>
  <c r="Z516" i="2"/>
  <c r="Z523" i="2"/>
  <c r="G574" i="2"/>
  <c r="BP104" i="2"/>
  <c r="BP106" i="2"/>
  <c r="Y113" i="2"/>
  <c r="BN124" i="2"/>
  <c r="BP127" i="2"/>
  <c r="BN129" i="2"/>
  <c r="BN130" i="2"/>
  <c r="BN134" i="2"/>
  <c r="BN135" i="2"/>
  <c r="BN140" i="2"/>
  <c r="BN156" i="2"/>
  <c r="BP190" i="2"/>
  <c r="Y202" i="2"/>
  <c r="BP205" i="2"/>
  <c r="BP230" i="2"/>
  <c r="BP232" i="2"/>
  <c r="Y259" i="2"/>
  <c r="BP261" i="2"/>
  <c r="Y263" i="2"/>
  <c r="Z304" i="2"/>
  <c r="Y305" i="2"/>
  <c r="Y315" i="2"/>
  <c r="Z314" i="2"/>
  <c r="Y320" i="2"/>
  <c r="BP328" i="2"/>
  <c r="Y330" i="2"/>
  <c r="Y355" i="2"/>
  <c r="Y367" i="2"/>
  <c r="T574" i="2"/>
  <c r="Z384" i="2"/>
  <c r="Z410" i="2"/>
  <c r="BP417" i="2"/>
  <c r="Y419" i="2"/>
  <c r="BP455" i="2"/>
  <c r="X574" i="2"/>
  <c r="BN485" i="2"/>
  <c r="BP503" i="2"/>
  <c r="AA574" i="2"/>
  <c r="BP515" i="2"/>
  <c r="Y534" i="2"/>
  <c r="Y548" i="2"/>
  <c r="Y152" i="2"/>
  <c r="J9" i="2"/>
  <c r="Z38" i="2"/>
  <c r="BP47" i="2"/>
  <c r="Z56" i="2"/>
  <c r="Z66" i="2"/>
  <c r="Y81" i="2"/>
  <c r="Z111" i="2"/>
  <c r="BP183" i="2"/>
  <c r="F10" i="2"/>
  <c r="BN50" i="2"/>
  <c r="Y62" i="2"/>
  <c r="Z71" i="2"/>
  <c r="BP73" i="2"/>
  <c r="Z87" i="2"/>
  <c r="BP89" i="2"/>
  <c r="BP94" i="2"/>
  <c r="BN97" i="2"/>
  <c r="Z116" i="2"/>
  <c r="BP118" i="2"/>
  <c r="BN126" i="2"/>
  <c r="Z129" i="2"/>
  <c r="Z134" i="2"/>
  <c r="Z140" i="2"/>
  <c r="Y153" i="2"/>
  <c r="Y164" i="2"/>
  <c r="BN189" i="2"/>
  <c r="BP194" i="2"/>
  <c r="Z216" i="2"/>
  <c r="BP218" i="2"/>
  <c r="Z237" i="2"/>
  <c r="BP239" i="2"/>
  <c r="Z247" i="2"/>
  <c r="BP249" i="2"/>
  <c r="Z257" i="2"/>
  <c r="BP272" i="2"/>
  <c r="Z280" i="2"/>
  <c r="BP282" i="2"/>
  <c r="Z290" i="2"/>
  <c r="BP292" i="2"/>
  <c r="BP302" i="2"/>
  <c r="Z311" i="2"/>
  <c r="BP313" i="2"/>
  <c r="Y324" i="2"/>
  <c r="Z334" i="2"/>
  <c r="BP336" i="2"/>
  <c r="BN358" i="2"/>
  <c r="Z370" i="2"/>
  <c r="BP372" i="2"/>
  <c r="Z380" i="2"/>
  <c r="BP382" i="2"/>
  <c r="Z390" i="2"/>
  <c r="BP392" i="2"/>
  <c r="BN402" i="2"/>
  <c r="Y413" i="2"/>
  <c r="Z423" i="2"/>
  <c r="BN438" i="2"/>
  <c r="BN448" i="2"/>
  <c r="BP460" i="2"/>
  <c r="Y472" i="2"/>
  <c r="Z483" i="2"/>
  <c r="BP485" i="2"/>
  <c r="BP510" i="2"/>
  <c r="Y519" i="2"/>
  <c r="Z528" i="2"/>
  <c r="BP530" i="2"/>
  <c r="Y557" i="2"/>
  <c r="K574" i="2"/>
  <c r="Y163" i="2"/>
  <c r="Z145" i="2"/>
  <c r="BP171" i="2"/>
  <c r="Y253" i="2"/>
  <c r="Y268" i="2"/>
  <c r="BP287" i="2"/>
  <c r="BP308" i="2"/>
  <c r="BP342" i="2"/>
  <c r="BN453" i="2"/>
  <c r="Y456" i="2"/>
  <c r="Y489" i="2"/>
  <c r="BN501" i="2"/>
  <c r="Y504" i="2"/>
  <c r="BN533" i="2"/>
  <c r="BN547" i="2"/>
  <c r="L574" i="2"/>
  <c r="BP97" i="2"/>
  <c r="Y101" i="2"/>
  <c r="BP126" i="2"/>
  <c r="Y175" i="2"/>
  <c r="BP189" i="2"/>
  <c r="Y203" i="2"/>
  <c r="Y228" i="2"/>
  <c r="BN237" i="2"/>
  <c r="BN247" i="2"/>
  <c r="BN257" i="2"/>
  <c r="Y273" i="2"/>
  <c r="BN280" i="2"/>
  <c r="BN290" i="2"/>
  <c r="BN311" i="2"/>
  <c r="BN334" i="2"/>
  <c r="Y346" i="2"/>
  <c r="BP358" i="2"/>
  <c r="BN370" i="2"/>
  <c r="BN380" i="2"/>
  <c r="BN390" i="2"/>
  <c r="Y393" i="2"/>
  <c r="BP402" i="2"/>
  <c r="BN423" i="2"/>
  <c r="BP438" i="2"/>
  <c r="BP448" i="2"/>
  <c r="Y461" i="2"/>
  <c r="BN483" i="2"/>
  <c r="Y494" i="2"/>
  <c r="BN528" i="2"/>
  <c r="Y541" i="2"/>
  <c r="Y553" i="2"/>
  <c r="M574" i="2"/>
  <c r="Z95" i="2"/>
  <c r="Z166" i="2"/>
  <c r="Z167" i="2" s="1"/>
  <c r="Y444" i="2"/>
  <c r="BP533" i="2"/>
  <c r="BP547" i="2"/>
  <c r="Y558" i="2"/>
  <c r="Z64" i="2"/>
  <c r="Z119" i="2"/>
  <c r="Z124" i="2"/>
  <c r="Z156" i="2"/>
  <c r="Z187" i="2"/>
  <c r="Z195" i="2"/>
  <c r="Z22" i="2"/>
  <c r="Y51" i="2"/>
  <c r="Z79" i="2"/>
  <c r="Z98" i="2"/>
  <c r="Z109" i="2"/>
  <c r="BP140" i="2"/>
  <c r="Z172" i="2"/>
  <c r="Z200" i="2"/>
  <c r="Z235" i="2"/>
  <c r="BP247" i="2"/>
  <c r="Z255" i="2"/>
  <c r="Y269" i="2"/>
  <c r="Z278" i="2"/>
  <c r="Z288" i="2"/>
  <c r="Z309" i="2"/>
  <c r="Y359" i="2"/>
  <c r="BP370" i="2"/>
  <c r="Z398" i="2"/>
  <c r="P574" i="2"/>
  <c r="Z67" i="2"/>
  <c r="Z130" i="2"/>
  <c r="Z135" i="2"/>
  <c r="Z159" i="2"/>
  <c r="Z182" i="2"/>
  <c r="BN200" i="2"/>
  <c r="Z243" i="2"/>
  <c r="BN255" i="2"/>
  <c r="Y258" i="2"/>
  <c r="Z266" i="2"/>
  <c r="BN278" i="2"/>
  <c r="Z296" i="2"/>
  <c r="BN309" i="2"/>
  <c r="Z365" i="2"/>
  <c r="Y424" i="2"/>
  <c r="Y445" i="2"/>
  <c r="Z454" i="2"/>
  <c r="Z456" i="2" s="1"/>
  <c r="Z502" i="2"/>
  <c r="Z514" i="2"/>
  <c r="Z561" i="2"/>
  <c r="Z562" i="2" s="1"/>
  <c r="R574" i="2"/>
  <c r="BN22" i="2"/>
  <c r="Z57" i="2"/>
  <c r="BN172" i="2"/>
  <c r="Y42" i="2"/>
  <c r="Y52" i="2"/>
  <c r="BP64" i="2"/>
  <c r="Z72" i="2"/>
  <c r="BN85" i="2"/>
  <c r="Z88" i="2"/>
  <c r="Z90" i="2" s="1"/>
  <c r="BP95" i="2"/>
  <c r="BN104" i="2"/>
  <c r="Z117" i="2"/>
  <c r="Z141" i="2"/>
  <c r="BP156" i="2"/>
  <c r="BP166" i="2"/>
  <c r="Z193" i="2"/>
  <c r="BN205" i="2"/>
  <c r="Z217" i="2"/>
  <c r="Z238" i="2"/>
  <c r="Z248" i="2"/>
  <c r="Z271" i="2"/>
  <c r="Z273" i="2" s="1"/>
  <c r="Z281" i="2"/>
  <c r="Z291" i="2"/>
  <c r="Z312" i="2"/>
  <c r="Z335" i="2"/>
  <c r="BN349" i="2"/>
  <c r="Y360" i="2"/>
  <c r="Z371" i="2"/>
  <c r="Z381" i="2"/>
  <c r="Z391" i="2"/>
  <c r="BN403" i="2"/>
  <c r="Y406" i="2"/>
  <c r="BN439" i="2"/>
  <c r="BN449" i="2"/>
  <c r="Z459" i="2"/>
  <c r="Z461" i="2" s="1"/>
  <c r="Z484" i="2"/>
  <c r="BN497" i="2"/>
  <c r="Z509" i="2"/>
  <c r="Z529" i="2"/>
  <c r="BN543" i="2"/>
  <c r="BN555" i="2"/>
  <c r="S574" i="2"/>
  <c r="Y535" i="2"/>
  <c r="Y549" i="2"/>
  <c r="BN561" i="2"/>
  <c r="Z37" i="2"/>
  <c r="Z49" i="2"/>
  <c r="Z60" i="2"/>
  <c r="BN72" i="2"/>
  <c r="BN88" i="2"/>
  <c r="Z96" i="2"/>
  <c r="BN117" i="2"/>
  <c r="Y120" i="2"/>
  <c r="BN141" i="2"/>
  <c r="Z151" i="2"/>
  <c r="Z162" i="2"/>
  <c r="BN193" i="2"/>
  <c r="Y196" i="2"/>
  <c r="BN217" i="2"/>
  <c r="BN238" i="2"/>
  <c r="BN248" i="2"/>
  <c r="BN271" i="2"/>
  <c r="BN281" i="2"/>
  <c r="BN291" i="2"/>
  <c r="Y304" i="2"/>
  <c r="BN312" i="2"/>
  <c r="Z322" i="2"/>
  <c r="Z323" i="2" s="1"/>
  <c r="BN335" i="2"/>
  <c r="Y338" i="2"/>
  <c r="Z357" i="2"/>
  <c r="Z359" i="2" s="1"/>
  <c r="BN371" i="2"/>
  <c r="BN381" i="2"/>
  <c r="BN391" i="2"/>
  <c r="Z411" i="2"/>
  <c r="Y425" i="2"/>
  <c r="Z437" i="2"/>
  <c r="Z447" i="2"/>
  <c r="BN459" i="2"/>
  <c r="Z470" i="2"/>
  <c r="Z471" i="2" s="1"/>
  <c r="BN484" i="2"/>
  <c r="BP497" i="2"/>
  <c r="BN509" i="2"/>
  <c r="Z517" i="2"/>
  <c r="BN529" i="2"/>
  <c r="BP543" i="2"/>
  <c r="B574" i="2"/>
  <c r="U574" i="2"/>
  <c r="Y43" i="2"/>
  <c r="BP365" i="2"/>
  <c r="Y407" i="2"/>
  <c r="BP514" i="2"/>
  <c r="BP561" i="2"/>
  <c r="C574" i="2"/>
  <c r="V574" i="2"/>
  <c r="BP57" i="2"/>
  <c r="BP135" i="2"/>
  <c r="Z23" i="2"/>
  <c r="BN37" i="2"/>
  <c r="BN49" i="2"/>
  <c r="BN60" i="2"/>
  <c r="Z80" i="2"/>
  <c r="BN96" i="2"/>
  <c r="Z99" i="2"/>
  <c r="Z115" i="2"/>
  <c r="Z128" i="2"/>
  <c r="BN151" i="2"/>
  <c r="BN162" i="2"/>
  <c r="Z173" i="2"/>
  <c r="Z201" i="2"/>
  <c r="Y206" i="2"/>
  <c r="Z215" i="2"/>
  <c r="Z226" i="2"/>
  <c r="Z227" i="2" s="1"/>
  <c r="Z236" i="2"/>
  <c r="Z256" i="2"/>
  <c r="Z279" i="2"/>
  <c r="Z289" i="2"/>
  <c r="Z310" i="2"/>
  <c r="BN322" i="2"/>
  <c r="Z333" i="2"/>
  <c r="Z344" i="2"/>
  <c r="BN357" i="2"/>
  <c r="Z379" i="2"/>
  <c r="Z389" i="2"/>
  <c r="BN411" i="2"/>
  <c r="Z422" i="2"/>
  <c r="BN437" i="2"/>
  <c r="BN447" i="2"/>
  <c r="Y450" i="2"/>
  <c r="BN470" i="2"/>
  <c r="Z482" i="2"/>
  <c r="Z492" i="2"/>
  <c r="Z493" i="2" s="1"/>
  <c r="Y498" i="2"/>
  <c r="BP509" i="2"/>
  <c r="BN517" i="2"/>
  <c r="Z527" i="2"/>
  <c r="Z539" i="2"/>
  <c r="Z540" i="2" s="1"/>
  <c r="Y544" i="2"/>
  <c r="Z551" i="2"/>
  <c r="Z552" i="2" s="1"/>
  <c r="D574" i="2"/>
  <c r="Y197" i="2"/>
  <c r="BN522" i="2"/>
  <c r="BN532" i="2"/>
  <c r="Z556" i="2"/>
  <c r="Z557" i="2" s="1"/>
  <c r="Y562" i="2"/>
  <c r="E574" i="2"/>
  <c r="Z47" i="2"/>
  <c r="Z58" i="2"/>
  <c r="Y142" i="2"/>
  <c r="Z160" i="2"/>
  <c r="Z183" i="2"/>
  <c r="BN226" i="2"/>
  <c r="Z267" i="2"/>
  <c r="Z297" i="2"/>
  <c r="BP322" i="2"/>
  <c r="BN344" i="2"/>
  <c r="BP411" i="2"/>
  <c r="BP447" i="2"/>
  <c r="BP470" i="2"/>
  <c r="BN482" i="2"/>
  <c r="BN492" i="2"/>
  <c r="BN527" i="2"/>
  <c r="BN539" i="2"/>
  <c r="BN551" i="2"/>
  <c r="Y574" i="2"/>
  <c r="F9" i="2"/>
  <c r="BN428" i="2"/>
  <c r="Y499" i="2"/>
  <c r="BN556" i="2"/>
  <c r="BN267" i="2"/>
  <c r="BN297" i="2"/>
  <c r="BP539" i="2"/>
  <c r="BP551" i="2"/>
  <c r="Y563" i="2"/>
  <c r="H574" i="2"/>
  <c r="Y132" i="2"/>
  <c r="AB574" i="2"/>
  <c r="BN58" i="2"/>
  <c r="BN160" i="2"/>
  <c r="Z406" i="2" l="1"/>
  <c r="Z147" i="2"/>
  <c r="Z418" i="2"/>
  <c r="Z399" i="2"/>
  <c r="Z534" i="2"/>
  <c r="Z444" i="2"/>
  <c r="Z431" i="2"/>
  <c r="Z386" i="2"/>
  <c r="Z366" i="2"/>
  <c r="Z354" i="2"/>
  <c r="Z345" i="2"/>
  <c r="Z338" i="2"/>
  <c r="Z174" i="2"/>
  <c r="Z142" i="2"/>
  <c r="Z131" i="2"/>
  <c r="Z120" i="2"/>
  <c r="X567" i="2"/>
  <c r="Z32" i="2"/>
  <c r="Z412" i="2"/>
  <c r="Z299" i="2"/>
  <c r="Y568" i="2"/>
  <c r="Z524" i="2"/>
  <c r="Z179" i="2"/>
  <c r="Z424" i="2"/>
  <c r="Z202" i="2"/>
  <c r="Z450" i="2"/>
  <c r="Y565" i="2"/>
  <c r="Z504" i="2"/>
  <c r="Z284" i="2"/>
  <c r="Z244" i="2"/>
  <c r="Z112" i="2"/>
  <c r="Z24" i="2"/>
  <c r="Z252" i="2"/>
  <c r="Z61" i="2"/>
  <c r="Y564" i="2"/>
  <c r="Y566" i="2"/>
  <c r="Z393" i="2"/>
  <c r="Z152" i="2"/>
  <c r="Z100" i="2"/>
  <c r="Z315" i="2"/>
  <c r="Z81" i="2"/>
  <c r="Z136" i="2"/>
  <c r="Z163" i="2"/>
  <c r="Z68" i="2"/>
  <c r="Z42" i="2"/>
  <c r="Z268" i="2"/>
  <c r="Z258" i="2"/>
  <c r="Z74" i="2"/>
  <c r="Z376" i="2"/>
  <c r="Z488" i="2"/>
  <c r="Z222" i="2"/>
  <c r="Z51" i="2"/>
  <c r="Z518" i="2"/>
  <c r="Z196" i="2"/>
  <c r="Y567" i="2" l="1"/>
  <c r="Z569" i="2"/>
</calcChain>
</file>

<file path=xl/sharedStrings.xml><?xml version="1.0" encoding="utf-8"?>
<sst xmlns="http://schemas.openxmlformats.org/spreadsheetml/2006/main" count="4366" uniqueCount="910">
  <si>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</si>
  <si>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</si>
  <si>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</si>
  <si>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</si>
  <si>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</si>
  <si>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</si>
  <si>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</si>
  <si>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</si>
  <si>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</si>
  <si>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</si>
  <si>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</si>
  <si>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</si>
  <si>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</si>
  <si>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</si>
  <si>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</si>
  <si>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</si>
  <si>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</si>
  <si>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</si>
  <si>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</si>
  <si>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</si>
  <si>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</si>
  <si>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</si>
  <si>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</si>
  <si>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</si>
  <si>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</si>
  <si>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</si>
  <si>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</si>
  <si>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</si>
  <si>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</si>
  <si>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</si>
  <si>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</si>
  <si>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</si>
  <si>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</si>
  <si>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</si>
  <si>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</si>
  <si>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</si>
  <si>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</si>
  <si>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</si>
  <si>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</si>
  <si>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</si>
  <si>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</si>
  <si>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</si>
  <si>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</si>
  <si>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</si>
  <si>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</si>
  <si>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</si>
  <si>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</si>
  <si>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</si>
  <si>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</si>
  <si>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</si>
  <si>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</si>
  <si>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</si>
  <si>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</si>
  <si>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</si>
  <si>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</si>
  <si>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</si>
  <si>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</si>
  <si>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</si>
  <si>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</si>
  <si>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</si>
  <si>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</si>
  <si>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</si>
  <si>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</si>
  <si>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</si>
  <si>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</si>
  <si>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</si>
  <si>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</si>
  <si>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</si>
  <si>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07.09.2026</t>
  </si>
  <si>
    <t>02.09.2026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</si>
  <si>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</si>
  <si>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</si>
  <si>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</si>
  <si>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</si>
  <si>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</si>
  <si>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</si>
  <si>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</si>
  <si>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</si>
  <si>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</si>
  <si>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</si>
  <si>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</si>
  <si>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</si>
  <si>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</si>
  <si>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</si>
  <si>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</si>
  <si>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</si>
  <si>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</si>
  <si>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</si>
  <si>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</si>
  <si>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</si>
  <si>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</si>
  <si>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</si>
  <si>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</si>
  <si>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</si>
  <si>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</si>
  <si>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</si>
  <si>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</si>
  <si>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</si>
  <si>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</si>
  <si>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</si>
  <si>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</si>
  <si>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</si>
  <si>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</si>
  <si>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</si>
  <si>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</si>
  <si>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</si>
  <si>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</si>
  <si>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</si>
  <si>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</si>
  <si>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</si>
  <si>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</si>
  <si>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</si>
  <si>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</si>
  <si>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</si>
  <si>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</si>
  <si>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</si>
  <si>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</si>
  <si>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</si>
  <si>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</si>
  <si>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</si>
  <si>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</si>
  <si>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</si>
  <si>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</si>
  <si>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</si>
  <si>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</si>
  <si>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</si>
  <si>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</si>
  <si>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</si>
  <si>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</si>
  <si>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</si>
  <si>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</si>
  <si>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</si>
  <si>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</si>
  <si>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</si>
  <si>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</si>
  <si>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</si>
  <si>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</si>
  <si>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</si>
  <si>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</si>
  <si>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</si>
  <si>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</si>
  <si>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</si>
  <si>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</si>
  <si>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</si>
  <si>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</si>
  <si>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</si>
  <si>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</si>
  <si>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</si>
  <si>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</si>
  <si>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</si>
  <si>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</si>
  <si>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</si>
  <si>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</si>
  <si>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</si>
  <si>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</si>
  <si>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</si>
  <si>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</si>
  <si>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</si>
  <si>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</si>
  <si>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</si>
  <si>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</si>
  <si>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</si>
  <si>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</si>
  <si>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</si>
  <si>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</si>
  <si>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</si>
  <si>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</si>
  <si>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</si>
  <si>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</si>
  <si>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</si>
  <si>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</si>
  <si>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</si>
  <si>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</si>
  <si>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</si>
  <si>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</si>
  <si>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</si>
  <si>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</si>
  <si>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</si>
  <si>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</si>
  <si>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P003238</t>
  </si>
  <si>
    <t>ЕАЭС N RU Д-RU.РА09.В.53620/25, ЕАЭС N RU Д-RU.РА09.В.53876/25</t>
  </si>
  <si>
    <t>P005229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</si>
  <si>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</si>
  <si>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</si>
  <si>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</si>
  <si>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</si>
  <si>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</si>
  <si>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</si>
  <si>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</si>
  <si>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</si>
  <si>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Вареные колбасы «Молокуша» Фикс.вес 0,17 нарезка ТМ «Вязанка»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</si>
  <si>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</si>
  <si>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</si>
  <si>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</si>
  <si>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</si>
  <si>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</si>
  <si>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</si>
  <si>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</si>
  <si>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P005226</t>
  </si>
  <si>
    <t>Сосиски «Вязанка Молочные» Весовой п/а ТМ «Вязанка»</t>
  </si>
  <si>
    <t>SU003503</t>
  </si>
  <si>
    <t>P004411</t>
  </si>
  <si>
    <t>P005225</t>
  </si>
  <si>
    <t>Сосиски «Вязанка Молочные» Фикс.вес 0,37 п/а ТМ «Вязанка»</t>
  </si>
  <si>
    <t>ЕАЭС N RU Д-RU.РА11.В.73895/25</t>
  </si>
  <si>
    <t>SU001718</t>
  </si>
  <si>
    <t>P003985</t>
  </si>
  <si>
    <t>P005224</t>
  </si>
  <si>
    <t>Сосиски «Вязанка Молочные» Фикс.вес 0,45 п/а ТМ «Вязанка»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</si>
  <si>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</si>
  <si>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</si>
  <si>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</si>
  <si>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</si>
  <si>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</si>
  <si>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</si>
  <si>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</si>
  <si>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</si>
  <si>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</si>
  <si>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</si>
  <si>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</si>
  <si>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</si>
  <si>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</si>
  <si>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</si>
  <si>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</si>
  <si>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</si>
  <si>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P005288</t>
  </si>
  <si>
    <t>Вареные колбасы «Сливушка» Фикс.вес 0,45 п/а ТМ «Вязанка»</t>
  </si>
  <si>
    <t>ЕАЭС N RU Д-RU.РА08.В.82591/25, ЕАЭС N RU Д-RU.РА08.В.82932/25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</si>
  <si>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</si>
  <si>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</si>
  <si>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</si>
  <si>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</si>
  <si>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</si>
  <si>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</si>
  <si>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</si>
  <si>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</si>
  <si>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</si>
  <si>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</si>
  <si>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</si>
  <si>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</si>
  <si>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</si>
  <si>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</si>
  <si>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</si>
  <si>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</si>
  <si>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</si>
  <si>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P005220</t>
  </si>
  <si>
    <t>Сосиски «Вязанка Сливочные» Весовой п/а ТМ «Вязанка»</t>
  </si>
  <si>
    <t>SU002139</t>
  </si>
  <si>
    <t>P003990</t>
  </si>
  <si>
    <t>P005221</t>
  </si>
  <si>
    <t>Сосиски «Вязанка Сливочные» Фикс.вес 0,33 п/а ТМ «Вязанка»</t>
  </si>
  <si>
    <t>SU001720</t>
  </si>
  <si>
    <t>P003989</t>
  </si>
  <si>
    <t>P005219</t>
  </si>
  <si>
    <t>Сосиски «Вязанка Сливочные» Фикс.вес 0,45 п/а ТМ «Вязанка»</t>
  </si>
  <si>
    <t>SU003336</t>
  </si>
  <si>
    <t>P004116</t>
  </si>
  <si>
    <t>ЕАЭС N RU Д-RU.РА08.В.87595/25</t>
  </si>
  <si>
    <t>P005222</t>
  </si>
  <si>
    <t>Сосиски «Сливушки по-венски» Фикс.вес 0,3 п/а ТМ «Вязанка»</t>
  </si>
  <si>
    <t>SU002367</t>
  </si>
  <si>
    <t>P002644</t>
  </si>
  <si>
    <t>ЕАЭС N RU Д-RU.РА08.В.47013/25</t>
  </si>
  <si>
    <t>P005227</t>
  </si>
  <si>
    <t>Сардельки «Сливушки» Фикс.вес 0,33 п/а ТМ «Вязанка»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</si>
  <si>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</si>
  <si>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</si>
  <si>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</si>
  <si>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</si>
  <si>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</si>
  <si>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</si>
  <si>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</si>
  <si>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</si>
  <si>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</si>
  <si>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</si>
  <si>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</si>
  <si>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</si>
  <si>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</si>
  <si>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</si>
  <si>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</si>
  <si>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</si>
  <si>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</si>
  <si>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</si>
  <si>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</si>
  <si>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</si>
  <si>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</si>
  <si>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</si>
  <si>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</si>
  <si>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</si>
  <si>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</si>
  <si>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</si>
  <si>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</si>
  <si>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</si>
  <si>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</si>
  <si>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</si>
  <si>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</si>
  <si>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</si>
  <si>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</si>
  <si>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</si>
  <si>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</si>
  <si>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</si>
  <si>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</si>
  <si>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</si>
  <si>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</si>
  <si>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</si>
  <si>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</si>
  <si>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</si>
  <si>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</si>
  <si>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</si>
  <si>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</si>
  <si>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</si>
  <si>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</si>
  <si>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</si>
  <si>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</si>
  <si>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</si>
  <si>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</si>
  <si>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</si>
  <si>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</si>
  <si>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</si>
  <si>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</si>
  <si>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</si>
  <si>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</si>
  <si>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</si>
  <si>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</si>
  <si>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</si>
  <si>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P005639</t>
  </si>
  <si>
    <t>Копченые колбасы «Сервелат Финский» Весовой фиброуз ТМ «Вязанка»</t>
  </si>
  <si>
    <t>ЕАЭС N RU Д-RU.РА04.В.47637/26</t>
  </si>
  <si>
    <t>SU004044</t>
  </si>
  <si>
    <t>P005376</t>
  </si>
  <si>
    <t>ЕАЭС N RU Д-RU.РА11.В.22922/25</t>
  </si>
  <si>
    <t>P005637</t>
  </si>
  <si>
    <t>Копченые колбасы «Сервелат Ореховый» Весовой фиброуз ТМ «Вязанка»</t>
  </si>
  <si>
    <t>ЕАЭС N RU Д-RU.РА04.В.47654/26</t>
  </si>
  <si>
    <t>SU003753</t>
  </si>
  <si>
    <t>P004725</t>
  </si>
  <si>
    <t>ЕАЭС N RU Д-RU.РА08.В.64180/25</t>
  </si>
  <si>
    <t>P005665</t>
  </si>
  <si>
    <t>Копченые колбасы «Балыковая » Фикс.вес 0,09 нарезка ТМ «Вязанка»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</si>
  <si>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</si>
  <si>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</si>
  <si>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</si>
  <si>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</si>
  <si>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</si>
  <si>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</si>
  <si>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</si>
  <si>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P005638</t>
  </si>
  <si>
    <t>Копченые колбасы «Сервелат Финский» Фикс.вес 0,28 фиброуз срез ТМ «Вязанка»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</si>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</sst>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2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37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Fill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Fill="1" applyBorder="1" applyAlignment="1" applyProtection="1">
      <alignment wrapText="1"/>
      <protection hidden="1"/>
    </xf>
    <xf numFmtId="0" fontId="909" fillId="0" borderId="0" xfId="0" applyFont="1"/>
    <xf numFmtId="0" fontId="911" fillId="0" borderId="11" xfId="0" applyFont="1" applyFill="1" applyBorder="1" applyAlignment="1" applyProtection="1">
      <alignment wrapText="1"/>
      <protection hidden="1"/>
    </xf>
    <xf numFmtId="0" fontId="912" fillId="0" borderId="0" xfId="0" applyFont="1"/>
    <xf numFmtId="0" fontId="914" fillId="0" borderId="11" xfId="0" applyFont="1" applyFill="1" applyBorder="1" applyAlignment="1" applyProtection="1">
      <alignment wrapText="1"/>
      <protection hidden="1"/>
    </xf>
    <xf numFmtId="0" fontId="915" fillId="0" borderId="0" xfId="0" applyFont="1"/>
    <xf numFmtId="0" fontId="917" fillId="0" borderId="11" xfId="0" applyFont="1" applyFill="1" applyBorder="1" applyAlignment="1" applyProtection="1">
      <alignment wrapText="1"/>
      <protection hidden="1"/>
    </xf>
    <xf numFmtId="0" fontId="918" fillId="0" borderId="0" xfId="0" applyFont="1"/>
    <xf numFmtId="0" fontId="920" fillId="0" borderId="11" xfId="0" applyFont="1" applyFill="1" applyBorder="1" applyAlignment="1" applyProtection="1">
      <alignment wrapText="1"/>
      <protection hidden="1"/>
    </xf>
    <xf numFmtId="0" fontId="921" fillId="0" borderId="0" xfId="0" applyFont="1"/>
    <xf numFmtId="0" fontId="923" fillId="0" borderId="11" xfId="0" applyFont="1" applyFill="1" applyBorder="1" applyAlignment="1" applyProtection="1">
      <alignment wrapText="1"/>
      <protection hidden="1"/>
    </xf>
    <xf numFmtId="0" fontId="924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898" fillId="0" borderId="45" xfId="0" applyFont="1" applyFill="1" applyBorder="1" applyAlignment="1">
      <alignment horizontal="left" vertical="center" wrapText="1"/>
    </xf>
    <xf numFmtId="0" fontId="901" fillId="0" borderId="45" xfId="0" applyFont="1" applyFill="1" applyBorder="1" applyAlignment="1">
      <alignment horizontal="left" vertical="center" wrapText="1"/>
    </xf>
    <xf numFmtId="0" fontId="904" fillId="0" borderId="45" xfId="0" applyFont="1" applyFill="1" applyBorder="1" applyAlignment="1">
      <alignment horizontal="left" vertical="center" wrapText="1"/>
    </xf>
    <xf numFmtId="0" fontId="907" fillId="0" borderId="45" xfId="0" applyFont="1" applyFill="1" applyBorder="1" applyAlignment="1">
      <alignment horizontal="left" vertical="center" wrapText="1"/>
    </xf>
    <xf numFmtId="0" fontId="910" fillId="0" borderId="45" xfId="0" applyFont="1" applyFill="1" applyBorder="1" applyAlignment="1">
      <alignment horizontal="left" vertical="center" wrapText="1"/>
    </xf>
    <xf numFmtId="0" fontId="913" fillId="0" borderId="45" xfId="0" applyFont="1" applyFill="1" applyBorder="1" applyAlignment="1">
      <alignment horizontal="left" vertical="center" wrapText="1"/>
    </xf>
    <xf numFmtId="0" fontId="916" fillId="0" borderId="45" xfId="0" applyFont="1" applyFill="1" applyBorder="1" applyAlignment="1">
      <alignment horizontal="left" vertical="center" wrapText="1"/>
    </xf>
    <xf numFmtId="0" fontId="919" fillId="0" borderId="45" xfId="0" applyFont="1" applyFill="1" applyBorder="1" applyAlignment="1">
      <alignment horizontal="left" vertical="center" wrapText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922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4"/>
  <sheetViews>
    <sheetView showGridLines="0" tabSelected="1" zoomScaleNormal="100" zoomScaleSheetLayoutView="100" workbookViewId="0">
      <selection activeCell="AA47" sqref="AA47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62" t="s">
        <v>26</v>
      </c>
      <c r="E1" s="662"/>
      <c r="F1" s="662"/>
      <c r="G1" s="14" t="s">
        <v>67</v>
      </c>
      <c r="H1" s="662" t="s">
        <v>47</v>
      </c>
      <c r="I1" s="662"/>
      <c r="J1" s="662"/>
      <c r="K1" s="662"/>
      <c r="L1" s="662"/>
      <c r="M1" s="662"/>
      <c r="N1" s="662"/>
      <c r="O1" s="662"/>
      <c r="P1" s="662"/>
      <c r="Q1" s="662"/>
      <c r="R1" s="663" t="s">
        <v>68</v>
      </c>
      <c r="S1" s="664"/>
      <c r="T1" s="664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6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65"/>
      <c r="R2" s="665"/>
      <c r="S2" s="665"/>
      <c r="T2" s="665"/>
      <c r="U2" s="665"/>
      <c r="V2" s="665"/>
      <c r="W2" s="665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65"/>
      <c r="Q3" s="665"/>
      <c r="R3" s="665"/>
      <c r="S3" s="665"/>
      <c r="T3" s="665"/>
      <c r="U3" s="665"/>
      <c r="V3" s="665"/>
      <c r="W3" s="665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66" t="s">
        <v>8</v>
      </c>
      <c r="B5" s="666"/>
      <c r="C5" s="666"/>
      <c r="D5" s="667"/>
      <c r="E5" s="667"/>
      <c r="F5" s="668" t="s">
        <v>14</v>
      </c>
      <c r="G5" s="668"/>
      <c r="H5" s="667" t="s">
        <v>909</v>
      </c>
      <c r="I5" s="667"/>
      <c r="J5" s="667"/>
      <c r="K5" s="667"/>
      <c r="L5" s="667"/>
      <c r="M5" s="667"/>
      <c r="N5" s="72"/>
      <c r="P5" s="27" t="s">
        <v>4</v>
      </c>
      <c r="Q5" s="669">
        <v>46278</v>
      </c>
      <c r="R5" s="669"/>
      <c r="T5" s="670" t="s">
        <v>3</v>
      </c>
      <c r="U5" s="671"/>
      <c r="V5" s="672" t="s">
        <v>890</v>
      </c>
      <c r="W5" s="673"/>
      <c r="AB5" s="59"/>
      <c r="AC5" s="59"/>
      <c r="AD5" s="59"/>
      <c r="AE5" s="59"/>
    </row>
    <row r="6" spans="1:32" s="17" customFormat="1" ht="24" customHeight="1" x14ac:dyDescent="0.2">
      <c r="A6" s="666" t="s">
        <v>1</v>
      </c>
      <c r="B6" s="666"/>
      <c r="C6" s="666"/>
      <c r="D6" s="674" t="s">
        <v>891</v>
      </c>
      <c r="E6" s="674"/>
      <c r="F6" s="674"/>
      <c r="G6" s="674"/>
      <c r="H6" s="674"/>
      <c r="I6" s="674"/>
      <c r="J6" s="674"/>
      <c r="K6" s="674"/>
      <c r="L6" s="674"/>
      <c r="M6" s="674"/>
      <c r="N6" s="73"/>
      <c r="P6" s="27" t="s">
        <v>27</v>
      </c>
      <c r="Q6" s="675" t="str">
        <f>IF(Q5=0," ",CHOOSE(WEEKDAY(Q5,2),"Понедельник","Вторник","Среда","Четверг","Пятница","Суббота","Воскресенье"))</f>
        <v>Воскресенье</v>
      </c>
      <c r="R6" s="675"/>
      <c r="T6" s="676" t="s">
        <v>5</v>
      </c>
      <c r="U6" s="677"/>
      <c r="V6" s="678" t="s">
        <v>70</v>
      </c>
      <c r="W6" s="679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84" t="str">
        <f>IFERROR(VLOOKUP(DeliveryAddress,Table,3,0),1)</f>
        <v>1</v>
      </c>
      <c r="E7" s="685"/>
      <c r="F7" s="685"/>
      <c r="G7" s="685"/>
      <c r="H7" s="685"/>
      <c r="I7" s="685"/>
      <c r="J7" s="685"/>
      <c r="K7" s="685"/>
      <c r="L7" s="685"/>
      <c r="M7" s="686"/>
      <c r="N7" s="74"/>
      <c r="P7" s="29"/>
      <c r="Q7" s="48"/>
      <c r="R7" s="48"/>
      <c r="T7" s="676"/>
      <c r="U7" s="677"/>
      <c r="V7" s="680"/>
      <c r="W7" s="681"/>
      <c r="AB7" s="59"/>
      <c r="AC7" s="59"/>
      <c r="AD7" s="59"/>
      <c r="AE7" s="59"/>
    </row>
    <row r="8" spans="1:32" s="17" customFormat="1" ht="25.5" customHeight="1" x14ac:dyDescent="0.2">
      <c r="A8" s="687" t="s">
        <v>58</v>
      </c>
      <c r="B8" s="687"/>
      <c r="C8" s="687"/>
      <c r="D8" s="688"/>
      <c r="E8" s="688"/>
      <c r="F8" s="688"/>
      <c r="G8" s="688"/>
      <c r="H8" s="688"/>
      <c r="I8" s="688"/>
      <c r="J8" s="688"/>
      <c r="K8" s="688"/>
      <c r="L8" s="688"/>
      <c r="M8" s="688"/>
      <c r="N8" s="75"/>
      <c r="P8" s="27" t="s">
        <v>11</v>
      </c>
      <c r="Q8" s="689">
        <v>8.3333333333333329E-2</v>
      </c>
      <c r="R8" s="689"/>
      <c r="T8" s="676"/>
      <c r="U8" s="677"/>
      <c r="V8" s="680"/>
      <c r="W8" s="681"/>
      <c r="AB8" s="59"/>
      <c r="AC8" s="59"/>
      <c r="AD8" s="59"/>
      <c r="AE8" s="59"/>
    </row>
    <row r="9" spans="1:32" s="17" customFormat="1" ht="39.950000000000003" customHeight="1" x14ac:dyDescent="0.2">
      <c r="A9" s="69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90"/>
      <c r="C9" s="690"/>
      <c r="D9" s="691" t="s">
        <v>46</v>
      </c>
      <c r="E9" s="692"/>
      <c r="F9" s="69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90"/>
      <c r="H9" s="693" t="str">
        <f>IF(AND($A$9="Тип доверенности/получателя при получении в адресе перегруза:",$D$9="Разовая доверенность"),"Введите ФИО","")</f>
        <v/>
      </c>
      <c r="I9" s="693"/>
      <c r="J9" s="69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93"/>
      <c r="L9" s="693"/>
      <c r="M9" s="693"/>
      <c r="N9" s="70"/>
      <c r="P9" s="31" t="s">
        <v>15</v>
      </c>
      <c r="Q9" s="694"/>
      <c r="R9" s="694"/>
      <c r="T9" s="676"/>
      <c r="U9" s="677"/>
      <c r="V9" s="682"/>
      <c r="W9" s="683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9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90"/>
      <c r="C10" s="690"/>
      <c r="D10" s="691"/>
      <c r="E10" s="692"/>
      <c r="F10" s="69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90"/>
      <c r="H10" s="695" t="str">
        <f>IFERROR(VLOOKUP($D$10,Proxy,2,FALSE),"")</f>
        <v/>
      </c>
      <c r="I10" s="695"/>
      <c r="J10" s="695"/>
      <c r="K10" s="695"/>
      <c r="L10" s="695"/>
      <c r="M10" s="695"/>
      <c r="N10" s="71"/>
      <c r="P10" s="31" t="s">
        <v>32</v>
      </c>
      <c r="Q10" s="696"/>
      <c r="R10" s="696"/>
      <c r="U10" s="29" t="s">
        <v>12</v>
      </c>
      <c r="V10" s="697" t="s">
        <v>71</v>
      </c>
      <c r="W10" s="698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99"/>
      <c r="R11" s="699"/>
      <c r="U11" s="29" t="s">
        <v>28</v>
      </c>
      <c r="V11" s="700" t="s">
        <v>55</v>
      </c>
      <c r="W11" s="700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701" t="s">
        <v>72</v>
      </c>
      <c r="B12" s="701"/>
      <c r="C12" s="701"/>
      <c r="D12" s="701"/>
      <c r="E12" s="701"/>
      <c r="F12" s="701"/>
      <c r="G12" s="701"/>
      <c r="H12" s="701"/>
      <c r="I12" s="701"/>
      <c r="J12" s="701"/>
      <c r="K12" s="701"/>
      <c r="L12" s="701"/>
      <c r="M12" s="701"/>
      <c r="N12" s="76"/>
      <c r="P12" s="27" t="s">
        <v>30</v>
      </c>
      <c r="Q12" s="689"/>
      <c r="R12" s="689"/>
      <c r="S12" s="28"/>
      <c r="T12"/>
      <c r="U12" s="29" t="s">
        <v>46</v>
      </c>
      <c r="V12" s="702"/>
      <c r="W12" s="702"/>
      <c r="X12"/>
      <c r="AB12" s="59"/>
      <c r="AC12" s="59"/>
      <c r="AD12" s="59"/>
      <c r="AE12" s="59"/>
    </row>
    <row r="13" spans="1:32" s="17" customFormat="1" ht="23.25" customHeight="1" x14ac:dyDescent="0.2">
      <c r="A13" s="701" t="s">
        <v>73</v>
      </c>
      <c r="B13" s="701"/>
      <c r="C13" s="701"/>
      <c r="D13" s="701"/>
      <c r="E13" s="701"/>
      <c r="F13" s="701"/>
      <c r="G13" s="701"/>
      <c r="H13" s="701"/>
      <c r="I13" s="701"/>
      <c r="J13" s="701"/>
      <c r="K13" s="701"/>
      <c r="L13" s="701"/>
      <c r="M13" s="701"/>
      <c r="N13" s="76"/>
      <c r="O13" s="31"/>
      <c r="P13" s="31" t="s">
        <v>31</v>
      </c>
      <c r="Q13" s="700"/>
      <c r="R13" s="700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701" t="s">
        <v>74</v>
      </c>
      <c r="B14" s="701"/>
      <c r="C14" s="701"/>
      <c r="D14" s="701"/>
      <c r="E14" s="701"/>
      <c r="F14" s="701"/>
      <c r="G14" s="701"/>
      <c r="H14" s="701"/>
      <c r="I14" s="701"/>
      <c r="J14" s="701"/>
      <c r="K14" s="701"/>
      <c r="L14" s="701"/>
      <c r="M14" s="701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703" t="s">
        <v>75</v>
      </c>
      <c r="B15" s="703"/>
      <c r="C15" s="703"/>
      <c r="D15" s="703"/>
      <c r="E15" s="703"/>
      <c r="F15" s="703"/>
      <c r="G15" s="703"/>
      <c r="H15" s="703"/>
      <c r="I15" s="703"/>
      <c r="J15" s="703"/>
      <c r="K15" s="703"/>
      <c r="L15" s="703"/>
      <c r="M15" s="703"/>
      <c r="N15" s="77"/>
      <c r="O15"/>
      <c r="P15" s="704" t="s">
        <v>61</v>
      </c>
      <c r="Q15" s="704"/>
      <c r="R15" s="704"/>
      <c r="S15" s="704"/>
      <c r="T15" s="704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705"/>
      <c r="Q16" s="705"/>
      <c r="R16" s="705"/>
      <c r="S16" s="705"/>
      <c r="T16" s="705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708" t="s">
        <v>59</v>
      </c>
      <c r="B17" s="708" t="s">
        <v>49</v>
      </c>
      <c r="C17" s="710" t="s">
        <v>48</v>
      </c>
      <c r="D17" s="712" t="s">
        <v>50</v>
      </c>
      <c r="E17" s="713"/>
      <c r="F17" s="708" t="s">
        <v>21</v>
      </c>
      <c r="G17" s="708" t="s">
        <v>24</v>
      </c>
      <c r="H17" s="708" t="s">
        <v>22</v>
      </c>
      <c r="I17" s="708" t="s">
        <v>23</v>
      </c>
      <c r="J17" s="708" t="s">
        <v>16</v>
      </c>
      <c r="K17" s="708" t="s">
        <v>66</v>
      </c>
      <c r="L17" s="708" t="s">
        <v>64</v>
      </c>
      <c r="M17" s="708" t="s">
        <v>2</v>
      </c>
      <c r="N17" s="708" t="s">
        <v>63</v>
      </c>
      <c r="O17" s="708" t="s">
        <v>25</v>
      </c>
      <c r="P17" s="712" t="s">
        <v>17</v>
      </c>
      <c r="Q17" s="716"/>
      <c r="R17" s="716"/>
      <c r="S17" s="716"/>
      <c r="T17" s="713"/>
      <c r="U17" s="706" t="s">
        <v>56</v>
      </c>
      <c r="V17" s="707"/>
      <c r="W17" s="708" t="s">
        <v>6</v>
      </c>
      <c r="X17" s="708" t="s">
        <v>41</v>
      </c>
      <c r="Y17" s="718" t="s">
        <v>54</v>
      </c>
      <c r="Z17" s="720" t="s">
        <v>18</v>
      </c>
      <c r="AA17" s="722" t="s">
        <v>60</v>
      </c>
      <c r="AB17" s="722" t="s">
        <v>19</v>
      </c>
      <c r="AC17" s="722" t="s">
        <v>65</v>
      </c>
      <c r="AD17" s="724" t="s">
        <v>57</v>
      </c>
      <c r="AE17" s="725"/>
      <c r="AF17" s="726"/>
      <c r="AG17" s="82"/>
      <c r="BD17" s="81" t="s">
        <v>62</v>
      </c>
    </row>
    <row r="18" spans="1:68" ht="14.25" customHeight="1" x14ac:dyDescent="0.2">
      <c r="A18" s="709"/>
      <c r="B18" s="709"/>
      <c r="C18" s="711"/>
      <c r="D18" s="714"/>
      <c r="E18" s="715"/>
      <c r="F18" s="709"/>
      <c r="G18" s="709"/>
      <c r="H18" s="709"/>
      <c r="I18" s="709"/>
      <c r="J18" s="709"/>
      <c r="K18" s="709"/>
      <c r="L18" s="709"/>
      <c r="M18" s="709"/>
      <c r="N18" s="709"/>
      <c r="O18" s="709"/>
      <c r="P18" s="714"/>
      <c r="Q18" s="717"/>
      <c r="R18" s="717"/>
      <c r="S18" s="717"/>
      <c r="T18" s="715"/>
      <c r="U18" s="83" t="s">
        <v>44</v>
      </c>
      <c r="V18" s="83" t="s">
        <v>43</v>
      </c>
      <c r="W18" s="709"/>
      <c r="X18" s="709"/>
      <c r="Y18" s="719"/>
      <c r="Z18" s="721"/>
      <c r="AA18" s="723"/>
      <c r="AB18" s="723"/>
      <c r="AC18" s="723"/>
      <c r="AD18" s="727"/>
      <c r="AE18" s="728"/>
      <c r="AF18" s="729"/>
      <c r="AG18" s="82"/>
      <c r="BD18" s="81"/>
    </row>
    <row r="19" spans="1:68" ht="27.75" hidden="1" customHeight="1" x14ac:dyDescent="0.2">
      <c r="A19" s="730" t="s">
        <v>76</v>
      </c>
      <c r="B19" s="730"/>
      <c r="C19" s="730"/>
      <c r="D19" s="730"/>
      <c r="E19" s="730"/>
      <c r="F19" s="730"/>
      <c r="G19" s="730"/>
      <c r="H19" s="730"/>
      <c r="I19" s="730"/>
      <c r="J19" s="730"/>
      <c r="K19" s="730"/>
      <c r="L19" s="730"/>
      <c r="M19" s="730"/>
      <c r="N19" s="730"/>
      <c r="O19" s="730"/>
      <c r="P19" s="730"/>
      <c r="Q19" s="730"/>
      <c r="R19" s="730"/>
      <c r="S19" s="730"/>
      <c r="T19" s="730"/>
      <c r="U19" s="730"/>
      <c r="V19" s="730"/>
      <c r="W19" s="730"/>
      <c r="X19" s="730"/>
      <c r="Y19" s="730"/>
      <c r="Z19" s="730"/>
      <c r="AA19" s="54"/>
      <c r="AB19" s="54"/>
      <c r="AC19" s="54"/>
    </row>
    <row r="20" spans="1:68" ht="16.5" hidden="1" customHeight="1" x14ac:dyDescent="0.25">
      <c r="A20" s="731" t="s">
        <v>76</v>
      </c>
      <c r="B20" s="731"/>
      <c r="C20" s="731"/>
      <c r="D20" s="731"/>
      <c r="E20" s="731"/>
      <c r="F20" s="731"/>
      <c r="G20" s="731"/>
      <c r="H20" s="731"/>
      <c r="I20" s="731"/>
      <c r="J20" s="731"/>
      <c r="K20" s="731"/>
      <c r="L20" s="731"/>
      <c r="M20" s="731"/>
      <c r="N20" s="731"/>
      <c r="O20" s="731"/>
      <c r="P20" s="731"/>
      <c r="Q20" s="731"/>
      <c r="R20" s="731"/>
      <c r="S20" s="731"/>
      <c r="T20" s="731"/>
      <c r="U20" s="731"/>
      <c r="V20" s="731"/>
      <c r="W20" s="731"/>
      <c r="X20" s="731"/>
      <c r="Y20" s="731"/>
      <c r="Z20" s="731"/>
      <c r="AA20" s="65"/>
      <c r="AB20" s="65"/>
      <c r="AC20" s="79"/>
    </row>
    <row r="21" spans="1:68" ht="14.25" hidden="1" customHeight="1" x14ac:dyDescent="0.25">
      <c r="A21" s="732" t="s">
        <v>77</v>
      </c>
      <c r="B21" s="732"/>
      <c r="C21" s="732"/>
      <c r="D21" s="732"/>
      <c r="E21" s="732"/>
      <c r="F21" s="732"/>
      <c r="G21" s="732"/>
      <c r="H21" s="732"/>
      <c r="I21" s="732"/>
      <c r="J21" s="732"/>
      <c r="K21" s="732"/>
      <c r="L21" s="732"/>
      <c r="M21" s="732"/>
      <c r="N21" s="732"/>
      <c r="O21" s="732"/>
      <c r="P21" s="732"/>
      <c r="Q21" s="732"/>
      <c r="R21" s="732"/>
      <c r="S21" s="732"/>
      <c r="T21" s="732"/>
      <c r="U21" s="732"/>
      <c r="V21" s="732"/>
      <c r="W21" s="732"/>
      <c r="X21" s="732"/>
      <c r="Y21" s="732"/>
      <c r="Z21" s="732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733">
        <v>4680115886643</v>
      </c>
      <c r="E22" s="733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734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35"/>
      <c r="R22" s="735"/>
      <c r="S22" s="735"/>
      <c r="T22" s="736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733">
        <v>4680115889071</v>
      </c>
      <c r="E23" s="733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737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35"/>
      <c r="R23" s="735"/>
      <c r="S23" s="735"/>
      <c r="T23" s="736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741"/>
      <c r="B24" s="741"/>
      <c r="C24" s="741"/>
      <c r="D24" s="741"/>
      <c r="E24" s="741"/>
      <c r="F24" s="741"/>
      <c r="G24" s="741"/>
      <c r="H24" s="741"/>
      <c r="I24" s="741"/>
      <c r="J24" s="741"/>
      <c r="K24" s="741"/>
      <c r="L24" s="741"/>
      <c r="M24" s="741"/>
      <c r="N24" s="741"/>
      <c r="O24" s="742"/>
      <c r="P24" s="738" t="s">
        <v>40</v>
      </c>
      <c r="Q24" s="739"/>
      <c r="R24" s="739"/>
      <c r="S24" s="739"/>
      <c r="T24" s="739"/>
      <c r="U24" s="739"/>
      <c r="V24" s="740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741"/>
      <c r="B25" s="741"/>
      <c r="C25" s="741"/>
      <c r="D25" s="741"/>
      <c r="E25" s="741"/>
      <c r="F25" s="741"/>
      <c r="G25" s="741"/>
      <c r="H25" s="741"/>
      <c r="I25" s="741"/>
      <c r="J25" s="741"/>
      <c r="K25" s="741"/>
      <c r="L25" s="741"/>
      <c r="M25" s="741"/>
      <c r="N25" s="741"/>
      <c r="O25" s="742"/>
      <c r="P25" s="738" t="s">
        <v>40</v>
      </c>
      <c r="Q25" s="739"/>
      <c r="R25" s="739"/>
      <c r="S25" s="739"/>
      <c r="T25" s="739"/>
      <c r="U25" s="739"/>
      <c r="V25" s="740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732" t="s">
        <v>86</v>
      </c>
      <c r="B26" s="732"/>
      <c r="C26" s="732"/>
      <c r="D26" s="732"/>
      <c r="E26" s="732"/>
      <c r="F26" s="732"/>
      <c r="G26" s="732"/>
      <c r="H26" s="732"/>
      <c r="I26" s="732"/>
      <c r="J26" s="732"/>
      <c r="K26" s="732"/>
      <c r="L26" s="732"/>
      <c r="M26" s="732"/>
      <c r="N26" s="732"/>
      <c r="O26" s="732"/>
      <c r="P26" s="732"/>
      <c r="Q26" s="732"/>
      <c r="R26" s="732"/>
      <c r="S26" s="732"/>
      <c r="T26" s="732"/>
      <c r="U26" s="732"/>
      <c r="V26" s="732"/>
      <c r="W26" s="732"/>
      <c r="X26" s="732"/>
      <c r="Y26" s="732"/>
      <c r="Z26" s="732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733">
        <v>4680115885912</v>
      </c>
      <c r="E27" s="733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74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35"/>
      <c r="R27" s="735"/>
      <c r="S27" s="735"/>
      <c r="T27" s="736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733">
        <v>4607091388237</v>
      </c>
      <c r="E28" s="733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74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35"/>
      <c r="R28" s="735"/>
      <c r="S28" s="735"/>
      <c r="T28" s="736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733">
        <v>4680115887350</v>
      </c>
      <c r="E29" s="733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745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35"/>
      <c r="R29" s="735"/>
      <c r="S29" s="735"/>
      <c r="T29" s="736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733">
        <v>4680115885905</v>
      </c>
      <c r="E30" s="733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74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35"/>
      <c r="R30" s="735"/>
      <c r="S30" s="735"/>
      <c r="T30" s="736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733">
        <v>4680115887619</v>
      </c>
      <c r="E31" s="733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747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35"/>
      <c r="R31" s="735"/>
      <c r="S31" s="735"/>
      <c r="T31" s="736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741"/>
      <c r="B32" s="741"/>
      <c r="C32" s="741"/>
      <c r="D32" s="741"/>
      <c r="E32" s="741"/>
      <c r="F32" s="741"/>
      <c r="G32" s="741"/>
      <c r="H32" s="741"/>
      <c r="I32" s="741"/>
      <c r="J32" s="741"/>
      <c r="K32" s="741"/>
      <c r="L32" s="741"/>
      <c r="M32" s="741"/>
      <c r="N32" s="741"/>
      <c r="O32" s="742"/>
      <c r="P32" s="738" t="s">
        <v>40</v>
      </c>
      <c r="Q32" s="739"/>
      <c r="R32" s="739"/>
      <c r="S32" s="739"/>
      <c r="T32" s="739"/>
      <c r="U32" s="739"/>
      <c r="V32" s="740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741"/>
      <c r="B33" s="741"/>
      <c r="C33" s="741"/>
      <c r="D33" s="741"/>
      <c r="E33" s="741"/>
      <c r="F33" s="741"/>
      <c r="G33" s="741"/>
      <c r="H33" s="741"/>
      <c r="I33" s="741"/>
      <c r="J33" s="741"/>
      <c r="K33" s="741"/>
      <c r="L33" s="741"/>
      <c r="M33" s="741"/>
      <c r="N33" s="741"/>
      <c r="O33" s="742"/>
      <c r="P33" s="738" t="s">
        <v>40</v>
      </c>
      <c r="Q33" s="739"/>
      <c r="R33" s="739"/>
      <c r="S33" s="739"/>
      <c r="T33" s="739"/>
      <c r="U33" s="739"/>
      <c r="V33" s="740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730" t="s">
        <v>45</v>
      </c>
      <c r="B34" s="730"/>
      <c r="C34" s="730"/>
      <c r="D34" s="730"/>
      <c r="E34" s="730"/>
      <c r="F34" s="730"/>
      <c r="G34" s="730"/>
      <c r="H34" s="730"/>
      <c r="I34" s="730"/>
      <c r="J34" s="730"/>
      <c r="K34" s="730"/>
      <c r="L34" s="730"/>
      <c r="M34" s="730"/>
      <c r="N34" s="730"/>
      <c r="O34" s="730"/>
      <c r="P34" s="730"/>
      <c r="Q34" s="730"/>
      <c r="R34" s="730"/>
      <c r="S34" s="730"/>
      <c r="T34" s="730"/>
      <c r="U34" s="730"/>
      <c r="V34" s="730"/>
      <c r="W34" s="730"/>
      <c r="X34" s="730"/>
      <c r="Y34" s="730"/>
      <c r="Z34" s="730"/>
      <c r="AA34" s="54"/>
      <c r="AB34" s="54"/>
      <c r="AC34" s="54"/>
    </row>
    <row r="35" spans="1:68" ht="16.5" hidden="1" customHeight="1" x14ac:dyDescent="0.25">
      <c r="A35" s="731" t="s">
        <v>104</v>
      </c>
      <c r="B35" s="731"/>
      <c r="C35" s="731"/>
      <c r="D35" s="731"/>
      <c r="E35" s="731"/>
      <c r="F35" s="731"/>
      <c r="G35" s="731"/>
      <c r="H35" s="731"/>
      <c r="I35" s="731"/>
      <c r="J35" s="731"/>
      <c r="K35" s="731"/>
      <c r="L35" s="731"/>
      <c r="M35" s="731"/>
      <c r="N35" s="731"/>
      <c r="O35" s="731"/>
      <c r="P35" s="731"/>
      <c r="Q35" s="731"/>
      <c r="R35" s="731"/>
      <c r="S35" s="731"/>
      <c r="T35" s="731"/>
      <c r="U35" s="731"/>
      <c r="V35" s="731"/>
      <c r="W35" s="731"/>
      <c r="X35" s="731"/>
      <c r="Y35" s="731"/>
      <c r="Z35" s="731"/>
      <c r="AA35" s="65"/>
      <c r="AB35" s="65"/>
      <c r="AC35" s="79"/>
    </row>
    <row r="36" spans="1:68" ht="14.25" hidden="1" customHeight="1" x14ac:dyDescent="0.25">
      <c r="A36" s="732" t="s">
        <v>86</v>
      </c>
      <c r="B36" s="732"/>
      <c r="C36" s="732"/>
      <c r="D36" s="732"/>
      <c r="E36" s="732"/>
      <c r="F36" s="732"/>
      <c r="G36" s="732"/>
      <c r="H36" s="732"/>
      <c r="I36" s="732"/>
      <c r="J36" s="732"/>
      <c r="K36" s="732"/>
      <c r="L36" s="732"/>
      <c r="M36" s="732"/>
      <c r="N36" s="732"/>
      <c r="O36" s="732"/>
      <c r="P36" s="732"/>
      <c r="Q36" s="732"/>
      <c r="R36" s="732"/>
      <c r="S36" s="732"/>
      <c r="T36" s="732"/>
      <c r="U36" s="732"/>
      <c r="V36" s="732"/>
      <c r="W36" s="732"/>
      <c r="X36" s="732"/>
      <c r="Y36" s="732"/>
      <c r="Z36" s="732"/>
      <c r="AA36" s="66"/>
      <c r="AB36" s="66"/>
      <c r="AC36" s="80"/>
    </row>
    <row r="37" spans="1:68" ht="27" hidden="1" customHeight="1" x14ac:dyDescent="0.25">
      <c r="A37" s="63" t="s">
        <v>105</v>
      </c>
      <c r="B37" s="63" t="s">
        <v>106</v>
      </c>
      <c r="C37" s="36">
        <v>4301052187</v>
      </c>
      <c r="D37" s="733">
        <v>4680115889354</v>
      </c>
      <c r="E37" s="733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748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735"/>
      <c r="R37" s="735"/>
      <c r="S37" s="735"/>
      <c r="T37" s="736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108</v>
      </c>
      <c r="B38" s="63" t="s">
        <v>109</v>
      </c>
      <c r="C38" s="36">
        <v>4301052198</v>
      </c>
      <c r="D38" s="733">
        <v>4680115888463</v>
      </c>
      <c r="E38" s="733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749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735"/>
      <c r="R38" s="735"/>
      <c r="S38" s="735"/>
      <c r="T38" s="736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111</v>
      </c>
      <c r="B39" s="63" t="s">
        <v>112</v>
      </c>
      <c r="C39" s="36">
        <v>4301052259</v>
      </c>
      <c r="D39" s="733">
        <v>4680115889590</v>
      </c>
      <c r="E39" s="733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750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735"/>
      <c r="R39" s="735"/>
      <c r="S39" s="735"/>
      <c r="T39" s="736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114</v>
      </c>
      <c r="B40" s="63" t="s">
        <v>115</v>
      </c>
      <c r="C40" s="36">
        <v>4301052184</v>
      </c>
      <c r="D40" s="733">
        <v>4680115888272</v>
      </c>
      <c r="E40" s="733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751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735"/>
      <c r="R40" s="735"/>
      <c r="S40" s="735"/>
      <c r="T40" s="736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117</v>
      </c>
      <c r="B41" s="63" t="s">
        <v>118</v>
      </c>
      <c r="C41" s="36">
        <v>4301052188</v>
      </c>
      <c r="D41" s="733">
        <v>4680115888364</v>
      </c>
      <c r="E41" s="733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752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735"/>
      <c r="R41" s="735"/>
      <c r="S41" s="735"/>
      <c r="T41" s="736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741"/>
      <c r="B42" s="741"/>
      <c r="C42" s="741"/>
      <c r="D42" s="741"/>
      <c r="E42" s="741"/>
      <c r="F42" s="741"/>
      <c r="G42" s="741"/>
      <c r="H42" s="741"/>
      <c r="I42" s="741"/>
      <c r="J42" s="741"/>
      <c r="K42" s="741"/>
      <c r="L42" s="741"/>
      <c r="M42" s="741"/>
      <c r="N42" s="741"/>
      <c r="O42" s="742"/>
      <c r="P42" s="738" t="s">
        <v>40</v>
      </c>
      <c r="Q42" s="739"/>
      <c r="R42" s="739"/>
      <c r="S42" s="739"/>
      <c r="T42" s="739"/>
      <c r="U42" s="739"/>
      <c r="V42" s="740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741"/>
      <c r="B43" s="741"/>
      <c r="C43" s="741"/>
      <c r="D43" s="741"/>
      <c r="E43" s="741"/>
      <c r="F43" s="741"/>
      <c r="G43" s="741"/>
      <c r="H43" s="741"/>
      <c r="I43" s="741"/>
      <c r="J43" s="741"/>
      <c r="K43" s="741"/>
      <c r="L43" s="741"/>
      <c r="M43" s="741"/>
      <c r="N43" s="741"/>
      <c r="O43" s="742"/>
      <c r="P43" s="738" t="s">
        <v>40</v>
      </c>
      <c r="Q43" s="739"/>
      <c r="R43" s="739"/>
      <c r="S43" s="739"/>
      <c r="T43" s="739"/>
      <c r="U43" s="739"/>
      <c r="V43" s="740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730" t="s">
        <v>120</v>
      </c>
      <c r="B44" s="730"/>
      <c r="C44" s="730"/>
      <c r="D44" s="730"/>
      <c r="E44" s="730"/>
      <c r="F44" s="730"/>
      <c r="G44" s="730"/>
      <c r="H44" s="730"/>
      <c r="I44" s="730"/>
      <c r="J44" s="730"/>
      <c r="K44" s="730"/>
      <c r="L44" s="730"/>
      <c r="M44" s="730"/>
      <c r="N44" s="730"/>
      <c r="O44" s="730"/>
      <c r="P44" s="730"/>
      <c r="Q44" s="730"/>
      <c r="R44" s="730"/>
      <c r="S44" s="730"/>
      <c r="T44" s="730"/>
      <c r="U44" s="730"/>
      <c r="V44" s="730"/>
      <c r="W44" s="730"/>
      <c r="X44" s="730"/>
      <c r="Y44" s="730"/>
      <c r="Z44" s="730"/>
      <c r="AA44" s="54"/>
      <c r="AB44" s="54"/>
      <c r="AC44" s="54"/>
    </row>
    <row r="45" spans="1:68" ht="16.5" hidden="1" customHeight="1" x14ac:dyDescent="0.25">
      <c r="A45" s="731" t="s">
        <v>121</v>
      </c>
      <c r="B45" s="731"/>
      <c r="C45" s="731"/>
      <c r="D45" s="731"/>
      <c r="E45" s="731"/>
      <c r="F45" s="731"/>
      <c r="G45" s="731"/>
      <c r="H45" s="731"/>
      <c r="I45" s="731"/>
      <c r="J45" s="731"/>
      <c r="K45" s="731"/>
      <c r="L45" s="731"/>
      <c r="M45" s="731"/>
      <c r="N45" s="731"/>
      <c r="O45" s="731"/>
      <c r="P45" s="731"/>
      <c r="Q45" s="731"/>
      <c r="R45" s="731"/>
      <c r="S45" s="731"/>
      <c r="T45" s="731"/>
      <c r="U45" s="731"/>
      <c r="V45" s="731"/>
      <c r="W45" s="731"/>
      <c r="X45" s="731"/>
      <c r="Y45" s="731"/>
      <c r="Z45" s="731"/>
      <c r="AA45" s="65"/>
      <c r="AB45" s="65"/>
      <c r="AC45" s="79"/>
    </row>
    <row r="46" spans="1:68" ht="14.25" hidden="1" customHeight="1" x14ac:dyDescent="0.25">
      <c r="A46" s="732" t="s">
        <v>122</v>
      </c>
      <c r="B46" s="732"/>
      <c r="C46" s="732"/>
      <c r="D46" s="732"/>
      <c r="E46" s="732"/>
      <c r="F46" s="732"/>
      <c r="G46" s="732"/>
      <c r="H46" s="732"/>
      <c r="I46" s="732"/>
      <c r="J46" s="732"/>
      <c r="K46" s="732"/>
      <c r="L46" s="732"/>
      <c r="M46" s="732"/>
      <c r="N46" s="732"/>
      <c r="O46" s="732"/>
      <c r="P46" s="732"/>
      <c r="Q46" s="732"/>
      <c r="R46" s="732"/>
      <c r="S46" s="732"/>
      <c r="T46" s="732"/>
      <c r="U46" s="732"/>
      <c r="V46" s="732"/>
      <c r="W46" s="732"/>
      <c r="X46" s="732"/>
      <c r="Y46" s="732"/>
      <c r="Z46" s="732"/>
      <c r="AA46" s="66"/>
      <c r="AB46" s="66"/>
      <c r="AC46" s="80"/>
    </row>
    <row r="47" spans="1:68" ht="16.5" customHeight="1" x14ac:dyDescent="0.25">
      <c r="A47" s="63" t="s">
        <v>123</v>
      </c>
      <c r="B47" s="63" t="s">
        <v>124</v>
      </c>
      <c r="C47" s="36">
        <v>4301011380</v>
      </c>
      <c r="D47" s="733">
        <v>4607091385670</v>
      </c>
      <c r="E47" s="733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75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735"/>
      <c r="R47" s="735"/>
      <c r="S47" s="735"/>
      <c r="T47" s="736"/>
      <c r="U47" s="39" t="s">
        <v>46</v>
      </c>
      <c r="V47" s="39" t="s">
        <v>46</v>
      </c>
      <c r="W47" s="40" t="s">
        <v>0</v>
      </c>
      <c r="X47" s="58">
        <v>150</v>
      </c>
      <c r="Y47" s="55">
        <f>IFERROR(IF(X47="",0,CEILING((X47/$H47),1)*$H47),"")</f>
        <v>151.20000000000002</v>
      </c>
      <c r="Z47" s="41">
        <f>IFERROR(IF(Y47=0,"",ROUNDUP(Y47/H47,0)*0.01898),"")</f>
        <v>0.26572000000000001</v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155.69444444444446</v>
      </c>
      <c r="BN47" s="78">
        <f>IFERROR(Y47*I47/H47,"0")</f>
        <v>156.94</v>
      </c>
      <c r="BO47" s="78">
        <f>IFERROR(1/J47*(X47/H47),"0")</f>
        <v>0.21701388888888887</v>
      </c>
      <c r="BP47" s="78">
        <f>IFERROR(1/J47*(Y47/H47),"0")</f>
        <v>0.21875</v>
      </c>
    </row>
    <row r="48" spans="1:68" ht="27" hidden="1" customHeight="1" x14ac:dyDescent="0.25">
      <c r="A48" s="63" t="s">
        <v>128</v>
      </c>
      <c r="B48" s="63" t="s">
        <v>129</v>
      </c>
      <c r="C48" s="36">
        <v>4301012053</v>
      </c>
      <c r="D48" s="733">
        <v>4680115887725</v>
      </c>
      <c r="E48" s="733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754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735"/>
      <c r="R48" s="735"/>
      <c r="S48" s="735"/>
      <c r="T48" s="736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customHeight="1" x14ac:dyDescent="0.25">
      <c r="A49" s="63" t="s">
        <v>132</v>
      </c>
      <c r="B49" s="63" t="s">
        <v>133</v>
      </c>
      <c r="C49" s="36">
        <v>4301011382</v>
      </c>
      <c r="D49" s="733">
        <v>4607091385687</v>
      </c>
      <c r="E49" s="733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755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735"/>
      <c r="R49" s="735"/>
      <c r="S49" s="735"/>
      <c r="T49" s="736"/>
      <c r="U49" s="39" t="s">
        <v>46</v>
      </c>
      <c r="V49" s="39" t="s">
        <v>46</v>
      </c>
      <c r="W49" s="40" t="s">
        <v>0</v>
      </c>
      <c r="X49" s="58">
        <v>160</v>
      </c>
      <c r="Y49" s="55">
        <f>IFERROR(IF(X49="",0,CEILING((X49/$H49),1)*$H49),"")</f>
        <v>160</v>
      </c>
      <c r="Z49" s="41">
        <f>IFERROR(IF(Y49=0,"",ROUNDUP(Y49/H49,0)*0.00902),"")</f>
        <v>0.36080000000000001</v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167.60000000000002</v>
      </c>
      <c r="BN49" s="78">
        <f>IFERROR(Y49*I49/H49,"0")</f>
        <v>167.60000000000002</v>
      </c>
      <c r="BO49" s="78">
        <f>IFERROR(1/J49*(X49/H49),"0")</f>
        <v>0.30303030303030304</v>
      </c>
      <c r="BP49" s="78">
        <f>IFERROR(1/J49*(Y49/H49),"0")</f>
        <v>0.30303030303030304</v>
      </c>
    </row>
    <row r="50" spans="1:68" ht="27" hidden="1" customHeight="1" x14ac:dyDescent="0.25">
      <c r="A50" s="63" t="s">
        <v>135</v>
      </c>
      <c r="B50" s="63" t="s">
        <v>136</v>
      </c>
      <c r="C50" s="36">
        <v>4301011565</v>
      </c>
      <c r="D50" s="733">
        <v>4680115882539</v>
      </c>
      <c r="E50" s="733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756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735"/>
      <c r="R50" s="735"/>
      <c r="S50" s="735"/>
      <c r="T50" s="736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x14ac:dyDescent="0.2">
      <c r="A51" s="741"/>
      <c r="B51" s="741"/>
      <c r="C51" s="741"/>
      <c r="D51" s="741"/>
      <c r="E51" s="741"/>
      <c r="F51" s="741"/>
      <c r="G51" s="741"/>
      <c r="H51" s="741"/>
      <c r="I51" s="741"/>
      <c r="J51" s="741"/>
      <c r="K51" s="741"/>
      <c r="L51" s="741"/>
      <c r="M51" s="741"/>
      <c r="N51" s="741"/>
      <c r="O51" s="742"/>
      <c r="P51" s="738" t="s">
        <v>40</v>
      </c>
      <c r="Q51" s="739"/>
      <c r="R51" s="739"/>
      <c r="S51" s="739"/>
      <c r="T51" s="739"/>
      <c r="U51" s="739"/>
      <c r="V51" s="740"/>
      <c r="W51" s="42" t="s">
        <v>39</v>
      </c>
      <c r="X51" s="43">
        <f>IFERROR(X47/H47,"0")+IFERROR(X48/H48,"0")+IFERROR(X49/H49,"0")+IFERROR(X50/H50,"0")</f>
        <v>53.888888888888886</v>
      </c>
      <c r="Y51" s="43">
        <f>IFERROR(Y47/H47,"0")+IFERROR(Y48/H48,"0")+IFERROR(Y49/H49,"0")+IFERROR(Y50/H50,"0")</f>
        <v>54</v>
      </c>
      <c r="Z51" s="43">
        <f>IFERROR(IF(Z47="",0,Z47),"0")+IFERROR(IF(Z48="",0,Z48),"0")+IFERROR(IF(Z49="",0,Z49),"0")+IFERROR(IF(Z50="",0,Z50),"0")</f>
        <v>0.62651999999999997</v>
      </c>
      <c r="AA51" s="67"/>
      <c r="AB51" s="67"/>
      <c r="AC51" s="67"/>
    </row>
    <row r="52" spans="1:68" x14ac:dyDescent="0.2">
      <c r="A52" s="741"/>
      <c r="B52" s="741"/>
      <c r="C52" s="741"/>
      <c r="D52" s="741"/>
      <c r="E52" s="741"/>
      <c r="F52" s="741"/>
      <c r="G52" s="741"/>
      <c r="H52" s="741"/>
      <c r="I52" s="741"/>
      <c r="J52" s="741"/>
      <c r="K52" s="741"/>
      <c r="L52" s="741"/>
      <c r="M52" s="741"/>
      <c r="N52" s="741"/>
      <c r="O52" s="742"/>
      <c r="P52" s="738" t="s">
        <v>40</v>
      </c>
      <c r="Q52" s="739"/>
      <c r="R52" s="739"/>
      <c r="S52" s="739"/>
      <c r="T52" s="739"/>
      <c r="U52" s="739"/>
      <c r="V52" s="740"/>
      <c r="W52" s="42" t="s">
        <v>0</v>
      </c>
      <c r="X52" s="43">
        <f>IFERROR(SUM(X47:X50),"0")</f>
        <v>310</v>
      </c>
      <c r="Y52" s="43">
        <f>IFERROR(SUM(Y47:Y50),"0")</f>
        <v>311.20000000000005</v>
      </c>
      <c r="Z52" s="42"/>
      <c r="AA52" s="67"/>
      <c r="AB52" s="67"/>
      <c r="AC52" s="67"/>
    </row>
    <row r="53" spans="1:68" ht="16.5" hidden="1" customHeight="1" x14ac:dyDescent="0.25">
      <c r="A53" s="731" t="s">
        <v>137</v>
      </c>
      <c r="B53" s="731"/>
      <c r="C53" s="731"/>
      <c r="D53" s="731"/>
      <c r="E53" s="731"/>
      <c r="F53" s="731"/>
      <c r="G53" s="731"/>
      <c r="H53" s="731"/>
      <c r="I53" s="731"/>
      <c r="J53" s="731"/>
      <c r="K53" s="731"/>
      <c r="L53" s="731"/>
      <c r="M53" s="731"/>
      <c r="N53" s="731"/>
      <c r="O53" s="731"/>
      <c r="P53" s="731"/>
      <c r="Q53" s="731"/>
      <c r="R53" s="731"/>
      <c r="S53" s="731"/>
      <c r="T53" s="731"/>
      <c r="U53" s="731"/>
      <c r="V53" s="731"/>
      <c r="W53" s="731"/>
      <c r="X53" s="731"/>
      <c r="Y53" s="731"/>
      <c r="Z53" s="731"/>
      <c r="AA53" s="65"/>
      <c r="AB53" s="65"/>
      <c r="AC53" s="79"/>
    </row>
    <row r="54" spans="1:68" ht="14.25" hidden="1" customHeight="1" x14ac:dyDescent="0.25">
      <c r="A54" s="732" t="s">
        <v>122</v>
      </c>
      <c r="B54" s="732"/>
      <c r="C54" s="732"/>
      <c r="D54" s="732"/>
      <c r="E54" s="732"/>
      <c r="F54" s="732"/>
      <c r="G54" s="732"/>
      <c r="H54" s="732"/>
      <c r="I54" s="732"/>
      <c r="J54" s="732"/>
      <c r="K54" s="732"/>
      <c r="L54" s="732"/>
      <c r="M54" s="732"/>
      <c r="N54" s="732"/>
      <c r="O54" s="732"/>
      <c r="P54" s="732"/>
      <c r="Q54" s="732"/>
      <c r="R54" s="732"/>
      <c r="S54" s="732"/>
      <c r="T54" s="732"/>
      <c r="U54" s="732"/>
      <c r="V54" s="732"/>
      <c r="W54" s="732"/>
      <c r="X54" s="732"/>
      <c r="Y54" s="732"/>
      <c r="Z54" s="732"/>
      <c r="AA54" s="66"/>
      <c r="AB54" s="66"/>
      <c r="AC54" s="80"/>
    </row>
    <row r="55" spans="1:68" ht="27" hidden="1" customHeight="1" x14ac:dyDescent="0.25">
      <c r="A55" s="63" t="s">
        <v>138</v>
      </c>
      <c r="B55" s="63" t="s">
        <v>139</v>
      </c>
      <c r="C55" s="36">
        <v>4301012161</v>
      </c>
      <c r="D55" s="733">
        <v>4680115885882</v>
      </c>
      <c r="E55" s="733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126</v>
      </c>
      <c r="N55" s="38"/>
      <c r="O55" s="37">
        <v>50</v>
      </c>
      <c r="P55" s="757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735"/>
      <c r="R55" s="735"/>
      <c r="S55" s="735"/>
      <c r="T55" s="736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0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0" si="1">IFERROR(X55*I55/H55,"0")</f>
        <v>0</v>
      </c>
      <c r="BN55" s="78">
        <f t="shared" ref="BN55:BN60" si="2">IFERROR(Y55*I55/H55,"0")</f>
        <v>0</v>
      </c>
      <c r="BO55" s="78">
        <f t="shared" ref="BO55:BO60" si="3">IFERROR(1/J55*(X55/H55),"0")</f>
        <v>0</v>
      </c>
      <c r="BP55" s="78">
        <f t="shared" ref="BP55:BP60" si="4">IFERROR(1/J55*(Y55/H55),"0")</f>
        <v>0</v>
      </c>
    </row>
    <row r="56" spans="1:68" ht="27" hidden="1" customHeight="1" x14ac:dyDescent="0.25">
      <c r="A56" s="63" t="s">
        <v>141</v>
      </c>
      <c r="B56" s="63" t="s">
        <v>142</v>
      </c>
      <c r="C56" s="36">
        <v>4301011816</v>
      </c>
      <c r="D56" s="733">
        <v>4680115881426</v>
      </c>
      <c r="E56" s="733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758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735"/>
      <c r="R56" s="735"/>
      <c r="S56" s="735"/>
      <c r="T56" s="736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143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hidden="1" customHeight="1" x14ac:dyDescent="0.25">
      <c r="A57" s="63" t="s">
        <v>144</v>
      </c>
      <c r="B57" s="63" t="s">
        <v>145</v>
      </c>
      <c r="C57" s="36">
        <v>4301012259</v>
      </c>
      <c r="D57" s="733">
        <v>4680115880283</v>
      </c>
      <c r="E57" s="733"/>
      <c r="F57" s="62">
        <v>0.6</v>
      </c>
      <c r="G57" s="37">
        <v>8</v>
      </c>
      <c r="H57" s="62">
        <v>4.8</v>
      </c>
      <c r="I57" s="62">
        <v>4.99</v>
      </c>
      <c r="J57" s="37">
        <v>132</v>
      </c>
      <c r="K57" s="37" t="s">
        <v>134</v>
      </c>
      <c r="L57" s="37" t="s">
        <v>46</v>
      </c>
      <c r="M57" s="38" t="s">
        <v>126</v>
      </c>
      <c r="N57" s="38"/>
      <c r="O57" s="37">
        <v>45</v>
      </c>
      <c r="P57" s="759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735"/>
      <c r="R57" s="735"/>
      <c r="S57" s="735"/>
      <c r="T57" s="736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IFERROR(IF(Y57=0,"",ROUNDUP(Y57/H57,0)*0.00902),"")</f>
        <v/>
      </c>
      <c r="AA57" s="68" t="s">
        <v>46</v>
      </c>
      <c r="AB57" s="69" t="s">
        <v>46</v>
      </c>
      <c r="AC57" s="122" t="s">
        <v>146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147</v>
      </c>
      <c r="B58" s="63" t="s">
        <v>148</v>
      </c>
      <c r="C58" s="36">
        <v>4301011806</v>
      </c>
      <c r="D58" s="733">
        <v>4680115881525</v>
      </c>
      <c r="E58" s="733"/>
      <c r="F58" s="62">
        <v>0.4</v>
      </c>
      <c r="G58" s="37">
        <v>10</v>
      </c>
      <c r="H58" s="62">
        <v>4</v>
      </c>
      <c r="I58" s="62">
        <v>4.1900000000000004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50</v>
      </c>
      <c r="P58" s="760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735"/>
      <c r="R58" s="735"/>
      <c r="S58" s="735"/>
      <c r="T58" s="736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149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150</v>
      </c>
      <c r="B59" s="63" t="s">
        <v>151</v>
      </c>
      <c r="C59" s="36">
        <v>4301012165</v>
      </c>
      <c r="D59" s="733">
        <v>4680115885899</v>
      </c>
      <c r="E59" s="733"/>
      <c r="F59" s="62">
        <v>0.35</v>
      </c>
      <c r="G59" s="37">
        <v>6</v>
      </c>
      <c r="H59" s="62">
        <v>2.1</v>
      </c>
      <c r="I59" s="62">
        <v>2.2799999999999998</v>
      </c>
      <c r="J59" s="37">
        <v>182</v>
      </c>
      <c r="K59" s="37" t="s">
        <v>91</v>
      </c>
      <c r="L59" s="37" t="s">
        <v>46</v>
      </c>
      <c r="M59" s="38" t="s">
        <v>126</v>
      </c>
      <c r="N59" s="38"/>
      <c r="O59" s="37">
        <v>50</v>
      </c>
      <c r="P59" s="761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59" s="735"/>
      <c r="R59" s="735"/>
      <c r="S59" s="735"/>
      <c r="T59" s="736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IFERROR(IF(Y59=0,"",ROUNDUP(Y59/H59,0)*0.00651),"")</f>
        <v/>
      </c>
      <c r="AA59" s="68" t="s">
        <v>46</v>
      </c>
      <c r="AB59" s="69" t="s">
        <v>46</v>
      </c>
      <c r="AC59" s="126" t="s">
        <v>140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37.5" customHeight="1" x14ac:dyDescent="0.25">
      <c r="A60" s="63" t="s">
        <v>152</v>
      </c>
      <c r="B60" s="63" t="s">
        <v>153</v>
      </c>
      <c r="C60" s="36">
        <v>4301011801</v>
      </c>
      <c r="D60" s="733">
        <v>4680115881419</v>
      </c>
      <c r="E60" s="733"/>
      <c r="F60" s="62">
        <v>0.45</v>
      </c>
      <c r="G60" s="37">
        <v>10</v>
      </c>
      <c r="H60" s="62">
        <v>4.5</v>
      </c>
      <c r="I60" s="62">
        <v>4.6900000000000004</v>
      </c>
      <c r="J60" s="37">
        <v>132</v>
      </c>
      <c r="K60" s="37" t="s">
        <v>134</v>
      </c>
      <c r="L60" s="37" t="s">
        <v>46</v>
      </c>
      <c r="M60" s="38" t="s">
        <v>126</v>
      </c>
      <c r="N60" s="38"/>
      <c r="O60" s="37">
        <v>50</v>
      </c>
      <c r="P60" s="762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0" s="735"/>
      <c r="R60" s="735"/>
      <c r="S60" s="735"/>
      <c r="T60" s="736"/>
      <c r="U60" s="39" t="s">
        <v>46</v>
      </c>
      <c r="V60" s="39" t="s">
        <v>46</v>
      </c>
      <c r="W60" s="40" t="s">
        <v>0</v>
      </c>
      <c r="X60" s="58">
        <v>405</v>
      </c>
      <c r="Y60" s="55">
        <f t="shared" si="0"/>
        <v>405</v>
      </c>
      <c r="Z60" s="41">
        <f>IFERROR(IF(Y60=0,"",ROUNDUP(Y60/H60,0)*0.00902),"")</f>
        <v>0.81180000000000008</v>
      </c>
      <c r="AA60" s="68" t="s">
        <v>46</v>
      </c>
      <c r="AB60" s="69" t="s">
        <v>46</v>
      </c>
      <c r="AC60" s="128" t="s">
        <v>154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422.1</v>
      </c>
      <c r="BN60" s="78">
        <f t="shared" si="2"/>
        <v>422.1</v>
      </c>
      <c r="BO60" s="78">
        <f t="shared" si="3"/>
        <v>0.68181818181818188</v>
      </c>
      <c r="BP60" s="78">
        <f t="shared" si="4"/>
        <v>0.68181818181818188</v>
      </c>
    </row>
    <row r="61" spans="1:68" x14ac:dyDescent="0.2">
      <c r="A61" s="741"/>
      <c r="B61" s="741"/>
      <c r="C61" s="741"/>
      <c r="D61" s="741"/>
      <c r="E61" s="741"/>
      <c r="F61" s="741"/>
      <c r="G61" s="741"/>
      <c r="H61" s="741"/>
      <c r="I61" s="741"/>
      <c r="J61" s="741"/>
      <c r="K61" s="741"/>
      <c r="L61" s="741"/>
      <c r="M61" s="741"/>
      <c r="N61" s="741"/>
      <c r="O61" s="742"/>
      <c r="P61" s="738" t="s">
        <v>40</v>
      </c>
      <c r="Q61" s="739"/>
      <c r="R61" s="739"/>
      <c r="S61" s="739"/>
      <c r="T61" s="739"/>
      <c r="U61" s="739"/>
      <c r="V61" s="740"/>
      <c r="W61" s="42" t="s">
        <v>39</v>
      </c>
      <c r="X61" s="43">
        <f>IFERROR(X55/H55,"0")+IFERROR(X56/H56,"0")+IFERROR(X57/H57,"0")+IFERROR(X58/H58,"0")+IFERROR(X59/H59,"0")+IFERROR(X60/H60,"0")</f>
        <v>90</v>
      </c>
      <c r="Y61" s="43">
        <f>IFERROR(Y55/H55,"0")+IFERROR(Y56/H56,"0")+IFERROR(Y57/H57,"0")+IFERROR(Y58/H58,"0")+IFERROR(Y59/H59,"0")+IFERROR(Y60/H60,"0")</f>
        <v>90</v>
      </c>
      <c r="Z61" s="43">
        <f>IFERROR(IF(Z55="",0,Z55),"0")+IFERROR(IF(Z56="",0,Z56),"0")+IFERROR(IF(Z57="",0,Z57),"0")+IFERROR(IF(Z58="",0,Z58),"0")+IFERROR(IF(Z59="",0,Z59),"0")+IFERROR(IF(Z60="",0,Z60),"0")</f>
        <v>0.81180000000000008</v>
      </c>
      <c r="AA61" s="67"/>
      <c r="AB61" s="67"/>
      <c r="AC61" s="67"/>
    </row>
    <row r="62" spans="1:68" x14ac:dyDescent="0.2">
      <c r="A62" s="741"/>
      <c r="B62" s="741"/>
      <c r="C62" s="741"/>
      <c r="D62" s="741"/>
      <c r="E62" s="741"/>
      <c r="F62" s="741"/>
      <c r="G62" s="741"/>
      <c r="H62" s="741"/>
      <c r="I62" s="741"/>
      <c r="J62" s="741"/>
      <c r="K62" s="741"/>
      <c r="L62" s="741"/>
      <c r="M62" s="741"/>
      <c r="N62" s="741"/>
      <c r="O62" s="742"/>
      <c r="P62" s="738" t="s">
        <v>40</v>
      </c>
      <c r="Q62" s="739"/>
      <c r="R62" s="739"/>
      <c r="S62" s="739"/>
      <c r="T62" s="739"/>
      <c r="U62" s="739"/>
      <c r="V62" s="740"/>
      <c r="W62" s="42" t="s">
        <v>0</v>
      </c>
      <c r="X62" s="43">
        <f>IFERROR(SUM(X55:X60),"0")</f>
        <v>405</v>
      </c>
      <c r="Y62" s="43">
        <f>IFERROR(SUM(Y55:Y60),"0")</f>
        <v>405</v>
      </c>
      <c r="Z62" s="42"/>
      <c r="AA62" s="67"/>
      <c r="AB62" s="67"/>
      <c r="AC62" s="67"/>
    </row>
    <row r="63" spans="1:68" ht="14.25" hidden="1" customHeight="1" x14ac:dyDescent="0.25">
      <c r="A63" s="732" t="s">
        <v>155</v>
      </c>
      <c r="B63" s="732"/>
      <c r="C63" s="732"/>
      <c r="D63" s="732"/>
      <c r="E63" s="732"/>
      <c r="F63" s="732"/>
      <c r="G63" s="732"/>
      <c r="H63" s="732"/>
      <c r="I63" s="732"/>
      <c r="J63" s="732"/>
      <c r="K63" s="732"/>
      <c r="L63" s="732"/>
      <c r="M63" s="732"/>
      <c r="N63" s="732"/>
      <c r="O63" s="732"/>
      <c r="P63" s="732"/>
      <c r="Q63" s="732"/>
      <c r="R63" s="732"/>
      <c r="S63" s="732"/>
      <c r="T63" s="732"/>
      <c r="U63" s="732"/>
      <c r="V63" s="732"/>
      <c r="W63" s="732"/>
      <c r="X63" s="732"/>
      <c r="Y63" s="732"/>
      <c r="Z63" s="732"/>
      <c r="AA63" s="66"/>
      <c r="AB63" s="66"/>
      <c r="AC63" s="80"/>
    </row>
    <row r="64" spans="1:68" ht="16.5" hidden="1" customHeight="1" x14ac:dyDescent="0.25">
      <c r="A64" s="63" t="s">
        <v>156</v>
      </c>
      <c r="B64" s="63" t="s">
        <v>157</v>
      </c>
      <c r="C64" s="36">
        <v>4301020298</v>
      </c>
      <c r="D64" s="733">
        <v>4680115881440</v>
      </c>
      <c r="E64" s="733"/>
      <c r="F64" s="62">
        <v>1.35</v>
      </c>
      <c r="G64" s="37">
        <v>8</v>
      </c>
      <c r="H64" s="62">
        <v>10.8</v>
      </c>
      <c r="I64" s="62">
        <v>11.21</v>
      </c>
      <c r="J64" s="37">
        <v>64</v>
      </c>
      <c r="K64" s="37" t="s">
        <v>127</v>
      </c>
      <c r="L64" s="37" t="s">
        <v>46</v>
      </c>
      <c r="M64" s="38" t="s">
        <v>126</v>
      </c>
      <c r="N64" s="38"/>
      <c r="O64" s="37">
        <v>50</v>
      </c>
      <c r="P64" s="763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4" s="735"/>
      <c r="R64" s="735"/>
      <c r="S64" s="735"/>
      <c r="T64" s="736"/>
      <c r="U64" s="39" t="s">
        <v>46</v>
      </c>
      <c r="V64" s="39" t="s">
        <v>46</v>
      </c>
      <c r="W64" s="40" t="s">
        <v>0</v>
      </c>
      <c r="X64" s="58">
        <v>0</v>
      </c>
      <c r="Y64" s="55">
        <f>IFERROR(IF(X64="",0,CEILING((X64/$H64),1)*$H64),"")</f>
        <v>0</v>
      </c>
      <c r="Z64" s="41" t="str">
        <f>IFERROR(IF(Y64=0,"",ROUNDUP(Y64/H64,0)*0.01898),"")</f>
        <v/>
      </c>
      <c r="AA64" s="68" t="s">
        <v>46</v>
      </c>
      <c r="AB64" s="69" t="s">
        <v>46</v>
      </c>
      <c r="AC64" s="130" t="s">
        <v>158</v>
      </c>
      <c r="AG64" s="78"/>
      <c r="AJ64" s="84" t="s">
        <v>46</v>
      </c>
      <c r="AK64" s="84">
        <v>0</v>
      </c>
      <c r="BB64" s="131" t="s">
        <v>67</v>
      </c>
      <c r="BM64" s="78">
        <f>IFERROR(X64*I64/H64,"0")</f>
        <v>0</v>
      </c>
      <c r="BN64" s="78">
        <f>IFERROR(Y64*I64/H64,"0")</f>
        <v>0</v>
      </c>
      <c r="BO64" s="78">
        <f>IFERROR(1/J64*(X64/H64),"0")</f>
        <v>0</v>
      </c>
      <c r="BP64" s="78">
        <f>IFERROR(1/J64*(Y64/H64),"0")</f>
        <v>0</v>
      </c>
    </row>
    <row r="65" spans="1:68" ht="16.5" hidden="1" customHeight="1" x14ac:dyDescent="0.25">
      <c r="A65" s="63" t="s">
        <v>159</v>
      </c>
      <c r="B65" s="63" t="s">
        <v>160</v>
      </c>
      <c r="C65" s="36">
        <v>4301020358</v>
      </c>
      <c r="D65" s="733">
        <v>4680115885950</v>
      </c>
      <c r="E65" s="733"/>
      <c r="F65" s="62">
        <v>0.37</v>
      </c>
      <c r="G65" s="37">
        <v>6</v>
      </c>
      <c r="H65" s="62">
        <v>2.2200000000000002</v>
      </c>
      <c r="I65" s="62">
        <v>2.4</v>
      </c>
      <c r="J65" s="37">
        <v>182</v>
      </c>
      <c r="K65" s="37" t="s">
        <v>91</v>
      </c>
      <c r="L65" s="37" t="s">
        <v>46</v>
      </c>
      <c r="M65" s="38" t="s">
        <v>90</v>
      </c>
      <c r="N65" s="38"/>
      <c r="O65" s="37">
        <v>50</v>
      </c>
      <c r="P65" s="76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5" s="735"/>
      <c r="R65" s="735"/>
      <c r="S65" s="735"/>
      <c r="T65" s="736"/>
      <c r="U65" s="39" t="s">
        <v>46</v>
      </c>
      <c r="V65" s="39" t="s">
        <v>46</v>
      </c>
      <c r="W65" s="40" t="s">
        <v>0</v>
      </c>
      <c r="X65" s="58">
        <v>0</v>
      </c>
      <c r="Y65" s="55">
        <f>IFERROR(IF(X65="",0,CEILING((X65/$H65),1)*$H65),"")</f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158</v>
      </c>
      <c r="AG65" s="78"/>
      <c r="AJ65" s="84" t="s">
        <v>46</v>
      </c>
      <c r="AK65" s="84">
        <v>0</v>
      </c>
      <c r="BB65" s="133" t="s">
        <v>67</v>
      </c>
      <c r="BM65" s="78">
        <f>IFERROR(X65*I65/H65,"0")</f>
        <v>0</v>
      </c>
      <c r="BN65" s="78">
        <f>IFERROR(Y65*I65/H65,"0")</f>
        <v>0</v>
      </c>
      <c r="BO65" s="78">
        <f>IFERROR(1/J65*(X65/H65),"0")</f>
        <v>0</v>
      </c>
      <c r="BP65" s="78">
        <f>IFERROR(1/J65*(Y65/H65),"0")</f>
        <v>0</v>
      </c>
    </row>
    <row r="66" spans="1:68" ht="16.5" hidden="1" customHeight="1" x14ac:dyDescent="0.25">
      <c r="A66" s="63" t="s">
        <v>161</v>
      </c>
      <c r="B66" s="63" t="s">
        <v>162</v>
      </c>
      <c r="C66" s="36">
        <v>4301020371</v>
      </c>
      <c r="D66" s="733">
        <v>4680115887688</v>
      </c>
      <c r="E66" s="733"/>
      <c r="F66" s="62">
        <v>0.1</v>
      </c>
      <c r="G66" s="37">
        <v>10</v>
      </c>
      <c r="H66" s="62">
        <v>1</v>
      </c>
      <c r="I66" s="62">
        <v>1.21</v>
      </c>
      <c r="J66" s="37">
        <v>192</v>
      </c>
      <c r="K66" s="37" t="s">
        <v>131</v>
      </c>
      <c r="L66" s="37" t="s">
        <v>46</v>
      </c>
      <c r="M66" s="38" t="s">
        <v>81</v>
      </c>
      <c r="N66" s="38"/>
      <c r="O66" s="37">
        <v>30</v>
      </c>
      <c r="P66" s="765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6" s="735"/>
      <c r="R66" s="735"/>
      <c r="S66" s="735"/>
      <c r="T66" s="736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IFERROR(IF(Y66=0,"",ROUNDUP(Y66/H66,0)*0.00726),"")</f>
        <v/>
      </c>
      <c r="AA66" s="68" t="s">
        <v>46</v>
      </c>
      <c r="AB66" s="69" t="s">
        <v>46</v>
      </c>
      <c r="AC66" s="134" t="s">
        <v>163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27" customHeight="1" x14ac:dyDescent="0.25">
      <c r="A67" s="63" t="s">
        <v>164</v>
      </c>
      <c r="B67" s="63" t="s">
        <v>165</v>
      </c>
      <c r="C67" s="36">
        <v>4301020296</v>
      </c>
      <c r="D67" s="733">
        <v>4680115881433</v>
      </c>
      <c r="E67" s="733"/>
      <c r="F67" s="62">
        <v>0.45</v>
      </c>
      <c r="G67" s="37">
        <v>6</v>
      </c>
      <c r="H67" s="62">
        <v>2.7</v>
      </c>
      <c r="I67" s="62">
        <v>2.88</v>
      </c>
      <c r="J67" s="37">
        <v>182</v>
      </c>
      <c r="K67" s="37" t="s">
        <v>91</v>
      </c>
      <c r="L67" s="37" t="s">
        <v>46</v>
      </c>
      <c r="M67" s="38" t="s">
        <v>126</v>
      </c>
      <c r="N67" s="38"/>
      <c r="O67" s="37">
        <v>50</v>
      </c>
      <c r="P67" s="76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7" s="735"/>
      <c r="R67" s="735"/>
      <c r="S67" s="735"/>
      <c r="T67" s="736"/>
      <c r="U67" s="39" t="s">
        <v>46</v>
      </c>
      <c r="V67" s="39" t="s">
        <v>46</v>
      </c>
      <c r="W67" s="40" t="s">
        <v>0</v>
      </c>
      <c r="X67" s="58">
        <v>112.5</v>
      </c>
      <c r="Y67" s="55">
        <f>IFERROR(IF(X67="",0,CEILING((X67/$H67),1)*$H67),"")</f>
        <v>113.4</v>
      </c>
      <c r="Z67" s="41">
        <f>IFERROR(IF(Y67=0,"",ROUNDUP(Y67/H67,0)*0.00651),"")</f>
        <v>0.27342</v>
      </c>
      <c r="AA67" s="68" t="s">
        <v>46</v>
      </c>
      <c r="AB67" s="69" t="s">
        <v>46</v>
      </c>
      <c r="AC67" s="136" t="s">
        <v>158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119.99999999999999</v>
      </c>
      <c r="BN67" s="78">
        <f>IFERROR(Y67*I67/H67,"0")</f>
        <v>120.95999999999998</v>
      </c>
      <c r="BO67" s="78">
        <f>IFERROR(1/J67*(X67/H67),"0")</f>
        <v>0.22893772893772893</v>
      </c>
      <c r="BP67" s="78">
        <f>IFERROR(1/J67*(Y67/H67),"0")</f>
        <v>0.23076923076923078</v>
      </c>
    </row>
    <row r="68" spans="1:68" x14ac:dyDescent="0.2">
      <c r="A68" s="741"/>
      <c r="B68" s="741"/>
      <c r="C68" s="741"/>
      <c r="D68" s="741"/>
      <c r="E68" s="741"/>
      <c r="F68" s="741"/>
      <c r="G68" s="741"/>
      <c r="H68" s="741"/>
      <c r="I68" s="741"/>
      <c r="J68" s="741"/>
      <c r="K68" s="741"/>
      <c r="L68" s="741"/>
      <c r="M68" s="741"/>
      <c r="N68" s="741"/>
      <c r="O68" s="742"/>
      <c r="P68" s="738" t="s">
        <v>40</v>
      </c>
      <c r="Q68" s="739"/>
      <c r="R68" s="739"/>
      <c r="S68" s="739"/>
      <c r="T68" s="739"/>
      <c r="U68" s="739"/>
      <c r="V68" s="740"/>
      <c r="W68" s="42" t="s">
        <v>39</v>
      </c>
      <c r="X68" s="43">
        <f>IFERROR(X64/H64,"0")+IFERROR(X65/H65,"0")+IFERROR(X66/H66,"0")+IFERROR(X67/H67,"0")</f>
        <v>41.666666666666664</v>
      </c>
      <c r="Y68" s="43">
        <f>IFERROR(Y64/H64,"0")+IFERROR(Y65/H65,"0")+IFERROR(Y66/H66,"0")+IFERROR(Y67/H67,"0")</f>
        <v>42</v>
      </c>
      <c r="Z68" s="43">
        <f>IFERROR(IF(Z64="",0,Z64),"0")+IFERROR(IF(Z65="",0,Z65),"0")+IFERROR(IF(Z66="",0,Z66),"0")+IFERROR(IF(Z67="",0,Z67),"0")</f>
        <v>0.27342</v>
      </c>
      <c r="AA68" s="67"/>
      <c r="AB68" s="67"/>
      <c r="AC68" s="67"/>
    </row>
    <row r="69" spans="1:68" x14ac:dyDescent="0.2">
      <c r="A69" s="741"/>
      <c r="B69" s="741"/>
      <c r="C69" s="741"/>
      <c r="D69" s="741"/>
      <c r="E69" s="741"/>
      <c r="F69" s="741"/>
      <c r="G69" s="741"/>
      <c r="H69" s="741"/>
      <c r="I69" s="741"/>
      <c r="J69" s="741"/>
      <c r="K69" s="741"/>
      <c r="L69" s="741"/>
      <c r="M69" s="741"/>
      <c r="N69" s="741"/>
      <c r="O69" s="742"/>
      <c r="P69" s="738" t="s">
        <v>40</v>
      </c>
      <c r="Q69" s="739"/>
      <c r="R69" s="739"/>
      <c r="S69" s="739"/>
      <c r="T69" s="739"/>
      <c r="U69" s="739"/>
      <c r="V69" s="740"/>
      <c r="W69" s="42" t="s">
        <v>0</v>
      </c>
      <c r="X69" s="43">
        <f>IFERROR(SUM(X64:X67),"0")</f>
        <v>112.5</v>
      </c>
      <c r="Y69" s="43">
        <f>IFERROR(SUM(Y64:Y67),"0")</f>
        <v>113.4</v>
      </c>
      <c r="Z69" s="42"/>
      <c r="AA69" s="67"/>
      <c r="AB69" s="67"/>
      <c r="AC69" s="67"/>
    </row>
    <row r="70" spans="1:68" ht="14.25" hidden="1" customHeight="1" x14ac:dyDescent="0.25">
      <c r="A70" s="732" t="s">
        <v>86</v>
      </c>
      <c r="B70" s="732"/>
      <c r="C70" s="732"/>
      <c r="D70" s="732"/>
      <c r="E70" s="732"/>
      <c r="F70" s="732"/>
      <c r="G70" s="732"/>
      <c r="H70" s="732"/>
      <c r="I70" s="732"/>
      <c r="J70" s="732"/>
      <c r="K70" s="732"/>
      <c r="L70" s="732"/>
      <c r="M70" s="732"/>
      <c r="N70" s="732"/>
      <c r="O70" s="732"/>
      <c r="P70" s="732"/>
      <c r="Q70" s="732"/>
      <c r="R70" s="732"/>
      <c r="S70" s="732"/>
      <c r="T70" s="732"/>
      <c r="U70" s="732"/>
      <c r="V70" s="732"/>
      <c r="W70" s="732"/>
      <c r="X70" s="732"/>
      <c r="Y70" s="732"/>
      <c r="Z70" s="732"/>
      <c r="AA70" s="66"/>
      <c r="AB70" s="66"/>
      <c r="AC70" s="80"/>
    </row>
    <row r="71" spans="1:68" ht="16.5" hidden="1" customHeight="1" x14ac:dyDescent="0.25">
      <c r="A71" s="63" t="s">
        <v>166</v>
      </c>
      <c r="B71" s="63" t="s">
        <v>167</v>
      </c>
      <c r="C71" s="36">
        <v>4301051837</v>
      </c>
      <c r="D71" s="733">
        <v>4680115884311</v>
      </c>
      <c r="E71" s="733"/>
      <c r="F71" s="62">
        <v>0.3</v>
      </c>
      <c r="G71" s="37">
        <v>6</v>
      </c>
      <c r="H71" s="62">
        <v>1.8</v>
      </c>
      <c r="I71" s="62">
        <v>2.0459999999999998</v>
      </c>
      <c r="J71" s="37">
        <v>182</v>
      </c>
      <c r="K71" s="37" t="s">
        <v>91</v>
      </c>
      <c r="L71" s="37" t="s">
        <v>46</v>
      </c>
      <c r="M71" s="38" t="s">
        <v>90</v>
      </c>
      <c r="N71" s="38"/>
      <c r="O71" s="37">
        <v>40</v>
      </c>
      <c r="P71" s="767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1" s="735"/>
      <c r="R71" s="735"/>
      <c r="S71" s="735"/>
      <c r="T71" s="736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168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27" hidden="1" customHeight="1" x14ac:dyDescent="0.25">
      <c r="A72" s="63" t="s">
        <v>169</v>
      </c>
      <c r="B72" s="63" t="s">
        <v>170</v>
      </c>
      <c r="C72" s="36">
        <v>4301051929</v>
      </c>
      <c r="D72" s="733">
        <v>4680115884403</v>
      </c>
      <c r="E72" s="733"/>
      <c r="F72" s="62">
        <v>0.3</v>
      </c>
      <c r="G72" s="37">
        <v>6</v>
      </c>
      <c r="H72" s="62">
        <v>1.8</v>
      </c>
      <c r="I72" s="62">
        <v>1.98</v>
      </c>
      <c r="J72" s="37">
        <v>182</v>
      </c>
      <c r="K72" s="37" t="s">
        <v>91</v>
      </c>
      <c r="L72" s="37" t="s">
        <v>46</v>
      </c>
      <c r="M72" s="38" t="s">
        <v>90</v>
      </c>
      <c r="N72" s="38"/>
      <c r="O72" s="37">
        <v>40</v>
      </c>
      <c r="P72" s="768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2" s="735"/>
      <c r="R72" s="735"/>
      <c r="S72" s="735"/>
      <c r="T72" s="736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171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169</v>
      </c>
      <c r="B73" s="63" t="s">
        <v>172</v>
      </c>
      <c r="C73" s="36">
        <v>4301052083</v>
      </c>
      <c r="D73" s="733">
        <v>4680115884403</v>
      </c>
      <c r="E73" s="733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91</v>
      </c>
      <c r="L73" s="37" t="s">
        <v>46</v>
      </c>
      <c r="M73" s="38" t="s">
        <v>90</v>
      </c>
      <c r="N73" s="38"/>
      <c r="O73" s="37">
        <v>40</v>
      </c>
      <c r="P73" s="769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735"/>
      <c r="R73" s="735"/>
      <c r="S73" s="735"/>
      <c r="T73" s="736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171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741"/>
      <c r="B74" s="741"/>
      <c r="C74" s="741"/>
      <c r="D74" s="741"/>
      <c r="E74" s="741"/>
      <c r="F74" s="741"/>
      <c r="G74" s="741"/>
      <c r="H74" s="741"/>
      <c r="I74" s="741"/>
      <c r="J74" s="741"/>
      <c r="K74" s="741"/>
      <c r="L74" s="741"/>
      <c r="M74" s="741"/>
      <c r="N74" s="741"/>
      <c r="O74" s="742"/>
      <c r="P74" s="738" t="s">
        <v>40</v>
      </c>
      <c r="Q74" s="739"/>
      <c r="R74" s="739"/>
      <c r="S74" s="739"/>
      <c r="T74" s="739"/>
      <c r="U74" s="739"/>
      <c r="V74" s="740"/>
      <c r="W74" s="42" t="s">
        <v>39</v>
      </c>
      <c r="X74" s="43">
        <f>IFERROR(X71/H71,"0")+IFERROR(X72/H72,"0")+IFERROR(X73/H73,"0")</f>
        <v>0</v>
      </c>
      <c r="Y74" s="43">
        <f>IFERROR(Y71/H71,"0")+IFERROR(Y72/H72,"0")+IFERROR(Y73/H73,"0")</f>
        <v>0</v>
      </c>
      <c r="Z74" s="43">
        <f>IFERROR(IF(Z71="",0,Z71),"0")+IFERROR(IF(Z72="",0,Z72),"0")+IFERROR(IF(Z73="",0,Z73),"0")</f>
        <v>0</v>
      </c>
      <c r="AA74" s="67"/>
      <c r="AB74" s="67"/>
      <c r="AC74" s="67"/>
    </row>
    <row r="75" spans="1:68" hidden="1" x14ac:dyDescent="0.2">
      <c r="A75" s="741"/>
      <c r="B75" s="741"/>
      <c r="C75" s="741"/>
      <c r="D75" s="741"/>
      <c r="E75" s="741"/>
      <c r="F75" s="741"/>
      <c r="G75" s="741"/>
      <c r="H75" s="741"/>
      <c r="I75" s="741"/>
      <c r="J75" s="741"/>
      <c r="K75" s="741"/>
      <c r="L75" s="741"/>
      <c r="M75" s="741"/>
      <c r="N75" s="741"/>
      <c r="O75" s="742"/>
      <c r="P75" s="738" t="s">
        <v>40</v>
      </c>
      <c r="Q75" s="739"/>
      <c r="R75" s="739"/>
      <c r="S75" s="739"/>
      <c r="T75" s="739"/>
      <c r="U75" s="739"/>
      <c r="V75" s="740"/>
      <c r="W75" s="42" t="s">
        <v>0</v>
      </c>
      <c r="X75" s="43">
        <f>IFERROR(SUM(X71:X73),"0")</f>
        <v>0</v>
      </c>
      <c r="Y75" s="43">
        <f>IFERROR(SUM(Y71:Y73),"0")</f>
        <v>0</v>
      </c>
      <c r="Z75" s="42"/>
      <c r="AA75" s="67"/>
      <c r="AB75" s="67"/>
      <c r="AC75" s="67"/>
    </row>
    <row r="76" spans="1:68" ht="14.25" hidden="1" customHeight="1" x14ac:dyDescent="0.25">
      <c r="A76" s="732" t="s">
        <v>173</v>
      </c>
      <c r="B76" s="732"/>
      <c r="C76" s="732"/>
      <c r="D76" s="732"/>
      <c r="E76" s="732"/>
      <c r="F76" s="732"/>
      <c r="G76" s="732"/>
      <c r="H76" s="732"/>
      <c r="I76" s="732"/>
      <c r="J76" s="732"/>
      <c r="K76" s="732"/>
      <c r="L76" s="732"/>
      <c r="M76" s="732"/>
      <c r="N76" s="732"/>
      <c r="O76" s="732"/>
      <c r="P76" s="732"/>
      <c r="Q76" s="732"/>
      <c r="R76" s="732"/>
      <c r="S76" s="732"/>
      <c r="T76" s="732"/>
      <c r="U76" s="732"/>
      <c r="V76" s="732"/>
      <c r="W76" s="732"/>
      <c r="X76" s="732"/>
      <c r="Y76" s="732"/>
      <c r="Z76" s="732"/>
      <c r="AA76" s="66"/>
      <c r="AB76" s="66"/>
      <c r="AC76" s="80"/>
    </row>
    <row r="77" spans="1:68" ht="27" hidden="1" customHeight="1" x14ac:dyDescent="0.25">
      <c r="A77" s="63" t="s">
        <v>174</v>
      </c>
      <c r="B77" s="63" t="s">
        <v>175</v>
      </c>
      <c r="C77" s="36">
        <v>4301060455</v>
      </c>
      <c r="D77" s="733">
        <v>4680115881532</v>
      </c>
      <c r="E77" s="733"/>
      <c r="F77" s="62">
        <v>1.3</v>
      </c>
      <c r="G77" s="37">
        <v>6</v>
      </c>
      <c r="H77" s="62">
        <v>7.8</v>
      </c>
      <c r="I77" s="62">
        <v>8.2100000000000009</v>
      </c>
      <c r="J77" s="37">
        <v>64</v>
      </c>
      <c r="K77" s="37" t="s">
        <v>127</v>
      </c>
      <c r="L77" s="37" t="s">
        <v>46</v>
      </c>
      <c r="M77" s="38" t="s">
        <v>97</v>
      </c>
      <c r="N77" s="38"/>
      <c r="O77" s="37">
        <v>30</v>
      </c>
      <c r="P77" s="770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735"/>
      <c r="R77" s="735"/>
      <c r="S77" s="735"/>
      <c r="T77" s="736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IFERROR(IF(Y77=0,"",ROUNDUP(Y77/H77,0)*0.01898),"")</f>
        <v/>
      </c>
      <c r="AA77" s="68" t="s">
        <v>46</v>
      </c>
      <c r="AB77" s="69" t="s">
        <v>46</v>
      </c>
      <c r="AC77" s="144" t="s">
        <v>176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174</v>
      </c>
      <c r="B78" s="63" t="s">
        <v>177</v>
      </c>
      <c r="C78" s="36">
        <v>4301060526</v>
      </c>
      <c r="D78" s="733">
        <v>4680115881532</v>
      </c>
      <c r="E78" s="733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127</v>
      </c>
      <c r="L78" s="37" t="s">
        <v>46</v>
      </c>
      <c r="M78" s="38" t="s">
        <v>97</v>
      </c>
      <c r="N78" s="38"/>
      <c r="O78" s="37">
        <v>30</v>
      </c>
      <c r="P78" s="771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735"/>
      <c r="R78" s="735"/>
      <c r="S78" s="735"/>
      <c r="T78" s="736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176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hidden="1" customHeight="1" x14ac:dyDescent="0.25">
      <c r="A79" s="63" t="s">
        <v>178</v>
      </c>
      <c r="B79" s="63" t="s">
        <v>179</v>
      </c>
      <c r="C79" s="36">
        <v>4301060351</v>
      </c>
      <c r="D79" s="733">
        <v>4680115881464</v>
      </c>
      <c r="E79" s="733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134</v>
      </c>
      <c r="L79" s="37" t="s">
        <v>46</v>
      </c>
      <c r="M79" s="38" t="s">
        <v>90</v>
      </c>
      <c r="N79" s="38"/>
      <c r="O79" s="37">
        <v>30</v>
      </c>
      <c r="P79" s="772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735"/>
      <c r="R79" s="735"/>
      <c r="S79" s="735"/>
      <c r="T79" s="736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46</v>
      </c>
      <c r="AB79" s="69" t="s">
        <v>46</v>
      </c>
      <c r="AC79" s="148" t="s">
        <v>180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hidden="1" customHeight="1" x14ac:dyDescent="0.25">
      <c r="A80" s="63" t="s">
        <v>178</v>
      </c>
      <c r="B80" s="63" t="s">
        <v>181</v>
      </c>
      <c r="C80" s="36">
        <v>4301060527</v>
      </c>
      <c r="D80" s="733">
        <v>4680115881464</v>
      </c>
      <c r="E80" s="733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134</v>
      </c>
      <c r="L80" s="37" t="s">
        <v>46</v>
      </c>
      <c r="M80" s="38" t="s">
        <v>90</v>
      </c>
      <c r="N80" s="38"/>
      <c r="O80" s="37">
        <v>30</v>
      </c>
      <c r="P80" s="773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735"/>
      <c r="R80" s="735"/>
      <c r="S80" s="735"/>
      <c r="T80" s="736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46</v>
      </c>
      <c r="AB80" s="69" t="s">
        <v>46</v>
      </c>
      <c r="AC80" s="150" t="s">
        <v>180</v>
      </c>
      <c r="AG80" s="78"/>
      <c r="AJ80" s="84" t="s">
        <v>46</v>
      </c>
      <c r="AK80" s="84">
        <v>0</v>
      </c>
      <c r="BB80" s="151" t="s">
        <v>67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hidden="1" x14ac:dyDescent="0.2">
      <c r="A81" s="741"/>
      <c r="B81" s="741"/>
      <c r="C81" s="741"/>
      <c r="D81" s="741"/>
      <c r="E81" s="741"/>
      <c r="F81" s="741"/>
      <c r="G81" s="741"/>
      <c r="H81" s="741"/>
      <c r="I81" s="741"/>
      <c r="J81" s="741"/>
      <c r="K81" s="741"/>
      <c r="L81" s="741"/>
      <c r="M81" s="741"/>
      <c r="N81" s="741"/>
      <c r="O81" s="742"/>
      <c r="P81" s="738" t="s">
        <v>40</v>
      </c>
      <c r="Q81" s="739"/>
      <c r="R81" s="739"/>
      <c r="S81" s="739"/>
      <c r="T81" s="739"/>
      <c r="U81" s="739"/>
      <c r="V81" s="740"/>
      <c r="W81" s="42" t="s">
        <v>39</v>
      </c>
      <c r="X81" s="43">
        <f>IFERROR(X77/H77,"0")+IFERROR(X78/H78,"0")+IFERROR(X79/H79,"0")+IFERROR(X80/H80,"0")</f>
        <v>0</v>
      </c>
      <c r="Y81" s="43">
        <f>IFERROR(Y77/H77,"0")+IFERROR(Y78/H78,"0")+IFERROR(Y79/H79,"0")+IFERROR(Y80/H80,"0")</f>
        <v>0</v>
      </c>
      <c r="Z81" s="43">
        <f>IFERROR(IF(Z77="",0,Z77),"0")+IFERROR(IF(Z78="",0,Z78),"0")+IFERROR(IF(Z79="",0,Z79),"0")+IFERROR(IF(Z80="",0,Z80),"0")</f>
        <v>0</v>
      </c>
      <c r="AA81" s="67"/>
      <c r="AB81" s="67"/>
      <c r="AC81" s="67"/>
    </row>
    <row r="82" spans="1:68" hidden="1" x14ac:dyDescent="0.2">
      <c r="A82" s="741"/>
      <c r="B82" s="741"/>
      <c r="C82" s="741"/>
      <c r="D82" s="741"/>
      <c r="E82" s="741"/>
      <c r="F82" s="741"/>
      <c r="G82" s="741"/>
      <c r="H82" s="741"/>
      <c r="I82" s="741"/>
      <c r="J82" s="741"/>
      <c r="K82" s="741"/>
      <c r="L82" s="741"/>
      <c r="M82" s="741"/>
      <c r="N82" s="741"/>
      <c r="O82" s="742"/>
      <c r="P82" s="738" t="s">
        <v>40</v>
      </c>
      <c r="Q82" s="739"/>
      <c r="R82" s="739"/>
      <c r="S82" s="739"/>
      <c r="T82" s="739"/>
      <c r="U82" s="739"/>
      <c r="V82" s="740"/>
      <c r="W82" s="42" t="s">
        <v>0</v>
      </c>
      <c r="X82" s="43">
        <f>IFERROR(SUM(X77:X80),"0")</f>
        <v>0</v>
      </c>
      <c r="Y82" s="43">
        <f>IFERROR(SUM(Y77:Y80),"0")</f>
        <v>0</v>
      </c>
      <c r="Z82" s="42"/>
      <c r="AA82" s="67"/>
      <c r="AB82" s="67"/>
      <c r="AC82" s="67"/>
    </row>
    <row r="83" spans="1:68" ht="16.5" hidden="1" customHeight="1" x14ac:dyDescent="0.25">
      <c r="A83" s="731" t="s">
        <v>182</v>
      </c>
      <c r="B83" s="731"/>
      <c r="C83" s="731"/>
      <c r="D83" s="731"/>
      <c r="E83" s="731"/>
      <c r="F83" s="731"/>
      <c r="G83" s="731"/>
      <c r="H83" s="731"/>
      <c r="I83" s="731"/>
      <c r="J83" s="731"/>
      <c r="K83" s="731"/>
      <c r="L83" s="731"/>
      <c r="M83" s="731"/>
      <c r="N83" s="731"/>
      <c r="O83" s="731"/>
      <c r="P83" s="731"/>
      <c r="Q83" s="731"/>
      <c r="R83" s="731"/>
      <c r="S83" s="731"/>
      <c r="T83" s="731"/>
      <c r="U83" s="731"/>
      <c r="V83" s="731"/>
      <c r="W83" s="731"/>
      <c r="X83" s="731"/>
      <c r="Y83" s="731"/>
      <c r="Z83" s="731"/>
      <c r="AA83" s="65"/>
      <c r="AB83" s="65"/>
      <c r="AC83" s="79"/>
    </row>
    <row r="84" spans="1:68" ht="14.25" hidden="1" customHeight="1" x14ac:dyDescent="0.25">
      <c r="A84" s="732" t="s">
        <v>122</v>
      </c>
      <c r="B84" s="732"/>
      <c r="C84" s="732"/>
      <c r="D84" s="732"/>
      <c r="E84" s="732"/>
      <c r="F84" s="732"/>
      <c r="G84" s="732"/>
      <c r="H84" s="732"/>
      <c r="I84" s="732"/>
      <c r="J84" s="732"/>
      <c r="K84" s="732"/>
      <c r="L84" s="732"/>
      <c r="M84" s="732"/>
      <c r="N84" s="732"/>
      <c r="O84" s="732"/>
      <c r="P84" s="732"/>
      <c r="Q84" s="732"/>
      <c r="R84" s="732"/>
      <c r="S84" s="732"/>
      <c r="T84" s="732"/>
      <c r="U84" s="732"/>
      <c r="V84" s="732"/>
      <c r="W84" s="732"/>
      <c r="X84" s="732"/>
      <c r="Y84" s="732"/>
      <c r="Z84" s="732"/>
      <c r="AA84" s="66"/>
      <c r="AB84" s="66"/>
      <c r="AC84" s="80"/>
    </row>
    <row r="85" spans="1:68" ht="27" hidden="1" customHeight="1" x14ac:dyDescent="0.25">
      <c r="A85" s="63" t="s">
        <v>183</v>
      </c>
      <c r="B85" s="63" t="s">
        <v>184</v>
      </c>
      <c r="C85" s="36">
        <v>4301011468</v>
      </c>
      <c r="D85" s="733">
        <v>4680115881327</v>
      </c>
      <c r="E85" s="733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127</v>
      </c>
      <c r="L85" s="37" t="s">
        <v>46</v>
      </c>
      <c r="M85" s="38" t="s">
        <v>97</v>
      </c>
      <c r="N85" s="38"/>
      <c r="O85" s="37">
        <v>50</v>
      </c>
      <c r="P85" s="774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735"/>
      <c r="R85" s="735"/>
      <c r="S85" s="735"/>
      <c r="T85" s="736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IFERROR(IF(Y85=0,"",ROUNDUP(Y85/H85,0)*0.01898),"")</f>
        <v/>
      </c>
      <c r="AA85" s="68" t="s">
        <v>46</v>
      </c>
      <c r="AB85" s="69" t="s">
        <v>46</v>
      </c>
      <c r="AC85" s="152" t="s">
        <v>185</v>
      </c>
      <c r="AG85" s="78"/>
      <c r="AJ85" s="84" t="s">
        <v>46</v>
      </c>
      <c r="AK85" s="84">
        <v>0</v>
      </c>
      <c r="BB85" s="153" t="s">
        <v>67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hidden="1" customHeight="1" x14ac:dyDescent="0.25">
      <c r="A86" s="63" t="s">
        <v>186</v>
      </c>
      <c r="B86" s="63" t="s">
        <v>187</v>
      </c>
      <c r="C86" s="36">
        <v>4301011261</v>
      </c>
      <c r="D86" s="733">
        <v>4680115887732</v>
      </c>
      <c r="E86" s="733"/>
      <c r="F86" s="62">
        <v>0.17</v>
      </c>
      <c r="G86" s="37">
        <v>10</v>
      </c>
      <c r="H86" s="62">
        <v>1.7</v>
      </c>
      <c r="I86" s="62">
        <v>1.8</v>
      </c>
      <c r="J86" s="37">
        <v>192</v>
      </c>
      <c r="K86" s="37" t="s">
        <v>131</v>
      </c>
      <c r="L86" s="37" t="s">
        <v>46</v>
      </c>
      <c r="M86" s="38" t="s">
        <v>81</v>
      </c>
      <c r="N86" s="38"/>
      <c r="O86" s="37">
        <v>30</v>
      </c>
      <c r="P86" s="775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735"/>
      <c r="R86" s="735"/>
      <c r="S86" s="735"/>
      <c r="T86" s="736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IFERROR(IF(Y86=0,"",ROUNDUP(Y86/H86,0)*0.00726),"")</f>
        <v/>
      </c>
      <c r="AA86" s="68" t="s">
        <v>46</v>
      </c>
      <c r="AB86" s="69" t="s">
        <v>46</v>
      </c>
      <c r="AC86" s="154" t="s">
        <v>188</v>
      </c>
      <c r="AG86" s="78"/>
      <c r="AJ86" s="84" t="s">
        <v>46</v>
      </c>
      <c r="AK86" s="84">
        <v>0</v>
      </c>
      <c r="BB86" s="155" t="s">
        <v>67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hidden="1" customHeight="1" x14ac:dyDescent="0.25">
      <c r="A87" s="63" t="s">
        <v>186</v>
      </c>
      <c r="B87" s="63" t="s">
        <v>189</v>
      </c>
      <c r="C87" s="36">
        <v>4301012392</v>
      </c>
      <c r="D87" s="733">
        <v>4680115887732</v>
      </c>
      <c r="E87" s="733"/>
      <c r="F87" s="62">
        <v>0.17</v>
      </c>
      <c r="G87" s="37">
        <v>8</v>
      </c>
      <c r="H87" s="62">
        <v>1.36</v>
      </c>
      <c r="I87" s="62">
        <v>1.54</v>
      </c>
      <c r="J87" s="37">
        <v>192</v>
      </c>
      <c r="K87" s="37" t="s">
        <v>131</v>
      </c>
      <c r="L87" s="37" t="s">
        <v>46</v>
      </c>
      <c r="M87" s="38" t="s">
        <v>81</v>
      </c>
      <c r="N87" s="38"/>
      <c r="O87" s="37">
        <v>30</v>
      </c>
      <c r="P87" s="776" t="s">
        <v>190</v>
      </c>
      <c r="Q87" s="735"/>
      <c r="R87" s="735"/>
      <c r="S87" s="735"/>
      <c r="T87" s="736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IFERROR(IF(Y87=0,"",ROUNDUP(Y87/H87,0)*0.00726),"")</f>
        <v/>
      </c>
      <c r="AA87" s="68" t="s">
        <v>46</v>
      </c>
      <c r="AB87" s="69" t="s">
        <v>46</v>
      </c>
      <c r="AC87" s="156" t="s">
        <v>188</v>
      </c>
      <c r="AG87" s="78"/>
      <c r="AJ87" s="84" t="s">
        <v>46</v>
      </c>
      <c r="AK87" s="84">
        <v>0</v>
      </c>
      <c r="BB87" s="157" t="s">
        <v>67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hidden="1" customHeight="1" x14ac:dyDescent="0.25">
      <c r="A88" s="63" t="s">
        <v>191</v>
      </c>
      <c r="B88" s="63" t="s">
        <v>192</v>
      </c>
      <c r="C88" s="36">
        <v>4301011476</v>
      </c>
      <c r="D88" s="733">
        <v>4680115881518</v>
      </c>
      <c r="E88" s="733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134</v>
      </c>
      <c r="L88" s="37" t="s">
        <v>46</v>
      </c>
      <c r="M88" s="38" t="s">
        <v>90</v>
      </c>
      <c r="N88" s="38"/>
      <c r="O88" s="37">
        <v>50</v>
      </c>
      <c r="P88" s="77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735"/>
      <c r="R88" s="735"/>
      <c r="S88" s="735"/>
      <c r="T88" s="736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IFERROR(IF(Y88=0,"",ROUNDUP(Y88/H88,0)*0.00902),"")</f>
        <v/>
      </c>
      <c r="AA88" s="68" t="s">
        <v>46</v>
      </c>
      <c r="AB88" s="69" t="s">
        <v>46</v>
      </c>
      <c r="AC88" s="158" t="s">
        <v>185</v>
      </c>
      <c r="AG88" s="78"/>
      <c r="AJ88" s="84" t="s">
        <v>46</v>
      </c>
      <c r="AK88" s="84">
        <v>0</v>
      </c>
      <c r="BB88" s="159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customHeight="1" x14ac:dyDescent="0.25">
      <c r="A89" s="63" t="s">
        <v>193</v>
      </c>
      <c r="B89" s="63" t="s">
        <v>194</v>
      </c>
      <c r="C89" s="36">
        <v>4301011443</v>
      </c>
      <c r="D89" s="733">
        <v>4680115881303</v>
      </c>
      <c r="E89" s="733"/>
      <c r="F89" s="62">
        <v>0.45</v>
      </c>
      <c r="G89" s="37">
        <v>10</v>
      </c>
      <c r="H89" s="62">
        <v>4.5</v>
      </c>
      <c r="I89" s="62">
        <v>4.6900000000000004</v>
      </c>
      <c r="J89" s="37">
        <v>132</v>
      </c>
      <c r="K89" s="37" t="s">
        <v>134</v>
      </c>
      <c r="L89" s="37" t="s">
        <v>46</v>
      </c>
      <c r="M89" s="38" t="s">
        <v>97</v>
      </c>
      <c r="N89" s="38"/>
      <c r="O89" s="37">
        <v>50</v>
      </c>
      <c r="P89" s="77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735"/>
      <c r="R89" s="735"/>
      <c r="S89" s="735"/>
      <c r="T89" s="736"/>
      <c r="U89" s="39" t="s">
        <v>46</v>
      </c>
      <c r="V89" s="39" t="s">
        <v>46</v>
      </c>
      <c r="W89" s="40" t="s">
        <v>0</v>
      </c>
      <c r="X89" s="58">
        <v>270</v>
      </c>
      <c r="Y89" s="55">
        <f>IFERROR(IF(X89="",0,CEILING((X89/$H89),1)*$H89),"")</f>
        <v>270</v>
      </c>
      <c r="Z89" s="41">
        <f>IFERROR(IF(Y89=0,"",ROUNDUP(Y89/H89,0)*0.00902),"")</f>
        <v>0.54120000000000001</v>
      </c>
      <c r="AA89" s="68" t="s">
        <v>46</v>
      </c>
      <c r="AB89" s="69" t="s">
        <v>46</v>
      </c>
      <c r="AC89" s="160" t="s">
        <v>185</v>
      </c>
      <c r="AG89" s="78"/>
      <c r="AJ89" s="84" t="s">
        <v>46</v>
      </c>
      <c r="AK89" s="84">
        <v>0</v>
      </c>
      <c r="BB89" s="161" t="s">
        <v>67</v>
      </c>
      <c r="BM89" s="78">
        <f>IFERROR(X89*I89/H89,"0")</f>
        <v>281.40000000000003</v>
      </c>
      <c r="BN89" s="78">
        <f>IFERROR(Y89*I89/H89,"0")</f>
        <v>281.40000000000003</v>
      </c>
      <c r="BO89" s="78">
        <f>IFERROR(1/J89*(X89/H89),"0")</f>
        <v>0.45454545454545459</v>
      </c>
      <c r="BP89" s="78">
        <f>IFERROR(1/J89*(Y89/H89),"0")</f>
        <v>0.45454545454545459</v>
      </c>
    </row>
    <row r="90" spans="1:68" x14ac:dyDescent="0.2">
      <c r="A90" s="741"/>
      <c r="B90" s="741"/>
      <c r="C90" s="741"/>
      <c r="D90" s="741"/>
      <c r="E90" s="741"/>
      <c r="F90" s="741"/>
      <c r="G90" s="741"/>
      <c r="H90" s="741"/>
      <c r="I90" s="741"/>
      <c r="J90" s="741"/>
      <c r="K90" s="741"/>
      <c r="L90" s="741"/>
      <c r="M90" s="741"/>
      <c r="N90" s="741"/>
      <c r="O90" s="742"/>
      <c r="P90" s="738" t="s">
        <v>40</v>
      </c>
      <c r="Q90" s="739"/>
      <c r="R90" s="739"/>
      <c r="S90" s="739"/>
      <c r="T90" s="739"/>
      <c r="U90" s="739"/>
      <c r="V90" s="740"/>
      <c r="W90" s="42" t="s">
        <v>39</v>
      </c>
      <c r="X90" s="43">
        <f>IFERROR(X85/H85,"0")+IFERROR(X86/H86,"0")+IFERROR(X87/H87,"0")+IFERROR(X88/H88,"0")+IFERROR(X89/H89,"0")</f>
        <v>60</v>
      </c>
      <c r="Y90" s="43">
        <f>IFERROR(Y85/H85,"0")+IFERROR(Y86/H86,"0")+IFERROR(Y87/H87,"0")+IFERROR(Y88/H88,"0")+IFERROR(Y89/H89,"0")</f>
        <v>60</v>
      </c>
      <c r="Z90" s="43">
        <f>IFERROR(IF(Z85="",0,Z85),"0")+IFERROR(IF(Z86="",0,Z86),"0")+IFERROR(IF(Z87="",0,Z87),"0")+IFERROR(IF(Z88="",0,Z88),"0")+IFERROR(IF(Z89="",0,Z89),"0")</f>
        <v>0.54120000000000001</v>
      </c>
      <c r="AA90" s="67"/>
      <c r="AB90" s="67"/>
      <c r="AC90" s="67"/>
    </row>
    <row r="91" spans="1:68" x14ac:dyDescent="0.2">
      <c r="A91" s="741"/>
      <c r="B91" s="741"/>
      <c r="C91" s="741"/>
      <c r="D91" s="741"/>
      <c r="E91" s="741"/>
      <c r="F91" s="741"/>
      <c r="G91" s="741"/>
      <c r="H91" s="741"/>
      <c r="I91" s="741"/>
      <c r="J91" s="741"/>
      <c r="K91" s="741"/>
      <c r="L91" s="741"/>
      <c r="M91" s="741"/>
      <c r="N91" s="741"/>
      <c r="O91" s="742"/>
      <c r="P91" s="738" t="s">
        <v>40</v>
      </c>
      <c r="Q91" s="739"/>
      <c r="R91" s="739"/>
      <c r="S91" s="739"/>
      <c r="T91" s="739"/>
      <c r="U91" s="739"/>
      <c r="V91" s="740"/>
      <c r="W91" s="42" t="s">
        <v>0</v>
      </c>
      <c r="X91" s="43">
        <f>IFERROR(SUM(X85:X89),"0")</f>
        <v>270</v>
      </c>
      <c r="Y91" s="43">
        <f>IFERROR(SUM(Y85:Y89),"0")</f>
        <v>270</v>
      </c>
      <c r="Z91" s="42"/>
      <c r="AA91" s="67"/>
      <c r="AB91" s="67"/>
      <c r="AC91" s="67"/>
    </row>
    <row r="92" spans="1:68" ht="14.25" hidden="1" customHeight="1" x14ac:dyDescent="0.25">
      <c r="A92" s="732" t="s">
        <v>86</v>
      </c>
      <c r="B92" s="732"/>
      <c r="C92" s="732"/>
      <c r="D92" s="732"/>
      <c r="E92" s="732"/>
      <c r="F92" s="732"/>
      <c r="G92" s="732"/>
      <c r="H92" s="732"/>
      <c r="I92" s="732"/>
      <c r="J92" s="732"/>
      <c r="K92" s="732"/>
      <c r="L92" s="732"/>
      <c r="M92" s="732"/>
      <c r="N92" s="732"/>
      <c r="O92" s="732"/>
      <c r="P92" s="732"/>
      <c r="Q92" s="732"/>
      <c r="R92" s="732"/>
      <c r="S92" s="732"/>
      <c r="T92" s="732"/>
      <c r="U92" s="732"/>
      <c r="V92" s="732"/>
      <c r="W92" s="732"/>
      <c r="X92" s="732"/>
      <c r="Y92" s="732"/>
      <c r="Z92" s="732"/>
      <c r="AA92" s="66"/>
      <c r="AB92" s="66"/>
      <c r="AC92" s="80"/>
    </row>
    <row r="93" spans="1:68" ht="27" customHeight="1" x14ac:dyDescent="0.25">
      <c r="A93" s="63" t="s">
        <v>195</v>
      </c>
      <c r="B93" s="63" t="s">
        <v>196</v>
      </c>
      <c r="C93" s="36">
        <v>4301051712</v>
      </c>
      <c r="D93" s="733">
        <v>4607091386967</v>
      </c>
      <c r="E93" s="733"/>
      <c r="F93" s="62">
        <v>1.35</v>
      </c>
      <c r="G93" s="37">
        <v>6</v>
      </c>
      <c r="H93" s="62">
        <v>8.1</v>
      </c>
      <c r="I93" s="62">
        <v>8.5939999999999994</v>
      </c>
      <c r="J93" s="37">
        <v>64</v>
      </c>
      <c r="K93" s="37" t="s">
        <v>127</v>
      </c>
      <c r="L93" s="37" t="s">
        <v>46</v>
      </c>
      <c r="M93" s="38" t="s">
        <v>97</v>
      </c>
      <c r="N93" s="38"/>
      <c r="O93" s="37">
        <v>45</v>
      </c>
      <c r="P93" s="779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735"/>
      <c r="R93" s="735"/>
      <c r="S93" s="735"/>
      <c r="T93" s="736"/>
      <c r="U93" s="39" t="s">
        <v>46</v>
      </c>
      <c r="V93" s="39" t="s">
        <v>46</v>
      </c>
      <c r="W93" s="40" t="s">
        <v>0</v>
      </c>
      <c r="X93" s="58">
        <v>200</v>
      </c>
      <c r="Y93" s="55">
        <f t="shared" ref="Y93:Y99" si="5">IFERROR(IF(X93="",0,CEILING((X93/$H93),1)*$H93),"")</f>
        <v>202.5</v>
      </c>
      <c r="Z93" s="41">
        <f>IFERROR(IF(Y93=0,"",ROUNDUP(Y93/H93,0)*0.01898),"")</f>
        <v>0.47450000000000003</v>
      </c>
      <c r="AA93" s="68" t="s">
        <v>46</v>
      </c>
      <c r="AB93" s="69" t="s">
        <v>46</v>
      </c>
      <c r="AC93" s="162" t="s">
        <v>197</v>
      </c>
      <c r="AG93" s="78"/>
      <c r="AJ93" s="84" t="s">
        <v>46</v>
      </c>
      <c r="AK93" s="84">
        <v>0</v>
      </c>
      <c r="BB93" s="163" t="s">
        <v>67</v>
      </c>
      <c r="BM93" s="78">
        <f t="shared" ref="BM93:BM99" si="6">IFERROR(X93*I93/H93,"0")</f>
        <v>212.19753086419755</v>
      </c>
      <c r="BN93" s="78">
        <f t="shared" ref="BN93:BN99" si="7">IFERROR(Y93*I93/H93,"0")</f>
        <v>214.85</v>
      </c>
      <c r="BO93" s="78">
        <f t="shared" ref="BO93:BO99" si="8">IFERROR(1/J93*(X93/H93),"0")</f>
        <v>0.38580246913580246</v>
      </c>
      <c r="BP93" s="78">
        <f t="shared" ref="BP93:BP99" si="9">IFERROR(1/J93*(Y93/H93),"0")</f>
        <v>0.390625</v>
      </c>
    </row>
    <row r="94" spans="1:68" ht="27" hidden="1" customHeight="1" x14ac:dyDescent="0.25">
      <c r="A94" s="63" t="s">
        <v>195</v>
      </c>
      <c r="B94" s="63" t="s">
        <v>198</v>
      </c>
      <c r="C94" s="36">
        <v>4301052101</v>
      </c>
      <c r="D94" s="733">
        <v>4607091386967</v>
      </c>
      <c r="E94" s="733"/>
      <c r="F94" s="62">
        <v>1.35</v>
      </c>
      <c r="G94" s="37">
        <v>6</v>
      </c>
      <c r="H94" s="62">
        <v>8.1</v>
      </c>
      <c r="I94" s="62">
        <v>8.5939999999999994</v>
      </c>
      <c r="J94" s="37">
        <v>64</v>
      </c>
      <c r="K94" s="37" t="s">
        <v>127</v>
      </c>
      <c r="L94" s="37" t="s">
        <v>46</v>
      </c>
      <c r="M94" s="38" t="s">
        <v>97</v>
      </c>
      <c r="N94" s="38"/>
      <c r="O94" s="37">
        <v>45</v>
      </c>
      <c r="P94" s="780" t="s">
        <v>199</v>
      </c>
      <c r="Q94" s="735"/>
      <c r="R94" s="735"/>
      <c r="S94" s="735"/>
      <c r="T94" s="736"/>
      <c r="U94" s="39" t="s">
        <v>46</v>
      </c>
      <c r="V94" s="39" t="s">
        <v>46</v>
      </c>
      <c r="W94" s="40" t="s">
        <v>0</v>
      </c>
      <c r="X94" s="58">
        <v>0</v>
      </c>
      <c r="Y94" s="55">
        <f t="shared" si="5"/>
        <v>0</v>
      </c>
      <c r="Z94" s="41" t="str">
        <f>IFERROR(IF(Y94=0,"",ROUNDUP(Y94/H94,0)*0.01898),"")</f>
        <v/>
      </c>
      <c r="AA94" s="68" t="s">
        <v>46</v>
      </c>
      <c r="AB94" s="69" t="s">
        <v>46</v>
      </c>
      <c r="AC94" s="164" t="s">
        <v>197</v>
      </c>
      <c r="AG94" s="78"/>
      <c r="AJ94" s="84" t="s">
        <v>46</v>
      </c>
      <c r="AK94" s="84">
        <v>0</v>
      </c>
      <c r="BB94" s="165" t="s">
        <v>67</v>
      </c>
      <c r="BM94" s="78">
        <f t="shared" si="6"/>
        <v>0</v>
      </c>
      <c r="BN94" s="78">
        <f t="shared" si="7"/>
        <v>0</v>
      </c>
      <c r="BO94" s="78">
        <f t="shared" si="8"/>
        <v>0</v>
      </c>
      <c r="BP94" s="78">
        <f t="shared" si="9"/>
        <v>0</v>
      </c>
    </row>
    <row r="95" spans="1:68" ht="27" hidden="1" customHeight="1" x14ac:dyDescent="0.25">
      <c r="A95" s="63" t="s">
        <v>200</v>
      </c>
      <c r="B95" s="63" t="s">
        <v>201</v>
      </c>
      <c r="C95" s="36">
        <v>4301051788</v>
      </c>
      <c r="D95" s="733">
        <v>4680115884953</v>
      </c>
      <c r="E95" s="733"/>
      <c r="F95" s="62">
        <v>0.37</v>
      </c>
      <c r="G95" s="37">
        <v>6</v>
      </c>
      <c r="H95" s="62">
        <v>2.2200000000000002</v>
      </c>
      <c r="I95" s="62">
        <v>2.472</v>
      </c>
      <c r="J95" s="37">
        <v>182</v>
      </c>
      <c r="K95" s="37" t="s">
        <v>91</v>
      </c>
      <c r="L95" s="37" t="s">
        <v>46</v>
      </c>
      <c r="M95" s="38" t="s">
        <v>90</v>
      </c>
      <c r="N95" s="38"/>
      <c r="O95" s="37">
        <v>45</v>
      </c>
      <c r="P95" s="781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735"/>
      <c r="R95" s="735"/>
      <c r="S95" s="735"/>
      <c r="T95" s="736"/>
      <c r="U95" s="39" t="s">
        <v>46</v>
      </c>
      <c r="V95" s="39" t="s">
        <v>46</v>
      </c>
      <c r="W95" s="40" t="s">
        <v>0</v>
      </c>
      <c r="X95" s="58">
        <v>0</v>
      </c>
      <c r="Y95" s="55">
        <f t="shared" si="5"/>
        <v>0</v>
      </c>
      <c r="Z95" s="41" t="str">
        <f>IFERROR(IF(Y95=0,"",ROUNDUP(Y95/H95,0)*0.00651),"")</f>
        <v/>
      </c>
      <c r="AA95" s="68" t="s">
        <v>46</v>
      </c>
      <c r="AB95" s="69" t="s">
        <v>46</v>
      </c>
      <c r="AC95" s="166" t="s">
        <v>197</v>
      </c>
      <c r="AG95" s="78"/>
      <c r="AJ95" s="84" t="s">
        <v>46</v>
      </c>
      <c r="AK95" s="84">
        <v>0</v>
      </c>
      <c r="BB95" s="167" t="s">
        <v>67</v>
      </c>
      <c r="BM95" s="78">
        <f t="shared" si="6"/>
        <v>0</v>
      </c>
      <c r="BN95" s="78">
        <f t="shared" si="7"/>
        <v>0</v>
      </c>
      <c r="BO95" s="78">
        <f t="shared" si="8"/>
        <v>0</v>
      </c>
      <c r="BP95" s="78">
        <f t="shared" si="9"/>
        <v>0</v>
      </c>
    </row>
    <row r="96" spans="1:68" ht="27" hidden="1" customHeight="1" x14ac:dyDescent="0.25">
      <c r="A96" s="63" t="s">
        <v>200</v>
      </c>
      <c r="B96" s="63" t="s">
        <v>202</v>
      </c>
      <c r="C96" s="36">
        <v>4301052090</v>
      </c>
      <c r="D96" s="733">
        <v>4680115884953</v>
      </c>
      <c r="E96" s="733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782" t="s">
        <v>203</v>
      </c>
      <c r="Q96" s="735"/>
      <c r="R96" s="735"/>
      <c r="S96" s="735"/>
      <c r="T96" s="736"/>
      <c r="U96" s="39" t="s">
        <v>46</v>
      </c>
      <c r="V96" s="39" t="s">
        <v>46</v>
      </c>
      <c r="W96" s="40" t="s">
        <v>0</v>
      </c>
      <c r="X96" s="58">
        <v>0</v>
      </c>
      <c r="Y96" s="55">
        <f t="shared" si="5"/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8" t="s">
        <v>204</v>
      </c>
      <c r="AG96" s="78"/>
      <c r="AJ96" s="84" t="s">
        <v>46</v>
      </c>
      <c r="AK96" s="84">
        <v>0</v>
      </c>
      <c r="BB96" s="169" t="s">
        <v>67</v>
      </c>
      <c r="BM96" s="78">
        <f t="shared" si="6"/>
        <v>0</v>
      </c>
      <c r="BN96" s="78">
        <f t="shared" si="7"/>
        <v>0</v>
      </c>
      <c r="BO96" s="78">
        <f t="shared" si="8"/>
        <v>0</v>
      </c>
      <c r="BP96" s="78">
        <f t="shared" si="9"/>
        <v>0</v>
      </c>
    </row>
    <row r="97" spans="1:68" ht="27" customHeight="1" x14ac:dyDescent="0.25">
      <c r="A97" s="63" t="s">
        <v>205</v>
      </c>
      <c r="B97" s="63" t="s">
        <v>206</v>
      </c>
      <c r="C97" s="36">
        <v>4301051718</v>
      </c>
      <c r="D97" s="733">
        <v>4607091385731</v>
      </c>
      <c r="E97" s="733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783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735"/>
      <c r="R97" s="735"/>
      <c r="S97" s="735"/>
      <c r="T97" s="736"/>
      <c r="U97" s="39" t="s">
        <v>46</v>
      </c>
      <c r="V97" s="39" t="s">
        <v>46</v>
      </c>
      <c r="W97" s="40" t="s">
        <v>0</v>
      </c>
      <c r="X97" s="58">
        <v>450</v>
      </c>
      <c r="Y97" s="55">
        <f t="shared" si="5"/>
        <v>450.90000000000003</v>
      </c>
      <c r="Z97" s="41">
        <f>IFERROR(IF(Y97=0,"",ROUNDUP(Y97/H97,0)*0.00651),"")</f>
        <v>1.08717</v>
      </c>
      <c r="AA97" s="68" t="s">
        <v>46</v>
      </c>
      <c r="AB97" s="69" t="s">
        <v>46</v>
      </c>
      <c r="AC97" s="170" t="s">
        <v>197</v>
      </c>
      <c r="AG97" s="78"/>
      <c r="AJ97" s="84" t="s">
        <v>46</v>
      </c>
      <c r="AK97" s="84">
        <v>0</v>
      </c>
      <c r="BB97" s="171" t="s">
        <v>67</v>
      </c>
      <c r="BM97" s="78">
        <f t="shared" si="6"/>
        <v>492</v>
      </c>
      <c r="BN97" s="78">
        <f t="shared" si="7"/>
        <v>492.98399999999998</v>
      </c>
      <c r="BO97" s="78">
        <f t="shared" si="8"/>
        <v>0.91575091575091572</v>
      </c>
      <c r="BP97" s="78">
        <f t="shared" si="9"/>
        <v>0.91758241758241765</v>
      </c>
    </row>
    <row r="98" spans="1:68" ht="27" hidden="1" customHeight="1" x14ac:dyDescent="0.25">
      <c r="A98" s="63" t="s">
        <v>205</v>
      </c>
      <c r="B98" s="63" t="s">
        <v>207</v>
      </c>
      <c r="C98" s="36">
        <v>4301052094</v>
      </c>
      <c r="D98" s="733">
        <v>4607091385731</v>
      </c>
      <c r="E98" s="733"/>
      <c r="F98" s="62">
        <v>0.45</v>
      </c>
      <c r="G98" s="37">
        <v>6</v>
      </c>
      <c r="H98" s="62">
        <v>2.7</v>
      </c>
      <c r="I98" s="62">
        <v>2.952</v>
      </c>
      <c r="J98" s="37">
        <v>182</v>
      </c>
      <c r="K98" s="37" t="s">
        <v>91</v>
      </c>
      <c r="L98" s="37" t="s">
        <v>46</v>
      </c>
      <c r="M98" s="38" t="s">
        <v>97</v>
      </c>
      <c r="N98" s="38"/>
      <c r="O98" s="37">
        <v>45</v>
      </c>
      <c r="P98" s="784" t="s">
        <v>208</v>
      </c>
      <c r="Q98" s="735"/>
      <c r="R98" s="735"/>
      <c r="S98" s="735"/>
      <c r="T98" s="736"/>
      <c r="U98" s="39" t="s">
        <v>46</v>
      </c>
      <c r="V98" s="39" t="s">
        <v>46</v>
      </c>
      <c r="W98" s="40" t="s">
        <v>0</v>
      </c>
      <c r="X98" s="58">
        <v>0</v>
      </c>
      <c r="Y98" s="55">
        <f t="shared" si="5"/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72" t="s">
        <v>197</v>
      </c>
      <c r="AG98" s="78"/>
      <c r="AJ98" s="84" t="s">
        <v>46</v>
      </c>
      <c r="AK98" s="84">
        <v>0</v>
      </c>
      <c r="BB98" s="173" t="s">
        <v>67</v>
      </c>
      <c r="BM98" s="78">
        <f t="shared" si="6"/>
        <v>0</v>
      </c>
      <c r="BN98" s="78">
        <f t="shared" si="7"/>
        <v>0</v>
      </c>
      <c r="BO98" s="78">
        <f t="shared" si="8"/>
        <v>0</v>
      </c>
      <c r="BP98" s="78">
        <f t="shared" si="9"/>
        <v>0</v>
      </c>
    </row>
    <row r="99" spans="1:68" ht="16.5" hidden="1" customHeight="1" x14ac:dyDescent="0.25">
      <c r="A99" s="63" t="s">
        <v>209</v>
      </c>
      <c r="B99" s="63" t="s">
        <v>210</v>
      </c>
      <c r="C99" s="36">
        <v>4301052092</v>
      </c>
      <c r="D99" s="733">
        <v>4680115880894</v>
      </c>
      <c r="E99" s="733"/>
      <c r="F99" s="62">
        <v>0.33</v>
      </c>
      <c r="G99" s="37">
        <v>6</v>
      </c>
      <c r="H99" s="62">
        <v>1.98</v>
      </c>
      <c r="I99" s="62">
        <v>2.238</v>
      </c>
      <c r="J99" s="37">
        <v>182</v>
      </c>
      <c r="K99" s="37" t="s">
        <v>91</v>
      </c>
      <c r="L99" s="37" t="s">
        <v>46</v>
      </c>
      <c r="M99" s="38" t="s">
        <v>90</v>
      </c>
      <c r="N99" s="38"/>
      <c r="O99" s="37">
        <v>45</v>
      </c>
      <c r="P99" s="785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9" s="735"/>
      <c r="R99" s="735"/>
      <c r="S99" s="735"/>
      <c r="T99" s="736"/>
      <c r="U99" s="39" t="s">
        <v>46</v>
      </c>
      <c r="V99" s="39" t="s">
        <v>46</v>
      </c>
      <c r="W99" s="40" t="s">
        <v>0</v>
      </c>
      <c r="X99" s="58">
        <v>0</v>
      </c>
      <c r="Y99" s="55">
        <f t="shared" si="5"/>
        <v>0</v>
      </c>
      <c r="Z99" s="41" t="str">
        <f>IFERROR(IF(Y99=0,"",ROUNDUP(Y99/H99,0)*0.00651),"")</f>
        <v/>
      </c>
      <c r="AA99" s="68" t="s">
        <v>46</v>
      </c>
      <c r="AB99" s="69" t="s">
        <v>46</v>
      </c>
      <c r="AC99" s="174" t="s">
        <v>211</v>
      </c>
      <c r="AG99" s="78"/>
      <c r="AJ99" s="84" t="s">
        <v>46</v>
      </c>
      <c r="AK99" s="84">
        <v>0</v>
      </c>
      <c r="BB99" s="175" t="s">
        <v>67</v>
      </c>
      <c r="BM99" s="78">
        <f t="shared" si="6"/>
        <v>0</v>
      </c>
      <c r="BN99" s="78">
        <f t="shared" si="7"/>
        <v>0</v>
      </c>
      <c r="BO99" s="78">
        <f t="shared" si="8"/>
        <v>0</v>
      </c>
      <c r="BP99" s="78">
        <f t="shared" si="9"/>
        <v>0</v>
      </c>
    </row>
    <row r="100" spans="1:68" x14ac:dyDescent="0.2">
      <c r="A100" s="741"/>
      <c r="B100" s="741"/>
      <c r="C100" s="741"/>
      <c r="D100" s="741"/>
      <c r="E100" s="741"/>
      <c r="F100" s="741"/>
      <c r="G100" s="741"/>
      <c r="H100" s="741"/>
      <c r="I100" s="741"/>
      <c r="J100" s="741"/>
      <c r="K100" s="741"/>
      <c r="L100" s="741"/>
      <c r="M100" s="741"/>
      <c r="N100" s="741"/>
      <c r="O100" s="742"/>
      <c r="P100" s="738" t="s">
        <v>40</v>
      </c>
      <c r="Q100" s="739"/>
      <c r="R100" s="739"/>
      <c r="S100" s="739"/>
      <c r="T100" s="739"/>
      <c r="U100" s="739"/>
      <c r="V100" s="740"/>
      <c r="W100" s="42" t="s">
        <v>39</v>
      </c>
      <c r="X100" s="43">
        <f>IFERROR(X93/H93,"0")+IFERROR(X94/H94,"0")+IFERROR(X95/H95,"0")+IFERROR(X96/H96,"0")+IFERROR(X97/H97,"0")+IFERROR(X98/H98,"0")+IFERROR(X99/H99,"0")</f>
        <v>191.35802469135803</v>
      </c>
      <c r="Y100" s="43">
        <f>IFERROR(Y93/H93,"0")+IFERROR(Y94/H94,"0")+IFERROR(Y95/H95,"0")+IFERROR(Y96/H96,"0")+IFERROR(Y97/H97,"0")+IFERROR(Y98/H98,"0")+IFERROR(Y99/H99,"0")</f>
        <v>192</v>
      </c>
      <c r="Z100" s="43">
        <f>IFERROR(IF(Z93="",0,Z93),"0")+IFERROR(IF(Z94="",0,Z94),"0")+IFERROR(IF(Z95="",0,Z95),"0")+IFERROR(IF(Z96="",0,Z96),"0")+IFERROR(IF(Z97="",0,Z97),"0")+IFERROR(IF(Z98="",0,Z98),"0")+IFERROR(IF(Z99="",0,Z99),"0")</f>
        <v>1.5616699999999999</v>
      </c>
      <c r="AA100" s="67"/>
      <c r="AB100" s="67"/>
      <c r="AC100" s="67"/>
    </row>
    <row r="101" spans="1:68" x14ac:dyDescent="0.2">
      <c r="A101" s="741"/>
      <c r="B101" s="741"/>
      <c r="C101" s="741"/>
      <c r="D101" s="741"/>
      <c r="E101" s="741"/>
      <c r="F101" s="741"/>
      <c r="G101" s="741"/>
      <c r="H101" s="741"/>
      <c r="I101" s="741"/>
      <c r="J101" s="741"/>
      <c r="K101" s="741"/>
      <c r="L101" s="741"/>
      <c r="M101" s="741"/>
      <c r="N101" s="741"/>
      <c r="O101" s="742"/>
      <c r="P101" s="738" t="s">
        <v>40</v>
      </c>
      <c r="Q101" s="739"/>
      <c r="R101" s="739"/>
      <c r="S101" s="739"/>
      <c r="T101" s="739"/>
      <c r="U101" s="739"/>
      <c r="V101" s="740"/>
      <c r="W101" s="42" t="s">
        <v>0</v>
      </c>
      <c r="X101" s="43">
        <f>IFERROR(SUM(X93:X99),"0")</f>
        <v>650</v>
      </c>
      <c r="Y101" s="43">
        <f>IFERROR(SUM(Y93:Y99),"0")</f>
        <v>653.40000000000009</v>
      </c>
      <c r="Z101" s="42"/>
      <c r="AA101" s="67"/>
      <c r="AB101" s="67"/>
      <c r="AC101" s="67"/>
    </row>
    <row r="102" spans="1:68" ht="16.5" hidden="1" customHeight="1" x14ac:dyDescent="0.25">
      <c r="A102" s="731" t="s">
        <v>212</v>
      </c>
      <c r="B102" s="731"/>
      <c r="C102" s="731"/>
      <c r="D102" s="731"/>
      <c r="E102" s="731"/>
      <c r="F102" s="731"/>
      <c r="G102" s="731"/>
      <c r="H102" s="731"/>
      <c r="I102" s="731"/>
      <c r="J102" s="731"/>
      <c r="K102" s="731"/>
      <c r="L102" s="731"/>
      <c r="M102" s="731"/>
      <c r="N102" s="731"/>
      <c r="O102" s="731"/>
      <c r="P102" s="731"/>
      <c r="Q102" s="731"/>
      <c r="R102" s="731"/>
      <c r="S102" s="731"/>
      <c r="T102" s="731"/>
      <c r="U102" s="731"/>
      <c r="V102" s="731"/>
      <c r="W102" s="731"/>
      <c r="X102" s="731"/>
      <c r="Y102" s="731"/>
      <c r="Z102" s="731"/>
      <c r="AA102" s="65"/>
      <c r="AB102" s="65"/>
      <c r="AC102" s="79"/>
    </row>
    <row r="103" spans="1:68" ht="14.25" hidden="1" customHeight="1" x14ac:dyDescent="0.25">
      <c r="A103" s="732" t="s">
        <v>122</v>
      </c>
      <c r="B103" s="732"/>
      <c r="C103" s="732"/>
      <c r="D103" s="732"/>
      <c r="E103" s="732"/>
      <c r="F103" s="732"/>
      <c r="G103" s="732"/>
      <c r="H103" s="732"/>
      <c r="I103" s="732"/>
      <c r="J103" s="732"/>
      <c r="K103" s="732"/>
      <c r="L103" s="732"/>
      <c r="M103" s="732"/>
      <c r="N103" s="732"/>
      <c r="O103" s="732"/>
      <c r="P103" s="732"/>
      <c r="Q103" s="732"/>
      <c r="R103" s="732"/>
      <c r="S103" s="732"/>
      <c r="T103" s="732"/>
      <c r="U103" s="732"/>
      <c r="V103" s="732"/>
      <c r="W103" s="732"/>
      <c r="X103" s="732"/>
      <c r="Y103" s="732"/>
      <c r="Z103" s="732"/>
      <c r="AA103" s="66"/>
      <c r="AB103" s="66"/>
      <c r="AC103" s="80"/>
    </row>
    <row r="104" spans="1:68" ht="37.5" hidden="1" customHeight="1" x14ac:dyDescent="0.25">
      <c r="A104" s="63" t="s">
        <v>213</v>
      </c>
      <c r="B104" s="63" t="s">
        <v>214</v>
      </c>
      <c r="C104" s="36">
        <v>4301011514</v>
      </c>
      <c r="D104" s="733">
        <v>4680115882133</v>
      </c>
      <c r="E104" s="733"/>
      <c r="F104" s="62">
        <v>1.35</v>
      </c>
      <c r="G104" s="37">
        <v>8</v>
      </c>
      <c r="H104" s="62">
        <v>10.8</v>
      </c>
      <c r="I104" s="62">
        <v>11.21</v>
      </c>
      <c r="J104" s="37">
        <v>64</v>
      </c>
      <c r="K104" s="37" t="s">
        <v>127</v>
      </c>
      <c r="L104" s="37" t="s">
        <v>46</v>
      </c>
      <c r="M104" s="38" t="s">
        <v>126</v>
      </c>
      <c r="N104" s="38"/>
      <c r="O104" s="37">
        <v>50</v>
      </c>
      <c r="P104" s="786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4" s="735"/>
      <c r="R104" s="735"/>
      <c r="S104" s="735"/>
      <c r="T104" s="736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ref="Y104:Y111" si="10">IFERROR(IF(X104="",0,CEILING((X104/$H104),1)*$H104),"")</f>
        <v>0</v>
      </c>
      <c r="Z104" s="41" t="str">
        <f>IFERROR(IF(Y104=0,"",ROUNDUP(Y104/H104,0)*0.01898),"")</f>
        <v/>
      </c>
      <c r="AA104" s="68" t="s">
        <v>46</v>
      </c>
      <c r="AB104" s="69" t="s">
        <v>46</v>
      </c>
      <c r="AC104" s="176" t="s">
        <v>215</v>
      </c>
      <c r="AG104" s="78"/>
      <c r="AJ104" s="84" t="s">
        <v>46</v>
      </c>
      <c r="AK104" s="84">
        <v>0</v>
      </c>
      <c r="BB104" s="177" t="s">
        <v>67</v>
      </c>
      <c r="BM104" s="78">
        <f t="shared" ref="BM104:BM111" si="11">IFERROR(X104*I104/H104,"0")</f>
        <v>0</v>
      </c>
      <c r="BN104" s="78">
        <f t="shared" ref="BN104:BN111" si="12">IFERROR(Y104*I104/H104,"0")</f>
        <v>0</v>
      </c>
      <c r="BO104" s="78">
        <f t="shared" ref="BO104:BO111" si="13">IFERROR(1/J104*(X104/H104),"0")</f>
        <v>0</v>
      </c>
      <c r="BP104" s="78">
        <f t="shared" ref="BP104:BP111" si="14">IFERROR(1/J104*(Y104/H104),"0")</f>
        <v>0</v>
      </c>
    </row>
    <row r="105" spans="1:68" ht="27" hidden="1" customHeight="1" x14ac:dyDescent="0.25">
      <c r="A105" s="63" t="s">
        <v>216</v>
      </c>
      <c r="B105" s="63" t="s">
        <v>217</v>
      </c>
      <c r="C105" s="36">
        <v>4301012051</v>
      </c>
      <c r="D105" s="733">
        <v>4680115887718</v>
      </c>
      <c r="E105" s="733"/>
      <c r="F105" s="62">
        <v>0.11</v>
      </c>
      <c r="G105" s="37">
        <v>10</v>
      </c>
      <c r="H105" s="62">
        <v>1.1000000000000001</v>
      </c>
      <c r="I105" s="62">
        <v>1.31</v>
      </c>
      <c r="J105" s="37">
        <v>192</v>
      </c>
      <c r="K105" s="37" t="s">
        <v>131</v>
      </c>
      <c r="L105" s="37" t="s">
        <v>46</v>
      </c>
      <c r="M105" s="38" t="s">
        <v>81</v>
      </c>
      <c r="N105" s="38"/>
      <c r="O105" s="37">
        <v>30</v>
      </c>
      <c r="P105" s="787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5" s="735"/>
      <c r="R105" s="735"/>
      <c r="S105" s="735"/>
      <c r="T105" s="736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10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8" t="s">
        <v>218</v>
      </c>
      <c r="AG105" s="78"/>
      <c r="AJ105" s="84" t="s">
        <v>46</v>
      </c>
      <c r="AK105" s="84">
        <v>0</v>
      </c>
      <c r="BB105" s="179" t="s">
        <v>67</v>
      </c>
      <c r="BM105" s="78">
        <f t="shared" si="11"/>
        <v>0</v>
      </c>
      <c r="BN105" s="78">
        <f t="shared" si="12"/>
        <v>0</v>
      </c>
      <c r="BO105" s="78">
        <f t="shared" si="13"/>
        <v>0</v>
      </c>
      <c r="BP105" s="78">
        <f t="shared" si="14"/>
        <v>0</v>
      </c>
    </row>
    <row r="106" spans="1:68" ht="27" hidden="1" customHeight="1" x14ac:dyDescent="0.25">
      <c r="A106" s="63" t="s">
        <v>216</v>
      </c>
      <c r="B106" s="63" t="s">
        <v>219</v>
      </c>
      <c r="C106" s="36">
        <v>4301012334</v>
      </c>
      <c r="D106" s="733">
        <v>4680115887718</v>
      </c>
      <c r="E106" s="733"/>
      <c r="F106" s="62">
        <v>0.11</v>
      </c>
      <c r="G106" s="37">
        <v>8</v>
      </c>
      <c r="H106" s="62">
        <v>0.88</v>
      </c>
      <c r="I106" s="62">
        <v>1.0680000000000001</v>
      </c>
      <c r="J106" s="37">
        <v>192</v>
      </c>
      <c r="K106" s="37" t="s">
        <v>131</v>
      </c>
      <c r="L106" s="37" t="s">
        <v>46</v>
      </c>
      <c r="M106" s="38" t="s">
        <v>81</v>
      </c>
      <c r="N106" s="38"/>
      <c r="O106" s="37">
        <v>30</v>
      </c>
      <c r="P106" s="788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6" s="735"/>
      <c r="R106" s="735"/>
      <c r="S106" s="735"/>
      <c r="T106" s="736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0"/>
        <v>0</v>
      </c>
      <c r="Z106" s="41" t="str">
        <f>IFERROR(IF(Y106=0,"",ROUNDUP(Y106/H106,0)*0.00726),"")</f>
        <v/>
      </c>
      <c r="AA106" s="68" t="s">
        <v>46</v>
      </c>
      <c r="AB106" s="69" t="s">
        <v>46</v>
      </c>
      <c r="AC106" s="180" t="s">
        <v>218</v>
      </c>
      <c r="AG106" s="78"/>
      <c r="AJ106" s="84" t="s">
        <v>46</v>
      </c>
      <c r="AK106" s="84">
        <v>0</v>
      </c>
      <c r="BB106" s="181" t="s">
        <v>67</v>
      </c>
      <c r="BM106" s="78">
        <f t="shared" si="11"/>
        <v>0</v>
      </c>
      <c r="BN106" s="78">
        <f t="shared" si="12"/>
        <v>0</v>
      </c>
      <c r="BO106" s="78">
        <f t="shared" si="13"/>
        <v>0</v>
      </c>
      <c r="BP106" s="78">
        <f t="shared" si="14"/>
        <v>0</v>
      </c>
    </row>
    <row r="107" spans="1:68" ht="27" hidden="1" customHeight="1" x14ac:dyDescent="0.25">
      <c r="A107" s="63" t="s">
        <v>216</v>
      </c>
      <c r="B107" s="63" t="s">
        <v>220</v>
      </c>
      <c r="C107" s="36">
        <v>4301012379</v>
      </c>
      <c r="D107" s="733">
        <v>4680115887718</v>
      </c>
      <c r="E107" s="733"/>
      <c r="F107" s="62">
        <v>0.11</v>
      </c>
      <c r="G107" s="37">
        <v>6</v>
      </c>
      <c r="H107" s="62">
        <v>0.66</v>
      </c>
      <c r="I107" s="62">
        <v>0.82599999999999996</v>
      </c>
      <c r="J107" s="37">
        <v>192</v>
      </c>
      <c r="K107" s="37" t="s">
        <v>131</v>
      </c>
      <c r="L107" s="37" t="s">
        <v>46</v>
      </c>
      <c r="M107" s="38" t="s">
        <v>81</v>
      </c>
      <c r="N107" s="38"/>
      <c r="O107" s="37">
        <v>30</v>
      </c>
      <c r="P107" s="789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7" s="735"/>
      <c r="R107" s="735"/>
      <c r="S107" s="735"/>
      <c r="T107" s="736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IFERROR(IF(Y107=0,"",ROUNDUP(Y107/H107,0)*0.00726),"")</f>
        <v/>
      </c>
      <c r="AA107" s="68" t="s">
        <v>46</v>
      </c>
      <c r="AB107" s="69" t="s">
        <v>46</v>
      </c>
      <c r="AC107" s="182" t="s">
        <v>218</v>
      </c>
      <c r="AG107" s="78"/>
      <c r="AJ107" s="84" t="s">
        <v>46</v>
      </c>
      <c r="AK107" s="84">
        <v>0</v>
      </c>
      <c r="BB107" s="183" t="s">
        <v>67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t="37.5" hidden="1" customHeight="1" x14ac:dyDescent="0.25">
      <c r="A108" s="63" t="s">
        <v>221</v>
      </c>
      <c r="B108" s="63" t="s">
        <v>222</v>
      </c>
      <c r="C108" s="36">
        <v>4301011417</v>
      </c>
      <c r="D108" s="733">
        <v>4680115880269</v>
      </c>
      <c r="E108" s="733"/>
      <c r="F108" s="62">
        <v>0.375</v>
      </c>
      <c r="G108" s="37">
        <v>10</v>
      </c>
      <c r="H108" s="62">
        <v>3.75</v>
      </c>
      <c r="I108" s="62">
        <v>3.94</v>
      </c>
      <c r="J108" s="37">
        <v>132</v>
      </c>
      <c r="K108" s="37" t="s">
        <v>134</v>
      </c>
      <c r="L108" s="37" t="s">
        <v>46</v>
      </c>
      <c r="M108" s="38" t="s">
        <v>90</v>
      </c>
      <c r="N108" s="38"/>
      <c r="O108" s="37">
        <v>50</v>
      </c>
      <c r="P108" s="790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8" s="735"/>
      <c r="R108" s="735"/>
      <c r="S108" s="735"/>
      <c r="T108" s="736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0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84" t="s">
        <v>215</v>
      </c>
      <c r="AG108" s="78"/>
      <c r="AJ108" s="84" t="s">
        <v>46</v>
      </c>
      <c r="AK108" s="84">
        <v>0</v>
      </c>
      <c r="BB108" s="185" t="s">
        <v>67</v>
      </c>
      <c r="BM108" s="78">
        <f t="shared" si="11"/>
        <v>0</v>
      </c>
      <c r="BN108" s="78">
        <f t="shared" si="12"/>
        <v>0</v>
      </c>
      <c r="BO108" s="78">
        <f t="shared" si="13"/>
        <v>0</v>
      </c>
      <c r="BP108" s="78">
        <f t="shared" si="14"/>
        <v>0</v>
      </c>
    </row>
    <row r="109" spans="1:68" ht="37.5" hidden="1" customHeight="1" x14ac:dyDescent="0.25">
      <c r="A109" s="63" t="s">
        <v>223</v>
      </c>
      <c r="B109" s="63" t="s">
        <v>224</v>
      </c>
      <c r="C109" s="36">
        <v>4301011415</v>
      </c>
      <c r="D109" s="733">
        <v>4680115880429</v>
      </c>
      <c r="E109" s="733"/>
      <c r="F109" s="62">
        <v>0.45</v>
      </c>
      <c r="G109" s="37">
        <v>10</v>
      </c>
      <c r="H109" s="62">
        <v>4.5</v>
      </c>
      <c r="I109" s="62">
        <v>4.6900000000000004</v>
      </c>
      <c r="J109" s="37">
        <v>132</v>
      </c>
      <c r="K109" s="37" t="s">
        <v>134</v>
      </c>
      <c r="L109" s="37" t="s">
        <v>46</v>
      </c>
      <c r="M109" s="38" t="s">
        <v>90</v>
      </c>
      <c r="N109" s="38"/>
      <c r="O109" s="37">
        <v>50</v>
      </c>
      <c r="P109" s="791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9" s="735"/>
      <c r="R109" s="735"/>
      <c r="S109" s="735"/>
      <c r="T109" s="736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10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6" t="s">
        <v>215</v>
      </c>
      <c r="AG109" s="78"/>
      <c r="AJ109" s="84" t="s">
        <v>46</v>
      </c>
      <c r="AK109" s="84">
        <v>0</v>
      </c>
      <c r="BB109" s="187" t="s">
        <v>67</v>
      </c>
      <c r="BM109" s="78">
        <f t="shared" si="11"/>
        <v>0</v>
      </c>
      <c r="BN109" s="78">
        <f t="shared" si="12"/>
        <v>0</v>
      </c>
      <c r="BO109" s="78">
        <f t="shared" si="13"/>
        <v>0</v>
      </c>
      <c r="BP109" s="78">
        <f t="shared" si="14"/>
        <v>0</v>
      </c>
    </row>
    <row r="110" spans="1:68" ht="27" hidden="1" customHeight="1" x14ac:dyDescent="0.25">
      <c r="A110" s="63" t="s">
        <v>223</v>
      </c>
      <c r="B110" s="63" t="s">
        <v>225</v>
      </c>
      <c r="C110" s="36">
        <v>4301012254</v>
      </c>
      <c r="D110" s="733">
        <v>4680115880429</v>
      </c>
      <c r="E110" s="733"/>
      <c r="F110" s="62">
        <v>0.45</v>
      </c>
      <c r="G110" s="37">
        <v>10</v>
      </c>
      <c r="H110" s="62">
        <v>4.5</v>
      </c>
      <c r="I110" s="62">
        <v>4.6900000000000004</v>
      </c>
      <c r="J110" s="37">
        <v>132</v>
      </c>
      <c r="K110" s="37" t="s">
        <v>134</v>
      </c>
      <c r="L110" s="37" t="s">
        <v>46</v>
      </c>
      <c r="M110" s="38" t="s">
        <v>126</v>
      </c>
      <c r="N110" s="38"/>
      <c r="O110" s="37">
        <v>50</v>
      </c>
      <c r="P110" s="792" t="s">
        <v>226</v>
      </c>
      <c r="Q110" s="735"/>
      <c r="R110" s="735"/>
      <c r="S110" s="735"/>
      <c r="T110" s="736"/>
      <c r="U110" s="39" t="s">
        <v>46</v>
      </c>
      <c r="V110" s="39" t="s">
        <v>46</v>
      </c>
      <c r="W110" s="40" t="s">
        <v>0</v>
      </c>
      <c r="X110" s="58">
        <v>0</v>
      </c>
      <c r="Y110" s="55">
        <f t="shared" si="10"/>
        <v>0</v>
      </c>
      <c r="Z110" s="41" t="str">
        <f>IFERROR(IF(Y110=0,"",ROUNDUP(Y110/H110,0)*0.00902),"")</f>
        <v/>
      </c>
      <c r="AA110" s="68" t="s">
        <v>46</v>
      </c>
      <c r="AB110" s="69" t="s">
        <v>46</v>
      </c>
      <c r="AC110" s="188" t="s">
        <v>227</v>
      </c>
      <c r="AG110" s="78"/>
      <c r="AJ110" s="84" t="s">
        <v>46</v>
      </c>
      <c r="AK110" s="84">
        <v>0</v>
      </c>
      <c r="BB110" s="189" t="s">
        <v>67</v>
      </c>
      <c r="BM110" s="78">
        <f t="shared" si="11"/>
        <v>0</v>
      </c>
      <c r="BN110" s="78">
        <f t="shared" si="12"/>
        <v>0</v>
      </c>
      <c r="BO110" s="78">
        <f t="shared" si="13"/>
        <v>0</v>
      </c>
      <c r="BP110" s="78">
        <f t="shared" si="14"/>
        <v>0</v>
      </c>
    </row>
    <row r="111" spans="1:68" ht="37.5" hidden="1" customHeight="1" x14ac:dyDescent="0.25">
      <c r="A111" s="63" t="s">
        <v>228</v>
      </c>
      <c r="B111" s="63" t="s">
        <v>229</v>
      </c>
      <c r="C111" s="36">
        <v>4301011462</v>
      </c>
      <c r="D111" s="733">
        <v>4680115881457</v>
      </c>
      <c r="E111" s="733"/>
      <c r="F111" s="62">
        <v>0.75</v>
      </c>
      <c r="G111" s="37">
        <v>6</v>
      </c>
      <c r="H111" s="62">
        <v>4.5</v>
      </c>
      <c r="I111" s="62">
        <v>4.6900000000000004</v>
      </c>
      <c r="J111" s="37">
        <v>132</v>
      </c>
      <c r="K111" s="37" t="s">
        <v>134</v>
      </c>
      <c r="L111" s="37" t="s">
        <v>46</v>
      </c>
      <c r="M111" s="38" t="s">
        <v>90</v>
      </c>
      <c r="N111" s="38"/>
      <c r="O111" s="37">
        <v>50</v>
      </c>
      <c r="P111" s="79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1" s="735"/>
      <c r="R111" s="735"/>
      <c r="S111" s="735"/>
      <c r="T111" s="736"/>
      <c r="U111" s="39" t="s">
        <v>46</v>
      </c>
      <c r="V111" s="39" t="s">
        <v>46</v>
      </c>
      <c r="W111" s="40" t="s">
        <v>0</v>
      </c>
      <c r="X111" s="58">
        <v>0</v>
      </c>
      <c r="Y111" s="55">
        <f t="shared" si="10"/>
        <v>0</v>
      </c>
      <c r="Z111" s="41" t="str">
        <f>IFERROR(IF(Y111=0,"",ROUNDUP(Y111/H111,0)*0.00902),"")</f>
        <v/>
      </c>
      <c r="AA111" s="68" t="s">
        <v>46</v>
      </c>
      <c r="AB111" s="69" t="s">
        <v>46</v>
      </c>
      <c r="AC111" s="190" t="s">
        <v>215</v>
      </c>
      <c r="AG111" s="78"/>
      <c r="AJ111" s="84" t="s">
        <v>46</v>
      </c>
      <c r="AK111" s="84">
        <v>0</v>
      </c>
      <c r="BB111" s="191" t="s">
        <v>67</v>
      </c>
      <c r="BM111" s="78">
        <f t="shared" si="11"/>
        <v>0</v>
      </c>
      <c r="BN111" s="78">
        <f t="shared" si="12"/>
        <v>0</v>
      </c>
      <c r="BO111" s="78">
        <f t="shared" si="13"/>
        <v>0</v>
      </c>
      <c r="BP111" s="78">
        <f t="shared" si="14"/>
        <v>0</v>
      </c>
    </row>
    <row r="112" spans="1:68" hidden="1" x14ac:dyDescent="0.2">
      <c r="A112" s="741"/>
      <c r="B112" s="741"/>
      <c r="C112" s="741"/>
      <c r="D112" s="741"/>
      <c r="E112" s="741"/>
      <c r="F112" s="741"/>
      <c r="G112" s="741"/>
      <c r="H112" s="741"/>
      <c r="I112" s="741"/>
      <c r="J112" s="741"/>
      <c r="K112" s="741"/>
      <c r="L112" s="741"/>
      <c r="M112" s="741"/>
      <c r="N112" s="741"/>
      <c r="O112" s="742"/>
      <c r="P112" s="738" t="s">
        <v>40</v>
      </c>
      <c r="Q112" s="739"/>
      <c r="R112" s="739"/>
      <c r="S112" s="739"/>
      <c r="T112" s="739"/>
      <c r="U112" s="739"/>
      <c r="V112" s="740"/>
      <c r="W112" s="42" t="s">
        <v>39</v>
      </c>
      <c r="X112" s="43">
        <f>IFERROR(X104/H104,"0")+IFERROR(X105/H105,"0")+IFERROR(X106/H106,"0")+IFERROR(X107/H107,"0")+IFERROR(X108/H108,"0")+IFERROR(X109/H109,"0")+IFERROR(X110/H110,"0")+IFERROR(X111/H111,"0")</f>
        <v>0</v>
      </c>
      <c r="Y112" s="43">
        <f>IFERROR(Y104/H104,"0")+IFERROR(Y105/H105,"0")+IFERROR(Y106/H106,"0")+IFERROR(Y107/H107,"0")+IFERROR(Y108/H108,"0")+IFERROR(Y109/H109,"0")+IFERROR(Y110/H110,"0")+IFERROR(Y111/H111,"0")</f>
        <v>0</v>
      </c>
      <c r="Z112" s="43">
        <f>IFERROR(IF(Z104="",0,Z104),"0")+IFERROR(IF(Z105="",0,Z105),"0")+IFERROR(IF(Z106="",0,Z106),"0")+IFERROR(IF(Z107="",0,Z107),"0")+IFERROR(IF(Z108="",0,Z108),"0")+IFERROR(IF(Z109="",0,Z109),"0")+IFERROR(IF(Z110="",0,Z110),"0")+IFERROR(IF(Z111="",0,Z111),"0")</f>
        <v>0</v>
      </c>
      <c r="AA112" s="67"/>
      <c r="AB112" s="67"/>
      <c r="AC112" s="67"/>
    </row>
    <row r="113" spans="1:68" hidden="1" x14ac:dyDescent="0.2">
      <c r="A113" s="741"/>
      <c r="B113" s="741"/>
      <c r="C113" s="741"/>
      <c r="D113" s="741"/>
      <c r="E113" s="741"/>
      <c r="F113" s="741"/>
      <c r="G113" s="741"/>
      <c r="H113" s="741"/>
      <c r="I113" s="741"/>
      <c r="J113" s="741"/>
      <c r="K113" s="741"/>
      <c r="L113" s="741"/>
      <c r="M113" s="741"/>
      <c r="N113" s="741"/>
      <c r="O113" s="742"/>
      <c r="P113" s="738" t="s">
        <v>40</v>
      </c>
      <c r="Q113" s="739"/>
      <c r="R113" s="739"/>
      <c r="S113" s="739"/>
      <c r="T113" s="739"/>
      <c r="U113" s="739"/>
      <c r="V113" s="740"/>
      <c r="W113" s="42" t="s">
        <v>0</v>
      </c>
      <c r="X113" s="43">
        <f>IFERROR(SUM(X104:X111),"0")</f>
        <v>0</v>
      </c>
      <c r="Y113" s="43">
        <f>IFERROR(SUM(Y104:Y111),"0")</f>
        <v>0</v>
      </c>
      <c r="Z113" s="42"/>
      <c r="AA113" s="67"/>
      <c r="AB113" s="67"/>
      <c r="AC113" s="67"/>
    </row>
    <row r="114" spans="1:68" ht="14.25" hidden="1" customHeight="1" x14ac:dyDescent="0.25">
      <c r="A114" s="732" t="s">
        <v>155</v>
      </c>
      <c r="B114" s="732"/>
      <c r="C114" s="732"/>
      <c r="D114" s="732"/>
      <c r="E114" s="732"/>
      <c r="F114" s="732"/>
      <c r="G114" s="732"/>
      <c r="H114" s="732"/>
      <c r="I114" s="732"/>
      <c r="J114" s="732"/>
      <c r="K114" s="732"/>
      <c r="L114" s="732"/>
      <c r="M114" s="732"/>
      <c r="N114" s="732"/>
      <c r="O114" s="732"/>
      <c r="P114" s="732"/>
      <c r="Q114" s="732"/>
      <c r="R114" s="732"/>
      <c r="S114" s="732"/>
      <c r="T114" s="732"/>
      <c r="U114" s="732"/>
      <c r="V114" s="732"/>
      <c r="W114" s="732"/>
      <c r="X114" s="732"/>
      <c r="Y114" s="732"/>
      <c r="Z114" s="732"/>
      <c r="AA114" s="66"/>
      <c r="AB114" s="66"/>
      <c r="AC114" s="80"/>
    </row>
    <row r="115" spans="1:68" ht="27" hidden="1" customHeight="1" x14ac:dyDescent="0.25">
      <c r="A115" s="63" t="s">
        <v>230</v>
      </c>
      <c r="B115" s="63" t="s">
        <v>231</v>
      </c>
      <c r="C115" s="36">
        <v>4301020391</v>
      </c>
      <c r="D115" s="733">
        <v>4680115881488</v>
      </c>
      <c r="E115" s="733"/>
      <c r="F115" s="62">
        <v>1.35</v>
      </c>
      <c r="G115" s="37">
        <v>8</v>
      </c>
      <c r="H115" s="62">
        <v>10.8</v>
      </c>
      <c r="I115" s="62">
        <v>11.21</v>
      </c>
      <c r="J115" s="37">
        <v>64</v>
      </c>
      <c r="K115" s="37" t="s">
        <v>127</v>
      </c>
      <c r="L115" s="37" t="s">
        <v>46</v>
      </c>
      <c r="M115" s="38" t="s">
        <v>126</v>
      </c>
      <c r="N115" s="38"/>
      <c r="O115" s="37">
        <v>55</v>
      </c>
      <c r="P115" s="794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5" s="735"/>
      <c r="R115" s="735"/>
      <c r="S115" s="735"/>
      <c r="T115" s="736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IFERROR(IF(Y115=0,"",ROUNDUP(Y115/H115,0)*0.01898),"")</f>
        <v/>
      </c>
      <c r="AA115" s="68" t="s">
        <v>46</v>
      </c>
      <c r="AB115" s="69" t="s">
        <v>46</v>
      </c>
      <c r="AC115" s="192" t="s">
        <v>232</v>
      </c>
      <c r="AG115" s="78"/>
      <c r="AJ115" s="84" t="s">
        <v>46</v>
      </c>
      <c r="AK115" s="84">
        <v>0</v>
      </c>
      <c r="BB115" s="193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233</v>
      </c>
      <c r="B116" s="63" t="s">
        <v>234</v>
      </c>
      <c r="C116" s="36">
        <v>4301020186</v>
      </c>
      <c r="D116" s="733">
        <v>4680115887664</v>
      </c>
      <c r="E116" s="733"/>
      <c r="F116" s="62">
        <v>0.1</v>
      </c>
      <c r="G116" s="37">
        <v>10</v>
      </c>
      <c r="H116" s="62">
        <v>1</v>
      </c>
      <c r="I116" s="62">
        <v>1.21</v>
      </c>
      <c r="J116" s="37">
        <v>392</v>
      </c>
      <c r="K116" s="37" t="s">
        <v>236</v>
      </c>
      <c r="L116" s="37" t="s">
        <v>46</v>
      </c>
      <c r="M116" s="38" t="s">
        <v>81</v>
      </c>
      <c r="N116" s="38"/>
      <c r="O116" s="37">
        <v>30</v>
      </c>
      <c r="P116" s="795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6" s="735"/>
      <c r="R116" s="735"/>
      <c r="S116" s="735"/>
      <c r="T116" s="736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IFERROR(IF(Y116=0,"",ROUNDUP(Y116/H116,0)*0.00358),"")</f>
        <v/>
      </c>
      <c r="AA116" s="68" t="s">
        <v>46</v>
      </c>
      <c r="AB116" s="69" t="s">
        <v>46</v>
      </c>
      <c r="AC116" s="194" t="s">
        <v>235</v>
      </c>
      <c r="AG116" s="78"/>
      <c r="AJ116" s="84" t="s">
        <v>46</v>
      </c>
      <c r="AK116" s="84">
        <v>0</v>
      </c>
      <c r="BB116" s="195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hidden="1" customHeight="1" x14ac:dyDescent="0.25">
      <c r="A117" s="63" t="s">
        <v>233</v>
      </c>
      <c r="B117" s="63" t="s">
        <v>237</v>
      </c>
      <c r="C117" s="36">
        <v>4301020430</v>
      </c>
      <c r="D117" s="733">
        <v>4680115887664</v>
      </c>
      <c r="E117" s="733"/>
      <c r="F117" s="62">
        <v>0.1</v>
      </c>
      <c r="G117" s="37">
        <v>8</v>
      </c>
      <c r="H117" s="62">
        <v>0.8</v>
      </c>
      <c r="I117" s="62">
        <v>0.98799999999999999</v>
      </c>
      <c r="J117" s="37">
        <v>392</v>
      </c>
      <c r="K117" s="37" t="s">
        <v>236</v>
      </c>
      <c r="L117" s="37" t="s">
        <v>46</v>
      </c>
      <c r="M117" s="38" t="s">
        <v>81</v>
      </c>
      <c r="N117" s="38"/>
      <c r="O117" s="37">
        <v>30</v>
      </c>
      <c r="P117" s="796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735"/>
      <c r="R117" s="735"/>
      <c r="S117" s="735"/>
      <c r="T117" s="736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IFERROR(IF(Y117=0,"",ROUNDUP(Y117/H117,0)*0.00358),"")</f>
        <v/>
      </c>
      <c r="AA117" s="68" t="s">
        <v>46</v>
      </c>
      <c r="AB117" s="69" t="s">
        <v>46</v>
      </c>
      <c r="AC117" s="196" t="s">
        <v>235</v>
      </c>
      <c r="AG117" s="78"/>
      <c r="AJ117" s="84" t="s">
        <v>46</v>
      </c>
      <c r="AK117" s="84">
        <v>0</v>
      </c>
      <c r="BB117" s="197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238</v>
      </c>
      <c r="B118" s="63" t="s">
        <v>239</v>
      </c>
      <c r="C118" s="36">
        <v>4301020393</v>
      </c>
      <c r="D118" s="733">
        <v>4680115882775</v>
      </c>
      <c r="E118" s="733"/>
      <c r="F118" s="62">
        <v>0.3</v>
      </c>
      <c r="G118" s="37">
        <v>8</v>
      </c>
      <c r="H118" s="62">
        <v>2.4</v>
      </c>
      <c r="I118" s="62">
        <v>2.5</v>
      </c>
      <c r="J118" s="37">
        <v>234</v>
      </c>
      <c r="K118" s="37" t="s">
        <v>82</v>
      </c>
      <c r="L118" s="37" t="s">
        <v>46</v>
      </c>
      <c r="M118" s="38" t="s">
        <v>126</v>
      </c>
      <c r="N118" s="38"/>
      <c r="O118" s="37">
        <v>55</v>
      </c>
      <c r="P118" s="797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8" s="735"/>
      <c r="R118" s="735"/>
      <c r="S118" s="735"/>
      <c r="T118" s="736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IFERROR(IF(Y118=0,"",ROUNDUP(Y118/H118,0)*0.00502),"")</f>
        <v/>
      </c>
      <c r="AA118" s="68" t="s">
        <v>46</v>
      </c>
      <c r="AB118" s="69" t="s">
        <v>46</v>
      </c>
      <c r="AC118" s="198" t="s">
        <v>232</v>
      </c>
      <c r="AG118" s="78"/>
      <c r="AJ118" s="84" t="s">
        <v>46</v>
      </c>
      <c r="AK118" s="84">
        <v>0</v>
      </c>
      <c r="BB118" s="199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27" hidden="1" customHeight="1" x14ac:dyDescent="0.25">
      <c r="A119" s="63" t="s">
        <v>240</v>
      </c>
      <c r="B119" s="63" t="s">
        <v>241</v>
      </c>
      <c r="C119" s="36">
        <v>4301020392</v>
      </c>
      <c r="D119" s="733">
        <v>4680115880658</v>
      </c>
      <c r="E119" s="733"/>
      <c r="F119" s="62">
        <v>0.4</v>
      </c>
      <c r="G119" s="37">
        <v>6</v>
      </c>
      <c r="H119" s="62">
        <v>2.4</v>
      </c>
      <c r="I119" s="62">
        <v>2.58</v>
      </c>
      <c r="J119" s="37">
        <v>182</v>
      </c>
      <c r="K119" s="37" t="s">
        <v>91</v>
      </c>
      <c r="L119" s="37" t="s">
        <v>46</v>
      </c>
      <c r="M119" s="38" t="s">
        <v>126</v>
      </c>
      <c r="N119" s="38"/>
      <c r="O119" s="37">
        <v>55</v>
      </c>
      <c r="P119" s="798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9" s="735"/>
      <c r="R119" s="735"/>
      <c r="S119" s="735"/>
      <c r="T119" s="736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200" t="s">
        <v>232</v>
      </c>
      <c r="AG119" s="78"/>
      <c r="AJ119" s="84" t="s">
        <v>46</v>
      </c>
      <c r="AK119" s="84">
        <v>0</v>
      </c>
      <c r="BB119" s="201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idden="1" x14ac:dyDescent="0.2">
      <c r="A120" s="741"/>
      <c r="B120" s="741"/>
      <c r="C120" s="741"/>
      <c r="D120" s="741"/>
      <c r="E120" s="741"/>
      <c r="F120" s="741"/>
      <c r="G120" s="741"/>
      <c r="H120" s="741"/>
      <c r="I120" s="741"/>
      <c r="J120" s="741"/>
      <c r="K120" s="741"/>
      <c r="L120" s="741"/>
      <c r="M120" s="741"/>
      <c r="N120" s="741"/>
      <c r="O120" s="742"/>
      <c r="P120" s="738" t="s">
        <v>40</v>
      </c>
      <c r="Q120" s="739"/>
      <c r="R120" s="739"/>
      <c r="S120" s="739"/>
      <c r="T120" s="739"/>
      <c r="U120" s="739"/>
      <c r="V120" s="740"/>
      <c r="W120" s="42" t="s">
        <v>39</v>
      </c>
      <c r="X120" s="43">
        <f>IFERROR(X115/H115,"0")+IFERROR(X116/H116,"0")+IFERROR(X117/H117,"0")+IFERROR(X118/H118,"0")+IFERROR(X119/H119,"0")</f>
        <v>0</v>
      </c>
      <c r="Y120" s="43">
        <f>IFERROR(Y115/H115,"0")+IFERROR(Y116/H116,"0")+IFERROR(Y117/H117,"0")+IFERROR(Y118/H118,"0")+IFERROR(Y119/H119,"0")</f>
        <v>0</v>
      </c>
      <c r="Z120" s="43">
        <f>IFERROR(IF(Z115="",0,Z115),"0")+IFERROR(IF(Z116="",0,Z116),"0")+IFERROR(IF(Z117="",0,Z117),"0")+IFERROR(IF(Z118="",0,Z118),"0")+IFERROR(IF(Z119="",0,Z119),"0")</f>
        <v>0</v>
      </c>
      <c r="AA120" s="67"/>
      <c r="AB120" s="67"/>
      <c r="AC120" s="67"/>
    </row>
    <row r="121" spans="1:68" hidden="1" x14ac:dyDescent="0.2">
      <c r="A121" s="741"/>
      <c r="B121" s="741"/>
      <c r="C121" s="741"/>
      <c r="D121" s="741"/>
      <c r="E121" s="741"/>
      <c r="F121" s="741"/>
      <c r="G121" s="741"/>
      <c r="H121" s="741"/>
      <c r="I121" s="741"/>
      <c r="J121" s="741"/>
      <c r="K121" s="741"/>
      <c r="L121" s="741"/>
      <c r="M121" s="741"/>
      <c r="N121" s="741"/>
      <c r="O121" s="742"/>
      <c r="P121" s="738" t="s">
        <v>40</v>
      </c>
      <c r="Q121" s="739"/>
      <c r="R121" s="739"/>
      <c r="S121" s="739"/>
      <c r="T121" s="739"/>
      <c r="U121" s="739"/>
      <c r="V121" s="740"/>
      <c r="W121" s="42" t="s">
        <v>0</v>
      </c>
      <c r="X121" s="43">
        <f>IFERROR(SUM(X115:X119),"0")</f>
        <v>0</v>
      </c>
      <c r="Y121" s="43">
        <f>IFERROR(SUM(Y115:Y119),"0")</f>
        <v>0</v>
      </c>
      <c r="Z121" s="42"/>
      <c r="AA121" s="67"/>
      <c r="AB121" s="67"/>
      <c r="AC121" s="67"/>
    </row>
    <row r="122" spans="1:68" ht="14.25" hidden="1" customHeight="1" x14ac:dyDescent="0.25">
      <c r="A122" s="732" t="s">
        <v>86</v>
      </c>
      <c r="B122" s="732"/>
      <c r="C122" s="732"/>
      <c r="D122" s="732"/>
      <c r="E122" s="732"/>
      <c r="F122" s="732"/>
      <c r="G122" s="732"/>
      <c r="H122" s="732"/>
      <c r="I122" s="732"/>
      <c r="J122" s="732"/>
      <c r="K122" s="732"/>
      <c r="L122" s="732"/>
      <c r="M122" s="732"/>
      <c r="N122" s="732"/>
      <c r="O122" s="732"/>
      <c r="P122" s="732"/>
      <c r="Q122" s="732"/>
      <c r="R122" s="732"/>
      <c r="S122" s="732"/>
      <c r="T122" s="732"/>
      <c r="U122" s="732"/>
      <c r="V122" s="732"/>
      <c r="W122" s="732"/>
      <c r="X122" s="732"/>
      <c r="Y122" s="732"/>
      <c r="Z122" s="732"/>
      <c r="AA122" s="66"/>
      <c r="AB122" s="66"/>
      <c r="AC122" s="80"/>
    </row>
    <row r="123" spans="1:68" ht="27" customHeight="1" x14ac:dyDescent="0.25">
      <c r="A123" s="63" t="s">
        <v>242</v>
      </c>
      <c r="B123" s="63" t="s">
        <v>243</v>
      </c>
      <c r="C123" s="36">
        <v>4301051724</v>
      </c>
      <c r="D123" s="733">
        <v>4607091385168</v>
      </c>
      <c r="E123" s="733"/>
      <c r="F123" s="62">
        <v>1.35</v>
      </c>
      <c r="G123" s="37">
        <v>6</v>
      </c>
      <c r="H123" s="62">
        <v>8.1</v>
      </c>
      <c r="I123" s="62">
        <v>8.5879999999999992</v>
      </c>
      <c r="J123" s="37">
        <v>64</v>
      </c>
      <c r="K123" s="37" t="s">
        <v>127</v>
      </c>
      <c r="L123" s="37" t="s">
        <v>46</v>
      </c>
      <c r="M123" s="38" t="s">
        <v>97</v>
      </c>
      <c r="N123" s="38"/>
      <c r="O123" s="37">
        <v>45</v>
      </c>
      <c r="P123" s="799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3" s="735"/>
      <c r="R123" s="735"/>
      <c r="S123" s="735"/>
      <c r="T123" s="736"/>
      <c r="U123" s="39" t="s">
        <v>46</v>
      </c>
      <c r="V123" s="39" t="s">
        <v>46</v>
      </c>
      <c r="W123" s="40" t="s">
        <v>0</v>
      </c>
      <c r="X123" s="58">
        <v>100</v>
      </c>
      <c r="Y123" s="55">
        <f t="shared" ref="Y123:Y130" si="15">IFERROR(IF(X123="",0,CEILING((X123/$H123),1)*$H123),"")</f>
        <v>105.3</v>
      </c>
      <c r="Z123" s="41">
        <f>IFERROR(IF(Y123=0,"",ROUNDUP(Y123/H123,0)*0.01898),"")</f>
        <v>0.24674000000000001</v>
      </c>
      <c r="AA123" s="68" t="s">
        <v>46</v>
      </c>
      <c r="AB123" s="69" t="s">
        <v>46</v>
      </c>
      <c r="AC123" s="202" t="s">
        <v>244</v>
      </c>
      <c r="AG123" s="78"/>
      <c r="AJ123" s="84" t="s">
        <v>46</v>
      </c>
      <c r="AK123" s="84">
        <v>0</v>
      </c>
      <c r="BB123" s="203" t="s">
        <v>67</v>
      </c>
      <c r="BM123" s="78">
        <f t="shared" ref="BM123:BM130" si="16">IFERROR(X123*I123/H123,"0")</f>
        <v>106.0246913580247</v>
      </c>
      <c r="BN123" s="78">
        <f t="shared" ref="BN123:BN130" si="17">IFERROR(Y123*I123/H123,"0")</f>
        <v>111.64399999999999</v>
      </c>
      <c r="BO123" s="78">
        <f t="shared" ref="BO123:BO130" si="18">IFERROR(1/J123*(X123/H123),"0")</f>
        <v>0.19290123456790123</v>
      </c>
      <c r="BP123" s="78">
        <f t="shared" ref="BP123:BP130" si="19">IFERROR(1/J123*(Y123/H123),"0")</f>
        <v>0.203125</v>
      </c>
    </row>
    <row r="124" spans="1:68" ht="27" hidden="1" customHeight="1" x14ac:dyDescent="0.25">
      <c r="A124" s="63" t="s">
        <v>242</v>
      </c>
      <c r="B124" s="63" t="s">
        <v>245</v>
      </c>
      <c r="C124" s="36">
        <v>4301052088</v>
      </c>
      <c r="D124" s="733">
        <v>4607091385168</v>
      </c>
      <c r="E124" s="733"/>
      <c r="F124" s="62">
        <v>1.35</v>
      </c>
      <c r="G124" s="37">
        <v>6</v>
      </c>
      <c r="H124" s="62">
        <v>8.1</v>
      </c>
      <c r="I124" s="62">
        <v>8.5879999999999992</v>
      </c>
      <c r="J124" s="37">
        <v>64</v>
      </c>
      <c r="K124" s="37" t="s">
        <v>127</v>
      </c>
      <c r="L124" s="37" t="s">
        <v>46</v>
      </c>
      <c r="M124" s="38" t="s">
        <v>90</v>
      </c>
      <c r="N124" s="38"/>
      <c r="O124" s="37">
        <v>45</v>
      </c>
      <c r="P124" s="800" t="s">
        <v>246</v>
      </c>
      <c r="Q124" s="735"/>
      <c r="R124" s="735"/>
      <c r="S124" s="735"/>
      <c r="T124" s="736"/>
      <c r="U124" s="39" t="s">
        <v>46</v>
      </c>
      <c r="V124" s="39" t="s">
        <v>46</v>
      </c>
      <c r="W124" s="40" t="s">
        <v>0</v>
      </c>
      <c r="X124" s="58">
        <v>0</v>
      </c>
      <c r="Y124" s="55">
        <f t="shared" si="15"/>
        <v>0</v>
      </c>
      <c r="Z124" s="41" t="str">
        <f>IFERROR(IF(Y124=0,"",ROUNDUP(Y124/H124,0)*0.01898),"")</f>
        <v/>
      </c>
      <c r="AA124" s="68" t="s">
        <v>46</v>
      </c>
      <c r="AB124" s="69" t="s">
        <v>46</v>
      </c>
      <c r="AC124" s="204" t="s">
        <v>244</v>
      </c>
      <c r="AG124" s="78"/>
      <c r="AJ124" s="84" t="s">
        <v>46</v>
      </c>
      <c r="AK124" s="84">
        <v>0</v>
      </c>
      <c r="BB124" s="205" t="s">
        <v>67</v>
      </c>
      <c r="BM124" s="78">
        <f t="shared" si="16"/>
        <v>0</v>
      </c>
      <c r="BN124" s="78">
        <f t="shared" si="17"/>
        <v>0</v>
      </c>
      <c r="BO124" s="78">
        <f t="shared" si="18"/>
        <v>0</v>
      </c>
      <c r="BP124" s="78">
        <f t="shared" si="19"/>
        <v>0</v>
      </c>
    </row>
    <row r="125" spans="1:68" ht="27" hidden="1" customHeight="1" x14ac:dyDescent="0.25">
      <c r="A125" s="63" t="s">
        <v>247</v>
      </c>
      <c r="B125" s="63" t="s">
        <v>248</v>
      </c>
      <c r="C125" s="36">
        <v>4301051730</v>
      </c>
      <c r="D125" s="733">
        <v>4607091383256</v>
      </c>
      <c r="E125" s="733"/>
      <c r="F125" s="62">
        <v>0.33</v>
      </c>
      <c r="G125" s="37">
        <v>6</v>
      </c>
      <c r="H125" s="62">
        <v>1.98</v>
      </c>
      <c r="I125" s="62">
        <v>2.226</v>
      </c>
      <c r="J125" s="37">
        <v>182</v>
      </c>
      <c r="K125" s="37" t="s">
        <v>91</v>
      </c>
      <c r="L125" s="37" t="s">
        <v>46</v>
      </c>
      <c r="M125" s="38" t="s">
        <v>97</v>
      </c>
      <c r="N125" s="38"/>
      <c r="O125" s="37">
        <v>45</v>
      </c>
      <c r="P125" s="801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5" s="735"/>
      <c r="R125" s="735"/>
      <c r="S125" s="735"/>
      <c r="T125" s="736"/>
      <c r="U125" s="39" t="s">
        <v>46</v>
      </c>
      <c r="V125" s="39" t="s">
        <v>46</v>
      </c>
      <c r="W125" s="40" t="s">
        <v>0</v>
      </c>
      <c r="X125" s="58">
        <v>0</v>
      </c>
      <c r="Y125" s="55">
        <f t="shared" si="15"/>
        <v>0</v>
      </c>
      <c r="Z125" s="41" t="str">
        <f t="shared" ref="Z125:Z130" si="20">IFERROR(IF(Y125=0,"",ROUNDUP(Y125/H125,0)*0.00651),"")</f>
        <v/>
      </c>
      <c r="AA125" s="68" t="s">
        <v>46</v>
      </c>
      <c r="AB125" s="69" t="s">
        <v>46</v>
      </c>
      <c r="AC125" s="206" t="s">
        <v>244</v>
      </c>
      <c r="AG125" s="78"/>
      <c r="AJ125" s="84" t="s">
        <v>46</v>
      </c>
      <c r="AK125" s="84">
        <v>0</v>
      </c>
      <c r="BB125" s="207" t="s">
        <v>67</v>
      </c>
      <c r="BM125" s="78">
        <f t="shared" si="16"/>
        <v>0</v>
      </c>
      <c r="BN125" s="78">
        <f t="shared" si="17"/>
        <v>0</v>
      </c>
      <c r="BO125" s="78">
        <f t="shared" si="18"/>
        <v>0</v>
      </c>
      <c r="BP125" s="78">
        <f t="shared" si="19"/>
        <v>0</v>
      </c>
    </row>
    <row r="126" spans="1:68" ht="27" hidden="1" customHeight="1" x14ac:dyDescent="0.25">
      <c r="A126" s="63" t="s">
        <v>247</v>
      </c>
      <c r="B126" s="63" t="s">
        <v>249</v>
      </c>
      <c r="C126" s="36">
        <v>4301052087</v>
      </c>
      <c r="D126" s="733">
        <v>4607091383256</v>
      </c>
      <c r="E126" s="733"/>
      <c r="F126" s="62">
        <v>0.33</v>
      </c>
      <c r="G126" s="37">
        <v>6</v>
      </c>
      <c r="H126" s="62">
        <v>1.98</v>
      </c>
      <c r="I126" s="62">
        <v>2.226</v>
      </c>
      <c r="J126" s="37">
        <v>182</v>
      </c>
      <c r="K126" s="37" t="s">
        <v>91</v>
      </c>
      <c r="L126" s="37" t="s">
        <v>46</v>
      </c>
      <c r="M126" s="38" t="s">
        <v>90</v>
      </c>
      <c r="N126" s="38"/>
      <c r="O126" s="37">
        <v>45</v>
      </c>
      <c r="P126" s="802" t="s">
        <v>250</v>
      </c>
      <c r="Q126" s="735"/>
      <c r="R126" s="735"/>
      <c r="S126" s="735"/>
      <c r="T126" s="736"/>
      <c r="U126" s="39" t="s">
        <v>46</v>
      </c>
      <c r="V126" s="39" t="s">
        <v>46</v>
      </c>
      <c r="W126" s="40" t="s">
        <v>0</v>
      </c>
      <c r="X126" s="58">
        <v>0</v>
      </c>
      <c r="Y126" s="55">
        <f t="shared" si="15"/>
        <v>0</v>
      </c>
      <c r="Z126" s="41" t="str">
        <f t="shared" si="20"/>
        <v/>
      </c>
      <c r="AA126" s="68" t="s">
        <v>46</v>
      </c>
      <c r="AB126" s="69" t="s">
        <v>46</v>
      </c>
      <c r="AC126" s="208" t="s">
        <v>244</v>
      </c>
      <c r="AG126" s="78"/>
      <c r="AJ126" s="84" t="s">
        <v>46</v>
      </c>
      <c r="AK126" s="84">
        <v>0</v>
      </c>
      <c r="BB126" s="209" t="s">
        <v>67</v>
      </c>
      <c r="BM126" s="78">
        <f t="shared" si="16"/>
        <v>0</v>
      </c>
      <c r="BN126" s="78">
        <f t="shared" si="17"/>
        <v>0</v>
      </c>
      <c r="BO126" s="78">
        <f t="shared" si="18"/>
        <v>0</v>
      </c>
      <c r="BP126" s="78">
        <f t="shared" si="19"/>
        <v>0</v>
      </c>
    </row>
    <row r="127" spans="1:68" ht="27" customHeight="1" x14ac:dyDescent="0.25">
      <c r="A127" s="63" t="s">
        <v>251</v>
      </c>
      <c r="B127" s="63" t="s">
        <v>252</v>
      </c>
      <c r="C127" s="36">
        <v>4301051721</v>
      </c>
      <c r="D127" s="733">
        <v>4607091385748</v>
      </c>
      <c r="E127" s="733"/>
      <c r="F127" s="62">
        <v>0.45</v>
      </c>
      <c r="G127" s="37">
        <v>6</v>
      </c>
      <c r="H127" s="62">
        <v>2.7</v>
      </c>
      <c r="I127" s="62">
        <v>2.952</v>
      </c>
      <c r="J127" s="37">
        <v>182</v>
      </c>
      <c r="K127" s="37" t="s">
        <v>91</v>
      </c>
      <c r="L127" s="37" t="s">
        <v>46</v>
      </c>
      <c r="M127" s="38" t="s">
        <v>97</v>
      </c>
      <c r="N127" s="38"/>
      <c r="O127" s="37">
        <v>45</v>
      </c>
      <c r="P127" s="803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7" s="735"/>
      <c r="R127" s="735"/>
      <c r="S127" s="735"/>
      <c r="T127" s="736"/>
      <c r="U127" s="39" t="s">
        <v>46</v>
      </c>
      <c r="V127" s="39" t="s">
        <v>46</v>
      </c>
      <c r="W127" s="40" t="s">
        <v>0</v>
      </c>
      <c r="X127" s="58">
        <v>450</v>
      </c>
      <c r="Y127" s="55">
        <f t="shared" si="15"/>
        <v>450.90000000000003</v>
      </c>
      <c r="Z127" s="41">
        <f t="shared" si="20"/>
        <v>1.08717</v>
      </c>
      <c r="AA127" s="68" t="s">
        <v>46</v>
      </c>
      <c r="AB127" s="69" t="s">
        <v>46</v>
      </c>
      <c r="AC127" s="210" t="s">
        <v>244</v>
      </c>
      <c r="AG127" s="78"/>
      <c r="AJ127" s="84" t="s">
        <v>46</v>
      </c>
      <c r="AK127" s="84">
        <v>0</v>
      </c>
      <c r="BB127" s="211" t="s">
        <v>67</v>
      </c>
      <c r="BM127" s="78">
        <f t="shared" si="16"/>
        <v>492</v>
      </c>
      <c r="BN127" s="78">
        <f t="shared" si="17"/>
        <v>492.98399999999998</v>
      </c>
      <c r="BO127" s="78">
        <f t="shared" si="18"/>
        <v>0.91575091575091572</v>
      </c>
      <c r="BP127" s="78">
        <f t="shared" si="19"/>
        <v>0.91758241758241765</v>
      </c>
    </row>
    <row r="128" spans="1:68" ht="27" hidden="1" customHeight="1" x14ac:dyDescent="0.25">
      <c r="A128" s="63" t="s">
        <v>251</v>
      </c>
      <c r="B128" s="63" t="s">
        <v>253</v>
      </c>
      <c r="C128" s="36">
        <v>4301052086</v>
      </c>
      <c r="D128" s="733">
        <v>4607091385748</v>
      </c>
      <c r="E128" s="733"/>
      <c r="F128" s="62">
        <v>0.45</v>
      </c>
      <c r="G128" s="37">
        <v>6</v>
      </c>
      <c r="H128" s="62">
        <v>2.7</v>
      </c>
      <c r="I128" s="62">
        <v>2.952</v>
      </c>
      <c r="J128" s="37">
        <v>182</v>
      </c>
      <c r="K128" s="37" t="s">
        <v>91</v>
      </c>
      <c r="L128" s="37" t="s">
        <v>46</v>
      </c>
      <c r="M128" s="38" t="s">
        <v>90</v>
      </c>
      <c r="N128" s="38"/>
      <c r="O128" s="37">
        <v>45</v>
      </c>
      <c r="P128" s="804" t="s">
        <v>254</v>
      </c>
      <c r="Q128" s="735"/>
      <c r="R128" s="735"/>
      <c r="S128" s="735"/>
      <c r="T128" s="736"/>
      <c r="U128" s="39" t="s">
        <v>46</v>
      </c>
      <c r="V128" s="39" t="s">
        <v>46</v>
      </c>
      <c r="W128" s="40" t="s">
        <v>0</v>
      </c>
      <c r="X128" s="58">
        <v>0</v>
      </c>
      <c r="Y128" s="55">
        <f t="shared" si="15"/>
        <v>0</v>
      </c>
      <c r="Z128" s="41" t="str">
        <f t="shared" si="20"/>
        <v/>
      </c>
      <c r="AA128" s="68" t="s">
        <v>46</v>
      </c>
      <c r="AB128" s="69" t="s">
        <v>46</v>
      </c>
      <c r="AC128" s="212" t="s">
        <v>244</v>
      </c>
      <c r="AG128" s="78"/>
      <c r="AJ128" s="84" t="s">
        <v>46</v>
      </c>
      <c r="AK128" s="84">
        <v>0</v>
      </c>
      <c r="BB128" s="213" t="s">
        <v>67</v>
      </c>
      <c r="BM128" s="78">
        <f t="shared" si="16"/>
        <v>0</v>
      </c>
      <c r="BN128" s="78">
        <f t="shared" si="17"/>
        <v>0</v>
      </c>
      <c r="BO128" s="78">
        <f t="shared" si="18"/>
        <v>0</v>
      </c>
      <c r="BP128" s="78">
        <f t="shared" si="19"/>
        <v>0</v>
      </c>
    </row>
    <row r="129" spans="1:68" ht="16.5" hidden="1" customHeight="1" x14ac:dyDescent="0.25">
      <c r="A129" s="63" t="s">
        <v>255</v>
      </c>
      <c r="B129" s="63" t="s">
        <v>256</v>
      </c>
      <c r="C129" s="36">
        <v>4301051740</v>
      </c>
      <c r="D129" s="733">
        <v>4680115884533</v>
      </c>
      <c r="E129" s="733"/>
      <c r="F129" s="62">
        <v>0.3</v>
      </c>
      <c r="G129" s="37">
        <v>6</v>
      </c>
      <c r="H129" s="62">
        <v>1.8</v>
      </c>
      <c r="I129" s="62">
        <v>1.98</v>
      </c>
      <c r="J129" s="37">
        <v>182</v>
      </c>
      <c r="K129" s="37" t="s">
        <v>91</v>
      </c>
      <c r="L129" s="37" t="s">
        <v>46</v>
      </c>
      <c r="M129" s="38" t="s">
        <v>90</v>
      </c>
      <c r="N129" s="38"/>
      <c r="O129" s="37">
        <v>45</v>
      </c>
      <c r="P129" s="80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9" s="735"/>
      <c r="R129" s="735"/>
      <c r="S129" s="735"/>
      <c r="T129" s="736"/>
      <c r="U129" s="39" t="s">
        <v>46</v>
      </c>
      <c r="V129" s="39" t="s">
        <v>46</v>
      </c>
      <c r="W129" s="40" t="s">
        <v>0</v>
      </c>
      <c r="X129" s="58">
        <v>0</v>
      </c>
      <c r="Y129" s="55">
        <f t="shared" si="15"/>
        <v>0</v>
      </c>
      <c r="Z129" s="41" t="str">
        <f t="shared" si="20"/>
        <v/>
      </c>
      <c r="AA129" s="68" t="s">
        <v>46</v>
      </c>
      <c r="AB129" s="69" t="s">
        <v>46</v>
      </c>
      <c r="AC129" s="214" t="s">
        <v>257</v>
      </c>
      <c r="AG129" s="78"/>
      <c r="AJ129" s="84" t="s">
        <v>46</v>
      </c>
      <c r="AK129" s="84">
        <v>0</v>
      </c>
      <c r="BB129" s="215" t="s">
        <v>67</v>
      </c>
      <c r="BM129" s="78">
        <f t="shared" si="16"/>
        <v>0</v>
      </c>
      <c r="BN129" s="78">
        <f t="shared" si="17"/>
        <v>0</v>
      </c>
      <c r="BO129" s="78">
        <f t="shared" si="18"/>
        <v>0</v>
      </c>
      <c r="BP129" s="78">
        <f t="shared" si="19"/>
        <v>0</v>
      </c>
    </row>
    <row r="130" spans="1:68" ht="16.5" hidden="1" customHeight="1" x14ac:dyDescent="0.25">
      <c r="A130" s="63" t="s">
        <v>255</v>
      </c>
      <c r="B130" s="63" t="s">
        <v>258</v>
      </c>
      <c r="C130" s="36">
        <v>4301052085</v>
      </c>
      <c r="D130" s="733">
        <v>4680115884533</v>
      </c>
      <c r="E130" s="733"/>
      <c r="F130" s="62">
        <v>0.3</v>
      </c>
      <c r="G130" s="37">
        <v>6</v>
      </c>
      <c r="H130" s="62">
        <v>1.8</v>
      </c>
      <c r="I130" s="62">
        <v>1.98</v>
      </c>
      <c r="J130" s="37">
        <v>182</v>
      </c>
      <c r="K130" s="37" t="s">
        <v>91</v>
      </c>
      <c r="L130" s="37" t="s">
        <v>46</v>
      </c>
      <c r="M130" s="38" t="s">
        <v>90</v>
      </c>
      <c r="N130" s="38"/>
      <c r="O130" s="37">
        <v>45</v>
      </c>
      <c r="P130" s="806" t="s">
        <v>259</v>
      </c>
      <c r="Q130" s="735"/>
      <c r="R130" s="735"/>
      <c r="S130" s="735"/>
      <c r="T130" s="736"/>
      <c r="U130" s="39" t="s">
        <v>46</v>
      </c>
      <c r="V130" s="39" t="s">
        <v>46</v>
      </c>
      <c r="W130" s="40" t="s">
        <v>0</v>
      </c>
      <c r="X130" s="58">
        <v>0</v>
      </c>
      <c r="Y130" s="55">
        <f t="shared" si="15"/>
        <v>0</v>
      </c>
      <c r="Z130" s="41" t="str">
        <f t="shared" si="20"/>
        <v/>
      </c>
      <c r="AA130" s="68" t="s">
        <v>46</v>
      </c>
      <c r="AB130" s="69" t="s">
        <v>46</v>
      </c>
      <c r="AC130" s="216" t="s">
        <v>257</v>
      </c>
      <c r="AG130" s="78"/>
      <c r="AJ130" s="84" t="s">
        <v>46</v>
      </c>
      <c r="AK130" s="84">
        <v>0</v>
      </c>
      <c r="BB130" s="217" t="s">
        <v>67</v>
      </c>
      <c r="BM130" s="78">
        <f t="shared" si="16"/>
        <v>0</v>
      </c>
      <c r="BN130" s="78">
        <f t="shared" si="17"/>
        <v>0</v>
      </c>
      <c r="BO130" s="78">
        <f t="shared" si="18"/>
        <v>0</v>
      </c>
      <c r="BP130" s="78">
        <f t="shared" si="19"/>
        <v>0</v>
      </c>
    </row>
    <row r="131" spans="1:68" x14ac:dyDescent="0.2">
      <c r="A131" s="741"/>
      <c r="B131" s="741"/>
      <c r="C131" s="741"/>
      <c r="D131" s="741"/>
      <c r="E131" s="741"/>
      <c r="F131" s="741"/>
      <c r="G131" s="741"/>
      <c r="H131" s="741"/>
      <c r="I131" s="741"/>
      <c r="J131" s="741"/>
      <c r="K131" s="741"/>
      <c r="L131" s="741"/>
      <c r="M131" s="741"/>
      <c r="N131" s="741"/>
      <c r="O131" s="742"/>
      <c r="P131" s="738" t="s">
        <v>40</v>
      </c>
      <c r="Q131" s="739"/>
      <c r="R131" s="739"/>
      <c r="S131" s="739"/>
      <c r="T131" s="739"/>
      <c r="U131" s="739"/>
      <c r="V131" s="740"/>
      <c r="W131" s="42" t="s">
        <v>39</v>
      </c>
      <c r="X131" s="43">
        <f>IFERROR(X123/H123,"0")+IFERROR(X124/H124,"0")+IFERROR(X125/H125,"0")+IFERROR(X126/H126,"0")+IFERROR(X127/H127,"0")+IFERROR(X128/H128,"0")+IFERROR(X129/H129,"0")+IFERROR(X130/H130,"0")</f>
        <v>179.01234567901233</v>
      </c>
      <c r="Y131" s="43">
        <f>IFERROR(Y123/H123,"0")+IFERROR(Y124/H124,"0")+IFERROR(Y125/H125,"0")+IFERROR(Y126/H126,"0")+IFERROR(Y127/H127,"0")+IFERROR(Y128/H128,"0")+IFERROR(Y129/H129,"0")+IFERROR(Y130/H130,"0")</f>
        <v>180</v>
      </c>
      <c r="Z131" s="43">
        <f>IFERROR(IF(Z123="",0,Z123),"0")+IFERROR(IF(Z124="",0,Z124),"0")+IFERROR(IF(Z125="",0,Z125),"0")+IFERROR(IF(Z126="",0,Z126),"0")+IFERROR(IF(Z127="",0,Z127),"0")+IFERROR(IF(Z128="",0,Z128),"0")+IFERROR(IF(Z129="",0,Z129),"0")+IFERROR(IF(Z130="",0,Z130),"0")</f>
        <v>1.3339099999999999</v>
      </c>
      <c r="AA131" s="67"/>
      <c r="AB131" s="67"/>
      <c r="AC131" s="67"/>
    </row>
    <row r="132" spans="1:68" x14ac:dyDescent="0.2">
      <c r="A132" s="741"/>
      <c r="B132" s="741"/>
      <c r="C132" s="741"/>
      <c r="D132" s="741"/>
      <c r="E132" s="741"/>
      <c r="F132" s="741"/>
      <c r="G132" s="741"/>
      <c r="H132" s="741"/>
      <c r="I132" s="741"/>
      <c r="J132" s="741"/>
      <c r="K132" s="741"/>
      <c r="L132" s="741"/>
      <c r="M132" s="741"/>
      <c r="N132" s="741"/>
      <c r="O132" s="742"/>
      <c r="P132" s="738" t="s">
        <v>40</v>
      </c>
      <c r="Q132" s="739"/>
      <c r="R132" s="739"/>
      <c r="S132" s="739"/>
      <c r="T132" s="739"/>
      <c r="U132" s="739"/>
      <c r="V132" s="740"/>
      <c r="W132" s="42" t="s">
        <v>0</v>
      </c>
      <c r="X132" s="43">
        <f>IFERROR(SUM(X123:X130),"0")</f>
        <v>550</v>
      </c>
      <c r="Y132" s="43">
        <f>IFERROR(SUM(Y123:Y130),"0")</f>
        <v>556.20000000000005</v>
      </c>
      <c r="Z132" s="42"/>
      <c r="AA132" s="67"/>
      <c r="AB132" s="67"/>
      <c r="AC132" s="67"/>
    </row>
    <row r="133" spans="1:68" ht="14.25" hidden="1" customHeight="1" x14ac:dyDescent="0.25">
      <c r="A133" s="732" t="s">
        <v>173</v>
      </c>
      <c r="B133" s="732"/>
      <c r="C133" s="732"/>
      <c r="D133" s="732"/>
      <c r="E133" s="732"/>
      <c r="F133" s="732"/>
      <c r="G133" s="732"/>
      <c r="H133" s="732"/>
      <c r="I133" s="732"/>
      <c r="J133" s="732"/>
      <c r="K133" s="732"/>
      <c r="L133" s="732"/>
      <c r="M133" s="732"/>
      <c r="N133" s="732"/>
      <c r="O133" s="732"/>
      <c r="P133" s="732"/>
      <c r="Q133" s="732"/>
      <c r="R133" s="732"/>
      <c r="S133" s="732"/>
      <c r="T133" s="732"/>
      <c r="U133" s="732"/>
      <c r="V133" s="732"/>
      <c r="W133" s="732"/>
      <c r="X133" s="732"/>
      <c r="Y133" s="732"/>
      <c r="Z133" s="732"/>
      <c r="AA133" s="66"/>
      <c r="AB133" s="66"/>
      <c r="AC133" s="80"/>
    </row>
    <row r="134" spans="1:68" ht="16.5" hidden="1" customHeight="1" x14ac:dyDescent="0.25">
      <c r="A134" s="63" t="s">
        <v>260</v>
      </c>
      <c r="B134" s="63" t="s">
        <v>261</v>
      </c>
      <c r="C134" s="36">
        <v>4301060317</v>
      </c>
      <c r="D134" s="733">
        <v>4680115880238</v>
      </c>
      <c r="E134" s="733"/>
      <c r="F134" s="62">
        <v>0.33</v>
      </c>
      <c r="G134" s="37">
        <v>6</v>
      </c>
      <c r="H134" s="62">
        <v>1.98</v>
      </c>
      <c r="I134" s="62">
        <v>2.238</v>
      </c>
      <c r="J134" s="37">
        <v>182</v>
      </c>
      <c r="K134" s="37" t="s">
        <v>91</v>
      </c>
      <c r="L134" s="37" t="s">
        <v>46</v>
      </c>
      <c r="M134" s="38" t="s">
        <v>90</v>
      </c>
      <c r="N134" s="38"/>
      <c r="O134" s="37">
        <v>40</v>
      </c>
      <c r="P134" s="807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4" s="735"/>
      <c r="R134" s="735"/>
      <c r="S134" s="735"/>
      <c r="T134" s="736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18" t="s">
        <v>262</v>
      </c>
      <c r="AG134" s="78"/>
      <c r="AJ134" s="84" t="s">
        <v>46</v>
      </c>
      <c r="AK134" s="84">
        <v>0</v>
      </c>
      <c r="BB134" s="219" t="s">
        <v>67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16.5" hidden="1" customHeight="1" x14ac:dyDescent="0.25">
      <c r="A135" s="63" t="s">
        <v>260</v>
      </c>
      <c r="B135" s="63" t="s">
        <v>263</v>
      </c>
      <c r="C135" s="36">
        <v>4301060525</v>
      </c>
      <c r="D135" s="733">
        <v>4680115880238</v>
      </c>
      <c r="E135" s="733"/>
      <c r="F135" s="62">
        <v>0.33</v>
      </c>
      <c r="G135" s="37">
        <v>6</v>
      </c>
      <c r="H135" s="62">
        <v>1.98</v>
      </c>
      <c r="I135" s="62">
        <v>2.238</v>
      </c>
      <c r="J135" s="37">
        <v>182</v>
      </c>
      <c r="K135" s="37" t="s">
        <v>91</v>
      </c>
      <c r="L135" s="37" t="s">
        <v>46</v>
      </c>
      <c r="M135" s="38" t="s">
        <v>90</v>
      </c>
      <c r="N135" s="38"/>
      <c r="O135" s="37">
        <v>40</v>
      </c>
      <c r="P135" s="808" t="s">
        <v>264</v>
      </c>
      <c r="Q135" s="735"/>
      <c r="R135" s="735"/>
      <c r="S135" s="735"/>
      <c r="T135" s="736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20" t="s">
        <v>262</v>
      </c>
      <c r="AG135" s="78"/>
      <c r="AJ135" s="84" t="s">
        <v>46</v>
      </c>
      <c r="AK135" s="84">
        <v>0</v>
      </c>
      <c r="BB135" s="221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idden="1" x14ac:dyDescent="0.2">
      <c r="A136" s="741"/>
      <c r="B136" s="741"/>
      <c r="C136" s="741"/>
      <c r="D136" s="741"/>
      <c r="E136" s="741"/>
      <c r="F136" s="741"/>
      <c r="G136" s="741"/>
      <c r="H136" s="741"/>
      <c r="I136" s="741"/>
      <c r="J136" s="741"/>
      <c r="K136" s="741"/>
      <c r="L136" s="741"/>
      <c r="M136" s="741"/>
      <c r="N136" s="741"/>
      <c r="O136" s="742"/>
      <c r="P136" s="738" t="s">
        <v>40</v>
      </c>
      <c r="Q136" s="739"/>
      <c r="R136" s="739"/>
      <c r="S136" s="739"/>
      <c r="T136" s="739"/>
      <c r="U136" s="739"/>
      <c r="V136" s="740"/>
      <c r="W136" s="42" t="s">
        <v>39</v>
      </c>
      <c r="X136" s="43">
        <f>IFERROR(X134/H134,"0")+IFERROR(X135/H135,"0")</f>
        <v>0</v>
      </c>
      <c r="Y136" s="43">
        <f>IFERROR(Y134/H134,"0")+IFERROR(Y135/H135,"0")</f>
        <v>0</v>
      </c>
      <c r="Z136" s="43">
        <f>IFERROR(IF(Z134="",0,Z134),"0")+IFERROR(IF(Z135="",0,Z135),"0")</f>
        <v>0</v>
      </c>
      <c r="AA136" s="67"/>
      <c r="AB136" s="67"/>
      <c r="AC136" s="67"/>
    </row>
    <row r="137" spans="1:68" hidden="1" x14ac:dyDescent="0.2">
      <c r="A137" s="741"/>
      <c r="B137" s="741"/>
      <c r="C137" s="741"/>
      <c r="D137" s="741"/>
      <c r="E137" s="741"/>
      <c r="F137" s="741"/>
      <c r="G137" s="741"/>
      <c r="H137" s="741"/>
      <c r="I137" s="741"/>
      <c r="J137" s="741"/>
      <c r="K137" s="741"/>
      <c r="L137" s="741"/>
      <c r="M137" s="741"/>
      <c r="N137" s="741"/>
      <c r="O137" s="742"/>
      <c r="P137" s="738" t="s">
        <v>40</v>
      </c>
      <c r="Q137" s="739"/>
      <c r="R137" s="739"/>
      <c r="S137" s="739"/>
      <c r="T137" s="739"/>
      <c r="U137" s="739"/>
      <c r="V137" s="740"/>
      <c r="W137" s="42" t="s">
        <v>0</v>
      </c>
      <c r="X137" s="43">
        <f>IFERROR(SUM(X134:X135),"0")</f>
        <v>0</v>
      </c>
      <c r="Y137" s="43">
        <f>IFERROR(SUM(Y134:Y135),"0")</f>
        <v>0</v>
      </c>
      <c r="Z137" s="42"/>
      <c r="AA137" s="67"/>
      <c r="AB137" s="67"/>
      <c r="AC137" s="67"/>
    </row>
    <row r="138" spans="1:68" ht="16.5" hidden="1" customHeight="1" x14ac:dyDescent="0.25">
      <c r="A138" s="731" t="s">
        <v>265</v>
      </c>
      <c r="B138" s="731"/>
      <c r="C138" s="731"/>
      <c r="D138" s="731"/>
      <c r="E138" s="731"/>
      <c r="F138" s="731"/>
      <c r="G138" s="731"/>
      <c r="H138" s="731"/>
      <c r="I138" s="731"/>
      <c r="J138" s="731"/>
      <c r="K138" s="731"/>
      <c r="L138" s="731"/>
      <c r="M138" s="731"/>
      <c r="N138" s="731"/>
      <c r="O138" s="731"/>
      <c r="P138" s="731"/>
      <c r="Q138" s="731"/>
      <c r="R138" s="731"/>
      <c r="S138" s="731"/>
      <c r="T138" s="731"/>
      <c r="U138" s="731"/>
      <c r="V138" s="731"/>
      <c r="W138" s="731"/>
      <c r="X138" s="731"/>
      <c r="Y138" s="731"/>
      <c r="Z138" s="731"/>
      <c r="AA138" s="65"/>
      <c r="AB138" s="65"/>
      <c r="AC138" s="79"/>
    </row>
    <row r="139" spans="1:68" ht="14.25" hidden="1" customHeight="1" x14ac:dyDescent="0.25">
      <c r="A139" s="732" t="s">
        <v>122</v>
      </c>
      <c r="B139" s="732"/>
      <c r="C139" s="732"/>
      <c r="D139" s="732"/>
      <c r="E139" s="732"/>
      <c r="F139" s="732"/>
      <c r="G139" s="732"/>
      <c r="H139" s="732"/>
      <c r="I139" s="732"/>
      <c r="J139" s="732"/>
      <c r="K139" s="732"/>
      <c r="L139" s="732"/>
      <c r="M139" s="732"/>
      <c r="N139" s="732"/>
      <c r="O139" s="732"/>
      <c r="P139" s="732"/>
      <c r="Q139" s="732"/>
      <c r="R139" s="732"/>
      <c r="S139" s="732"/>
      <c r="T139" s="732"/>
      <c r="U139" s="732"/>
      <c r="V139" s="732"/>
      <c r="W139" s="732"/>
      <c r="X139" s="732"/>
      <c r="Y139" s="732"/>
      <c r="Z139" s="732"/>
      <c r="AA139" s="66"/>
      <c r="AB139" s="66"/>
      <c r="AC139" s="80"/>
    </row>
    <row r="140" spans="1:68" ht="27" hidden="1" customHeight="1" x14ac:dyDescent="0.25">
      <c r="A140" s="63" t="s">
        <v>266</v>
      </c>
      <c r="B140" s="63" t="s">
        <v>267</v>
      </c>
      <c r="C140" s="36">
        <v>4301011562</v>
      </c>
      <c r="D140" s="733">
        <v>4680115882577</v>
      </c>
      <c r="E140" s="733"/>
      <c r="F140" s="62">
        <v>0.4</v>
      </c>
      <c r="G140" s="37">
        <v>8</v>
      </c>
      <c r="H140" s="62">
        <v>3.2</v>
      </c>
      <c r="I140" s="62">
        <v>3.38</v>
      </c>
      <c r="J140" s="37">
        <v>182</v>
      </c>
      <c r="K140" s="37" t="s">
        <v>91</v>
      </c>
      <c r="L140" s="37" t="s">
        <v>46</v>
      </c>
      <c r="M140" s="38" t="s">
        <v>269</v>
      </c>
      <c r="N140" s="38"/>
      <c r="O140" s="37">
        <v>90</v>
      </c>
      <c r="P140" s="809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40" s="735"/>
      <c r="R140" s="735"/>
      <c r="S140" s="735"/>
      <c r="T140" s="736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IFERROR(IF(Y140=0,"",ROUNDUP(Y140/H140,0)*0.00651),"")</f>
        <v/>
      </c>
      <c r="AA140" s="68" t="s">
        <v>46</v>
      </c>
      <c r="AB140" s="69" t="s">
        <v>46</v>
      </c>
      <c r="AC140" s="222" t="s">
        <v>268</v>
      </c>
      <c r="AG140" s="78"/>
      <c r="AJ140" s="84" t="s">
        <v>46</v>
      </c>
      <c r="AK140" s="84">
        <v>0</v>
      </c>
      <c r="BB140" s="223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hidden="1" customHeight="1" x14ac:dyDescent="0.25">
      <c r="A141" s="63" t="s">
        <v>266</v>
      </c>
      <c r="B141" s="63" t="s">
        <v>270</v>
      </c>
      <c r="C141" s="36">
        <v>4301011564</v>
      </c>
      <c r="D141" s="733">
        <v>4680115882577</v>
      </c>
      <c r="E141" s="733"/>
      <c r="F141" s="62">
        <v>0.4</v>
      </c>
      <c r="G141" s="37">
        <v>8</v>
      </c>
      <c r="H141" s="62">
        <v>3.2</v>
      </c>
      <c r="I141" s="62">
        <v>3.38</v>
      </c>
      <c r="J141" s="37">
        <v>182</v>
      </c>
      <c r="K141" s="37" t="s">
        <v>91</v>
      </c>
      <c r="L141" s="37" t="s">
        <v>46</v>
      </c>
      <c r="M141" s="38" t="s">
        <v>269</v>
      </c>
      <c r="N141" s="38"/>
      <c r="O141" s="37">
        <v>90</v>
      </c>
      <c r="P141" s="81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41" s="735"/>
      <c r="R141" s="735"/>
      <c r="S141" s="735"/>
      <c r="T141" s="736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24" t="s">
        <v>268</v>
      </c>
      <c r="AG141" s="78"/>
      <c r="AJ141" s="84" t="s">
        <v>46</v>
      </c>
      <c r="AK141" s="84">
        <v>0</v>
      </c>
      <c r="BB141" s="225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idden="1" x14ac:dyDescent="0.2">
      <c r="A142" s="741"/>
      <c r="B142" s="741"/>
      <c r="C142" s="741"/>
      <c r="D142" s="741"/>
      <c r="E142" s="741"/>
      <c r="F142" s="741"/>
      <c r="G142" s="741"/>
      <c r="H142" s="741"/>
      <c r="I142" s="741"/>
      <c r="J142" s="741"/>
      <c r="K142" s="741"/>
      <c r="L142" s="741"/>
      <c r="M142" s="741"/>
      <c r="N142" s="741"/>
      <c r="O142" s="742"/>
      <c r="P142" s="738" t="s">
        <v>40</v>
      </c>
      <c r="Q142" s="739"/>
      <c r="R142" s="739"/>
      <c r="S142" s="739"/>
      <c r="T142" s="739"/>
      <c r="U142" s="739"/>
      <c r="V142" s="740"/>
      <c r="W142" s="42" t="s">
        <v>39</v>
      </c>
      <c r="X142" s="43">
        <f>IFERROR(X140/H140,"0")+IFERROR(X141/H141,"0")</f>
        <v>0</v>
      </c>
      <c r="Y142" s="43">
        <f>IFERROR(Y140/H140,"0")+IFERROR(Y141/H141,"0")</f>
        <v>0</v>
      </c>
      <c r="Z142" s="43">
        <f>IFERROR(IF(Z140="",0,Z140),"0")+IFERROR(IF(Z141="",0,Z141),"0")</f>
        <v>0</v>
      </c>
      <c r="AA142" s="67"/>
      <c r="AB142" s="67"/>
      <c r="AC142" s="67"/>
    </row>
    <row r="143" spans="1:68" hidden="1" x14ac:dyDescent="0.2">
      <c r="A143" s="741"/>
      <c r="B143" s="741"/>
      <c r="C143" s="741"/>
      <c r="D143" s="741"/>
      <c r="E143" s="741"/>
      <c r="F143" s="741"/>
      <c r="G143" s="741"/>
      <c r="H143" s="741"/>
      <c r="I143" s="741"/>
      <c r="J143" s="741"/>
      <c r="K143" s="741"/>
      <c r="L143" s="741"/>
      <c r="M143" s="741"/>
      <c r="N143" s="741"/>
      <c r="O143" s="742"/>
      <c r="P143" s="738" t="s">
        <v>40</v>
      </c>
      <c r="Q143" s="739"/>
      <c r="R143" s="739"/>
      <c r="S143" s="739"/>
      <c r="T143" s="739"/>
      <c r="U143" s="739"/>
      <c r="V143" s="740"/>
      <c r="W143" s="42" t="s">
        <v>0</v>
      </c>
      <c r="X143" s="43">
        <f>IFERROR(SUM(X140:X141),"0")</f>
        <v>0</v>
      </c>
      <c r="Y143" s="43">
        <f>IFERROR(SUM(Y140:Y141),"0")</f>
        <v>0</v>
      </c>
      <c r="Z143" s="42"/>
      <c r="AA143" s="67"/>
      <c r="AB143" s="67"/>
      <c r="AC143" s="67"/>
    </row>
    <row r="144" spans="1:68" ht="14.25" hidden="1" customHeight="1" x14ac:dyDescent="0.25">
      <c r="A144" s="732" t="s">
        <v>77</v>
      </c>
      <c r="B144" s="732"/>
      <c r="C144" s="732"/>
      <c r="D144" s="732"/>
      <c r="E144" s="732"/>
      <c r="F144" s="732"/>
      <c r="G144" s="732"/>
      <c r="H144" s="732"/>
      <c r="I144" s="732"/>
      <c r="J144" s="732"/>
      <c r="K144" s="732"/>
      <c r="L144" s="732"/>
      <c r="M144" s="732"/>
      <c r="N144" s="732"/>
      <c r="O144" s="732"/>
      <c r="P144" s="732"/>
      <c r="Q144" s="732"/>
      <c r="R144" s="732"/>
      <c r="S144" s="732"/>
      <c r="T144" s="732"/>
      <c r="U144" s="732"/>
      <c r="V144" s="732"/>
      <c r="W144" s="732"/>
      <c r="X144" s="732"/>
      <c r="Y144" s="732"/>
      <c r="Z144" s="732"/>
      <c r="AA144" s="66"/>
      <c r="AB144" s="66"/>
      <c r="AC144" s="80"/>
    </row>
    <row r="145" spans="1:68" ht="27" hidden="1" customHeight="1" x14ac:dyDescent="0.25">
      <c r="A145" s="63" t="s">
        <v>271</v>
      </c>
      <c r="B145" s="63" t="s">
        <v>272</v>
      </c>
      <c r="C145" s="36">
        <v>4301031234</v>
      </c>
      <c r="D145" s="733">
        <v>4680115883444</v>
      </c>
      <c r="E145" s="733"/>
      <c r="F145" s="62">
        <v>0.35</v>
      </c>
      <c r="G145" s="37">
        <v>8</v>
      </c>
      <c r="H145" s="62">
        <v>2.8</v>
      </c>
      <c r="I145" s="62">
        <v>3.0680000000000001</v>
      </c>
      <c r="J145" s="37">
        <v>182</v>
      </c>
      <c r="K145" s="37" t="s">
        <v>91</v>
      </c>
      <c r="L145" s="37" t="s">
        <v>46</v>
      </c>
      <c r="M145" s="38" t="s">
        <v>269</v>
      </c>
      <c r="N145" s="38"/>
      <c r="O145" s="37">
        <v>90</v>
      </c>
      <c r="P145" s="811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5" s="735"/>
      <c r="R145" s="735"/>
      <c r="S145" s="735"/>
      <c r="T145" s="736"/>
      <c r="U145" s="39" t="s">
        <v>46</v>
      </c>
      <c r="V145" s="39" t="s">
        <v>46</v>
      </c>
      <c r="W145" s="40" t="s">
        <v>0</v>
      </c>
      <c r="X145" s="58">
        <v>0</v>
      </c>
      <c r="Y145" s="55">
        <f>IFERROR(IF(X145="",0,CEILING((X145/$H145),1)*$H145),"")</f>
        <v>0</v>
      </c>
      <c r="Z145" s="41" t="str">
        <f>IFERROR(IF(Y145=0,"",ROUNDUP(Y145/H145,0)*0.00651),"")</f>
        <v/>
      </c>
      <c r="AA145" s="68" t="s">
        <v>46</v>
      </c>
      <c r="AB145" s="69" t="s">
        <v>46</v>
      </c>
      <c r="AC145" s="226" t="s">
        <v>273</v>
      </c>
      <c r="AG145" s="78"/>
      <c r="AJ145" s="84" t="s">
        <v>46</v>
      </c>
      <c r="AK145" s="84">
        <v>0</v>
      </c>
      <c r="BB145" s="227" t="s">
        <v>67</v>
      </c>
      <c r="BM145" s="78">
        <f>IFERROR(X145*I145/H145,"0")</f>
        <v>0</v>
      </c>
      <c r="BN145" s="78">
        <f>IFERROR(Y145*I145/H145,"0")</f>
        <v>0</v>
      </c>
      <c r="BO145" s="78">
        <f>IFERROR(1/J145*(X145/H145),"0")</f>
        <v>0</v>
      </c>
      <c r="BP145" s="78">
        <f>IFERROR(1/J145*(Y145/H145),"0")</f>
        <v>0</v>
      </c>
    </row>
    <row r="146" spans="1:68" ht="27" hidden="1" customHeight="1" x14ac:dyDescent="0.25">
      <c r="A146" s="63" t="s">
        <v>271</v>
      </c>
      <c r="B146" s="63" t="s">
        <v>274</v>
      </c>
      <c r="C146" s="36">
        <v>4301031235</v>
      </c>
      <c r="D146" s="733">
        <v>4680115883444</v>
      </c>
      <c r="E146" s="733"/>
      <c r="F146" s="62">
        <v>0.35</v>
      </c>
      <c r="G146" s="37">
        <v>8</v>
      </c>
      <c r="H146" s="62">
        <v>2.8</v>
      </c>
      <c r="I146" s="62">
        <v>3.0680000000000001</v>
      </c>
      <c r="J146" s="37">
        <v>182</v>
      </c>
      <c r="K146" s="37" t="s">
        <v>91</v>
      </c>
      <c r="L146" s="37" t="s">
        <v>46</v>
      </c>
      <c r="M146" s="38" t="s">
        <v>269</v>
      </c>
      <c r="N146" s="38"/>
      <c r="O146" s="37">
        <v>90</v>
      </c>
      <c r="P146" s="81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6" s="735"/>
      <c r="R146" s="735"/>
      <c r="S146" s="735"/>
      <c r="T146" s="736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IFERROR(IF(Y146=0,"",ROUNDUP(Y146/H146,0)*0.00651),"")</f>
        <v/>
      </c>
      <c r="AA146" s="68" t="s">
        <v>46</v>
      </c>
      <c r="AB146" s="69" t="s">
        <v>46</v>
      </c>
      <c r="AC146" s="228" t="s">
        <v>273</v>
      </c>
      <c r="AG146" s="78"/>
      <c r="AJ146" s="84" t="s">
        <v>46</v>
      </c>
      <c r="AK146" s="84">
        <v>0</v>
      </c>
      <c r="BB146" s="229" t="s">
        <v>67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idden="1" x14ac:dyDescent="0.2">
      <c r="A147" s="741"/>
      <c r="B147" s="741"/>
      <c r="C147" s="741"/>
      <c r="D147" s="741"/>
      <c r="E147" s="741"/>
      <c r="F147" s="741"/>
      <c r="G147" s="741"/>
      <c r="H147" s="741"/>
      <c r="I147" s="741"/>
      <c r="J147" s="741"/>
      <c r="K147" s="741"/>
      <c r="L147" s="741"/>
      <c r="M147" s="741"/>
      <c r="N147" s="741"/>
      <c r="O147" s="742"/>
      <c r="P147" s="738" t="s">
        <v>40</v>
      </c>
      <c r="Q147" s="739"/>
      <c r="R147" s="739"/>
      <c r="S147" s="739"/>
      <c r="T147" s="739"/>
      <c r="U147" s="739"/>
      <c r="V147" s="740"/>
      <c r="W147" s="42" t="s">
        <v>39</v>
      </c>
      <c r="X147" s="43">
        <f>IFERROR(X145/H145,"0")+IFERROR(X146/H146,"0")</f>
        <v>0</v>
      </c>
      <c r="Y147" s="43">
        <f>IFERROR(Y145/H145,"0")+IFERROR(Y146/H146,"0")</f>
        <v>0</v>
      </c>
      <c r="Z147" s="43">
        <f>IFERROR(IF(Z145="",0,Z145),"0")+IFERROR(IF(Z146="",0,Z146),"0")</f>
        <v>0</v>
      </c>
      <c r="AA147" s="67"/>
      <c r="AB147" s="67"/>
      <c r="AC147" s="67"/>
    </row>
    <row r="148" spans="1:68" hidden="1" x14ac:dyDescent="0.2">
      <c r="A148" s="741"/>
      <c r="B148" s="741"/>
      <c r="C148" s="741"/>
      <c r="D148" s="741"/>
      <c r="E148" s="741"/>
      <c r="F148" s="741"/>
      <c r="G148" s="741"/>
      <c r="H148" s="741"/>
      <c r="I148" s="741"/>
      <c r="J148" s="741"/>
      <c r="K148" s="741"/>
      <c r="L148" s="741"/>
      <c r="M148" s="741"/>
      <c r="N148" s="741"/>
      <c r="O148" s="742"/>
      <c r="P148" s="738" t="s">
        <v>40</v>
      </c>
      <c r="Q148" s="739"/>
      <c r="R148" s="739"/>
      <c r="S148" s="739"/>
      <c r="T148" s="739"/>
      <c r="U148" s="739"/>
      <c r="V148" s="740"/>
      <c r="W148" s="42" t="s">
        <v>0</v>
      </c>
      <c r="X148" s="43">
        <f>IFERROR(SUM(X145:X146),"0")</f>
        <v>0</v>
      </c>
      <c r="Y148" s="43">
        <f>IFERROR(SUM(Y145:Y146),"0")</f>
        <v>0</v>
      </c>
      <c r="Z148" s="42"/>
      <c r="AA148" s="67"/>
      <c r="AB148" s="67"/>
      <c r="AC148" s="67"/>
    </row>
    <row r="149" spans="1:68" ht="14.25" hidden="1" customHeight="1" x14ac:dyDescent="0.25">
      <c r="A149" s="732" t="s">
        <v>86</v>
      </c>
      <c r="B149" s="732"/>
      <c r="C149" s="732"/>
      <c r="D149" s="732"/>
      <c r="E149" s="732"/>
      <c r="F149" s="732"/>
      <c r="G149" s="732"/>
      <c r="H149" s="732"/>
      <c r="I149" s="732"/>
      <c r="J149" s="732"/>
      <c r="K149" s="732"/>
      <c r="L149" s="732"/>
      <c r="M149" s="732"/>
      <c r="N149" s="732"/>
      <c r="O149" s="732"/>
      <c r="P149" s="732"/>
      <c r="Q149" s="732"/>
      <c r="R149" s="732"/>
      <c r="S149" s="732"/>
      <c r="T149" s="732"/>
      <c r="U149" s="732"/>
      <c r="V149" s="732"/>
      <c r="W149" s="732"/>
      <c r="X149" s="732"/>
      <c r="Y149" s="732"/>
      <c r="Z149" s="732"/>
      <c r="AA149" s="66"/>
      <c r="AB149" s="66"/>
      <c r="AC149" s="80"/>
    </row>
    <row r="150" spans="1:68" ht="16.5" hidden="1" customHeight="1" x14ac:dyDescent="0.25">
      <c r="A150" s="63" t="s">
        <v>275</v>
      </c>
      <c r="B150" s="63" t="s">
        <v>276</v>
      </c>
      <c r="C150" s="36">
        <v>4301051476</v>
      </c>
      <c r="D150" s="733">
        <v>4680115882584</v>
      </c>
      <c r="E150" s="733"/>
      <c r="F150" s="62">
        <v>0.33</v>
      </c>
      <c r="G150" s="37">
        <v>8</v>
      </c>
      <c r="H150" s="62">
        <v>2.64</v>
      </c>
      <c r="I150" s="62">
        <v>2.9079999999999999</v>
      </c>
      <c r="J150" s="37">
        <v>182</v>
      </c>
      <c r="K150" s="37" t="s">
        <v>91</v>
      </c>
      <c r="L150" s="37" t="s">
        <v>46</v>
      </c>
      <c r="M150" s="38" t="s">
        <v>269</v>
      </c>
      <c r="N150" s="38"/>
      <c r="O150" s="37">
        <v>60</v>
      </c>
      <c r="P150" s="81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50" s="735"/>
      <c r="R150" s="735"/>
      <c r="S150" s="735"/>
      <c r="T150" s="736"/>
      <c r="U150" s="39" t="s">
        <v>46</v>
      </c>
      <c r="V150" s="39" t="s">
        <v>46</v>
      </c>
      <c r="W150" s="40" t="s">
        <v>0</v>
      </c>
      <c r="X150" s="58">
        <v>0</v>
      </c>
      <c r="Y150" s="55">
        <f>IFERROR(IF(X150="",0,CEILING((X150/$H150),1)*$H150),"")</f>
        <v>0</v>
      </c>
      <c r="Z150" s="41" t="str">
        <f>IFERROR(IF(Y150=0,"",ROUNDUP(Y150/H150,0)*0.00651),"")</f>
        <v/>
      </c>
      <c r="AA150" s="68" t="s">
        <v>46</v>
      </c>
      <c r="AB150" s="69" t="s">
        <v>46</v>
      </c>
      <c r="AC150" s="230" t="s">
        <v>268</v>
      </c>
      <c r="AG150" s="78"/>
      <c r="AJ150" s="84" t="s">
        <v>46</v>
      </c>
      <c r="AK150" s="84">
        <v>0</v>
      </c>
      <c r="BB150" s="231" t="s">
        <v>67</v>
      </c>
      <c r="BM150" s="78">
        <f>IFERROR(X150*I150/H150,"0")</f>
        <v>0</v>
      </c>
      <c r="BN150" s="78">
        <f>IFERROR(Y150*I150/H150,"0")</f>
        <v>0</v>
      </c>
      <c r="BO150" s="78">
        <f>IFERROR(1/J150*(X150/H150),"0")</f>
        <v>0</v>
      </c>
      <c r="BP150" s="78">
        <f>IFERROR(1/J150*(Y150/H150),"0")</f>
        <v>0</v>
      </c>
    </row>
    <row r="151" spans="1:68" ht="16.5" hidden="1" customHeight="1" x14ac:dyDescent="0.25">
      <c r="A151" s="63" t="s">
        <v>275</v>
      </c>
      <c r="B151" s="63" t="s">
        <v>277</v>
      </c>
      <c r="C151" s="36">
        <v>4301051477</v>
      </c>
      <c r="D151" s="733">
        <v>4680115882584</v>
      </c>
      <c r="E151" s="733"/>
      <c r="F151" s="62">
        <v>0.33</v>
      </c>
      <c r="G151" s="37">
        <v>8</v>
      </c>
      <c r="H151" s="62">
        <v>2.64</v>
      </c>
      <c r="I151" s="62">
        <v>2.9079999999999999</v>
      </c>
      <c r="J151" s="37">
        <v>182</v>
      </c>
      <c r="K151" s="37" t="s">
        <v>91</v>
      </c>
      <c r="L151" s="37" t="s">
        <v>46</v>
      </c>
      <c r="M151" s="38" t="s">
        <v>269</v>
      </c>
      <c r="N151" s="38"/>
      <c r="O151" s="37">
        <v>60</v>
      </c>
      <c r="P151" s="81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51" s="735"/>
      <c r="R151" s="735"/>
      <c r="S151" s="735"/>
      <c r="T151" s="736"/>
      <c r="U151" s="39" t="s">
        <v>46</v>
      </c>
      <c r="V151" s="39" t="s">
        <v>46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IFERROR(IF(Y151=0,"",ROUNDUP(Y151/H151,0)*0.00651),"")</f>
        <v/>
      </c>
      <c r="AA151" s="68" t="s">
        <v>46</v>
      </c>
      <c r="AB151" s="69" t="s">
        <v>46</v>
      </c>
      <c r="AC151" s="232" t="s">
        <v>268</v>
      </c>
      <c r="AG151" s="78"/>
      <c r="AJ151" s="84" t="s">
        <v>46</v>
      </c>
      <c r="AK151" s="84">
        <v>0</v>
      </c>
      <c r="BB151" s="233" t="s">
        <v>67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hidden="1" x14ac:dyDescent="0.2">
      <c r="A152" s="741"/>
      <c r="B152" s="741"/>
      <c r="C152" s="741"/>
      <c r="D152" s="741"/>
      <c r="E152" s="741"/>
      <c r="F152" s="741"/>
      <c r="G152" s="741"/>
      <c r="H152" s="741"/>
      <c r="I152" s="741"/>
      <c r="J152" s="741"/>
      <c r="K152" s="741"/>
      <c r="L152" s="741"/>
      <c r="M152" s="741"/>
      <c r="N152" s="741"/>
      <c r="O152" s="742"/>
      <c r="P152" s="738" t="s">
        <v>40</v>
      </c>
      <c r="Q152" s="739"/>
      <c r="R152" s="739"/>
      <c r="S152" s="739"/>
      <c r="T152" s="739"/>
      <c r="U152" s="739"/>
      <c r="V152" s="740"/>
      <c r="W152" s="42" t="s">
        <v>39</v>
      </c>
      <c r="X152" s="43">
        <f>IFERROR(X150/H150,"0")+IFERROR(X151/H151,"0")</f>
        <v>0</v>
      </c>
      <c r="Y152" s="43">
        <f>IFERROR(Y150/H150,"0")+IFERROR(Y151/H151,"0")</f>
        <v>0</v>
      </c>
      <c r="Z152" s="43">
        <f>IFERROR(IF(Z150="",0,Z150),"0")+IFERROR(IF(Z151="",0,Z151),"0")</f>
        <v>0</v>
      </c>
      <c r="AA152" s="67"/>
      <c r="AB152" s="67"/>
      <c r="AC152" s="67"/>
    </row>
    <row r="153" spans="1:68" hidden="1" x14ac:dyDescent="0.2">
      <c r="A153" s="741"/>
      <c r="B153" s="741"/>
      <c r="C153" s="741"/>
      <c r="D153" s="741"/>
      <c r="E153" s="741"/>
      <c r="F153" s="741"/>
      <c r="G153" s="741"/>
      <c r="H153" s="741"/>
      <c r="I153" s="741"/>
      <c r="J153" s="741"/>
      <c r="K153" s="741"/>
      <c r="L153" s="741"/>
      <c r="M153" s="741"/>
      <c r="N153" s="741"/>
      <c r="O153" s="742"/>
      <c r="P153" s="738" t="s">
        <v>40</v>
      </c>
      <c r="Q153" s="739"/>
      <c r="R153" s="739"/>
      <c r="S153" s="739"/>
      <c r="T153" s="739"/>
      <c r="U153" s="739"/>
      <c r="V153" s="740"/>
      <c r="W153" s="42" t="s">
        <v>0</v>
      </c>
      <c r="X153" s="43">
        <f>IFERROR(SUM(X150:X151),"0")</f>
        <v>0</v>
      </c>
      <c r="Y153" s="43">
        <f>IFERROR(SUM(Y150:Y151),"0")</f>
        <v>0</v>
      </c>
      <c r="Z153" s="42"/>
      <c r="AA153" s="67"/>
      <c r="AB153" s="67"/>
      <c r="AC153" s="67"/>
    </row>
    <row r="154" spans="1:68" ht="16.5" hidden="1" customHeight="1" x14ac:dyDescent="0.25">
      <c r="A154" s="731" t="s">
        <v>278</v>
      </c>
      <c r="B154" s="731"/>
      <c r="C154" s="731"/>
      <c r="D154" s="731"/>
      <c r="E154" s="731"/>
      <c r="F154" s="731"/>
      <c r="G154" s="731"/>
      <c r="H154" s="731"/>
      <c r="I154" s="731"/>
      <c r="J154" s="731"/>
      <c r="K154" s="731"/>
      <c r="L154" s="731"/>
      <c r="M154" s="731"/>
      <c r="N154" s="731"/>
      <c r="O154" s="731"/>
      <c r="P154" s="731"/>
      <c r="Q154" s="731"/>
      <c r="R154" s="731"/>
      <c r="S154" s="731"/>
      <c r="T154" s="731"/>
      <c r="U154" s="731"/>
      <c r="V154" s="731"/>
      <c r="W154" s="731"/>
      <c r="X154" s="731"/>
      <c r="Y154" s="731"/>
      <c r="Z154" s="731"/>
      <c r="AA154" s="65"/>
      <c r="AB154" s="65"/>
      <c r="AC154" s="79"/>
    </row>
    <row r="155" spans="1:68" ht="14.25" hidden="1" customHeight="1" x14ac:dyDescent="0.25">
      <c r="A155" s="732" t="s">
        <v>86</v>
      </c>
      <c r="B155" s="732"/>
      <c r="C155" s="732"/>
      <c r="D155" s="732"/>
      <c r="E155" s="732"/>
      <c r="F155" s="732"/>
      <c r="G155" s="732"/>
      <c r="H155" s="732"/>
      <c r="I155" s="732"/>
      <c r="J155" s="732"/>
      <c r="K155" s="732"/>
      <c r="L155" s="732"/>
      <c r="M155" s="732"/>
      <c r="N155" s="732"/>
      <c r="O155" s="732"/>
      <c r="P155" s="732"/>
      <c r="Q155" s="732"/>
      <c r="R155" s="732"/>
      <c r="S155" s="732"/>
      <c r="T155" s="732"/>
      <c r="U155" s="732"/>
      <c r="V155" s="732"/>
      <c r="W155" s="732"/>
      <c r="X155" s="732"/>
      <c r="Y155" s="732"/>
      <c r="Z155" s="732"/>
      <c r="AA155" s="66"/>
      <c r="AB155" s="66"/>
      <c r="AC155" s="80"/>
    </row>
    <row r="156" spans="1:68" ht="27" hidden="1" customHeight="1" x14ac:dyDescent="0.25">
      <c r="A156" s="63" t="s">
        <v>279</v>
      </c>
      <c r="B156" s="63" t="s">
        <v>280</v>
      </c>
      <c r="C156" s="36">
        <v>4301052254</v>
      </c>
      <c r="D156" s="733">
        <v>4680115888203</v>
      </c>
      <c r="E156" s="733"/>
      <c r="F156" s="62">
        <v>0.22</v>
      </c>
      <c r="G156" s="37">
        <v>6</v>
      </c>
      <c r="H156" s="62">
        <v>1.32</v>
      </c>
      <c r="I156" s="62">
        <v>1.5660000000000001</v>
      </c>
      <c r="J156" s="37">
        <v>182</v>
      </c>
      <c r="K156" s="37" t="s">
        <v>91</v>
      </c>
      <c r="L156" s="37" t="s">
        <v>46</v>
      </c>
      <c r="M156" s="38" t="s">
        <v>97</v>
      </c>
      <c r="N156" s="38"/>
      <c r="O156" s="37">
        <v>40</v>
      </c>
      <c r="P156" s="815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6" s="735"/>
      <c r="R156" s="735"/>
      <c r="S156" s="735"/>
      <c r="T156" s="736"/>
      <c r="U156" s="39" t="s">
        <v>46</v>
      </c>
      <c r="V156" s="39" t="s">
        <v>46</v>
      </c>
      <c r="W156" s="40" t="s">
        <v>0</v>
      </c>
      <c r="X156" s="58">
        <v>0</v>
      </c>
      <c r="Y156" s="55">
        <f t="shared" ref="Y156:Y162" si="21">IFERROR(IF(X156="",0,CEILING((X156/$H156),1)*$H156),"")</f>
        <v>0</v>
      </c>
      <c r="Z156" s="41" t="str">
        <f t="shared" ref="Z156:Z162" si="22">IFERROR(IF(Y156=0,"",ROUNDUP(Y156/H156,0)*0.00651),"")</f>
        <v/>
      </c>
      <c r="AA156" s="68" t="s">
        <v>46</v>
      </c>
      <c r="AB156" s="69" t="s">
        <v>46</v>
      </c>
      <c r="AC156" s="234" t="s">
        <v>281</v>
      </c>
      <c r="AG156" s="78"/>
      <c r="AJ156" s="84" t="s">
        <v>46</v>
      </c>
      <c r="AK156" s="84">
        <v>0</v>
      </c>
      <c r="BB156" s="235" t="s">
        <v>67</v>
      </c>
      <c r="BM156" s="78">
        <f t="shared" ref="BM156:BM162" si="23">IFERROR(X156*I156/H156,"0")</f>
        <v>0</v>
      </c>
      <c r="BN156" s="78">
        <f t="shared" ref="BN156:BN162" si="24">IFERROR(Y156*I156/H156,"0")</f>
        <v>0</v>
      </c>
      <c r="BO156" s="78">
        <f t="shared" ref="BO156:BO162" si="25">IFERROR(1/J156*(X156/H156),"0")</f>
        <v>0</v>
      </c>
      <c r="BP156" s="78">
        <f t="shared" ref="BP156:BP162" si="26">IFERROR(1/J156*(Y156/H156),"0")</f>
        <v>0</v>
      </c>
    </row>
    <row r="157" spans="1:68" ht="27" hidden="1" customHeight="1" x14ac:dyDescent="0.25">
      <c r="A157" s="63" t="s">
        <v>282</v>
      </c>
      <c r="B157" s="63" t="s">
        <v>283</v>
      </c>
      <c r="C157" s="36">
        <v>4301052172</v>
      </c>
      <c r="D157" s="733">
        <v>4680115888180</v>
      </c>
      <c r="E157" s="733"/>
      <c r="F157" s="62">
        <v>0.22</v>
      </c>
      <c r="G157" s="37">
        <v>9</v>
      </c>
      <c r="H157" s="62">
        <v>1.98</v>
      </c>
      <c r="I157" s="62">
        <v>2.2589999999999999</v>
      </c>
      <c r="J157" s="37">
        <v>182</v>
      </c>
      <c r="K157" s="37" t="s">
        <v>91</v>
      </c>
      <c r="L157" s="37" t="s">
        <v>46</v>
      </c>
      <c r="M157" s="38" t="s">
        <v>97</v>
      </c>
      <c r="N157" s="38"/>
      <c r="O157" s="37">
        <v>40</v>
      </c>
      <c r="P157" s="816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7" s="735"/>
      <c r="R157" s="735"/>
      <c r="S157" s="735"/>
      <c r="T157" s="736"/>
      <c r="U157" s="39" t="s">
        <v>46</v>
      </c>
      <c r="V157" s="39" t="s">
        <v>46</v>
      </c>
      <c r="W157" s="40" t="s">
        <v>0</v>
      </c>
      <c r="X157" s="58">
        <v>0</v>
      </c>
      <c r="Y157" s="55">
        <f t="shared" si="21"/>
        <v>0</v>
      </c>
      <c r="Z157" s="41" t="str">
        <f t="shared" si="22"/>
        <v/>
      </c>
      <c r="AA157" s="68" t="s">
        <v>46</v>
      </c>
      <c r="AB157" s="69" t="s">
        <v>46</v>
      </c>
      <c r="AC157" s="236" t="s">
        <v>284</v>
      </c>
      <c r="AG157" s="78"/>
      <c r="AJ157" s="84" t="s">
        <v>46</v>
      </c>
      <c r="AK157" s="84">
        <v>0</v>
      </c>
      <c r="BB157" s="237" t="s">
        <v>67</v>
      </c>
      <c r="BM157" s="78">
        <f t="shared" si="23"/>
        <v>0</v>
      </c>
      <c r="BN157" s="78">
        <f t="shared" si="24"/>
        <v>0</v>
      </c>
      <c r="BO157" s="78">
        <f t="shared" si="25"/>
        <v>0</v>
      </c>
      <c r="BP157" s="78">
        <f t="shared" si="26"/>
        <v>0</v>
      </c>
    </row>
    <row r="158" spans="1:68" ht="27" hidden="1" customHeight="1" x14ac:dyDescent="0.25">
      <c r="A158" s="63" t="s">
        <v>282</v>
      </c>
      <c r="B158" s="63" t="s">
        <v>285</v>
      </c>
      <c r="C158" s="36">
        <v>4301052252</v>
      </c>
      <c r="D158" s="733">
        <v>4680115888180</v>
      </c>
      <c r="E158" s="733"/>
      <c r="F158" s="62">
        <v>0.22</v>
      </c>
      <c r="G158" s="37">
        <v>6</v>
      </c>
      <c r="H158" s="62">
        <v>1.32</v>
      </c>
      <c r="I158" s="62">
        <v>1.5660000000000001</v>
      </c>
      <c r="J158" s="37">
        <v>182</v>
      </c>
      <c r="K158" s="37" t="s">
        <v>91</v>
      </c>
      <c r="L158" s="37" t="s">
        <v>46</v>
      </c>
      <c r="M158" s="38" t="s">
        <v>97</v>
      </c>
      <c r="N158" s="38"/>
      <c r="O158" s="37">
        <v>40</v>
      </c>
      <c r="P158" s="817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8" s="735"/>
      <c r="R158" s="735"/>
      <c r="S158" s="735"/>
      <c r="T158" s="736"/>
      <c r="U158" s="39" t="s">
        <v>46</v>
      </c>
      <c r="V158" s="39" t="s">
        <v>46</v>
      </c>
      <c r="W158" s="40" t="s">
        <v>0</v>
      </c>
      <c r="X158" s="58">
        <v>0</v>
      </c>
      <c r="Y158" s="55">
        <f t="shared" si="21"/>
        <v>0</v>
      </c>
      <c r="Z158" s="41" t="str">
        <f t="shared" si="22"/>
        <v/>
      </c>
      <c r="AA158" s="68" t="s">
        <v>46</v>
      </c>
      <c r="AB158" s="69" t="s">
        <v>46</v>
      </c>
      <c r="AC158" s="238" t="s">
        <v>284</v>
      </c>
      <c r="AG158" s="78"/>
      <c r="AJ158" s="84" t="s">
        <v>46</v>
      </c>
      <c r="AK158" s="84">
        <v>0</v>
      </c>
      <c r="BB158" s="239" t="s">
        <v>67</v>
      </c>
      <c r="BM158" s="78">
        <f t="shared" si="23"/>
        <v>0</v>
      </c>
      <c r="BN158" s="78">
        <f t="shared" si="24"/>
        <v>0</v>
      </c>
      <c r="BO158" s="78">
        <f t="shared" si="25"/>
        <v>0</v>
      </c>
      <c r="BP158" s="78">
        <f t="shared" si="26"/>
        <v>0</v>
      </c>
    </row>
    <row r="159" spans="1:68" ht="27" hidden="1" customHeight="1" x14ac:dyDescent="0.25">
      <c r="A159" s="63" t="s">
        <v>286</v>
      </c>
      <c r="B159" s="63" t="s">
        <v>287</v>
      </c>
      <c r="C159" s="36">
        <v>4301052173</v>
      </c>
      <c r="D159" s="733">
        <v>4680115888197</v>
      </c>
      <c r="E159" s="733"/>
      <c r="F159" s="62">
        <v>0.22</v>
      </c>
      <c r="G159" s="37">
        <v>9</v>
      </c>
      <c r="H159" s="62">
        <v>1.98</v>
      </c>
      <c r="I159" s="62">
        <v>2.2589999999999999</v>
      </c>
      <c r="J159" s="37">
        <v>182</v>
      </c>
      <c r="K159" s="37" t="s">
        <v>91</v>
      </c>
      <c r="L159" s="37" t="s">
        <v>46</v>
      </c>
      <c r="M159" s="38" t="s">
        <v>97</v>
      </c>
      <c r="N159" s="38"/>
      <c r="O159" s="37">
        <v>40</v>
      </c>
      <c r="P159" s="818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9" s="735"/>
      <c r="R159" s="735"/>
      <c r="S159" s="735"/>
      <c r="T159" s="736"/>
      <c r="U159" s="39" t="s">
        <v>46</v>
      </c>
      <c r="V159" s="39" t="s">
        <v>46</v>
      </c>
      <c r="W159" s="40" t="s">
        <v>0</v>
      </c>
      <c r="X159" s="58">
        <v>0</v>
      </c>
      <c r="Y159" s="55">
        <f t="shared" si="21"/>
        <v>0</v>
      </c>
      <c r="Z159" s="41" t="str">
        <f t="shared" si="22"/>
        <v/>
      </c>
      <c r="AA159" s="68" t="s">
        <v>46</v>
      </c>
      <c r="AB159" s="69" t="s">
        <v>46</v>
      </c>
      <c r="AC159" s="240" t="s">
        <v>288</v>
      </c>
      <c r="AG159" s="78"/>
      <c r="AJ159" s="84" t="s">
        <v>46</v>
      </c>
      <c r="AK159" s="84">
        <v>0</v>
      </c>
      <c r="BB159" s="241" t="s">
        <v>67</v>
      </c>
      <c r="BM159" s="78">
        <f t="shared" si="23"/>
        <v>0</v>
      </c>
      <c r="BN159" s="78">
        <f t="shared" si="24"/>
        <v>0</v>
      </c>
      <c r="BO159" s="78">
        <f t="shared" si="25"/>
        <v>0</v>
      </c>
      <c r="BP159" s="78">
        <f t="shared" si="26"/>
        <v>0</v>
      </c>
    </row>
    <row r="160" spans="1:68" ht="27" hidden="1" customHeight="1" x14ac:dyDescent="0.25">
      <c r="A160" s="63" t="s">
        <v>286</v>
      </c>
      <c r="B160" s="63" t="s">
        <v>289</v>
      </c>
      <c r="C160" s="36">
        <v>4301052253</v>
      </c>
      <c r="D160" s="733">
        <v>4680115888197</v>
      </c>
      <c r="E160" s="733"/>
      <c r="F160" s="62">
        <v>0.22</v>
      </c>
      <c r="G160" s="37">
        <v>6</v>
      </c>
      <c r="H160" s="62">
        <v>1.32</v>
      </c>
      <c r="I160" s="62">
        <v>1.5660000000000001</v>
      </c>
      <c r="J160" s="37">
        <v>182</v>
      </c>
      <c r="K160" s="37" t="s">
        <v>91</v>
      </c>
      <c r="L160" s="37" t="s">
        <v>46</v>
      </c>
      <c r="M160" s="38" t="s">
        <v>97</v>
      </c>
      <c r="N160" s="38"/>
      <c r="O160" s="37">
        <v>40</v>
      </c>
      <c r="P160" s="819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60" s="735"/>
      <c r="R160" s="735"/>
      <c r="S160" s="735"/>
      <c r="T160" s="736"/>
      <c r="U160" s="39" t="s">
        <v>46</v>
      </c>
      <c r="V160" s="39" t="s">
        <v>46</v>
      </c>
      <c r="W160" s="40" t="s">
        <v>0</v>
      </c>
      <c r="X160" s="58">
        <v>0</v>
      </c>
      <c r="Y160" s="55">
        <f t="shared" si="21"/>
        <v>0</v>
      </c>
      <c r="Z160" s="41" t="str">
        <f t="shared" si="22"/>
        <v/>
      </c>
      <c r="AA160" s="68" t="s">
        <v>46</v>
      </c>
      <c r="AB160" s="69" t="s">
        <v>46</v>
      </c>
      <c r="AC160" s="242" t="s">
        <v>288</v>
      </c>
      <c r="AG160" s="78"/>
      <c r="AJ160" s="84" t="s">
        <v>46</v>
      </c>
      <c r="AK160" s="84">
        <v>0</v>
      </c>
      <c r="BB160" s="243" t="s">
        <v>67</v>
      </c>
      <c r="BM160" s="78">
        <f t="shared" si="23"/>
        <v>0</v>
      </c>
      <c r="BN160" s="78">
        <f t="shared" si="24"/>
        <v>0</v>
      </c>
      <c r="BO160" s="78">
        <f t="shared" si="25"/>
        <v>0</v>
      </c>
      <c r="BP160" s="78">
        <f t="shared" si="26"/>
        <v>0</v>
      </c>
    </row>
    <row r="161" spans="1:68" ht="27" hidden="1" customHeight="1" x14ac:dyDescent="0.25">
      <c r="A161" s="63" t="s">
        <v>290</v>
      </c>
      <c r="B161" s="63" t="s">
        <v>291</v>
      </c>
      <c r="C161" s="36">
        <v>4301052175</v>
      </c>
      <c r="D161" s="733">
        <v>4680115888210</v>
      </c>
      <c r="E161" s="733"/>
      <c r="F161" s="62">
        <v>0.22</v>
      </c>
      <c r="G161" s="37">
        <v>9</v>
      </c>
      <c r="H161" s="62">
        <v>1.98</v>
      </c>
      <c r="I161" s="62">
        <v>2.2589999999999999</v>
      </c>
      <c r="J161" s="37">
        <v>182</v>
      </c>
      <c r="K161" s="37" t="s">
        <v>91</v>
      </c>
      <c r="L161" s="37" t="s">
        <v>46</v>
      </c>
      <c r="M161" s="38" t="s">
        <v>97</v>
      </c>
      <c r="N161" s="38"/>
      <c r="O161" s="37">
        <v>40</v>
      </c>
      <c r="P161" s="820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1" s="735"/>
      <c r="R161" s="735"/>
      <c r="S161" s="735"/>
      <c r="T161" s="736"/>
      <c r="U161" s="39" t="s">
        <v>46</v>
      </c>
      <c r="V161" s="39" t="s">
        <v>46</v>
      </c>
      <c r="W161" s="40" t="s">
        <v>0</v>
      </c>
      <c r="X161" s="58">
        <v>0</v>
      </c>
      <c r="Y161" s="55">
        <f t="shared" si="21"/>
        <v>0</v>
      </c>
      <c r="Z161" s="41" t="str">
        <f t="shared" si="22"/>
        <v/>
      </c>
      <c r="AA161" s="68" t="s">
        <v>46</v>
      </c>
      <c r="AB161" s="69" t="s">
        <v>46</v>
      </c>
      <c r="AC161" s="244" t="s">
        <v>292</v>
      </c>
      <c r="AG161" s="78"/>
      <c r="AJ161" s="84" t="s">
        <v>46</v>
      </c>
      <c r="AK161" s="84">
        <v>0</v>
      </c>
      <c r="BB161" s="245" t="s">
        <v>67</v>
      </c>
      <c r="BM161" s="78">
        <f t="shared" si="23"/>
        <v>0</v>
      </c>
      <c r="BN161" s="78">
        <f t="shared" si="24"/>
        <v>0</v>
      </c>
      <c r="BO161" s="78">
        <f t="shared" si="25"/>
        <v>0</v>
      </c>
      <c r="BP161" s="78">
        <f t="shared" si="26"/>
        <v>0</v>
      </c>
    </row>
    <row r="162" spans="1:68" ht="27" hidden="1" customHeight="1" x14ac:dyDescent="0.25">
      <c r="A162" s="63" t="s">
        <v>290</v>
      </c>
      <c r="B162" s="63" t="s">
        <v>293</v>
      </c>
      <c r="C162" s="36">
        <v>4301052255</v>
      </c>
      <c r="D162" s="733">
        <v>4680115888210</v>
      </c>
      <c r="E162" s="733"/>
      <c r="F162" s="62">
        <v>0.22</v>
      </c>
      <c r="G162" s="37">
        <v>6</v>
      </c>
      <c r="H162" s="62">
        <v>1.32</v>
      </c>
      <c r="I162" s="62">
        <v>1.5660000000000001</v>
      </c>
      <c r="J162" s="37">
        <v>182</v>
      </c>
      <c r="K162" s="37" t="s">
        <v>91</v>
      </c>
      <c r="L162" s="37" t="s">
        <v>46</v>
      </c>
      <c r="M162" s="38" t="s">
        <v>97</v>
      </c>
      <c r="N162" s="38"/>
      <c r="O162" s="37">
        <v>40</v>
      </c>
      <c r="P162" s="821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2" s="735"/>
      <c r="R162" s="735"/>
      <c r="S162" s="735"/>
      <c r="T162" s="736"/>
      <c r="U162" s="39" t="s">
        <v>46</v>
      </c>
      <c r="V162" s="39" t="s">
        <v>46</v>
      </c>
      <c r="W162" s="40" t="s">
        <v>0</v>
      </c>
      <c r="X162" s="58">
        <v>0</v>
      </c>
      <c r="Y162" s="55">
        <f t="shared" si="21"/>
        <v>0</v>
      </c>
      <c r="Z162" s="41" t="str">
        <f t="shared" si="22"/>
        <v/>
      </c>
      <c r="AA162" s="68" t="s">
        <v>46</v>
      </c>
      <c r="AB162" s="69" t="s">
        <v>46</v>
      </c>
      <c r="AC162" s="246" t="s">
        <v>292</v>
      </c>
      <c r="AG162" s="78"/>
      <c r="AJ162" s="84" t="s">
        <v>46</v>
      </c>
      <c r="AK162" s="84">
        <v>0</v>
      </c>
      <c r="BB162" s="247" t="s">
        <v>67</v>
      </c>
      <c r="BM162" s="78">
        <f t="shared" si="23"/>
        <v>0</v>
      </c>
      <c r="BN162" s="78">
        <f t="shared" si="24"/>
        <v>0</v>
      </c>
      <c r="BO162" s="78">
        <f t="shared" si="25"/>
        <v>0</v>
      </c>
      <c r="BP162" s="78">
        <f t="shared" si="26"/>
        <v>0</v>
      </c>
    </row>
    <row r="163" spans="1:68" hidden="1" x14ac:dyDescent="0.2">
      <c r="A163" s="741"/>
      <c r="B163" s="741"/>
      <c r="C163" s="741"/>
      <c r="D163" s="741"/>
      <c r="E163" s="741"/>
      <c r="F163" s="741"/>
      <c r="G163" s="741"/>
      <c r="H163" s="741"/>
      <c r="I163" s="741"/>
      <c r="J163" s="741"/>
      <c r="K163" s="741"/>
      <c r="L163" s="741"/>
      <c r="M163" s="741"/>
      <c r="N163" s="741"/>
      <c r="O163" s="742"/>
      <c r="P163" s="738" t="s">
        <v>40</v>
      </c>
      <c r="Q163" s="739"/>
      <c r="R163" s="739"/>
      <c r="S163" s="739"/>
      <c r="T163" s="739"/>
      <c r="U163" s="739"/>
      <c r="V163" s="740"/>
      <c r="W163" s="42" t="s">
        <v>39</v>
      </c>
      <c r="X163" s="43">
        <f>IFERROR(X156/H156,"0")+IFERROR(X157/H157,"0")+IFERROR(X158/H158,"0")+IFERROR(X159/H159,"0")+IFERROR(X160/H160,"0")+IFERROR(X161/H161,"0")+IFERROR(X162/H162,"0")</f>
        <v>0</v>
      </c>
      <c r="Y163" s="43">
        <f>IFERROR(Y156/H156,"0")+IFERROR(Y157/H157,"0")+IFERROR(Y158/H158,"0")+IFERROR(Y159/H159,"0")+IFERROR(Y160/H160,"0")+IFERROR(Y161/H161,"0")+IFERROR(Y162/H162,"0")</f>
        <v>0</v>
      </c>
      <c r="Z163" s="43">
        <f>IFERROR(IF(Z156="",0,Z156),"0")+IFERROR(IF(Z157="",0,Z157),"0")+IFERROR(IF(Z158="",0,Z158),"0")+IFERROR(IF(Z159="",0,Z159),"0")+IFERROR(IF(Z160="",0,Z160),"0")+IFERROR(IF(Z161="",0,Z161),"0")+IFERROR(IF(Z162="",0,Z162),"0")</f>
        <v>0</v>
      </c>
      <c r="AA163" s="67"/>
      <c r="AB163" s="67"/>
      <c r="AC163" s="67"/>
    </row>
    <row r="164" spans="1:68" hidden="1" x14ac:dyDescent="0.2">
      <c r="A164" s="741"/>
      <c r="B164" s="741"/>
      <c r="C164" s="741"/>
      <c r="D164" s="741"/>
      <c r="E164" s="741"/>
      <c r="F164" s="741"/>
      <c r="G164" s="741"/>
      <c r="H164" s="741"/>
      <c r="I164" s="741"/>
      <c r="J164" s="741"/>
      <c r="K164" s="741"/>
      <c r="L164" s="741"/>
      <c r="M164" s="741"/>
      <c r="N164" s="741"/>
      <c r="O164" s="742"/>
      <c r="P164" s="738" t="s">
        <v>40</v>
      </c>
      <c r="Q164" s="739"/>
      <c r="R164" s="739"/>
      <c r="S164" s="739"/>
      <c r="T164" s="739"/>
      <c r="U164" s="739"/>
      <c r="V164" s="740"/>
      <c r="W164" s="42" t="s">
        <v>0</v>
      </c>
      <c r="X164" s="43">
        <f>IFERROR(SUM(X156:X162),"0")</f>
        <v>0</v>
      </c>
      <c r="Y164" s="43">
        <f>IFERROR(SUM(Y156:Y162),"0")</f>
        <v>0</v>
      </c>
      <c r="Z164" s="42"/>
      <c r="AA164" s="67"/>
      <c r="AB164" s="67"/>
      <c r="AC164" s="67"/>
    </row>
    <row r="165" spans="1:68" ht="14.25" hidden="1" customHeight="1" x14ac:dyDescent="0.25">
      <c r="A165" s="732" t="s">
        <v>294</v>
      </c>
      <c r="B165" s="732"/>
      <c r="C165" s="732"/>
      <c r="D165" s="732"/>
      <c r="E165" s="732"/>
      <c r="F165" s="732"/>
      <c r="G165" s="732"/>
      <c r="H165" s="732"/>
      <c r="I165" s="732"/>
      <c r="J165" s="732"/>
      <c r="K165" s="732"/>
      <c r="L165" s="732"/>
      <c r="M165" s="732"/>
      <c r="N165" s="732"/>
      <c r="O165" s="732"/>
      <c r="P165" s="732"/>
      <c r="Q165" s="732"/>
      <c r="R165" s="732"/>
      <c r="S165" s="732"/>
      <c r="T165" s="732"/>
      <c r="U165" s="732"/>
      <c r="V165" s="732"/>
      <c r="W165" s="732"/>
      <c r="X165" s="732"/>
      <c r="Y165" s="732"/>
      <c r="Z165" s="732"/>
      <c r="AA165" s="66"/>
      <c r="AB165" s="66"/>
      <c r="AC165" s="80"/>
    </row>
    <row r="166" spans="1:68" ht="27" hidden="1" customHeight="1" x14ac:dyDescent="0.25">
      <c r="A166" s="63" t="s">
        <v>295</v>
      </c>
      <c r="B166" s="63" t="s">
        <v>296</v>
      </c>
      <c r="C166" s="36">
        <v>4301032067</v>
      </c>
      <c r="D166" s="733">
        <v>4680115889132</v>
      </c>
      <c r="E166" s="733"/>
      <c r="F166" s="62">
        <v>0.04</v>
      </c>
      <c r="G166" s="37">
        <v>8</v>
      </c>
      <c r="H166" s="62">
        <v>0.32</v>
      </c>
      <c r="I166" s="62">
        <v>0.5</v>
      </c>
      <c r="J166" s="37">
        <v>330</v>
      </c>
      <c r="K166" s="37" t="s">
        <v>300</v>
      </c>
      <c r="L166" s="37" t="s">
        <v>46</v>
      </c>
      <c r="M166" s="38" t="s">
        <v>299</v>
      </c>
      <c r="N166" s="38"/>
      <c r="O166" s="37">
        <v>120</v>
      </c>
      <c r="P166" s="822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6" s="735"/>
      <c r="R166" s="735"/>
      <c r="S166" s="735"/>
      <c r="T166" s="736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IFERROR(IF(Y166=0,"",ROUNDUP(Y166/H166,0)*0.00337),"")</f>
        <v/>
      </c>
      <c r="AA166" s="68" t="s">
        <v>46</v>
      </c>
      <c r="AB166" s="69" t="s">
        <v>46</v>
      </c>
      <c r="AC166" s="248" t="s">
        <v>297</v>
      </c>
      <c r="AG166" s="78"/>
      <c r="AJ166" s="84" t="s">
        <v>46</v>
      </c>
      <c r="AK166" s="84">
        <v>0</v>
      </c>
      <c r="BB166" s="249" t="s">
        <v>298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idden="1" x14ac:dyDescent="0.2">
      <c r="A167" s="741"/>
      <c r="B167" s="741"/>
      <c r="C167" s="741"/>
      <c r="D167" s="741"/>
      <c r="E167" s="741"/>
      <c r="F167" s="741"/>
      <c r="G167" s="741"/>
      <c r="H167" s="741"/>
      <c r="I167" s="741"/>
      <c r="J167" s="741"/>
      <c r="K167" s="741"/>
      <c r="L167" s="741"/>
      <c r="M167" s="741"/>
      <c r="N167" s="741"/>
      <c r="O167" s="742"/>
      <c r="P167" s="738" t="s">
        <v>40</v>
      </c>
      <c r="Q167" s="739"/>
      <c r="R167" s="739"/>
      <c r="S167" s="739"/>
      <c r="T167" s="739"/>
      <c r="U167" s="739"/>
      <c r="V167" s="740"/>
      <c r="W167" s="42" t="s">
        <v>39</v>
      </c>
      <c r="X167" s="43">
        <f>IFERROR(X166/H166,"0")</f>
        <v>0</v>
      </c>
      <c r="Y167" s="43">
        <f>IFERROR(Y166/H166,"0")</f>
        <v>0</v>
      </c>
      <c r="Z167" s="43">
        <f>IFERROR(IF(Z166="",0,Z166),"0")</f>
        <v>0</v>
      </c>
      <c r="AA167" s="67"/>
      <c r="AB167" s="67"/>
      <c r="AC167" s="67"/>
    </row>
    <row r="168" spans="1:68" hidden="1" x14ac:dyDescent="0.2">
      <c r="A168" s="741"/>
      <c r="B168" s="741"/>
      <c r="C168" s="741"/>
      <c r="D168" s="741"/>
      <c r="E168" s="741"/>
      <c r="F168" s="741"/>
      <c r="G168" s="741"/>
      <c r="H168" s="741"/>
      <c r="I168" s="741"/>
      <c r="J168" s="741"/>
      <c r="K168" s="741"/>
      <c r="L168" s="741"/>
      <c r="M168" s="741"/>
      <c r="N168" s="741"/>
      <c r="O168" s="742"/>
      <c r="P168" s="738" t="s">
        <v>40</v>
      </c>
      <c r="Q168" s="739"/>
      <c r="R168" s="739"/>
      <c r="S168" s="739"/>
      <c r="T168" s="739"/>
      <c r="U168" s="739"/>
      <c r="V168" s="740"/>
      <c r="W168" s="42" t="s">
        <v>0</v>
      </c>
      <c r="X168" s="43">
        <f>IFERROR(SUM(X166:X166),"0")</f>
        <v>0</v>
      </c>
      <c r="Y168" s="43">
        <f>IFERROR(SUM(Y166:Y166),"0")</f>
        <v>0</v>
      </c>
      <c r="Z168" s="42"/>
      <c r="AA168" s="67"/>
      <c r="AB168" s="67"/>
      <c r="AC168" s="67"/>
    </row>
    <row r="169" spans="1:68" ht="16.5" hidden="1" customHeight="1" x14ac:dyDescent="0.25">
      <c r="A169" s="731" t="s">
        <v>120</v>
      </c>
      <c r="B169" s="731"/>
      <c r="C169" s="731"/>
      <c r="D169" s="731"/>
      <c r="E169" s="731"/>
      <c r="F169" s="731"/>
      <c r="G169" s="731"/>
      <c r="H169" s="731"/>
      <c r="I169" s="731"/>
      <c r="J169" s="731"/>
      <c r="K169" s="731"/>
      <c r="L169" s="731"/>
      <c r="M169" s="731"/>
      <c r="N169" s="731"/>
      <c r="O169" s="731"/>
      <c r="P169" s="731"/>
      <c r="Q169" s="731"/>
      <c r="R169" s="731"/>
      <c r="S169" s="731"/>
      <c r="T169" s="731"/>
      <c r="U169" s="731"/>
      <c r="V169" s="731"/>
      <c r="W169" s="731"/>
      <c r="X169" s="731"/>
      <c r="Y169" s="731"/>
      <c r="Z169" s="731"/>
      <c r="AA169" s="65"/>
      <c r="AB169" s="65"/>
      <c r="AC169" s="79"/>
    </row>
    <row r="170" spans="1:68" ht="14.25" hidden="1" customHeight="1" x14ac:dyDescent="0.25">
      <c r="A170" s="732" t="s">
        <v>122</v>
      </c>
      <c r="B170" s="732"/>
      <c r="C170" s="732"/>
      <c r="D170" s="732"/>
      <c r="E170" s="732"/>
      <c r="F170" s="732"/>
      <c r="G170" s="732"/>
      <c r="H170" s="732"/>
      <c r="I170" s="732"/>
      <c r="J170" s="732"/>
      <c r="K170" s="732"/>
      <c r="L170" s="732"/>
      <c r="M170" s="732"/>
      <c r="N170" s="732"/>
      <c r="O170" s="732"/>
      <c r="P170" s="732"/>
      <c r="Q170" s="732"/>
      <c r="R170" s="732"/>
      <c r="S170" s="732"/>
      <c r="T170" s="732"/>
      <c r="U170" s="732"/>
      <c r="V170" s="732"/>
      <c r="W170" s="732"/>
      <c r="X170" s="732"/>
      <c r="Y170" s="732"/>
      <c r="Z170" s="732"/>
      <c r="AA170" s="66"/>
      <c r="AB170" s="66"/>
      <c r="AC170" s="80"/>
    </row>
    <row r="171" spans="1:68" ht="27" hidden="1" customHeight="1" x14ac:dyDescent="0.25">
      <c r="A171" s="63" t="s">
        <v>301</v>
      </c>
      <c r="B171" s="63" t="s">
        <v>302</v>
      </c>
      <c r="C171" s="36">
        <v>4301012338</v>
      </c>
      <c r="D171" s="733">
        <v>4680115887374</v>
      </c>
      <c r="E171" s="733"/>
      <c r="F171" s="62">
        <v>1</v>
      </c>
      <c r="G171" s="37">
        <v>6</v>
      </c>
      <c r="H171" s="62">
        <v>6</v>
      </c>
      <c r="I171" s="62">
        <v>6.35</v>
      </c>
      <c r="J171" s="37">
        <v>104</v>
      </c>
      <c r="K171" s="37" t="s">
        <v>127</v>
      </c>
      <c r="L171" s="37" t="s">
        <v>46</v>
      </c>
      <c r="M171" s="38" t="s">
        <v>126</v>
      </c>
      <c r="N171" s="38"/>
      <c r="O171" s="37">
        <v>55</v>
      </c>
      <c r="P171" s="823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71" s="735"/>
      <c r="R171" s="735"/>
      <c r="S171" s="735"/>
      <c r="T171" s="736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IFERROR(IF(Y171=0,"",ROUNDUP(Y171/H171,0)*0.01196),"")</f>
        <v/>
      </c>
      <c r="AA171" s="68" t="s">
        <v>46</v>
      </c>
      <c r="AB171" s="69" t="s">
        <v>46</v>
      </c>
      <c r="AC171" s="250" t="s">
        <v>303</v>
      </c>
      <c r="AG171" s="78"/>
      <c r="AJ171" s="84" t="s">
        <v>46</v>
      </c>
      <c r="AK171" s="84">
        <v>0</v>
      </c>
      <c r="BB171" s="251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t="27" hidden="1" customHeight="1" x14ac:dyDescent="0.25">
      <c r="A172" s="63" t="s">
        <v>304</v>
      </c>
      <c r="B172" s="63" t="s">
        <v>305</v>
      </c>
      <c r="C172" s="36">
        <v>4301011705</v>
      </c>
      <c r="D172" s="733">
        <v>4607091384604</v>
      </c>
      <c r="E172" s="733"/>
      <c r="F172" s="62">
        <v>0.4</v>
      </c>
      <c r="G172" s="37">
        <v>10</v>
      </c>
      <c r="H172" s="62">
        <v>4</v>
      </c>
      <c r="I172" s="62">
        <v>4.1900000000000004</v>
      </c>
      <c r="J172" s="37">
        <v>132</v>
      </c>
      <c r="K172" s="37" t="s">
        <v>134</v>
      </c>
      <c r="L172" s="37" t="s">
        <v>46</v>
      </c>
      <c r="M172" s="38" t="s">
        <v>126</v>
      </c>
      <c r="N172" s="38"/>
      <c r="O172" s="37">
        <v>50</v>
      </c>
      <c r="P172" s="82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72" s="735"/>
      <c r="R172" s="735"/>
      <c r="S172" s="735"/>
      <c r="T172" s="736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IFERROR(IF(Y172=0,"",ROUNDUP(Y172/H172,0)*0.00902),"")</f>
        <v/>
      </c>
      <c r="AA172" s="68" t="s">
        <v>46</v>
      </c>
      <c r="AB172" s="69" t="s">
        <v>46</v>
      </c>
      <c r="AC172" s="252" t="s">
        <v>306</v>
      </c>
      <c r="AG172" s="78"/>
      <c r="AJ172" s="84" t="s">
        <v>46</v>
      </c>
      <c r="AK172" s="84">
        <v>0</v>
      </c>
      <c r="BB172" s="253" t="s">
        <v>67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ht="16.5" hidden="1" customHeight="1" x14ac:dyDescent="0.25">
      <c r="A173" s="63" t="s">
        <v>307</v>
      </c>
      <c r="B173" s="63" t="s">
        <v>308</v>
      </c>
      <c r="C173" s="36">
        <v>4301012344</v>
      </c>
      <c r="D173" s="733">
        <v>4680115888876</v>
      </c>
      <c r="E173" s="733"/>
      <c r="F173" s="62">
        <v>0.43</v>
      </c>
      <c r="G173" s="37">
        <v>6</v>
      </c>
      <c r="H173" s="62">
        <v>2.58</v>
      </c>
      <c r="I173" s="62">
        <v>2.76</v>
      </c>
      <c r="J173" s="37">
        <v>182</v>
      </c>
      <c r="K173" s="37" t="s">
        <v>91</v>
      </c>
      <c r="L173" s="37" t="s">
        <v>46</v>
      </c>
      <c r="M173" s="38" t="s">
        <v>90</v>
      </c>
      <c r="N173" s="38"/>
      <c r="O173" s="37">
        <v>55</v>
      </c>
      <c r="P173" s="825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73" s="735"/>
      <c r="R173" s="735"/>
      <c r="S173" s="735"/>
      <c r="T173" s="736"/>
      <c r="U173" s="39" t="s">
        <v>46</v>
      </c>
      <c r="V173" s="39" t="s">
        <v>46</v>
      </c>
      <c r="W173" s="40" t="s">
        <v>0</v>
      </c>
      <c r="X173" s="58">
        <v>0</v>
      </c>
      <c r="Y173" s="55">
        <f>IFERROR(IF(X173="",0,CEILING((X173/$H173),1)*$H173),"")</f>
        <v>0</v>
      </c>
      <c r="Z173" s="41" t="str">
        <f>IFERROR(IF(Y173=0,"",ROUNDUP(Y173/H173,0)*0.00651),"")</f>
        <v/>
      </c>
      <c r="AA173" s="68" t="s">
        <v>46</v>
      </c>
      <c r="AB173" s="69" t="s">
        <v>46</v>
      </c>
      <c r="AC173" s="254" t="s">
        <v>309</v>
      </c>
      <c r="AG173" s="78"/>
      <c r="AJ173" s="84" t="s">
        <v>46</v>
      </c>
      <c r="AK173" s="84">
        <v>0</v>
      </c>
      <c r="BB173" s="255" t="s">
        <v>67</v>
      </c>
      <c r="BM173" s="78">
        <f>IFERROR(X173*I173/H173,"0")</f>
        <v>0</v>
      </c>
      <c r="BN173" s="78">
        <f>IFERROR(Y173*I173/H173,"0")</f>
        <v>0</v>
      </c>
      <c r="BO173" s="78">
        <f>IFERROR(1/J173*(X173/H173),"0")</f>
        <v>0</v>
      </c>
      <c r="BP173" s="78">
        <f>IFERROR(1/J173*(Y173/H173),"0")</f>
        <v>0</v>
      </c>
    </row>
    <row r="174" spans="1:68" hidden="1" x14ac:dyDescent="0.2">
      <c r="A174" s="741"/>
      <c r="B174" s="741"/>
      <c r="C174" s="741"/>
      <c r="D174" s="741"/>
      <c r="E174" s="741"/>
      <c r="F174" s="741"/>
      <c r="G174" s="741"/>
      <c r="H174" s="741"/>
      <c r="I174" s="741"/>
      <c r="J174" s="741"/>
      <c r="K174" s="741"/>
      <c r="L174" s="741"/>
      <c r="M174" s="741"/>
      <c r="N174" s="741"/>
      <c r="O174" s="742"/>
      <c r="P174" s="738" t="s">
        <v>40</v>
      </c>
      <c r="Q174" s="739"/>
      <c r="R174" s="739"/>
      <c r="S174" s="739"/>
      <c r="T174" s="739"/>
      <c r="U174" s="739"/>
      <c r="V174" s="740"/>
      <c r="W174" s="42" t="s">
        <v>39</v>
      </c>
      <c r="X174" s="43">
        <f>IFERROR(X171/H171,"0")+IFERROR(X172/H172,"0")+IFERROR(X173/H173,"0")</f>
        <v>0</v>
      </c>
      <c r="Y174" s="43">
        <f>IFERROR(Y171/H171,"0")+IFERROR(Y172/H172,"0")+IFERROR(Y173/H173,"0")</f>
        <v>0</v>
      </c>
      <c r="Z174" s="43">
        <f>IFERROR(IF(Z171="",0,Z171),"0")+IFERROR(IF(Z172="",0,Z172),"0")+IFERROR(IF(Z173="",0,Z173),"0")</f>
        <v>0</v>
      </c>
      <c r="AA174" s="67"/>
      <c r="AB174" s="67"/>
      <c r="AC174" s="67"/>
    </row>
    <row r="175" spans="1:68" hidden="1" x14ac:dyDescent="0.2">
      <c r="A175" s="741"/>
      <c r="B175" s="741"/>
      <c r="C175" s="741"/>
      <c r="D175" s="741"/>
      <c r="E175" s="741"/>
      <c r="F175" s="741"/>
      <c r="G175" s="741"/>
      <c r="H175" s="741"/>
      <c r="I175" s="741"/>
      <c r="J175" s="741"/>
      <c r="K175" s="741"/>
      <c r="L175" s="741"/>
      <c r="M175" s="741"/>
      <c r="N175" s="741"/>
      <c r="O175" s="742"/>
      <c r="P175" s="738" t="s">
        <v>40</v>
      </c>
      <c r="Q175" s="739"/>
      <c r="R175" s="739"/>
      <c r="S175" s="739"/>
      <c r="T175" s="739"/>
      <c r="U175" s="739"/>
      <c r="V175" s="740"/>
      <c r="W175" s="42" t="s">
        <v>0</v>
      </c>
      <c r="X175" s="43">
        <f>IFERROR(SUM(X171:X173),"0")</f>
        <v>0</v>
      </c>
      <c r="Y175" s="43">
        <f>IFERROR(SUM(Y171:Y173),"0")</f>
        <v>0</v>
      </c>
      <c r="Z175" s="42"/>
      <c r="AA175" s="67"/>
      <c r="AB175" s="67"/>
      <c r="AC175" s="67"/>
    </row>
    <row r="176" spans="1:68" ht="14.25" hidden="1" customHeight="1" x14ac:dyDescent="0.25">
      <c r="A176" s="732" t="s">
        <v>155</v>
      </c>
      <c r="B176" s="732"/>
      <c r="C176" s="732"/>
      <c r="D176" s="732"/>
      <c r="E176" s="732"/>
      <c r="F176" s="732"/>
      <c r="G176" s="732"/>
      <c r="H176" s="732"/>
      <c r="I176" s="732"/>
      <c r="J176" s="732"/>
      <c r="K176" s="732"/>
      <c r="L176" s="732"/>
      <c r="M176" s="732"/>
      <c r="N176" s="732"/>
      <c r="O176" s="732"/>
      <c r="P176" s="732"/>
      <c r="Q176" s="732"/>
      <c r="R176" s="732"/>
      <c r="S176" s="732"/>
      <c r="T176" s="732"/>
      <c r="U176" s="732"/>
      <c r="V176" s="732"/>
      <c r="W176" s="732"/>
      <c r="X176" s="732"/>
      <c r="Y176" s="732"/>
      <c r="Z176" s="732"/>
      <c r="AA176" s="66"/>
      <c r="AB176" s="66"/>
      <c r="AC176" s="80"/>
    </row>
    <row r="177" spans="1:68" ht="16.5" hidden="1" customHeight="1" x14ac:dyDescent="0.25">
      <c r="A177" s="63" t="s">
        <v>310</v>
      </c>
      <c r="B177" s="63" t="s">
        <v>311</v>
      </c>
      <c r="C177" s="36">
        <v>4301020410</v>
      </c>
      <c r="D177" s="733">
        <v>4680115887695</v>
      </c>
      <c r="E177" s="733"/>
      <c r="F177" s="62">
        <v>0.12</v>
      </c>
      <c r="G177" s="37">
        <v>6</v>
      </c>
      <c r="H177" s="62">
        <v>0.72</v>
      </c>
      <c r="I177" s="62">
        <v>0.85</v>
      </c>
      <c r="J177" s="37">
        <v>252</v>
      </c>
      <c r="K177" s="37" t="s">
        <v>82</v>
      </c>
      <c r="L177" s="37" t="s">
        <v>46</v>
      </c>
      <c r="M177" s="38" t="s">
        <v>81</v>
      </c>
      <c r="N177" s="38"/>
      <c r="O177" s="37">
        <v>30</v>
      </c>
      <c r="P177" s="826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7" s="735"/>
      <c r="R177" s="735"/>
      <c r="S177" s="735"/>
      <c r="T177" s="736"/>
      <c r="U177" s="39" t="s">
        <v>46</v>
      </c>
      <c r="V177" s="39" t="s">
        <v>46</v>
      </c>
      <c r="W177" s="40" t="s">
        <v>0</v>
      </c>
      <c r="X177" s="58">
        <v>0</v>
      </c>
      <c r="Y177" s="55">
        <f>IFERROR(IF(X177="",0,CEILING((X177/$H177),1)*$H177),"")</f>
        <v>0</v>
      </c>
      <c r="Z177" s="41" t="str">
        <f>IFERROR(IF(Y177=0,"",ROUNDUP(Y177/H177,0)*0.00556),"")</f>
        <v/>
      </c>
      <c r="AA177" s="68" t="s">
        <v>46</v>
      </c>
      <c r="AB177" s="69" t="s">
        <v>46</v>
      </c>
      <c r="AC177" s="256" t="s">
        <v>312</v>
      </c>
      <c r="AG177" s="78"/>
      <c r="AJ177" s="84" t="s">
        <v>46</v>
      </c>
      <c r="AK177" s="84">
        <v>0</v>
      </c>
      <c r="BB177" s="257" t="s">
        <v>67</v>
      </c>
      <c r="BM177" s="78">
        <f>IFERROR(X177*I177/H177,"0")</f>
        <v>0</v>
      </c>
      <c r="BN177" s="78">
        <f>IFERROR(Y177*I177/H177,"0")</f>
        <v>0</v>
      </c>
      <c r="BO177" s="78">
        <f>IFERROR(1/J177*(X177/H177),"0")</f>
        <v>0</v>
      </c>
      <c r="BP177" s="78">
        <f>IFERROR(1/J177*(Y177/H177),"0")</f>
        <v>0</v>
      </c>
    </row>
    <row r="178" spans="1:68" ht="16.5" hidden="1" customHeight="1" x14ac:dyDescent="0.25">
      <c r="A178" s="63" t="s">
        <v>313</v>
      </c>
      <c r="B178" s="63" t="s">
        <v>314</v>
      </c>
      <c r="C178" s="36">
        <v>4301020439</v>
      </c>
      <c r="D178" s="733">
        <v>4680115889491</v>
      </c>
      <c r="E178" s="733"/>
      <c r="F178" s="62">
        <v>0.3</v>
      </c>
      <c r="G178" s="37">
        <v>8</v>
      </c>
      <c r="H178" s="62">
        <v>2.4</v>
      </c>
      <c r="I178" s="62">
        <v>2.5</v>
      </c>
      <c r="J178" s="37">
        <v>234</v>
      </c>
      <c r="K178" s="37" t="s">
        <v>82</v>
      </c>
      <c r="L178" s="37" t="s">
        <v>46</v>
      </c>
      <c r="M178" s="38" t="s">
        <v>126</v>
      </c>
      <c r="N178" s="38"/>
      <c r="O178" s="37">
        <v>55</v>
      </c>
      <c r="P178" s="827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8" s="735"/>
      <c r="R178" s="735"/>
      <c r="S178" s="735"/>
      <c r="T178" s="736"/>
      <c r="U178" s="39" t="s">
        <v>46</v>
      </c>
      <c r="V178" s="39" t="s">
        <v>46</v>
      </c>
      <c r="W178" s="40" t="s">
        <v>0</v>
      </c>
      <c r="X178" s="58">
        <v>0</v>
      </c>
      <c r="Y178" s="55">
        <f>IFERROR(IF(X178="",0,CEILING((X178/$H178),1)*$H178),"")</f>
        <v>0</v>
      </c>
      <c r="Z178" s="41" t="str">
        <f>IFERROR(IF(Y178=0,"",ROUNDUP(Y178/H178,0)*0.00502),"")</f>
        <v/>
      </c>
      <c r="AA178" s="68" t="s">
        <v>46</v>
      </c>
      <c r="AB178" s="69" t="s">
        <v>46</v>
      </c>
      <c r="AC178" s="258" t="s">
        <v>315</v>
      </c>
      <c r="AG178" s="78"/>
      <c r="AJ178" s="84" t="s">
        <v>46</v>
      </c>
      <c r="AK178" s="84">
        <v>0</v>
      </c>
      <c r="BB178" s="259" t="s">
        <v>67</v>
      </c>
      <c r="BM178" s="78">
        <f>IFERROR(X178*I178/H178,"0")</f>
        <v>0</v>
      </c>
      <c r="BN178" s="78">
        <f>IFERROR(Y178*I178/H178,"0")</f>
        <v>0</v>
      </c>
      <c r="BO178" s="78">
        <f>IFERROR(1/J178*(X178/H178),"0")</f>
        <v>0</v>
      </c>
      <c r="BP178" s="78">
        <f>IFERROR(1/J178*(Y178/H178),"0")</f>
        <v>0</v>
      </c>
    </row>
    <row r="179" spans="1:68" hidden="1" x14ac:dyDescent="0.2">
      <c r="A179" s="741"/>
      <c r="B179" s="741"/>
      <c r="C179" s="741"/>
      <c r="D179" s="741"/>
      <c r="E179" s="741"/>
      <c r="F179" s="741"/>
      <c r="G179" s="741"/>
      <c r="H179" s="741"/>
      <c r="I179" s="741"/>
      <c r="J179" s="741"/>
      <c r="K179" s="741"/>
      <c r="L179" s="741"/>
      <c r="M179" s="741"/>
      <c r="N179" s="741"/>
      <c r="O179" s="742"/>
      <c r="P179" s="738" t="s">
        <v>40</v>
      </c>
      <c r="Q179" s="739"/>
      <c r="R179" s="739"/>
      <c r="S179" s="739"/>
      <c r="T179" s="739"/>
      <c r="U179" s="739"/>
      <c r="V179" s="740"/>
      <c r="W179" s="42" t="s">
        <v>39</v>
      </c>
      <c r="X179" s="43">
        <f>IFERROR(X177/H177,"0")+IFERROR(X178/H178,"0")</f>
        <v>0</v>
      </c>
      <c r="Y179" s="43">
        <f>IFERROR(Y177/H177,"0")+IFERROR(Y178/H178,"0")</f>
        <v>0</v>
      </c>
      <c r="Z179" s="43">
        <f>IFERROR(IF(Z177="",0,Z177),"0")+IFERROR(IF(Z178="",0,Z178),"0")</f>
        <v>0</v>
      </c>
      <c r="AA179" s="67"/>
      <c r="AB179" s="67"/>
      <c r="AC179" s="67"/>
    </row>
    <row r="180" spans="1:68" hidden="1" x14ac:dyDescent="0.2">
      <c r="A180" s="741"/>
      <c r="B180" s="741"/>
      <c r="C180" s="741"/>
      <c r="D180" s="741"/>
      <c r="E180" s="741"/>
      <c r="F180" s="741"/>
      <c r="G180" s="741"/>
      <c r="H180" s="741"/>
      <c r="I180" s="741"/>
      <c r="J180" s="741"/>
      <c r="K180" s="741"/>
      <c r="L180" s="741"/>
      <c r="M180" s="741"/>
      <c r="N180" s="741"/>
      <c r="O180" s="742"/>
      <c r="P180" s="738" t="s">
        <v>40</v>
      </c>
      <c r="Q180" s="739"/>
      <c r="R180" s="739"/>
      <c r="S180" s="739"/>
      <c r="T180" s="739"/>
      <c r="U180" s="739"/>
      <c r="V180" s="740"/>
      <c r="W180" s="42" t="s">
        <v>0</v>
      </c>
      <c r="X180" s="43">
        <f>IFERROR(SUM(X177:X178),"0")</f>
        <v>0</v>
      </c>
      <c r="Y180" s="43">
        <f>IFERROR(SUM(Y177:Y178),"0")</f>
        <v>0</v>
      </c>
      <c r="Z180" s="42"/>
      <c r="AA180" s="67"/>
      <c r="AB180" s="67"/>
      <c r="AC180" s="67"/>
    </row>
    <row r="181" spans="1:68" ht="14.25" hidden="1" customHeight="1" x14ac:dyDescent="0.25">
      <c r="A181" s="732" t="s">
        <v>77</v>
      </c>
      <c r="B181" s="732"/>
      <c r="C181" s="732"/>
      <c r="D181" s="732"/>
      <c r="E181" s="732"/>
      <c r="F181" s="732"/>
      <c r="G181" s="732"/>
      <c r="H181" s="732"/>
      <c r="I181" s="732"/>
      <c r="J181" s="732"/>
      <c r="K181" s="732"/>
      <c r="L181" s="732"/>
      <c r="M181" s="732"/>
      <c r="N181" s="732"/>
      <c r="O181" s="732"/>
      <c r="P181" s="732"/>
      <c r="Q181" s="732"/>
      <c r="R181" s="732"/>
      <c r="S181" s="732"/>
      <c r="T181" s="732"/>
      <c r="U181" s="732"/>
      <c r="V181" s="732"/>
      <c r="W181" s="732"/>
      <c r="X181" s="732"/>
      <c r="Y181" s="732"/>
      <c r="Z181" s="732"/>
      <c r="AA181" s="66"/>
      <c r="AB181" s="66"/>
      <c r="AC181" s="80"/>
    </row>
    <row r="182" spans="1:68" ht="27" customHeight="1" x14ac:dyDescent="0.25">
      <c r="A182" s="63" t="s">
        <v>316</v>
      </c>
      <c r="B182" s="63" t="s">
        <v>317</v>
      </c>
      <c r="C182" s="36">
        <v>4301031496</v>
      </c>
      <c r="D182" s="733">
        <v>4680115887428</v>
      </c>
      <c r="E182" s="733"/>
      <c r="F182" s="62">
        <v>0.7</v>
      </c>
      <c r="G182" s="37">
        <v>5</v>
      </c>
      <c r="H182" s="62">
        <v>3.5</v>
      </c>
      <c r="I182" s="62">
        <v>3.69</v>
      </c>
      <c r="J182" s="37">
        <v>132</v>
      </c>
      <c r="K182" s="37" t="s">
        <v>134</v>
      </c>
      <c r="L182" s="37" t="s">
        <v>46</v>
      </c>
      <c r="M182" s="38" t="s">
        <v>81</v>
      </c>
      <c r="N182" s="38"/>
      <c r="O182" s="37">
        <v>40</v>
      </c>
      <c r="P182" s="828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82" s="735"/>
      <c r="R182" s="735"/>
      <c r="S182" s="735"/>
      <c r="T182" s="736"/>
      <c r="U182" s="39" t="s">
        <v>46</v>
      </c>
      <c r="V182" s="39" t="s">
        <v>46</v>
      </c>
      <c r="W182" s="40" t="s">
        <v>0</v>
      </c>
      <c r="X182" s="58">
        <v>200</v>
      </c>
      <c r="Y182" s="55">
        <f t="shared" ref="Y182:Y195" si="27">IFERROR(IF(X182="",0,CEILING((X182/$H182),1)*$H182),"")</f>
        <v>203</v>
      </c>
      <c r="Z182" s="41">
        <f t="shared" ref="Z182:Z187" si="28">IFERROR(IF(Y182=0,"",ROUNDUP(Y182/H182,0)*0.00902),"")</f>
        <v>0.52316000000000007</v>
      </c>
      <c r="AA182" s="68" t="s">
        <v>46</v>
      </c>
      <c r="AB182" s="69" t="s">
        <v>46</v>
      </c>
      <c r="AC182" s="260" t="s">
        <v>318</v>
      </c>
      <c r="AG182" s="78"/>
      <c r="AJ182" s="84" t="s">
        <v>46</v>
      </c>
      <c r="AK182" s="84">
        <v>0</v>
      </c>
      <c r="BB182" s="261" t="s">
        <v>67</v>
      </c>
      <c r="BM182" s="78">
        <f t="shared" ref="BM182:BM195" si="29">IFERROR(X182*I182/H182,"0")</f>
        <v>210.85714285714286</v>
      </c>
      <c r="BN182" s="78">
        <f t="shared" ref="BN182:BN195" si="30">IFERROR(Y182*I182/H182,"0")</f>
        <v>214.01999999999998</v>
      </c>
      <c r="BO182" s="78">
        <f t="shared" ref="BO182:BO195" si="31">IFERROR(1/J182*(X182/H182),"0")</f>
        <v>0.43290043290043295</v>
      </c>
      <c r="BP182" s="78">
        <f t="shared" ref="BP182:BP195" si="32">IFERROR(1/J182*(Y182/H182),"0")</f>
        <v>0.43939393939393939</v>
      </c>
    </row>
    <row r="183" spans="1:68" ht="27" hidden="1" customHeight="1" x14ac:dyDescent="0.25">
      <c r="A183" s="63" t="s">
        <v>319</v>
      </c>
      <c r="B183" s="63" t="s">
        <v>320</v>
      </c>
      <c r="C183" s="36">
        <v>4301031509</v>
      </c>
      <c r="D183" s="733">
        <v>4680115889170</v>
      </c>
      <c r="E183" s="733"/>
      <c r="F183" s="62">
        <v>0.7</v>
      </c>
      <c r="G183" s="37">
        <v>5</v>
      </c>
      <c r="H183" s="62">
        <v>3.5</v>
      </c>
      <c r="I183" s="62">
        <v>3.7650000000000001</v>
      </c>
      <c r="J183" s="37">
        <v>132</v>
      </c>
      <c r="K183" s="37" t="s">
        <v>134</v>
      </c>
      <c r="L183" s="37" t="s">
        <v>46</v>
      </c>
      <c r="M183" s="38" t="s">
        <v>81</v>
      </c>
      <c r="N183" s="38"/>
      <c r="O183" s="37">
        <v>45</v>
      </c>
      <c r="P183" s="829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83" s="735"/>
      <c r="R183" s="735"/>
      <c r="S183" s="735"/>
      <c r="T183" s="736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27"/>
        <v>0</v>
      </c>
      <c r="Z183" s="41" t="str">
        <f t="shared" si="28"/>
        <v/>
      </c>
      <c r="AA183" s="68" t="s">
        <v>46</v>
      </c>
      <c r="AB183" s="69" t="s">
        <v>46</v>
      </c>
      <c r="AC183" s="262" t="s">
        <v>321</v>
      </c>
      <c r="AG183" s="78"/>
      <c r="AJ183" s="84" t="s">
        <v>46</v>
      </c>
      <c r="AK183" s="84">
        <v>0</v>
      </c>
      <c r="BB183" s="263" t="s">
        <v>67</v>
      </c>
      <c r="BM183" s="78">
        <f t="shared" si="29"/>
        <v>0</v>
      </c>
      <c r="BN183" s="78">
        <f t="shared" si="30"/>
        <v>0</v>
      </c>
      <c r="BO183" s="78">
        <f t="shared" si="31"/>
        <v>0</v>
      </c>
      <c r="BP183" s="78">
        <f t="shared" si="32"/>
        <v>0</v>
      </c>
    </row>
    <row r="184" spans="1:68" ht="27" customHeight="1" x14ac:dyDescent="0.25">
      <c r="A184" s="63" t="s">
        <v>322</v>
      </c>
      <c r="B184" s="63" t="s">
        <v>323</v>
      </c>
      <c r="C184" s="36">
        <v>4301031498</v>
      </c>
      <c r="D184" s="733">
        <v>4680115887398</v>
      </c>
      <c r="E184" s="733"/>
      <c r="F184" s="62">
        <v>0.7</v>
      </c>
      <c r="G184" s="37">
        <v>5</v>
      </c>
      <c r="H184" s="62">
        <v>3.5</v>
      </c>
      <c r="I184" s="62">
        <v>3.69</v>
      </c>
      <c r="J184" s="37">
        <v>132</v>
      </c>
      <c r="K184" s="37" t="s">
        <v>134</v>
      </c>
      <c r="L184" s="37" t="s">
        <v>46</v>
      </c>
      <c r="M184" s="38" t="s">
        <v>81</v>
      </c>
      <c r="N184" s="38"/>
      <c r="O184" s="37">
        <v>40</v>
      </c>
      <c r="P184" s="830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84" s="735"/>
      <c r="R184" s="735"/>
      <c r="S184" s="735"/>
      <c r="T184" s="736"/>
      <c r="U184" s="39" t="s">
        <v>46</v>
      </c>
      <c r="V184" s="39" t="s">
        <v>46</v>
      </c>
      <c r="W184" s="40" t="s">
        <v>0</v>
      </c>
      <c r="X184" s="58">
        <v>300</v>
      </c>
      <c r="Y184" s="55">
        <f t="shared" si="27"/>
        <v>301</v>
      </c>
      <c r="Z184" s="41">
        <f t="shared" si="28"/>
        <v>0.77571999999999997</v>
      </c>
      <c r="AA184" s="68" t="s">
        <v>46</v>
      </c>
      <c r="AB184" s="69" t="s">
        <v>46</v>
      </c>
      <c r="AC184" s="264" t="s">
        <v>324</v>
      </c>
      <c r="AG184" s="78"/>
      <c r="AJ184" s="84" t="s">
        <v>46</v>
      </c>
      <c r="AK184" s="84">
        <v>0</v>
      </c>
      <c r="BB184" s="265" t="s">
        <v>67</v>
      </c>
      <c r="BM184" s="78">
        <f t="shared" si="29"/>
        <v>316.28571428571428</v>
      </c>
      <c r="BN184" s="78">
        <f t="shared" si="30"/>
        <v>317.34000000000003</v>
      </c>
      <c r="BO184" s="78">
        <f t="shared" si="31"/>
        <v>0.64935064935064934</v>
      </c>
      <c r="BP184" s="78">
        <f t="shared" si="32"/>
        <v>0.65151515151515149</v>
      </c>
    </row>
    <row r="185" spans="1:68" ht="27" hidden="1" customHeight="1" x14ac:dyDescent="0.25">
      <c r="A185" s="63" t="s">
        <v>322</v>
      </c>
      <c r="B185" s="63" t="s">
        <v>325</v>
      </c>
      <c r="C185" s="36">
        <v>4301031522</v>
      </c>
      <c r="D185" s="733">
        <v>4680115887398</v>
      </c>
      <c r="E185" s="733"/>
      <c r="F185" s="62">
        <v>0.7</v>
      </c>
      <c r="G185" s="37">
        <v>5</v>
      </c>
      <c r="H185" s="62">
        <v>3.5</v>
      </c>
      <c r="I185" s="62">
        <v>3.69</v>
      </c>
      <c r="J185" s="37">
        <v>132</v>
      </c>
      <c r="K185" s="37" t="s">
        <v>134</v>
      </c>
      <c r="L185" s="37" t="s">
        <v>46</v>
      </c>
      <c r="M185" s="38" t="s">
        <v>81</v>
      </c>
      <c r="N185" s="38"/>
      <c r="O185" s="37">
        <v>45</v>
      </c>
      <c r="P185" s="831" t="s">
        <v>326</v>
      </c>
      <c r="Q185" s="735"/>
      <c r="R185" s="735"/>
      <c r="S185" s="735"/>
      <c r="T185" s="736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27"/>
        <v>0</v>
      </c>
      <c r="Z185" s="41" t="str">
        <f t="shared" si="28"/>
        <v/>
      </c>
      <c r="AA185" s="68" t="s">
        <v>46</v>
      </c>
      <c r="AB185" s="69" t="s">
        <v>46</v>
      </c>
      <c r="AC185" s="266" t="s">
        <v>327</v>
      </c>
      <c r="AG185" s="78"/>
      <c r="AJ185" s="84" t="s">
        <v>46</v>
      </c>
      <c r="AK185" s="84">
        <v>0</v>
      </c>
      <c r="BB185" s="267" t="s">
        <v>67</v>
      </c>
      <c r="BM185" s="78">
        <f t="shared" si="29"/>
        <v>0</v>
      </c>
      <c r="BN185" s="78">
        <f t="shared" si="30"/>
        <v>0</v>
      </c>
      <c r="BO185" s="78">
        <f t="shared" si="31"/>
        <v>0</v>
      </c>
      <c r="BP185" s="78">
        <f t="shared" si="32"/>
        <v>0</v>
      </c>
    </row>
    <row r="186" spans="1:68" ht="27" customHeight="1" x14ac:dyDescent="0.25">
      <c r="A186" s="63" t="s">
        <v>328</v>
      </c>
      <c r="B186" s="63" t="s">
        <v>329</v>
      </c>
      <c r="C186" s="36">
        <v>4301031497</v>
      </c>
      <c r="D186" s="733">
        <v>4680115887336</v>
      </c>
      <c r="E186" s="733"/>
      <c r="F186" s="62">
        <v>0.7</v>
      </c>
      <c r="G186" s="37">
        <v>5</v>
      </c>
      <c r="H186" s="62">
        <v>3.5</v>
      </c>
      <c r="I186" s="62">
        <v>3.69</v>
      </c>
      <c r="J186" s="37">
        <v>132</v>
      </c>
      <c r="K186" s="37" t="s">
        <v>134</v>
      </c>
      <c r="L186" s="37" t="s">
        <v>46</v>
      </c>
      <c r="M186" s="38" t="s">
        <v>81</v>
      </c>
      <c r="N186" s="38"/>
      <c r="O186" s="37">
        <v>40</v>
      </c>
      <c r="P186" s="832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6" s="735"/>
      <c r="R186" s="735"/>
      <c r="S186" s="735"/>
      <c r="T186" s="736"/>
      <c r="U186" s="39" t="s">
        <v>46</v>
      </c>
      <c r="V186" s="39" t="s">
        <v>46</v>
      </c>
      <c r="W186" s="40" t="s">
        <v>0</v>
      </c>
      <c r="X186" s="58">
        <v>300</v>
      </c>
      <c r="Y186" s="55">
        <f t="shared" si="27"/>
        <v>301</v>
      </c>
      <c r="Z186" s="41">
        <f t="shared" si="28"/>
        <v>0.77571999999999997</v>
      </c>
      <c r="AA186" s="68" t="s">
        <v>46</v>
      </c>
      <c r="AB186" s="69" t="s">
        <v>46</v>
      </c>
      <c r="AC186" s="268" t="s">
        <v>330</v>
      </c>
      <c r="AG186" s="78"/>
      <c r="AJ186" s="84" t="s">
        <v>46</v>
      </c>
      <c r="AK186" s="84">
        <v>0</v>
      </c>
      <c r="BB186" s="269" t="s">
        <v>67</v>
      </c>
      <c r="BM186" s="78">
        <f t="shared" si="29"/>
        <v>316.28571428571428</v>
      </c>
      <c r="BN186" s="78">
        <f t="shared" si="30"/>
        <v>317.34000000000003</v>
      </c>
      <c r="BO186" s="78">
        <f t="shared" si="31"/>
        <v>0.64935064935064934</v>
      </c>
      <c r="BP186" s="78">
        <f t="shared" si="32"/>
        <v>0.65151515151515149</v>
      </c>
    </row>
    <row r="187" spans="1:68" ht="27" hidden="1" customHeight="1" x14ac:dyDescent="0.25">
      <c r="A187" s="63" t="s">
        <v>328</v>
      </c>
      <c r="B187" s="63" t="s">
        <v>331</v>
      </c>
      <c r="C187" s="36">
        <v>4301031520</v>
      </c>
      <c r="D187" s="733">
        <v>4680115887336</v>
      </c>
      <c r="E187" s="733"/>
      <c r="F187" s="62">
        <v>0.7</v>
      </c>
      <c r="G187" s="37">
        <v>5</v>
      </c>
      <c r="H187" s="62">
        <v>3.5</v>
      </c>
      <c r="I187" s="62">
        <v>3.69</v>
      </c>
      <c r="J187" s="37">
        <v>132</v>
      </c>
      <c r="K187" s="37" t="s">
        <v>134</v>
      </c>
      <c r="L187" s="37" t="s">
        <v>46</v>
      </c>
      <c r="M187" s="38" t="s">
        <v>81</v>
      </c>
      <c r="N187" s="38"/>
      <c r="O187" s="37">
        <v>45</v>
      </c>
      <c r="P187" s="833" t="s">
        <v>332</v>
      </c>
      <c r="Q187" s="735"/>
      <c r="R187" s="735"/>
      <c r="S187" s="735"/>
      <c r="T187" s="736"/>
      <c r="U187" s="39" t="s">
        <v>46</v>
      </c>
      <c r="V187" s="39" t="s">
        <v>46</v>
      </c>
      <c r="W187" s="40" t="s">
        <v>0</v>
      </c>
      <c r="X187" s="58">
        <v>0</v>
      </c>
      <c r="Y187" s="55">
        <f t="shared" si="27"/>
        <v>0</v>
      </c>
      <c r="Z187" s="41" t="str">
        <f t="shared" si="28"/>
        <v/>
      </c>
      <c r="AA187" s="68" t="s">
        <v>46</v>
      </c>
      <c r="AB187" s="69" t="s">
        <v>46</v>
      </c>
      <c r="AC187" s="270" t="s">
        <v>333</v>
      </c>
      <c r="AG187" s="78"/>
      <c r="AJ187" s="84" t="s">
        <v>46</v>
      </c>
      <c r="AK187" s="84">
        <v>0</v>
      </c>
      <c r="BB187" s="271" t="s">
        <v>67</v>
      </c>
      <c r="BM187" s="78">
        <f t="shared" si="29"/>
        <v>0</v>
      </c>
      <c r="BN187" s="78">
        <f t="shared" si="30"/>
        <v>0</v>
      </c>
      <c r="BO187" s="78">
        <f t="shared" si="31"/>
        <v>0</v>
      </c>
      <c r="BP187" s="78">
        <f t="shared" si="32"/>
        <v>0</v>
      </c>
    </row>
    <row r="188" spans="1:68" ht="16.5" customHeight="1" x14ac:dyDescent="0.25">
      <c r="A188" s="63" t="s">
        <v>334</v>
      </c>
      <c r="B188" s="63" t="s">
        <v>335</v>
      </c>
      <c r="C188" s="36">
        <v>4301032049</v>
      </c>
      <c r="D188" s="733">
        <v>4680115887787</v>
      </c>
      <c r="E188" s="733"/>
      <c r="F188" s="62">
        <v>0.09</v>
      </c>
      <c r="G188" s="37">
        <v>10</v>
      </c>
      <c r="H188" s="62">
        <v>0.9</v>
      </c>
      <c r="I188" s="62">
        <v>1.1100000000000001</v>
      </c>
      <c r="J188" s="37">
        <v>336</v>
      </c>
      <c r="K188" s="37" t="s">
        <v>131</v>
      </c>
      <c r="L188" s="37" t="s">
        <v>46</v>
      </c>
      <c r="M188" s="38" t="s">
        <v>81</v>
      </c>
      <c r="N188" s="38"/>
      <c r="O188" s="37">
        <v>45</v>
      </c>
      <c r="P188" s="834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8" s="735"/>
      <c r="R188" s="735"/>
      <c r="S188" s="735"/>
      <c r="T188" s="736"/>
      <c r="U188" s="39" t="s">
        <v>46</v>
      </c>
      <c r="V188" s="39" t="s">
        <v>46</v>
      </c>
      <c r="W188" s="40" t="s">
        <v>0</v>
      </c>
      <c r="X188" s="58">
        <v>2.6999999999999997</v>
      </c>
      <c r="Y188" s="55">
        <f t="shared" si="27"/>
        <v>2.7</v>
      </c>
      <c r="Z188" s="41">
        <f>IFERROR(IF(Y188=0,"",ROUNDUP(Y188/H188,0)*0.00417),"")</f>
        <v>1.251E-2</v>
      </c>
      <c r="AA188" s="68" t="s">
        <v>46</v>
      </c>
      <c r="AB188" s="69" t="s">
        <v>46</v>
      </c>
      <c r="AC188" s="272" t="s">
        <v>336</v>
      </c>
      <c r="AG188" s="78"/>
      <c r="AJ188" s="84" t="s">
        <v>46</v>
      </c>
      <c r="AK188" s="84">
        <v>0</v>
      </c>
      <c r="BB188" s="273" t="s">
        <v>67</v>
      </c>
      <c r="BM188" s="78">
        <f t="shared" si="29"/>
        <v>3.3299999999999996</v>
      </c>
      <c r="BN188" s="78">
        <f t="shared" si="30"/>
        <v>3.33</v>
      </c>
      <c r="BO188" s="78">
        <f t="shared" si="31"/>
        <v>8.9285714285714263E-3</v>
      </c>
      <c r="BP188" s="78">
        <f t="shared" si="32"/>
        <v>8.9285714285714281E-3</v>
      </c>
    </row>
    <row r="189" spans="1:68" ht="16.5" hidden="1" customHeight="1" x14ac:dyDescent="0.25">
      <c r="A189" s="63" t="s">
        <v>334</v>
      </c>
      <c r="B189" s="63" t="s">
        <v>337</v>
      </c>
      <c r="C189" s="36">
        <v>4301031528</v>
      </c>
      <c r="D189" s="733">
        <v>4680115887787</v>
      </c>
      <c r="E189" s="733"/>
      <c r="F189" s="62">
        <v>0.09</v>
      </c>
      <c r="G189" s="37">
        <v>10</v>
      </c>
      <c r="H189" s="62">
        <v>0.9</v>
      </c>
      <c r="I189" s="62">
        <v>1.1100000000000001</v>
      </c>
      <c r="J189" s="37">
        <v>192</v>
      </c>
      <c r="K189" s="37" t="s">
        <v>131</v>
      </c>
      <c r="L189" s="37" t="s">
        <v>46</v>
      </c>
      <c r="M189" s="38" t="s">
        <v>81</v>
      </c>
      <c r="N189" s="38"/>
      <c r="O189" s="37">
        <v>45</v>
      </c>
      <c r="P189" s="835" t="s">
        <v>338</v>
      </c>
      <c r="Q189" s="735"/>
      <c r="R189" s="735"/>
      <c r="S189" s="735"/>
      <c r="T189" s="736"/>
      <c r="U189" s="39" t="s">
        <v>46</v>
      </c>
      <c r="V189" s="39" t="s">
        <v>46</v>
      </c>
      <c r="W189" s="40" t="s">
        <v>0</v>
      </c>
      <c r="X189" s="58">
        <v>0</v>
      </c>
      <c r="Y189" s="55">
        <f t="shared" si="27"/>
        <v>0</v>
      </c>
      <c r="Z189" s="41" t="str">
        <f>IFERROR(IF(Y189=0,"",ROUNDUP(Y189/H189,0)*0.00726),"")</f>
        <v/>
      </c>
      <c r="AA189" s="68" t="s">
        <v>46</v>
      </c>
      <c r="AB189" s="69" t="s">
        <v>46</v>
      </c>
      <c r="AC189" s="274" t="s">
        <v>336</v>
      </c>
      <c r="AG189" s="78"/>
      <c r="AJ189" s="84" t="s">
        <v>46</v>
      </c>
      <c r="AK189" s="84">
        <v>0</v>
      </c>
      <c r="BB189" s="275" t="s">
        <v>67</v>
      </c>
      <c r="BM189" s="78">
        <f t="shared" si="29"/>
        <v>0</v>
      </c>
      <c r="BN189" s="78">
        <f t="shared" si="30"/>
        <v>0</v>
      </c>
      <c r="BO189" s="78">
        <f t="shared" si="31"/>
        <v>0</v>
      </c>
      <c r="BP189" s="78">
        <f t="shared" si="32"/>
        <v>0</v>
      </c>
    </row>
    <row r="190" spans="1:68" ht="27" customHeight="1" x14ac:dyDescent="0.25">
      <c r="A190" s="63" t="s">
        <v>339</v>
      </c>
      <c r="B190" s="63" t="s">
        <v>340</v>
      </c>
      <c r="C190" s="36">
        <v>4301031448</v>
      </c>
      <c r="D190" s="733">
        <v>4680115887503</v>
      </c>
      <c r="E190" s="733"/>
      <c r="F190" s="62">
        <v>0.28000000000000003</v>
      </c>
      <c r="G190" s="37">
        <v>6</v>
      </c>
      <c r="H190" s="62">
        <v>1.68</v>
      </c>
      <c r="I190" s="62">
        <v>1.78</v>
      </c>
      <c r="J190" s="37">
        <v>234</v>
      </c>
      <c r="K190" s="37" t="s">
        <v>82</v>
      </c>
      <c r="L190" s="37" t="s">
        <v>46</v>
      </c>
      <c r="M190" s="38" t="s">
        <v>81</v>
      </c>
      <c r="N190" s="38"/>
      <c r="O190" s="37">
        <v>40</v>
      </c>
      <c r="P190" s="836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90" s="735"/>
      <c r="R190" s="735"/>
      <c r="S190" s="735"/>
      <c r="T190" s="736"/>
      <c r="U190" s="39" t="s">
        <v>46</v>
      </c>
      <c r="V190" s="39" t="s">
        <v>46</v>
      </c>
      <c r="W190" s="40" t="s">
        <v>0</v>
      </c>
      <c r="X190" s="58">
        <v>140</v>
      </c>
      <c r="Y190" s="55">
        <f t="shared" si="27"/>
        <v>141.12</v>
      </c>
      <c r="Z190" s="41">
        <f>IFERROR(IF(Y190=0,"",ROUNDUP(Y190/H190,0)*0.00502),"")</f>
        <v>0.42168</v>
      </c>
      <c r="AA190" s="68" t="s">
        <v>46</v>
      </c>
      <c r="AB190" s="69" t="s">
        <v>46</v>
      </c>
      <c r="AC190" s="276" t="s">
        <v>318</v>
      </c>
      <c r="AG190" s="78"/>
      <c r="AJ190" s="84" t="s">
        <v>46</v>
      </c>
      <c r="AK190" s="84">
        <v>0</v>
      </c>
      <c r="BB190" s="277" t="s">
        <v>67</v>
      </c>
      <c r="BM190" s="78">
        <f t="shared" si="29"/>
        <v>148.33333333333334</v>
      </c>
      <c r="BN190" s="78">
        <f t="shared" si="30"/>
        <v>149.52000000000001</v>
      </c>
      <c r="BO190" s="78">
        <f t="shared" si="31"/>
        <v>0.35612535612535623</v>
      </c>
      <c r="BP190" s="78">
        <f t="shared" si="32"/>
        <v>0.35897435897435903</v>
      </c>
    </row>
    <row r="191" spans="1:68" ht="27" hidden="1" customHeight="1" x14ac:dyDescent="0.25">
      <c r="A191" s="63" t="s">
        <v>341</v>
      </c>
      <c r="B191" s="63" t="s">
        <v>342</v>
      </c>
      <c r="C191" s="36">
        <v>4301031389</v>
      </c>
      <c r="D191" s="733">
        <v>4680115887763</v>
      </c>
      <c r="E191" s="733"/>
      <c r="F191" s="62">
        <v>0.09</v>
      </c>
      <c r="G191" s="37">
        <v>10</v>
      </c>
      <c r="H191" s="62">
        <v>0.9</v>
      </c>
      <c r="I191" s="62">
        <v>1.1100000000000001</v>
      </c>
      <c r="J191" s="37">
        <v>336</v>
      </c>
      <c r="K191" s="37" t="s">
        <v>131</v>
      </c>
      <c r="L191" s="37" t="s">
        <v>46</v>
      </c>
      <c r="M191" s="38" t="s">
        <v>81</v>
      </c>
      <c r="N191" s="38"/>
      <c r="O191" s="37">
        <v>45</v>
      </c>
      <c r="P191" s="837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91" s="735"/>
      <c r="R191" s="735"/>
      <c r="S191" s="735"/>
      <c r="T191" s="736"/>
      <c r="U191" s="39" t="s">
        <v>46</v>
      </c>
      <c r="V191" s="39" t="s">
        <v>46</v>
      </c>
      <c r="W191" s="40" t="s">
        <v>0</v>
      </c>
      <c r="X191" s="58">
        <v>0</v>
      </c>
      <c r="Y191" s="55">
        <f t="shared" si="27"/>
        <v>0</v>
      </c>
      <c r="Z191" s="41" t="str">
        <f>IFERROR(IF(Y191=0,"",ROUNDUP(Y191/H191,0)*0.00417),"")</f>
        <v/>
      </c>
      <c r="AA191" s="68" t="s">
        <v>46</v>
      </c>
      <c r="AB191" s="69" t="s">
        <v>46</v>
      </c>
      <c r="AC191" s="278" t="s">
        <v>343</v>
      </c>
      <c r="AG191" s="78"/>
      <c r="AJ191" s="84" t="s">
        <v>46</v>
      </c>
      <c r="AK191" s="84">
        <v>0</v>
      </c>
      <c r="BB191" s="279" t="s">
        <v>67</v>
      </c>
      <c r="BM191" s="78">
        <f t="shared" si="29"/>
        <v>0</v>
      </c>
      <c r="BN191" s="78">
        <f t="shared" si="30"/>
        <v>0</v>
      </c>
      <c r="BO191" s="78">
        <f t="shared" si="31"/>
        <v>0</v>
      </c>
      <c r="BP191" s="78">
        <f t="shared" si="32"/>
        <v>0</v>
      </c>
    </row>
    <row r="192" spans="1:68" ht="27" customHeight="1" x14ac:dyDescent="0.25">
      <c r="A192" s="63" t="s">
        <v>344</v>
      </c>
      <c r="B192" s="63" t="s">
        <v>345</v>
      </c>
      <c r="C192" s="36">
        <v>4301031454</v>
      </c>
      <c r="D192" s="733">
        <v>4680115887480</v>
      </c>
      <c r="E192" s="733"/>
      <c r="F192" s="62">
        <v>0.28000000000000003</v>
      </c>
      <c r="G192" s="37">
        <v>6</v>
      </c>
      <c r="H192" s="62">
        <v>1.68</v>
      </c>
      <c r="I192" s="62">
        <v>1.78</v>
      </c>
      <c r="J192" s="37">
        <v>234</v>
      </c>
      <c r="K192" s="37" t="s">
        <v>82</v>
      </c>
      <c r="L192" s="37" t="s">
        <v>46</v>
      </c>
      <c r="M192" s="38" t="s">
        <v>81</v>
      </c>
      <c r="N192" s="38"/>
      <c r="O192" s="37">
        <v>40</v>
      </c>
      <c r="P192" s="838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92" s="735"/>
      <c r="R192" s="735"/>
      <c r="S192" s="735"/>
      <c r="T192" s="736"/>
      <c r="U192" s="39" t="s">
        <v>46</v>
      </c>
      <c r="V192" s="39" t="s">
        <v>46</v>
      </c>
      <c r="W192" s="40" t="s">
        <v>0</v>
      </c>
      <c r="X192" s="58">
        <v>140</v>
      </c>
      <c r="Y192" s="55">
        <f t="shared" si="27"/>
        <v>141.12</v>
      </c>
      <c r="Z192" s="41">
        <f>IFERROR(IF(Y192=0,"",ROUNDUP(Y192/H192,0)*0.00502),"")</f>
        <v>0.42168</v>
      </c>
      <c r="AA192" s="68" t="s">
        <v>46</v>
      </c>
      <c r="AB192" s="69" t="s">
        <v>46</v>
      </c>
      <c r="AC192" s="280" t="s">
        <v>324</v>
      </c>
      <c r="AG192" s="78"/>
      <c r="AJ192" s="84" t="s">
        <v>46</v>
      </c>
      <c r="AK192" s="84">
        <v>0</v>
      </c>
      <c r="BB192" s="281" t="s">
        <v>67</v>
      </c>
      <c r="BM192" s="78">
        <f t="shared" si="29"/>
        <v>148.33333333333334</v>
      </c>
      <c r="BN192" s="78">
        <f t="shared" si="30"/>
        <v>149.52000000000001</v>
      </c>
      <c r="BO192" s="78">
        <f t="shared" si="31"/>
        <v>0.35612535612535623</v>
      </c>
      <c r="BP192" s="78">
        <f t="shared" si="32"/>
        <v>0.35897435897435903</v>
      </c>
    </row>
    <row r="193" spans="1:68" ht="27" hidden="1" customHeight="1" x14ac:dyDescent="0.25">
      <c r="A193" s="63" t="s">
        <v>344</v>
      </c>
      <c r="B193" s="63" t="s">
        <v>346</v>
      </c>
      <c r="C193" s="36">
        <v>4301031521</v>
      </c>
      <c r="D193" s="733">
        <v>4680115887480</v>
      </c>
      <c r="E193" s="733"/>
      <c r="F193" s="62">
        <v>0.28000000000000003</v>
      </c>
      <c r="G193" s="37">
        <v>6</v>
      </c>
      <c r="H193" s="62">
        <v>1.68</v>
      </c>
      <c r="I193" s="62">
        <v>1.78</v>
      </c>
      <c r="J193" s="37">
        <v>234</v>
      </c>
      <c r="K193" s="37" t="s">
        <v>82</v>
      </c>
      <c r="L193" s="37" t="s">
        <v>46</v>
      </c>
      <c r="M193" s="38" t="s">
        <v>81</v>
      </c>
      <c r="N193" s="38"/>
      <c r="O193" s="37">
        <v>45</v>
      </c>
      <c r="P193" s="839" t="s">
        <v>347</v>
      </c>
      <c r="Q193" s="735"/>
      <c r="R193" s="735"/>
      <c r="S193" s="735"/>
      <c r="T193" s="736"/>
      <c r="U193" s="39" t="s">
        <v>46</v>
      </c>
      <c r="V193" s="39" t="s">
        <v>46</v>
      </c>
      <c r="W193" s="40" t="s">
        <v>0</v>
      </c>
      <c r="X193" s="58">
        <v>0</v>
      </c>
      <c r="Y193" s="55">
        <f t="shared" si="27"/>
        <v>0</v>
      </c>
      <c r="Z193" s="41" t="str">
        <f>IFERROR(IF(Y193=0,"",ROUNDUP(Y193/H193,0)*0.00502),"")</f>
        <v/>
      </c>
      <c r="AA193" s="68" t="s">
        <v>46</v>
      </c>
      <c r="AB193" s="69" t="s">
        <v>46</v>
      </c>
      <c r="AC193" s="282" t="s">
        <v>327</v>
      </c>
      <c r="AG193" s="78"/>
      <c r="AJ193" s="84" t="s">
        <v>46</v>
      </c>
      <c r="AK193" s="84">
        <v>0</v>
      </c>
      <c r="BB193" s="283" t="s">
        <v>67</v>
      </c>
      <c r="BM193" s="78">
        <f t="shared" si="29"/>
        <v>0</v>
      </c>
      <c r="BN193" s="78">
        <f t="shared" si="30"/>
        <v>0</v>
      </c>
      <c r="BO193" s="78">
        <f t="shared" si="31"/>
        <v>0</v>
      </c>
      <c r="BP193" s="78">
        <f t="shared" si="32"/>
        <v>0</v>
      </c>
    </row>
    <row r="194" spans="1:68" ht="27" hidden="1" customHeight="1" x14ac:dyDescent="0.25">
      <c r="A194" s="63" t="s">
        <v>348</v>
      </c>
      <c r="B194" s="63" t="s">
        <v>349</v>
      </c>
      <c r="C194" s="36">
        <v>4301031434</v>
      </c>
      <c r="D194" s="733">
        <v>4680115888067</v>
      </c>
      <c r="E194" s="733"/>
      <c r="F194" s="62">
        <v>0.09</v>
      </c>
      <c r="G194" s="37">
        <v>10</v>
      </c>
      <c r="H194" s="62">
        <v>0.9</v>
      </c>
      <c r="I194" s="62">
        <v>1</v>
      </c>
      <c r="J194" s="37">
        <v>336</v>
      </c>
      <c r="K194" s="37" t="s">
        <v>131</v>
      </c>
      <c r="L194" s="37" t="s">
        <v>46</v>
      </c>
      <c r="M194" s="38" t="s">
        <v>81</v>
      </c>
      <c r="N194" s="38"/>
      <c r="O194" s="37">
        <v>45</v>
      </c>
      <c r="P194" s="840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94" s="735"/>
      <c r="R194" s="735"/>
      <c r="S194" s="735"/>
      <c r="T194" s="736"/>
      <c r="U194" s="39" t="s">
        <v>46</v>
      </c>
      <c r="V194" s="39" t="s">
        <v>46</v>
      </c>
      <c r="W194" s="40" t="s">
        <v>0</v>
      </c>
      <c r="X194" s="58">
        <v>0</v>
      </c>
      <c r="Y194" s="55">
        <f t="shared" si="27"/>
        <v>0</v>
      </c>
      <c r="Z194" s="41" t="str">
        <f>IFERROR(IF(Y194=0,"",ROUNDUP(Y194/H194,0)*0.00417),"")</f>
        <v/>
      </c>
      <c r="AA194" s="68" t="s">
        <v>46</v>
      </c>
      <c r="AB194" s="69" t="s">
        <v>46</v>
      </c>
      <c r="AC194" s="284" t="s">
        <v>350</v>
      </c>
      <c r="AG194" s="78"/>
      <c r="AJ194" s="84" t="s">
        <v>46</v>
      </c>
      <c r="AK194" s="84">
        <v>0</v>
      </c>
      <c r="BB194" s="285" t="s">
        <v>67</v>
      </c>
      <c r="BM194" s="78">
        <f t="shared" si="29"/>
        <v>0</v>
      </c>
      <c r="BN194" s="78">
        <f t="shared" si="30"/>
        <v>0</v>
      </c>
      <c r="BO194" s="78">
        <f t="shared" si="31"/>
        <v>0</v>
      </c>
      <c r="BP194" s="78">
        <f t="shared" si="32"/>
        <v>0</v>
      </c>
    </row>
    <row r="195" spans="1:68" ht="27" customHeight="1" x14ac:dyDescent="0.25">
      <c r="A195" s="63" t="s">
        <v>351</v>
      </c>
      <c r="B195" s="63" t="s">
        <v>352</v>
      </c>
      <c r="C195" s="36">
        <v>4301031519</v>
      </c>
      <c r="D195" s="733">
        <v>4680115887435</v>
      </c>
      <c r="E195" s="733"/>
      <c r="F195" s="62">
        <v>0.28000000000000003</v>
      </c>
      <c r="G195" s="37">
        <v>6</v>
      </c>
      <c r="H195" s="62">
        <v>1.68</v>
      </c>
      <c r="I195" s="62">
        <v>1.78</v>
      </c>
      <c r="J195" s="37">
        <v>234</v>
      </c>
      <c r="K195" s="37" t="s">
        <v>82</v>
      </c>
      <c r="L195" s="37" t="s">
        <v>46</v>
      </c>
      <c r="M195" s="38" t="s">
        <v>81</v>
      </c>
      <c r="N195" s="38"/>
      <c r="O195" s="37">
        <v>45</v>
      </c>
      <c r="P195" s="841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95" s="735"/>
      <c r="R195" s="735"/>
      <c r="S195" s="735"/>
      <c r="T195" s="736"/>
      <c r="U195" s="39" t="s">
        <v>46</v>
      </c>
      <c r="V195" s="39" t="s">
        <v>46</v>
      </c>
      <c r="W195" s="40" t="s">
        <v>0</v>
      </c>
      <c r="X195" s="58">
        <v>140</v>
      </c>
      <c r="Y195" s="55">
        <f t="shared" si="27"/>
        <v>141.12</v>
      </c>
      <c r="Z195" s="41">
        <f>IFERROR(IF(Y195=0,"",ROUNDUP(Y195/H195,0)*0.00502),"")</f>
        <v>0.42168</v>
      </c>
      <c r="AA195" s="68" t="s">
        <v>46</v>
      </c>
      <c r="AB195" s="69" t="s">
        <v>46</v>
      </c>
      <c r="AC195" s="286" t="s">
        <v>333</v>
      </c>
      <c r="AG195" s="78"/>
      <c r="AJ195" s="84" t="s">
        <v>46</v>
      </c>
      <c r="AK195" s="84">
        <v>0</v>
      </c>
      <c r="BB195" s="287" t="s">
        <v>67</v>
      </c>
      <c r="BM195" s="78">
        <f t="shared" si="29"/>
        <v>148.33333333333334</v>
      </c>
      <c r="BN195" s="78">
        <f t="shared" si="30"/>
        <v>149.52000000000001</v>
      </c>
      <c r="BO195" s="78">
        <f t="shared" si="31"/>
        <v>0.35612535612535623</v>
      </c>
      <c r="BP195" s="78">
        <f t="shared" si="32"/>
        <v>0.35897435897435903</v>
      </c>
    </row>
    <row r="196" spans="1:68" x14ac:dyDescent="0.2">
      <c r="A196" s="741"/>
      <c r="B196" s="741"/>
      <c r="C196" s="741"/>
      <c r="D196" s="741"/>
      <c r="E196" s="741"/>
      <c r="F196" s="741"/>
      <c r="G196" s="741"/>
      <c r="H196" s="741"/>
      <c r="I196" s="741"/>
      <c r="J196" s="741"/>
      <c r="K196" s="741"/>
      <c r="L196" s="741"/>
      <c r="M196" s="741"/>
      <c r="N196" s="741"/>
      <c r="O196" s="742"/>
      <c r="P196" s="738" t="s">
        <v>40</v>
      </c>
      <c r="Q196" s="739"/>
      <c r="R196" s="739"/>
      <c r="S196" s="739"/>
      <c r="T196" s="739"/>
      <c r="U196" s="739"/>
      <c r="V196" s="740"/>
      <c r="W196" s="42" t="s">
        <v>39</v>
      </c>
      <c r="X196" s="43">
        <f>IFERROR(X182/H182,"0")+IFERROR(X183/H183,"0")+IFERROR(X184/H184,"0")+IFERROR(X185/H185,"0")+IFERROR(X186/H186,"0")+IFERROR(X187/H187,"0")+IFERROR(X188/H188,"0")+IFERROR(X189/H189,"0")+IFERROR(X190/H190,"0")+IFERROR(X191/H191,"0")+IFERROR(X192/H192,"0")+IFERROR(X193/H193,"0")+IFERROR(X194/H194,"0")+IFERROR(X195/H195,"0")</f>
        <v>481.57142857142867</v>
      </c>
      <c r="Y196" s="43">
        <f>IFERROR(Y182/H182,"0")+IFERROR(Y183/H183,"0")+IFERROR(Y184/H184,"0")+IFERROR(Y185/H185,"0")+IFERROR(Y186/H186,"0")+IFERROR(Y187/H187,"0")+IFERROR(Y188/H188,"0")+IFERROR(Y189/H189,"0")+IFERROR(Y190/H190,"0")+IFERROR(Y191/H191,"0")+IFERROR(Y192/H192,"0")+IFERROR(Y193/H193,"0")+IFERROR(Y194/H194,"0")+IFERROR(Y195/H195,"0")</f>
        <v>485</v>
      </c>
      <c r="Z196" s="43">
        <f>IFERROR(IF(Z182="",0,Z182),"0")+IFERROR(IF(Z183="",0,Z183),"0")+IFERROR(IF(Z184="",0,Z184),"0")+IFERROR(IF(Z185="",0,Z185),"0")+IFERROR(IF(Z186="",0,Z186),"0")+IFERROR(IF(Z187="",0,Z187),"0")+IFERROR(IF(Z188="",0,Z188),"0")+IFERROR(IF(Z189="",0,Z189),"0")+IFERROR(IF(Z190="",0,Z190),"0")+IFERROR(IF(Z191="",0,Z191),"0")+IFERROR(IF(Z192="",0,Z192),"0")+IFERROR(IF(Z193="",0,Z193),"0")+IFERROR(IF(Z194="",0,Z194),"0")+IFERROR(IF(Z195="",0,Z195),"0")</f>
        <v>3.3521499999999995</v>
      </c>
      <c r="AA196" s="67"/>
      <c r="AB196" s="67"/>
      <c r="AC196" s="67"/>
    </row>
    <row r="197" spans="1:68" x14ac:dyDescent="0.2">
      <c r="A197" s="741"/>
      <c r="B197" s="741"/>
      <c r="C197" s="741"/>
      <c r="D197" s="741"/>
      <c r="E197" s="741"/>
      <c r="F197" s="741"/>
      <c r="G197" s="741"/>
      <c r="H197" s="741"/>
      <c r="I197" s="741"/>
      <c r="J197" s="741"/>
      <c r="K197" s="741"/>
      <c r="L197" s="741"/>
      <c r="M197" s="741"/>
      <c r="N197" s="741"/>
      <c r="O197" s="742"/>
      <c r="P197" s="738" t="s">
        <v>40</v>
      </c>
      <c r="Q197" s="739"/>
      <c r="R197" s="739"/>
      <c r="S197" s="739"/>
      <c r="T197" s="739"/>
      <c r="U197" s="739"/>
      <c r="V197" s="740"/>
      <c r="W197" s="42" t="s">
        <v>0</v>
      </c>
      <c r="X197" s="43">
        <f>IFERROR(SUM(X182:X195),"0")</f>
        <v>1222.7</v>
      </c>
      <c r="Y197" s="43">
        <f>IFERROR(SUM(Y182:Y195),"0")</f>
        <v>1231.06</v>
      </c>
      <c r="Z197" s="42"/>
      <c r="AA197" s="67"/>
      <c r="AB197" s="67"/>
      <c r="AC197" s="67"/>
    </row>
    <row r="198" spans="1:68" ht="14.25" hidden="1" customHeight="1" x14ac:dyDescent="0.25">
      <c r="A198" s="732" t="s">
        <v>86</v>
      </c>
      <c r="B198" s="732"/>
      <c r="C198" s="732"/>
      <c r="D198" s="732"/>
      <c r="E198" s="732"/>
      <c r="F198" s="732"/>
      <c r="G198" s="732"/>
      <c r="H198" s="732"/>
      <c r="I198" s="732"/>
      <c r="J198" s="732"/>
      <c r="K198" s="732"/>
      <c r="L198" s="732"/>
      <c r="M198" s="732"/>
      <c r="N198" s="732"/>
      <c r="O198" s="732"/>
      <c r="P198" s="732"/>
      <c r="Q198" s="732"/>
      <c r="R198" s="732"/>
      <c r="S198" s="732"/>
      <c r="T198" s="732"/>
      <c r="U198" s="732"/>
      <c r="V198" s="732"/>
      <c r="W198" s="732"/>
      <c r="X198" s="732"/>
      <c r="Y198" s="732"/>
      <c r="Z198" s="732"/>
      <c r="AA198" s="66"/>
      <c r="AB198" s="66"/>
      <c r="AC198" s="80"/>
    </row>
    <row r="199" spans="1:68" ht="16.5" hidden="1" customHeight="1" x14ac:dyDescent="0.25">
      <c r="A199" s="63" t="s">
        <v>353</v>
      </c>
      <c r="B199" s="63" t="s">
        <v>354</v>
      </c>
      <c r="C199" s="36">
        <v>4301052193</v>
      </c>
      <c r="D199" s="733">
        <v>4680115888395</v>
      </c>
      <c r="E199" s="733"/>
      <c r="F199" s="62">
        <v>0.42</v>
      </c>
      <c r="G199" s="37">
        <v>6</v>
      </c>
      <c r="H199" s="62">
        <v>2.52</v>
      </c>
      <c r="I199" s="62">
        <v>2.766</v>
      </c>
      <c r="J199" s="37">
        <v>182</v>
      </c>
      <c r="K199" s="37" t="s">
        <v>91</v>
      </c>
      <c r="L199" s="37" t="s">
        <v>46</v>
      </c>
      <c r="M199" s="38" t="s">
        <v>97</v>
      </c>
      <c r="N199" s="38"/>
      <c r="O199" s="37">
        <v>40</v>
      </c>
      <c r="P199" s="842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9" s="735"/>
      <c r="R199" s="735"/>
      <c r="S199" s="735"/>
      <c r="T199" s="736"/>
      <c r="U199" s="39" t="s">
        <v>46</v>
      </c>
      <c r="V199" s="39" t="s">
        <v>46</v>
      </c>
      <c r="W199" s="40" t="s">
        <v>0</v>
      </c>
      <c r="X199" s="58">
        <v>0</v>
      </c>
      <c r="Y199" s="55">
        <f>IFERROR(IF(X199="",0,CEILING((X199/$H199),1)*$H199),"")</f>
        <v>0</v>
      </c>
      <c r="Z199" s="41" t="str">
        <f>IFERROR(IF(Y199=0,"",ROUNDUP(Y199/H199,0)*0.00651),"")</f>
        <v/>
      </c>
      <c r="AA199" s="68" t="s">
        <v>46</v>
      </c>
      <c r="AB199" s="69" t="s">
        <v>46</v>
      </c>
      <c r="AC199" s="288" t="s">
        <v>355</v>
      </c>
      <c r="AG199" s="78"/>
      <c r="AJ199" s="84" t="s">
        <v>46</v>
      </c>
      <c r="AK199" s="84">
        <v>0</v>
      </c>
      <c r="BB199" s="289" t="s">
        <v>67</v>
      </c>
      <c r="BM199" s="78">
        <f>IFERROR(X199*I199/H199,"0")</f>
        <v>0</v>
      </c>
      <c r="BN199" s="78">
        <f>IFERROR(Y199*I199/H199,"0")</f>
        <v>0</v>
      </c>
      <c r="BO199" s="78">
        <f>IFERROR(1/J199*(X199/H199),"0")</f>
        <v>0</v>
      </c>
      <c r="BP199" s="78">
        <f>IFERROR(1/J199*(Y199/H199),"0")</f>
        <v>0</v>
      </c>
    </row>
    <row r="200" spans="1:68" ht="16.5" customHeight="1" x14ac:dyDescent="0.25">
      <c r="A200" s="63" t="s">
        <v>356</v>
      </c>
      <c r="B200" s="63" t="s">
        <v>357</v>
      </c>
      <c r="C200" s="36">
        <v>4301052191</v>
      </c>
      <c r="D200" s="733">
        <v>4680115888371</v>
      </c>
      <c r="E200" s="733"/>
      <c r="F200" s="62">
        <v>0.42</v>
      </c>
      <c r="G200" s="37">
        <v>6</v>
      </c>
      <c r="H200" s="62">
        <v>2.52</v>
      </c>
      <c r="I200" s="62">
        <v>2.766</v>
      </c>
      <c r="J200" s="37">
        <v>182</v>
      </c>
      <c r="K200" s="37" t="s">
        <v>91</v>
      </c>
      <c r="L200" s="37" t="s">
        <v>46</v>
      </c>
      <c r="M200" s="38" t="s">
        <v>97</v>
      </c>
      <c r="N200" s="38"/>
      <c r="O200" s="37">
        <v>40</v>
      </c>
      <c r="P200" s="843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200" s="735"/>
      <c r="R200" s="735"/>
      <c r="S200" s="735"/>
      <c r="T200" s="736"/>
      <c r="U200" s="39" t="s">
        <v>46</v>
      </c>
      <c r="V200" s="39" t="s">
        <v>46</v>
      </c>
      <c r="W200" s="40" t="s">
        <v>0</v>
      </c>
      <c r="X200" s="58">
        <v>12.6</v>
      </c>
      <c r="Y200" s="55">
        <f>IFERROR(IF(X200="",0,CEILING((X200/$H200),1)*$H200),"")</f>
        <v>12.6</v>
      </c>
      <c r="Z200" s="41">
        <f>IFERROR(IF(Y200=0,"",ROUNDUP(Y200/H200,0)*0.00651),"")</f>
        <v>3.2550000000000003E-2</v>
      </c>
      <c r="AA200" s="68" t="s">
        <v>46</v>
      </c>
      <c r="AB200" s="69" t="s">
        <v>46</v>
      </c>
      <c r="AC200" s="290" t="s">
        <v>358</v>
      </c>
      <c r="AG200" s="78"/>
      <c r="AJ200" s="84" t="s">
        <v>46</v>
      </c>
      <c r="AK200" s="84">
        <v>0</v>
      </c>
      <c r="BB200" s="291" t="s">
        <v>67</v>
      </c>
      <c r="BM200" s="78">
        <f>IFERROR(X200*I200/H200,"0")</f>
        <v>13.829999999999998</v>
      </c>
      <c r="BN200" s="78">
        <f>IFERROR(Y200*I200/H200,"0")</f>
        <v>13.829999999999998</v>
      </c>
      <c r="BO200" s="78">
        <f>IFERROR(1/J200*(X200/H200),"0")</f>
        <v>2.7472527472527476E-2</v>
      </c>
      <c r="BP200" s="78">
        <f>IFERROR(1/J200*(Y200/H200),"0")</f>
        <v>2.7472527472527476E-2</v>
      </c>
    </row>
    <row r="201" spans="1:68" ht="27" hidden="1" customHeight="1" x14ac:dyDescent="0.25">
      <c r="A201" s="63" t="s">
        <v>359</v>
      </c>
      <c r="B201" s="63" t="s">
        <v>360</v>
      </c>
      <c r="C201" s="36">
        <v>4301052064</v>
      </c>
      <c r="D201" s="733">
        <v>4680115887459</v>
      </c>
      <c r="E201" s="733"/>
      <c r="F201" s="62">
        <v>0.3</v>
      </c>
      <c r="G201" s="37">
        <v>6</v>
      </c>
      <c r="H201" s="62">
        <v>1.8</v>
      </c>
      <c r="I201" s="62">
        <v>2.0579999999999998</v>
      </c>
      <c r="J201" s="37">
        <v>182</v>
      </c>
      <c r="K201" s="37" t="s">
        <v>91</v>
      </c>
      <c r="L201" s="37" t="s">
        <v>46</v>
      </c>
      <c r="M201" s="38" t="s">
        <v>90</v>
      </c>
      <c r="N201" s="38"/>
      <c r="O201" s="37">
        <v>45</v>
      </c>
      <c r="P201" s="844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201" s="735"/>
      <c r="R201" s="735"/>
      <c r="S201" s="735"/>
      <c r="T201" s="736"/>
      <c r="U201" s="39" t="s">
        <v>46</v>
      </c>
      <c r="V201" s="39" t="s">
        <v>46</v>
      </c>
      <c r="W201" s="40" t="s">
        <v>0</v>
      </c>
      <c r="X201" s="58">
        <v>0</v>
      </c>
      <c r="Y201" s="55">
        <f>IFERROR(IF(X201="",0,CEILING((X201/$H201),1)*$H201),"")</f>
        <v>0</v>
      </c>
      <c r="Z201" s="41" t="str">
        <f>IFERROR(IF(Y201=0,"",ROUNDUP(Y201/H201,0)*0.00651),"")</f>
        <v/>
      </c>
      <c r="AA201" s="68" t="s">
        <v>46</v>
      </c>
      <c r="AB201" s="69" t="s">
        <v>46</v>
      </c>
      <c r="AC201" s="292" t="s">
        <v>361</v>
      </c>
      <c r="AG201" s="78"/>
      <c r="AJ201" s="84" t="s">
        <v>46</v>
      </c>
      <c r="AK201" s="84">
        <v>0</v>
      </c>
      <c r="BB201" s="293" t="s">
        <v>67</v>
      </c>
      <c r="BM201" s="78">
        <f>IFERROR(X201*I201/H201,"0")</f>
        <v>0</v>
      </c>
      <c r="BN201" s="78">
        <f>IFERROR(Y201*I201/H201,"0")</f>
        <v>0</v>
      </c>
      <c r="BO201" s="78">
        <f>IFERROR(1/J201*(X201/H201),"0")</f>
        <v>0</v>
      </c>
      <c r="BP201" s="78">
        <f>IFERROR(1/J201*(Y201/H201),"0")</f>
        <v>0</v>
      </c>
    </row>
    <row r="202" spans="1:68" x14ac:dyDescent="0.2">
      <c r="A202" s="741"/>
      <c r="B202" s="741"/>
      <c r="C202" s="741"/>
      <c r="D202" s="741"/>
      <c r="E202" s="741"/>
      <c r="F202" s="741"/>
      <c r="G202" s="741"/>
      <c r="H202" s="741"/>
      <c r="I202" s="741"/>
      <c r="J202" s="741"/>
      <c r="K202" s="741"/>
      <c r="L202" s="741"/>
      <c r="M202" s="741"/>
      <c r="N202" s="741"/>
      <c r="O202" s="742"/>
      <c r="P202" s="738" t="s">
        <v>40</v>
      </c>
      <c r="Q202" s="739"/>
      <c r="R202" s="739"/>
      <c r="S202" s="739"/>
      <c r="T202" s="739"/>
      <c r="U202" s="739"/>
      <c r="V202" s="740"/>
      <c r="W202" s="42" t="s">
        <v>39</v>
      </c>
      <c r="X202" s="43">
        <f>IFERROR(X199/H199,"0")+IFERROR(X200/H200,"0")+IFERROR(X201/H201,"0")</f>
        <v>5</v>
      </c>
      <c r="Y202" s="43">
        <f>IFERROR(Y199/H199,"0")+IFERROR(Y200/H200,"0")+IFERROR(Y201/H201,"0")</f>
        <v>5</v>
      </c>
      <c r="Z202" s="43">
        <f>IFERROR(IF(Z199="",0,Z199),"0")+IFERROR(IF(Z200="",0,Z200),"0")+IFERROR(IF(Z201="",0,Z201),"0")</f>
        <v>3.2550000000000003E-2</v>
      </c>
      <c r="AA202" s="67"/>
      <c r="AB202" s="67"/>
      <c r="AC202" s="67"/>
    </row>
    <row r="203" spans="1:68" x14ac:dyDescent="0.2">
      <c r="A203" s="741"/>
      <c r="B203" s="741"/>
      <c r="C203" s="741"/>
      <c r="D203" s="741"/>
      <c r="E203" s="741"/>
      <c r="F203" s="741"/>
      <c r="G203" s="741"/>
      <c r="H203" s="741"/>
      <c r="I203" s="741"/>
      <c r="J203" s="741"/>
      <c r="K203" s="741"/>
      <c r="L203" s="741"/>
      <c r="M203" s="741"/>
      <c r="N203" s="741"/>
      <c r="O203" s="742"/>
      <c r="P203" s="738" t="s">
        <v>40</v>
      </c>
      <c r="Q203" s="739"/>
      <c r="R203" s="739"/>
      <c r="S203" s="739"/>
      <c r="T203" s="739"/>
      <c r="U203" s="739"/>
      <c r="V203" s="740"/>
      <c r="W203" s="42" t="s">
        <v>0</v>
      </c>
      <c r="X203" s="43">
        <f>IFERROR(SUM(X199:X201),"0")</f>
        <v>12.6</v>
      </c>
      <c r="Y203" s="43">
        <f>IFERROR(SUM(Y199:Y201),"0")</f>
        <v>12.6</v>
      </c>
      <c r="Z203" s="42"/>
      <c r="AA203" s="67"/>
      <c r="AB203" s="67"/>
      <c r="AC203" s="67"/>
    </row>
    <row r="204" spans="1:68" ht="14.25" hidden="1" customHeight="1" x14ac:dyDescent="0.25">
      <c r="A204" s="732" t="s">
        <v>294</v>
      </c>
      <c r="B204" s="732"/>
      <c r="C204" s="732"/>
      <c r="D204" s="732"/>
      <c r="E204" s="732"/>
      <c r="F204" s="732"/>
      <c r="G204" s="732"/>
      <c r="H204" s="732"/>
      <c r="I204" s="732"/>
      <c r="J204" s="732"/>
      <c r="K204" s="732"/>
      <c r="L204" s="732"/>
      <c r="M204" s="732"/>
      <c r="N204" s="732"/>
      <c r="O204" s="732"/>
      <c r="P204" s="732"/>
      <c r="Q204" s="732"/>
      <c r="R204" s="732"/>
      <c r="S204" s="732"/>
      <c r="T204" s="732"/>
      <c r="U204" s="732"/>
      <c r="V204" s="732"/>
      <c r="W204" s="732"/>
      <c r="X204" s="732"/>
      <c r="Y204" s="732"/>
      <c r="Z204" s="732"/>
      <c r="AA204" s="66"/>
      <c r="AB204" s="66"/>
      <c r="AC204" s="80"/>
    </row>
    <row r="205" spans="1:68" ht="16.5" hidden="1" customHeight="1" x14ac:dyDescent="0.25">
      <c r="A205" s="63" t="s">
        <v>362</v>
      </c>
      <c r="B205" s="63" t="s">
        <v>363</v>
      </c>
      <c r="C205" s="36">
        <v>4301032058</v>
      </c>
      <c r="D205" s="733">
        <v>4680115889026</v>
      </c>
      <c r="E205" s="733"/>
      <c r="F205" s="62">
        <v>0.06</v>
      </c>
      <c r="G205" s="37">
        <v>18</v>
      </c>
      <c r="H205" s="62">
        <v>1.08</v>
      </c>
      <c r="I205" s="62">
        <v>1.36</v>
      </c>
      <c r="J205" s="37">
        <v>216</v>
      </c>
      <c r="K205" s="37" t="s">
        <v>365</v>
      </c>
      <c r="L205" s="37" t="s">
        <v>46</v>
      </c>
      <c r="M205" s="38" t="s">
        <v>299</v>
      </c>
      <c r="N205" s="38"/>
      <c r="O205" s="37">
        <v>60</v>
      </c>
      <c r="P205" s="845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205" s="735"/>
      <c r="R205" s="735"/>
      <c r="S205" s="735"/>
      <c r="T205" s="736"/>
      <c r="U205" s="39" t="s">
        <v>46</v>
      </c>
      <c r="V205" s="39" t="s">
        <v>46</v>
      </c>
      <c r="W205" s="40" t="s">
        <v>0</v>
      </c>
      <c r="X205" s="58">
        <v>0</v>
      </c>
      <c r="Y205" s="55">
        <f>IFERROR(IF(X205="",0,CEILING((X205/$H205),1)*$H205),"")</f>
        <v>0</v>
      </c>
      <c r="Z205" s="41" t="str">
        <f>IFERROR(IF(Y205=0,"",ROUNDUP(Y205/H205,0)*0.0059),"")</f>
        <v/>
      </c>
      <c r="AA205" s="68" t="s">
        <v>46</v>
      </c>
      <c r="AB205" s="69" t="s">
        <v>46</v>
      </c>
      <c r="AC205" s="294" t="s">
        <v>364</v>
      </c>
      <c r="AG205" s="78"/>
      <c r="AJ205" s="84" t="s">
        <v>46</v>
      </c>
      <c r="AK205" s="84">
        <v>0</v>
      </c>
      <c r="BB205" s="295" t="s">
        <v>67</v>
      </c>
      <c r="BM205" s="78">
        <f>IFERROR(X205*I205/H205,"0")</f>
        <v>0</v>
      </c>
      <c r="BN205" s="78">
        <f>IFERROR(Y205*I205/H205,"0")</f>
        <v>0</v>
      </c>
      <c r="BO205" s="78">
        <f>IFERROR(1/J205*(X205/H205),"0")</f>
        <v>0</v>
      </c>
      <c r="BP205" s="78">
        <f>IFERROR(1/J205*(Y205/H205),"0")</f>
        <v>0</v>
      </c>
    </row>
    <row r="206" spans="1:68" hidden="1" x14ac:dyDescent="0.2">
      <c r="A206" s="741"/>
      <c r="B206" s="741"/>
      <c r="C206" s="741"/>
      <c r="D206" s="741"/>
      <c r="E206" s="741"/>
      <c r="F206" s="741"/>
      <c r="G206" s="741"/>
      <c r="H206" s="741"/>
      <c r="I206" s="741"/>
      <c r="J206" s="741"/>
      <c r="K206" s="741"/>
      <c r="L206" s="741"/>
      <c r="M206" s="741"/>
      <c r="N206" s="741"/>
      <c r="O206" s="742"/>
      <c r="P206" s="738" t="s">
        <v>40</v>
      </c>
      <c r="Q206" s="739"/>
      <c r="R206" s="739"/>
      <c r="S206" s="739"/>
      <c r="T206" s="739"/>
      <c r="U206" s="739"/>
      <c r="V206" s="740"/>
      <c r="W206" s="42" t="s">
        <v>39</v>
      </c>
      <c r="X206" s="43">
        <f>IFERROR(X205/H205,"0")</f>
        <v>0</v>
      </c>
      <c r="Y206" s="43">
        <f>IFERROR(Y205/H205,"0")</f>
        <v>0</v>
      </c>
      <c r="Z206" s="43">
        <f>IFERROR(IF(Z205="",0,Z205),"0")</f>
        <v>0</v>
      </c>
      <c r="AA206" s="67"/>
      <c r="AB206" s="67"/>
      <c r="AC206" s="67"/>
    </row>
    <row r="207" spans="1:68" hidden="1" x14ac:dyDescent="0.2">
      <c r="A207" s="741"/>
      <c r="B207" s="741"/>
      <c r="C207" s="741"/>
      <c r="D207" s="741"/>
      <c r="E207" s="741"/>
      <c r="F207" s="741"/>
      <c r="G207" s="741"/>
      <c r="H207" s="741"/>
      <c r="I207" s="741"/>
      <c r="J207" s="741"/>
      <c r="K207" s="741"/>
      <c r="L207" s="741"/>
      <c r="M207" s="741"/>
      <c r="N207" s="741"/>
      <c r="O207" s="742"/>
      <c r="P207" s="738" t="s">
        <v>40</v>
      </c>
      <c r="Q207" s="739"/>
      <c r="R207" s="739"/>
      <c r="S207" s="739"/>
      <c r="T207" s="739"/>
      <c r="U207" s="739"/>
      <c r="V207" s="740"/>
      <c r="W207" s="42" t="s">
        <v>0</v>
      </c>
      <c r="X207" s="43">
        <f>IFERROR(SUM(X205:X205),"0")</f>
        <v>0</v>
      </c>
      <c r="Y207" s="43">
        <f>IFERROR(SUM(Y205:Y205),"0")</f>
        <v>0</v>
      </c>
      <c r="Z207" s="42"/>
      <c r="AA207" s="67"/>
      <c r="AB207" s="67"/>
      <c r="AC207" s="67"/>
    </row>
    <row r="208" spans="1:68" ht="14.25" hidden="1" customHeight="1" x14ac:dyDescent="0.25">
      <c r="A208" s="732" t="s">
        <v>366</v>
      </c>
      <c r="B208" s="732"/>
      <c r="C208" s="732"/>
      <c r="D208" s="732"/>
      <c r="E208" s="732"/>
      <c r="F208" s="732"/>
      <c r="G208" s="732"/>
      <c r="H208" s="732"/>
      <c r="I208" s="732"/>
      <c r="J208" s="732"/>
      <c r="K208" s="732"/>
      <c r="L208" s="732"/>
      <c r="M208" s="732"/>
      <c r="N208" s="732"/>
      <c r="O208" s="732"/>
      <c r="P208" s="732"/>
      <c r="Q208" s="732"/>
      <c r="R208" s="732"/>
      <c r="S208" s="732"/>
      <c r="T208" s="732"/>
      <c r="U208" s="732"/>
      <c r="V208" s="732"/>
      <c r="W208" s="732"/>
      <c r="X208" s="732"/>
      <c r="Y208" s="732"/>
      <c r="Z208" s="732"/>
      <c r="AA208" s="66"/>
      <c r="AB208" s="66"/>
      <c r="AC208" s="80"/>
    </row>
    <row r="209" spans="1:68" ht="27" hidden="1" customHeight="1" x14ac:dyDescent="0.25">
      <c r="A209" s="63" t="s">
        <v>367</v>
      </c>
      <c r="B209" s="63" t="s">
        <v>368</v>
      </c>
      <c r="C209" s="36">
        <v>4301041009</v>
      </c>
      <c r="D209" s="733">
        <v>4680115889033</v>
      </c>
      <c r="E209" s="733"/>
      <c r="F209" s="62">
        <v>0.11</v>
      </c>
      <c r="G209" s="37">
        <v>15</v>
      </c>
      <c r="H209" s="62">
        <v>1.65</v>
      </c>
      <c r="I209" s="62">
        <v>1.9</v>
      </c>
      <c r="J209" s="37">
        <v>216</v>
      </c>
      <c r="K209" s="37" t="s">
        <v>365</v>
      </c>
      <c r="L209" s="37" t="s">
        <v>46</v>
      </c>
      <c r="M209" s="38" t="s">
        <v>299</v>
      </c>
      <c r="N209" s="38"/>
      <c r="O209" s="37">
        <v>60</v>
      </c>
      <c r="P209" s="846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9" s="735"/>
      <c r="R209" s="735"/>
      <c r="S209" s="735"/>
      <c r="T209" s="736"/>
      <c r="U209" s="39" t="s">
        <v>46</v>
      </c>
      <c r="V209" s="39" t="s">
        <v>46</v>
      </c>
      <c r="W209" s="40" t="s">
        <v>0</v>
      </c>
      <c r="X209" s="58">
        <v>0</v>
      </c>
      <c r="Y209" s="55">
        <f>IFERROR(IF(X209="",0,CEILING((X209/$H209),1)*$H209),"")</f>
        <v>0</v>
      </c>
      <c r="Z209" s="41" t="str">
        <f>IFERROR(IF(Y209=0,"",ROUNDUP(Y209/H209,0)*0.0059),"")</f>
        <v/>
      </c>
      <c r="AA209" s="68" t="s">
        <v>46</v>
      </c>
      <c r="AB209" s="69" t="s">
        <v>46</v>
      </c>
      <c r="AC209" s="296" t="s">
        <v>369</v>
      </c>
      <c r="AG209" s="78"/>
      <c r="AJ209" s="84" t="s">
        <v>46</v>
      </c>
      <c r="AK209" s="84">
        <v>0</v>
      </c>
      <c r="BB209" s="297" t="s">
        <v>67</v>
      </c>
      <c r="BM209" s="78">
        <f>IFERROR(X209*I209/H209,"0")</f>
        <v>0</v>
      </c>
      <c r="BN209" s="78">
        <f>IFERROR(Y209*I209/H209,"0")</f>
        <v>0</v>
      </c>
      <c r="BO209" s="78">
        <f>IFERROR(1/J209*(X209/H209),"0")</f>
        <v>0</v>
      </c>
      <c r="BP209" s="78">
        <f>IFERROR(1/J209*(Y209/H209),"0")</f>
        <v>0</v>
      </c>
    </row>
    <row r="210" spans="1:68" hidden="1" x14ac:dyDescent="0.2">
      <c r="A210" s="741"/>
      <c r="B210" s="741"/>
      <c r="C210" s="741"/>
      <c r="D210" s="741"/>
      <c r="E210" s="741"/>
      <c r="F210" s="741"/>
      <c r="G210" s="741"/>
      <c r="H210" s="741"/>
      <c r="I210" s="741"/>
      <c r="J210" s="741"/>
      <c r="K210" s="741"/>
      <c r="L210" s="741"/>
      <c r="M210" s="741"/>
      <c r="N210" s="741"/>
      <c r="O210" s="742"/>
      <c r="P210" s="738" t="s">
        <v>40</v>
      </c>
      <c r="Q210" s="739"/>
      <c r="R210" s="739"/>
      <c r="S210" s="739"/>
      <c r="T210" s="739"/>
      <c r="U210" s="739"/>
      <c r="V210" s="740"/>
      <c r="W210" s="42" t="s">
        <v>39</v>
      </c>
      <c r="X210" s="43">
        <f>IFERROR(X209/H209,"0")</f>
        <v>0</v>
      </c>
      <c r="Y210" s="43">
        <f>IFERROR(Y209/H209,"0")</f>
        <v>0</v>
      </c>
      <c r="Z210" s="43">
        <f>IFERROR(IF(Z209="",0,Z209),"0")</f>
        <v>0</v>
      </c>
      <c r="AA210" s="67"/>
      <c r="AB210" s="67"/>
      <c r="AC210" s="67"/>
    </row>
    <row r="211" spans="1:68" hidden="1" x14ac:dyDescent="0.2">
      <c r="A211" s="741"/>
      <c r="B211" s="741"/>
      <c r="C211" s="741"/>
      <c r="D211" s="741"/>
      <c r="E211" s="741"/>
      <c r="F211" s="741"/>
      <c r="G211" s="741"/>
      <c r="H211" s="741"/>
      <c r="I211" s="741"/>
      <c r="J211" s="741"/>
      <c r="K211" s="741"/>
      <c r="L211" s="741"/>
      <c r="M211" s="741"/>
      <c r="N211" s="741"/>
      <c r="O211" s="742"/>
      <c r="P211" s="738" t="s">
        <v>40</v>
      </c>
      <c r="Q211" s="739"/>
      <c r="R211" s="739"/>
      <c r="S211" s="739"/>
      <c r="T211" s="739"/>
      <c r="U211" s="739"/>
      <c r="V211" s="740"/>
      <c r="W211" s="42" t="s">
        <v>0</v>
      </c>
      <c r="X211" s="43">
        <f>IFERROR(SUM(X209:X209),"0")</f>
        <v>0</v>
      </c>
      <c r="Y211" s="43">
        <f>IFERROR(SUM(Y209:Y209),"0")</f>
        <v>0</v>
      </c>
      <c r="Z211" s="42"/>
      <c r="AA211" s="67"/>
      <c r="AB211" s="67"/>
      <c r="AC211" s="67"/>
    </row>
    <row r="212" spans="1:68" ht="27.75" hidden="1" customHeight="1" x14ac:dyDescent="0.2">
      <c r="A212" s="730" t="s">
        <v>370</v>
      </c>
      <c r="B212" s="730"/>
      <c r="C212" s="730"/>
      <c r="D212" s="730"/>
      <c r="E212" s="730"/>
      <c r="F212" s="730"/>
      <c r="G212" s="730"/>
      <c r="H212" s="730"/>
      <c r="I212" s="730"/>
      <c r="J212" s="730"/>
      <c r="K212" s="730"/>
      <c r="L212" s="730"/>
      <c r="M212" s="730"/>
      <c r="N212" s="730"/>
      <c r="O212" s="730"/>
      <c r="P212" s="730"/>
      <c r="Q212" s="730"/>
      <c r="R212" s="730"/>
      <c r="S212" s="730"/>
      <c r="T212" s="730"/>
      <c r="U212" s="730"/>
      <c r="V212" s="730"/>
      <c r="W212" s="730"/>
      <c r="X212" s="730"/>
      <c r="Y212" s="730"/>
      <c r="Z212" s="730"/>
      <c r="AA212" s="54"/>
      <c r="AB212" s="54"/>
      <c r="AC212" s="54"/>
    </row>
    <row r="213" spans="1:68" ht="16.5" hidden="1" customHeight="1" x14ac:dyDescent="0.25">
      <c r="A213" s="731" t="s">
        <v>371</v>
      </c>
      <c r="B213" s="731"/>
      <c r="C213" s="731"/>
      <c r="D213" s="731"/>
      <c r="E213" s="731"/>
      <c r="F213" s="731"/>
      <c r="G213" s="731"/>
      <c r="H213" s="731"/>
      <c r="I213" s="731"/>
      <c r="J213" s="731"/>
      <c r="K213" s="731"/>
      <c r="L213" s="731"/>
      <c r="M213" s="731"/>
      <c r="N213" s="731"/>
      <c r="O213" s="731"/>
      <c r="P213" s="731"/>
      <c r="Q213" s="731"/>
      <c r="R213" s="731"/>
      <c r="S213" s="731"/>
      <c r="T213" s="731"/>
      <c r="U213" s="731"/>
      <c r="V213" s="731"/>
      <c r="W213" s="731"/>
      <c r="X213" s="731"/>
      <c r="Y213" s="731"/>
      <c r="Z213" s="731"/>
      <c r="AA213" s="65"/>
      <c r="AB213" s="65"/>
      <c r="AC213" s="79"/>
    </row>
    <row r="214" spans="1:68" ht="14.25" hidden="1" customHeight="1" x14ac:dyDescent="0.25">
      <c r="A214" s="732" t="s">
        <v>122</v>
      </c>
      <c r="B214" s="732"/>
      <c r="C214" s="732"/>
      <c r="D214" s="732"/>
      <c r="E214" s="732"/>
      <c r="F214" s="732"/>
      <c r="G214" s="732"/>
      <c r="H214" s="732"/>
      <c r="I214" s="732"/>
      <c r="J214" s="732"/>
      <c r="K214" s="732"/>
      <c r="L214" s="732"/>
      <c r="M214" s="732"/>
      <c r="N214" s="732"/>
      <c r="O214" s="732"/>
      <c r="P214" s="732"/>
      <c r="Q214" s="732"/>
      <c r="R214" s="732"/>
      <c r="S214" s="732"/>
      <c r="T214" s="732"/>
      <c r="U214" s="732"/>
      <c r="V214" s="732"/>
      <c r="W214" s="732"/>
      <c r="X214" s="732"/>
      <c r="Y214" s="732"/>
      <c r="Z214" s="732"/>
      <c r="AA214" s="66"/>
      <c r="AB214" s="66"/>
      <c r="AC214" s="80"/>
    </row>
    <row r="215" spans="1:68" ht="27" hidden="1" customHeight="1" x14ac:dyDescent="0.25">
      <c r="A215" s="63" t="s">
        <v>372</v>
      </c>
      <c r="B215" s="63" t="s">
        <v>373</v>
      </c>
      <c r="C215" s="36">
        <v>4301011223</v>
      </c>
      <c r="D215" s="733">
        <v>4607091383423</v>
      </c>
      <c r="E215" s="733"/>
      <c r="F215" s="62">
        <v>1.35</v>
      </c>
      <c r="G215" s="37">
        <v>8</v>
      </c>
      <c r="H215" s="62">
        <v>10.8</v>
      </c>
      <c r="I215" s="62">
        <v>11.305999999999999</v>
      </c>
      <c r="J215" s="37">
        <v>64</v>
      </c>
      <c r="K215" s="37" t="s">
        <v>127</v>
      </c>
      <c r="L215" s="37" t="s">
        <v>46</v>
      </c>
      <c r="M215" s="38" t="s">
        <v>90</v>
      </c>
      <c r="N215" s="38"/>
      <c r="O215" s="37">
        <v>35</v>
      </c>
      <c r="P215" s="847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15" s="735"/>
      <c r="R215" s="735"/>
      <c r="S215" s="735"/>
      <c r="T215" s="736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ref="Y215:Y221" si="33">IFERROR(IF(X215="",0,CEILING((X215/$H215),1)*$H215),"")</f>
        <v>0</v>
      </c>
      <c r="Z215" s="41" t="str">
        <f t="shared" ref="Z215:Z221" si="34">IFERROR(IF(Y215=0,"",ROUNDUP(Y215/H215,0)*0.01898),"")</f>
        <v/>
      </c>
      <c r="AA215" s="68" t="s">
        <v>46</v>
      </c>
      <c r="AB215" s="69" t="s">
        <v>46</v>
      </c>
      <c r="AC215" s="298" t="s">
        <v>125</v>
      </c>
      <c r="AG215" s="78"/>
      <c r="AJ215" s="84" t="s">
        <v>46</v>
      </c>
      <c r="AK215" s="84">
        <v>0</v>
      </c>
      <c r="BB215" s="299" t="s">
        <v>67</v>
      </c>
      <c r="BM215" s="78">
        <f t="shared" ref="BM215:BM221" si="35">IFERROR(X215*I215/H215,"0")</f>
        <v>0</v>
      </c>
      <c r="BN215" s="78">
        <f t="shared" ref="BN215:BN221" si="36">IFERROR(Y215*I215/H215,"0")</f>
        <v>0</v>
      </c>
      <c r="BO215" s="78">
        <f t="shared" ref="BO215:BO221" si="37">IFERROR(1/J215*(X215/H215),"0")</f>
        <v>0</v>
      </c>
      <c r="BP215" s="78">
        <f t="shared" ref="BP215:BP221" si="38">IFERROR(1/J215*(Y215/H215),"0")</f>
        <v>0</v>
      </c>
    </row>
    <row r="216" spans="1:68" ht="27" hidden="1" customHeight="1" x14ac:dyDescent="0.25">
      <c r="A216" s="63" t="s">
        <v>374</v>
      </c>
      <c r="B216" s="63" t="s">
        <v>375</v>
      </c>
      <c r="C216" s="36">
        <v>4301012340</v>
      </c>
      <c r="D216" s="733">
        <v>4680115888760</v>
      </c>
      <c r="E216" s="733"/>
      <c r="F216" s="62">
        <v>1.4</v>
      </c>
      <c r="G216" s="37">
        <v>6</v>
      </c>
      <c r="H216" s="62">
        <v>8.4</v>
      </c>
      <c r="I216" s="62">
        <v>8.81</v>
      </c>
      <c r="J216" s="37">
        <v>64</v>
      </c>
      <c r="K216" s="37" t="s">
        <v>127</v>
      </c>
      <c r="L216" s="37" t="s">
        <v>46</v>
      </c>
      <c r="M216" s="38" t="s">
        <v>90</v>
      </c>
      <c r="N216" s="38"/>
      <c r="O216" s="37">
        <v>35</v>
      </c>
      <c r="P216" s="848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16" s="735"/>
      <c r="R216" s="735"/>
      <c r="S216" s="735"/>
      <c r="T216" s="736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33"/>
        <v>0</v>
      </c>
      <c r="Z216" s="41" t="str">
        <f t="shared" si="34"/>
        <v/>
      </c>
      <c r="AA216" s="68" t="s">
        <v>46</v>
      </c>
      <c r="AB216" s="69" t="s">
        <v>46</v>
      </c>
      <c r="AC216" s="300" t="s">
        <v>376</v>
      </c>
      <c r="AG216" s="78"/>
      <c r="AJ216" s="84" t="s">
        <v>46</v>
      </c>
      <c r="AK216" s="84">
        <v>0</v>
      </c>
      <c r="BB216" s="301" t="s">
        <v>67</v>
      </c>
      <c r="BM216" s="78">
        <f t="shared" si="35"/>
        <v>0</v>
      </c>
      <c r="BN216" s="78">
        <f t="shared" si="36"/>
        <v>0</v>
      </c>
      <c r="BO216" s="78">
        <f t="shared" si="37"/>
        <v>0</v>
      </c>
      <c r="BP216" s="78">
        <f t="shared" si="38"/>
        <v>0</v>
      </c>
    </row>
    <row r="217" spans="1:68" ht="27" hidden="1" customHeight="1" x14ac:dyDescent="0.25">
      <c r="A217" s="63" t="s">
        <v>377</v>
      </c>
      <c r="B217" s="63" t="s">
        <v>378</v>
      </c>
      <c r="C217" s="36">
        <v>4301012341</v>
      </c>
      <c r="D217" s="733">
        <v>4680115888807</v>
      </c>
      <c r="E217" s="733"/>
      <c r="F217" s="62">
        <v>1.4</v>
      </c>
      <c r="G217" s="37">
        <v>6</v>
      </c>
      <c r="H217" s="62">
        <v>8.4</v>
      </c>
      <c r="I217" s="62">
        <v>8.81</v>
      </c>
      <c r="J217" s="37">
        <v>64</v>
      </c>
      <c r="K217" s="37" t="s">
        <v>127</v>
      </c>
      <c r="L217" s="37" t="s">
        <v>46</v>
      </c>
      <c r="M217" s="38" t="s">
        <v>90</v>
      </c>
      <c r="N217" s="38"/>
      <c r="O217" s="37">
        <v>35</v>
      </c>
      <c r="P217" s="849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7" s="735"/>
      <c r="R217" s="735"/>
      <c r="S217" s="735"/>
      <c r="T217" s="736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33"/>
        <v>0</v>
      </c>
      <c r="Z217" s="41" t="str">
        <f t="shared" si="34"/>
        <v/>
      </c>
      <c r="AA217" s="68" t="s">
        <v>46</v>
      </c>
      <c r="AB217" s="69" t="s">
        <v>46</v>
      </c>
      <c r="AC217" s="302" t="s">
        <v>379</v>
      </c>
      <c r="AG217" s="78"/>
      <c r="AJ217" s="84" t="s">
        <v>46</v>
      </c>
      <c r="AK217" s="84">
        <v>0</v>
      </c>
      <c r="BB217" s="303" t="s">
        <v>67</v>
      </c>
      <c r="BM217" s="78">
        <f t="shared" si="35"/>
        <v>0</v>
      </c>
      <c r="BN217" s="78">
        <f t="shared" si="36"/>
        <v>0</v>
      </c>
      <c r="BO217" s="78">
        <f t="shared" si="37"/>
        <v>0</v>
      </c>
      <c r="BP217" s="78">
        <f t="shared" si="38"/>
        <v>0</v>
      </c>
    </row>
    <row r="218" spans="1:68" ht="27" hidden="1" customHeight="1" x14ac:dyDescent="0.25">
      <c r="A218" s="63" t="s">
        <v>380</v>
      </c>
      <c r="B218" s="63" t="s">
        <v>381</v>
      </c>
      <c r="C218" s="36">
        <v>4301012342</v>
      </c>
      <c r="D218" s="733">
        <v>4680115888852</v>
      </c>
      <c r="E218" s="733"/>
      <c r="F218" s="62">
        <v>0.9</v>
      </c>
      <c r="G218" s="37">
        <v>6</v>
      </c>
      <c r="H218" s="62">
        <v>5.4</v>
      </c>
      <c r="I218" s="62">
        <v>5.81</v>
      </c>
      <c r="J218" s="37">
        <v>64</v>
      </c>
      <c r="K218" s="37" t="s">
        <v>127</v>
      </c>
      <c r="L218" s="37" t="s">
        <v>46</v>
      </c>
      <c r="M218" s="38" t="s">
        <v>90</v>
      </c>
      <c r="N218" s="38"/>
      <c r="O218" s="37">
        <v>35</v>
      </c>
      <c r="P218" s="850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8" s="735"/>
      <c r="R218" s="735"/>
      <c r="S218" s="735"/>
      <c r="T218" s="736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si="33"/>
        <v>0</v>
      </c>
      <c r="Z218" s="41" t="str">
        <f t="shared" si="34"/>
        <v/>
      </c>
      <c r="AA218" s="68" t="s">
        <v>46</v>
      </c>
      <c r="AB218" s="69" t="s">
        <v>46</v>
      </c>
      <c r="AC218" s="304" t="s">
        <v>382</v>
      </c>
      <c r="AG218" s="78"/>
      <c r="AJ218" s="84" t="s">
        <v>46</v>
      </c>
      <c r="AK218" s="84">
        <v>0</v>
      </c>
      <c r="BB218" s="305" t="s">
        <v>67</v>
      </c>
      <c r="BM218" s="78">
        <f t="shared" si="35"/>
        <v>0</v>
      </c>
      <c r="BN218" s="78">
        <f t="shared" si="36"/>
        <v>0</v>
      </c>
      <c r="BO218" s="78">
        <f t="shared" si="37"/>
        <v>0</v>
      </c>
      <c r="BP218" s="78">
        <f t="shared" si="38"/>
        <v>0</v>
      </c>
    </row>
    <row r="219" spans="1:68" ht="37.5" hidden="1" customHeight="1" x14ac:dyDescent="0.25">
      <c r="A219" s="63" t="s">
        <v>383</v>
      </c>
      <c r="B219" s="63" t="s">
        <v>384</v>
      </c>
      <c r="C219" s="36">
        <v>4301012370</v>
      </c>
      <c r="D219" s="733">
        <v>4680115886957</v>
      </c>
      <c r="E219" s="733"/>
      <c r="F219" s="62">
        <v>1.35</v>
      </c>
      <c r="G219" s="37">
        <v>8</v>
      </c>
      <c r="H219" s="62">
        <v>10.8</v>
      </c>
      <c r="I219" s="62">
        <v>11.29</v>
      </c>
      <c r="J219" s="37">
        <v>64</v>
      </c>
      <c r="K219" s="37" t="s">
        <v>127</v>
      </c>
      <c r="L219" s="37" t="s">
        <v>46</v>
      </c>
      <c r="M219" s="38" t="s">
        <v>90</v>
      </c>
      <c r="N219" s="38"/>
      <c r="O219" s="37">
        <v>35</v>
      </c>
      <c r="P219" s="851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9" s="735"/>
      <c r="R219" s="735"/>
      <c r="S219" s="735"/>
      <c r="T219" s="736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33"/>
        <v>0</v>
      </c>
      <c r="Z219" s="41" t="str">
        <f t="shared" si="34"/>
        <v/>
      </c>
      <c r="AA219" s="68" t="s">
        <v>46</v>
      </c>
      <c r="AB219" s="69" t="s">
        <v>46</v>
      </c>
      <c r="AC219" s="306" t="s">
        <v>385</v>
      </c>
      <c r="AG219" s="78"/>
      <c r="AJ219" s="84" t="s">
        <v>46</v>
      </c>
      <c r="AK219" s="84">
        <v>0</v>
      </c>
      <c r="BB219" s="307" t="s">
        <v>67</v>
      </c>
      <c r="BM219" s="78">
        <f t="shared" si="35"/>
        <v>0</v>
      </c>
      <c r="BN219" s="78">
        <f t="shared" si="36"/>
        <v>0</v>
      </c>
      <c r="BO219" s="78">
        <f t="shared" si="37"/>
        <v>0</v>
      </c>
      <c r="BP219" s="78">
        <f t="shared" si="38"/>
        <v>0</v>
      </c>
    </row>
    <row r="220" spans="1:68" ht="27" customHeight="1" x14ac:dyDescent="0.25">
      <c r="A220" s="63" t="s">
        <v>386</v>
      </c>
      <c r="B220" s="63" t="s">
        <v>387</v>
      </c>
      <c r="C220" s="36">
        <v>4301012098</v>
      </c>
      <c r="D220" s="733">
        <v>4680115885660</v>
      </c>
      <c r="E220" s="733"/>
      <c r="F220" s="62">
        <v>1.35</v>
      </c>
      <c r="G220" s="37">
        <v>8</v>
      </c>
      <c r="H220" s="62">
        <v>10.8</v>
      </c>
      <c r="I220" s="62">
        <v>11.21</v>
      </c>
      <c r="J220" s="37">
        <v>64</v>
      </c>
      <c r="K220" s="37" t="s">
        <v>127</v>
      </c>
      <c r="L220" s="37" t="s">
        <v>46</v>
      </c>
      <c r="M220" s="38" t="s">
        <v>90</v>
      </c>
      <c r="N220" s="38"/>
      <c r="O220" s="37">
        <v>35</v>
      </c>
      <c r="P220" s="852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20" s="735"/>
      <c r="R220" s="735"/>
      <c r="S220" s="735"/>
      <c r="T220" s="736"/>
      <c r="U220" s="39" t="s">
        <v>46</v>
      </c>
      <c r="V220" s="39" t="s">
        <v>46</v>
      </c>
      <c r="W220" s="40" t="s">
        <v>0</v>
      </c>
      <c r="X220" s="58">
        <v>100</v>
      </c>
      <c r="Y220" s="55">
        <f t="shared" si="33"/>
        <v>108</v>
      </c>
      <c r="Z220" s="41">
        <f t="shared" si="34"/>
        <v>0.1898</v>
      </c>
      <c r="AA220" s="68" t="s">
        <v>46</v>
      </c>
      <c r="AB220" s="69" t="s">
        <v>46</v>
      </c>
      <c r="AC220" s="308" t="s">
        <v>388</v>
      </c>
      <c r="AG220" s="78"/>
      <c r="AJ220" s="84" t="s">
        <v>46</v>
      </c>
      <c r="AK220" s="84">
        <v>0</v>
      </c>
      <c r="BB220" s="309" t="s">
        <v>67</v>
      </c>
      <c r="BM220" s="78">
        <f t="shared" si="35"/>
        <v>103.79629629629629</v>
      </c>
      <c r="BN220" s="78">
        <f t="shared" si="36"/>
        <v>112.1</v>
      </c>
      <c r="BO220" s="78">
        <f t="shared" si="37"/>
        <v>0.14467592592592593</v>
      </c>
      <c r="BP220" s="78">
        <f t="shared" si="38"/>
        <v>0.15625</v>
      </c>
    </row>
    <row r="221" spans="1:68" ht="27" hidden="1" customHeight="1" x14ac:dyDescent="0.25">
      <c r="A221" s="63" t="s">
        <v>389</v>
      </c>
      <c r="B221" s="63" t="s">
        <v>390</v>
      </c>
      <c r="C221" s="36">
        <v>4301012369</v>
      </c>
      <c r="D221" s="733">
        <v>4680115886773</v>
      </c>
      <c r="E221" s="733"/>
      <c r="F221" s="62">
        <v>0.9</v>
      </c>
      <c r="G221" s="37">
        <v>10</v>
      </c>
      <c r="H221" s="62">
        <v>9</v>
      </c>
      <c r="I221" s="62">
        <v>9.51</v>
      </c>
      <c r="J221" s="37">
        <v>64</v>
      </c>
      <c r="K221" s="37" t="s">
        <v>127</v>
      </c>
      <c r="L221" s="37" t="s">
        <v>46</v>
      </c>
      <c r="M221" s="38" t="s">
        <v>90</v>
      </c>
      <c r="N221" s="38"/>
      <c r="O221" s="37">
        <v>35</v>
      </c>
      <c r="P221" s="853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21" s="735"/>
      <c r="R221" s="735"/>
      <c r="S221" s="735"/>
      <c r="T221" s="736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33"/>
        <v>0</v>
      </c>
      <c r="Z221" s="41" t="str">
        <f t="shared" si="34"/>
        <v/>
      </c>
      <c r="AA221" s="68" t="s">
        <v>46</v>
      </c>
      <c r="AB221" s="69" t="s">
        <v>46</v>
      </c>
      <c r="AC221" s="310" t="s">
        <v>391</v>
      </c>
      <c r="AG221" s="78"/>
      <c r="AJ221" s="84" t="s">
        <v>46</v>
      </c>
      <c r="AK221" s="84">
        <v>0</v>
      </c>
      <c r="BB221" s="311" t="s">
        <v>67</v>
      </c>
      <c r="BM221" s="78">
        <f t="shared" si="35"/>
        <v>0</v>
      </c>
      <c r="BN221" s="78">
        <f t="shared" si="36"/>
        <v>0</v>
      </c>
      <c r="BO221" s="78">
        <f t="shared" si="37"/>
        <v>0</v>
      </c>
      <c r="BP221" s="78">
        <f t="shared" si="38"/>
        <v>0</v>
      </c>
    </row>
    <row r="222" spans="1:68" x14ac:dyDescent="0.2">
      <c r="A222" s="741"/>
      <c r="B222" s="741"/>
      <c r="C222" s="741"/>
      <c r="D222" s="741"/>
      <c r="E222" s="741"/>
      <c r="F222" s="741"/>
      <c r="G222" s="741"/>
      <c r="H222" s="741"/>
      <c r="I222" s="741"/>
      <c r="J222" s="741"/>
      <c r="K222" s="741"/>
      <c r="L222" s="741"/>
      <c r="M222" s="741"/>
      <c r="N222" s="741"/>
      <c r="O222" s="742"/>
      <c r="P222" s="738" t="s">
        <v>40</v>
      </c>
      <c r="Q222" s="739"/>
      <c r="R222" s="739"/>
      <c r="S222" s="739"/>
      <c r="T222" s="739"/>
      <c r="U222" s="739"/>
      <c r="V222" s="740"/>
      <c r="W222" s="42" t="s">
        <v>39</v>
      </c>
      <c r="X222" s="43">
        <f>IFERROR(X215/H215,"0")+IFERROR(X216/H216,"0")+IFERROR(X217/H217,"0")+IFERROR(X218/H218,"0")+IFERROR(X219/H219,"0")+IFERROR(X220/H220,"0")+IFERROR(X221/H221,"0")</f>
        <v>9.2592592592592595</v>
      </c>
      <c r="Y222" s="43">
        <f>IFERROR(Y215/H215,"0")+IFERROR(Y216/H216,"0")+IFERROR(Y217/H217,"0")+IFERROR(Y218/H218,"0")+IFERROR(Y219/H219,"0")+IFERROR(Y220/H220,"0")+IFERROR(Y221/H221,"0")</f>
        <v>10</v>
      </c>
      <c r="Z222" s="43">
        <f>IFERROR(IF(Z215="",0,Z215),"0")+IFERROR(IF(Z216="",0,Z216),"0")+IFERROR(IF(Z217="",0,Z217),"0")+IFERROR(IF(Z218="",0,Z218),"0")+IFERROR(IF(Z219="",0,Z219),"0")+IFERROR(IF(Z220="",0,Z220),"0")+IFERROR(IF(Z221="",0,Z221),"0")</f>
        <v>0.1898</v>
      </c>
      <c r="AA222" s="67"/>
      <c r="AB222" s="67"/>
      <c r="AC222" s="67"/>
    </row>
    <row r="223" spans="1:68" x14ac:dyDescent="0.2">
      <c r="A223" s="741"/>
      <c r="B223" s="741"/>
      <c r="C223" s="741"/>
      <c r="D223" s="741"/>
      <c r="E223" s="741"/>
      <c r="F223" s="741"/>
      <c r="G223" s="741"/>
      <c r="H223" s="741"/>
      <c r="I223" s="741"/>
      <c r="J223" s="741"/>
      <c r="K223" s="741"/>
      <c r="L223" s="741"/>
      <c r="M223" s="741"/>
      <c r="N223" s="741"/>
      <c r="O223" s="742"/>
      <c r="P223" s="738" t="s">
        <v>40</v>
      </c>
      <c r="Q223" s="739"/>
      <c r="R223" s="739"/>
      <c r="S223" s="739"/>
      <c r="T223" s="739"/>
      <c r="U223" s="739"/>
      <c r="V223" s="740"/>
      <c r="W223" s="42" t="s">
        <v>0</v>
      </c>
      <c r="X223" s="43">
        <f>IFERROR(SUM(X215:X221),"0")</f>
        <v>100</v>
      </c>
      <c r="Y223" s="43">
        <f>IFERROR(SUM(Y215:Y221),"0")</f>
        <v>108</v>
      </c>
      <c r="Z223" s="42"/>
      <c r="AA223" s="67"/>
      <c r="AB223" s="67"/>
      <c r="AC223" s="67"/>
    </row>
    <row r="224" spans="1:68" ht="16.5" hidden="1" customHeight="1" x14ac:dyDescent="0.25">
      <c r="A224" s="731" t="s">
        <v>392</v>
      </c>
      <c r="B224" s="731"/>
      <c r="C224" s="731"/>
      <c r="D224" s="731"/>
      <c r="E224" s="731"/>
      <c r="F224" s="731"/>
      <c r="G224" s="731"/>
      <c r="H224" s="731"/>
      <c r="I224" s="731"/>
      <c r="J224" s="731"/>
      <c r="K224" s="731"/>
      <c r="L224" s="731"/>
      <c r="M224" s="731"/>
      <c r="N224" s="731"/>
      <c r="O224" s="731"/>
      <c r="P224" s="731"/>
      <c r="Q224" s="731"/>
      <c r="R224" s="731"/>
      <c r="S224" s="731"/>
      <c r="T224" s="731"/>
      <c r="U224" s="731"/>
      <c r="V224" s="731"/>
      <c r="W224" s="731"/>
      <c r="X224" s="731"/>
      <c r="Y224" s="731"/>
      <c r="Z224" s="731"/>
      <c r="AA224" s="65"/>
      <c r="AB224" s="65"/>
      <c r="AC224" s="79"/>
    </row>
    <row r="225" spans="1:68" ht="14.25" hidden="1" customHeight="1" x14ac:dyDescent="0.25">
      <c r="A225" s="732" t="s">
        <v>155</v>
      </c>
      <c r="B225" s="732"/>
      <c r="C225" s="732"/>
      <c r="D225" s="732"/>
      <c r="E225" s="732"/>
      <c r="F225" s="732"/>
      <c r="G225" s="732"/>
      <c r="H225" s="732"/>
      <c r="I225" s="732"/>
      <c r="J225" s="732"/>
      <c r="K225" s="732"/>
      <c r="L225" s="732"/>
      <c r="M225" s="732"/>
      <c r="N225" s="732"/>
      <c r="O225" s="732"/>
      <c r="P225" s="732"/>
      <c r="Q225" s="732"/>
      <c r="R225" s="732"/>
      <c r="S225" s="732"/>
      <c r="T225" s="732"/>
      <c r="U225" s="732"/>
      <c r="V225" s="732"/>
      <c r="W225" s="732"/>
      <c r="X225" s="732"/>
      <c r="Y225" s="732"/>
      <c r="Z225" s="732"/>
      <c r="AA225" s="66"/>
      <c r="AB225" s="66"/>
      <c r="AC225" s="80"/>
    </row>
    <row r="226" spans="1:68" ht="27" hidden="1" customHeight="1" x14ac:dyDescent="0.25">
      <c r="A226" s="63" t="s">
        <v>393</v>
      </c>
      <c r="B226" s="63" t="s">
        <v>394</v>
      </c>
      <c r="C226" s="36">
        <v>4301020323</v>
      </c>
      <c r="D226" s="733">
        <v>4680115886223</v>
      </c>
      <c r="E226" s="733"/>
      <c r="F226" s="62">
        <v>0.33</v>
      </c>
      <c r="G226" s="37">
        <v>6</v>
      </c>
      <c r="H226" s="62">
        <v>1.98</v>
      </c>
      <c r="I226" s="62">
        <v>2.08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40</v>
      </c>
      <c r="P226" s="854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26" s="735"/>
      <c r="R226" s="735"/>
      <c r="S226" s="735"/>
      <c r="T226" s="736"/>
      <c r="U226" s="39" t="s">
        <v>46</v>
      </c>
      <c r="V226" s="39" t="s">
        <v>46</v>
      </c>
      <c r="W226" s="40" t="s">
        <v>0</v>
      </c>
      <c r="X226" s="58">
        <v>0</v>
      </c>
      <c r="Y226" s="55">
        <f>IFERROR(IF(X226="",0,CEILING((X226/$H226),1)*$H226),"")</f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12" t="s">
        <v>395</v>
      </c>
      <c r="AG226" s="78"/>
      <c r="AJ226" s="84" t="s">
        <v>46</v>
      </c>
      <c r="AK226" s="84">
        <v>0</v>
      </c>
      <c r="BB226" s="313" t="s">
        <v>67</v>
      </c>
      <c r="BM226" s="78">
        <f>IFERROR(X226*I226/H226,"0")</f>
        <v>0</v>
      </c>
      <c r="BN226" s="78">
        <f>IFERROR(Y226*I226/H226,"0")</f>
        <v>0</v>
      </c>
      <c r="BO226" s="78">
        <f>IFERROR(1/J226*(X226/H226),"0")</f>
        <v>0</v>
      </c>
      <c r="BP226" s="78">
        <f>IFERROR(1/J226*(Y226/H226),"0")</f>
        <v>0</v>
      </c>
    </row>
    <row r="227" spans="1:68" hidden="1" x14ac:dyDescent="0.2">
      <c r="A227" s="741"/>
      <c r="B227" s="741"/>
      <c r="C227" s="741"/>
      <c r="D227" s="741"/>
      <c r="E227" s="741"/>
      <c r="F227" s="741"/>
      <c r="G227" s="741"/>
      <c r="H227" s="741"/>
      <c r="I227" s="741"/>
      <c r="J227" s="741"/>
      <c r="K227" s="741"/>
      <c r="L227" s="741"/>
      <c r="M227" s="741"/>
      <c r="N227" s="741"/>
      <c r="O227" s="742"/>
      <c r="P227" s="738" t="s">
        <v>40</v>
      </c>
      <c r="Q227" s="739"/>
      <c r="R227" s="739"/>
      <c r="S227" s="739"/>
      <c r="T227" s="739"/>
      <c r="U227" s="739"/>
      <c r="V227" s="740"/>
      <c r="W227" s="42" t="s">
        <v>39</v>
      </c>
      <c r="X227" s="43">
        <f>IFERROR(X226/H226,"0")</f>
        <v>0</v>
      </c>
      <c r="Y227" s="43">
        <f>IFERROR(Y226/H226,"0")</f>
        <v>0</v>
      </c>
      <c r="Z227" s="43">
        <f>IFERROR(IF(Z226="",0,Z226),"0")</f>
        <v>0</v>
      </c>
      <c r="AA227" s="67"/>
      <c r="AB227" s="67"/>
      <c r="AC227" s="67"/>
    </row>
    <row r="228" spans="1:68" hidden="1" x14ac:dyDescent="0.2">
      <c r="A228" s="741"/>
      <c r="B228" s="741"/>
      <c r="C228" s="741"/>
      <c r="D228" s="741"/>
      <c r="E228" s="741"/>
      <c r="F228" s="741"/>
      <c r="G228" s="741"/>
      <c r="H228" s="741"/>
      <c r="I228" s="741"/>
      <c r="J228" s="741"/>
      <c r="K228" s="741"/>
      <c r="L228" s="741"/>
      <c r="M228" s="741"/>
      <c r="N228" s="741"/>
      <c r="O228" s="742"/>
      <c r="P228" s="738" t="s">
        <v>40</v>
      </c>
      <c r="Q228" s="739"/>
      <c r="R228" s="739"/>
      <c r="S228" s="739"/>
      <c r="T228" s="739"/>
      <c r="U228" s="739"/>
      <c r="V228" s="740"/>
      <c r="W228" s="42" t="s">
        <v>0</v>
      </c>
      <c r="X228" s="43">
        <f>IFERROR(SUM(X226:X226),"0")</f>
        <v>0</v>
      </c>
      <c r="Y228" s="43">
        <f>IFERROR(SUM(Y226:Y226),"0")</f>
        <v>0</v>
      </c>
      <c r="Z228" s="42"/>
      <c r="AA228" s="67"/>
      <c r="AB228" s="67"/>
      <c r="AC228" s="67"/>
    </row>
    <row r="229" spans="1:68" ht="14.25" hidden="1" customHeight="1" x14ac:dyDescent="0.25">
      <c r="A229" s="732" t="s">
        <v>77</v>
      </c>
      <c r="B229" s="732"/>
      <c r="C229" s="732"/>
      <c r="D229" s="732"/>
      <c r="E229" s="732"/>
      <c r="F229" s="732"/>
      <c r="G229" s="732"/>
      <c r="H229" s="732"/>
      <c r="I229" s="732"/>
      <c r="J229" s="732"/>
      <c r="K229" s="732"/>
      <c r="L229" s="732"/>
      <c r="M229" s="732"/>
      <c r="N229" s="732"/>
      <c r="O229" s="732"/>
      <c r="P229" s="732"/>
      <c r="Q229" s="732"/>
      <c r="R229" s="732"/>
      <c r="S229" s="732"/>
      <c r="T229" s="732"/>
      <c r="U229" s="732"/>
      <c r="V229" s="732"/>
      <c r="W229" s="732"/>
      <c r="X229" s="732"/>
      <c r="Y229" s="732"/>
      <c r="Z229" s="732"/>
      <c r="AA229" s="66"/>
      <c r="AB229" s="66"/>
      <c r="AC229" s="80"/>
    </row>
    <row r="230" spans="1:68" ht="27" hidden="1" customHeight="1" x14ac:dyDescent="0.25">
      <c r="A230" s="63" t="s">
        <v>396</v>
      </c>
      <c r="B230" s="63" t="s">
        <v>397</v>
      </c>
      <c r="C230" s="36">
        <v>4301031191</v>
      </c>
      <c r="D230" s="733">
        <v>4680115880993</v>
      </c>
      <c r="E230" s="733"/>
      <c r="F230" s="62">
        <v>0.7</v>
      </c>
      <c r="G230" s="37">
        <v>6</v>
      </c>
      <c r="H230" s="62">
        <v>4.2</v>
      </c>
      <c r="I230" s="62">
        <v>4.45</v>
      </c>
      <c r="J230" s="37">
        <v>132</v>
      </c>
      <c r="K230" s="37" t="s">
        <v>134</v>
      </c>
      <c r="L230" s="37" t="s">
        <v>46</v>
      </c>
      <c r="M230" s="38" t="s">
        <v>81</v>
      </c>
      <c r="N230" s="38"/>
      <c r="O230" s="37">
        <v>40</v>
      </c>
      <c r="P230" s="855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30" s="735"/>
      <c r="R230" s="735"/>
      <c r="S230" s="735"/>
      <c r="T230" s="736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ref="Y230:Y243" si="39">IFERROR(IF(X230="",0,CEILING((X230/$H230),1)*$H230),"")</f>
        <v>0</v>
      </c>
      <c r="Z230" s="41" t="str">
        <f>IFERROR(IF(Y230=0,"",ROUNDUP(Y230/H230,0)*0.00902),"")</f>
        <v/>
      </c>
      <c r="AA230" s="68" t="s">
        <v>46</v>
      </c>
      <c r="AB230" s="69" t="s">
        <v>46</v>
      </c>
      <c r="AC230" s="314" t="s">
        <v>398</v>
      </c>
      <c r="AG230" s="78"/>
      <c r="AJ230" s="84" t="s">
        <v>46</v>
      </c>
      <c r="AK230" s="84">
        <v>0</v>
      </c>
      <c r="BB230" s="315" t="s">
        <v>67</v>
      </c>
      <c r="BM230" s="78">
        <f t="shared" ref="BM230:BM243" si="40">IFERROR(X230*I230/H230,"0")</f>
        <v>0</v>
      </c>
      <c r="BN230" s="78">
        <f t="shared" ref="BN230:BN243" si="41">IFERROR(Y230*I230/H230,"0")</f>
        <v>0</v>
      </c>
      <c r="BO230" s="78">
        <f t="shared" ref="BO230:BO243" si="42">IFERROR(1/J230*(X230/H230),"0")</f>
        <v>0</v>
      </c>
      <c r="BP230" s="78">
        <f t="shared" ref="BP230:BP243" si="43">IFERROR(1/J230*(Y230/H230),"0")</f>
        <v>0</v>
      </c>
    </row>
    <row r="231" spans="1:68" ht="27" customHeight="1" x14ac:dyDescent="0.25">
      <c r="A231" s="63" t="s">
        <v>399</v>
      </c>
      <c r="B231" s="63" t="s">
        <v>400</v>
      </c>
      <c r="C231" s="36">
        <v>4301031204</v>
      </c>
      <c r="D231" s="733">
        <v>4680115881761</v>
      </c>
      <c r="E231" s="733"/>
      <c r="F231" s="62">
        <v>0.7</v>
      </c>
      <c r="G231" s="37">
        <v>6</v>
      </c>
      <c r="H231" s="62">
        <v>4.2</v>
      </c>
      <c r="I231" s="62">
        <v>4.45</v>
      </c>
      <c r="J231" s="37">
        <v>132</v>
      </c>
      <c r="K231" s="37" t="s">
        <v>134</v>
      </c>
      <c r="L231" s="37" t="s">
        <v>46</v>
      </c>
      <c r="M231" s="38" t="s">
        <v>81</v>
      </c>
      <c r="N231" s="38"/>
      <c r="O231" s="37">
        <v>40</v>
      </c>
      <c r="P231" s="856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31" s="735"/>
      <c r="R231" s="735"/>
      <c r="S231" s="735"/>
      <c r="T231" s="736"/>
      <c r="U231" s="39" t="s">
        <v>46</v>
      </c>
      <c r="V231" s="39" t="s">
        <v>46</v>
      </c>
      <c r="W231" s="40" t="s">
        <v>0</v>
      </c>
      <c r="X231" s="58">
        <v>40</v>
      </c>
      <c r="Y231" s="55">
        <f t="shared" si="39"/>
        <v>42</v>
      </c>
      <c r="Z231" s="41">
        <f>IFERROR(IF(Y231=0,"",ROUNDUP(Y231/H231,0)*0.00902),"")</f>
        <v>9.0200000000000002E-2</v>
      </c>
      <c r="AA231" s="68" t="s">
        <v>46</v>
      </c>
      <c r="AB231" s="69" t="s">
        <v>46</v>
      </c>
      <c r="AC231" s="316" t="s">
        <v>401</v>
      </c>
      <c r="AG231" s="78"/>
      <c r="AJ231" s="84" t="s">
        <v>46</v>
      </c>
      <c r="AK231" s="84">
        <v>0</v>
      </c>
      <c r="BB231" s="317" t="s">
        <v>67</v>
      </c>
      <c r="BM231" s="78">
        <f t="shared" si="40"/>
        <v>42.38095238095238</v>
      </c>
      <c r="BN231" s="78">
        <f t="shared" si="41"/>
        <v>44.5</v>
      </c>
      <c r="BO231" s="78">
        <f t="shared" si="42"/>
        <v>7.2150072150072145E-2</v>
      </c>
      <c r="BP231" s="78">
        <f t="shared" si="43"/>
        <v>7.575757575757576E-2</v>
      </c>
    </row>
    <row r="232" spans="1:68" ht="27" hidden="1" customHeight="1" x14ac:dyDescent="0.25">
      <c r="A232" s="63" t="s">
        <v>402</v>
      </c>
      <c r="B232" s="63" t="s">
        <v>403</v>
      </c>
      <c r="C232" s="36">
        <v>4301031201</v>
      </c>
      <c r="D232" s="733">
        <v>4680115881563</v>
      </c>
      <c r="E232" s="733"/>
      <c r="F232" s="62">
        <v>0.7</v>
      </c>
      <c r="G232" s="37">
        <v>6</v>
      </c>
      <c r="H232" s="62">
        <v>4.2</v>
      </c>
      <c r="I232" s="62">
        <v>4.3899999999999997</v>
      </c>
      <c r="J232" s="37">
        <v>132</v>
      </c>
      <c r="K232" s="37" t="s">
        <v>134</v>
      </c>
      <c r="L232" s="37" t="s">
        <v>46</v>
      </c>
      <c r="M232" s="38" t="s">
        <v>81</v>
      </c>
      <c r="N232" s="38"/>
      <c r="O232" s="37">
        <v>40</v>
      </c>
      <c r="P232" s="857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32" s="735"/>
      <c r="R232" s="735"/>
      <c r="S232" s="735"/>
      <c r="T232" s="736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39"/>
        <v>0</v>
      </c>
      <c r="Z232" s="41" t="str">
        <f>IFERROR(IF(Y232=0,"",ROUNDUP(Y232/H232,0)*0.00902),"")</f>
        <v/>
      </c>
      <c r="AA232" s="68" t="s">
        <v>46</v>
      </c>
      <c r="AB232" s="69" t="s">
        <v>46</v>
      </c>
      <c r="AC232" s="318" t="s">
        <v>404</v>
      </c>
      <c r="AG232" s="78"/>
      <c r="AJ232" s="84" t="s">
        <v>46</v>
      </c>
      <c r="AK232" s="84">
        <v>0</v>
      </c>
      <c r="BB232" s="319" t="s">
        <v>67</v>
      </c>
      <c r="BM232" s="78">
        <f t="shared" si="40"/>
        <v>0</v>
      </c>
      <c r="BN232" s="78">
        <f t="shared" si="41"/>
        <v>0</v>
      </c>
      <c r="BO232" s="78">
        <f t="shared" si="42"/>
        <v>0</v>
      </c>
      <c r="BP232" s="78">
        <f t="shared" si="43"/>
        <v>0</v>
      </c>
    </row>
    <row r="233" spans="1:68" ht="37.5" hidden="1" customHeight="1" x14ac:dyDescent="0.25">
      <c r="A233" s="63" t="s">
        <v>405</v>
      </c>
      <c r="B233" s="63" t="s">
        <v>406</v>
      </c>
      <c r="C233" s="36">
        <v>4301031447</v>
      </c>
      <c r="D233" s="733">
        <v>4680115887565</v>
      </c>
      <c r="E233" s="733"/>
      <c r="F233" s="62">
        <v>0.08</v>
      </c>
      <c r="G233" s="37">
        <v>10</v>
      </c>
      <c r="H233" s="62">
        <v>0.8</v>
      </c>
      <c r="I233" s="62">
        <v>0.93</v>
      </c>
      <c r="J233" s="37">
        <v>252</v>
      </c>
      <c r="K233" s="37" t="s">
        <v>82</v>
      </c>
      <c r="L233" s="37" t="s">
        <v>46</v>
      </c>
      <c r="M233" s="38" t="s">
        <v>81</v>
      </c>
      <c r="N233" s="38"/>
      <c r="O233" s="37">
        <v>45</v>
      </c>
      <c r="P233" s="858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33" s="735"/>
      <c r="R233" s="735"/>
      <c r="S233" s="735"/>
      <c r="T233" s="736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39"/>
        <v>0</v>
      </c>
      <c r="Z233" s="41" t="str">
        <f>IFERROR(IF(Y233=0,"",ROUNDUP(Y233/H233,0)*0.00556),"")</f>
        <v/>
      </c>
      <c r="AA233" s="68" t="s">
        <v>46</v>
      </c>
      <c r="AB233" s="69" t="s">
        <v>46</v>
      </c>
      <c r="AC233" s="320" t="s">
        <v>407</v>
      </c>
      <c r="AG233" s="78"/>
      <c r="AJ233" s="84" t="s">
        <v>46</v>
      </c>
      <c r="AK233" s="84">
        <v>0</v>
      </c>
      <c r="BB233" s="321" t="s">
        <v>67</v>
      </c>
      <c r="BM233" s="78">
        <f t="shared" si="40"/>
        <v>0</v>
      </c>
      <c r="BN233" s="78">
        <f t="shared" si="41"/>
        <v>0</v>
      </c>
      <c r="BO233" s="78">
        <f t="shared" si="42"/>
        <v>0</v>
      </c>
      <c r="BP233" s="78">
        <f t="shared" si="43"/>
        <v>0</v>
      </c>
    </row>
    <row r="234" spans="1:68" ht="27" customHeight="1" x14ac:dyDescent="0.25">
      <c r="A234" s="63" t="s">
        <v>408</v>
      </c>
      <c r="B234" s="63" t="s">
        <v>409</v>
      </c>
      <c r="C234" s="36">
        <v>4301031199</v>
      </c>
      <c r="D234" s="733">
        <v>4680115880986</v>
      </c>
      <c r="E234" s="733"/>
      <c r="F234" s="62">
        <v>0.35</v>
      </c>
      <c r="G234" s="37">
        <v>6</v>
      </c>
      <c r="H234" s="62">
        <v>2.1</v>
      </c>
      <c r="I234" s="62">
        <v>2.23</v>
      </c>
      <c r="J234" s="37">
        <v>234</v>
      </c>
      <c r="K234" s="37" t="s">
        <v>82</v>
      </c>
      <c r="L234" s="37" t="s">
        <v>46</v>
      </c>
      <c r="M234" s="38" t="s">
        <v>81</v>
      </c>
      <c r="N234" s="38"/>
      <c r="O234" s="37">
        <v>40</v>
      </c>
      <c r="P234" s="859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34" s="735"/>
      <c r="R234" s="735"/>
      <c r="S234" s="735"/>
      <c r="T234" s="736"/>
      <c r="U234" s="39" t="s">
        <v>46</v>
      </c>
      <c r="V234" s="39" t="s">
        <v>46</v>
      </c>
      <c r="W234" s="40" t="s">
        <v>0</v>
      </c>
      <c r="X234" s="58">
        <v>70</v>
      </c>
      <c r="Y234" s="55">
        <f t="shared" si="39"/>
        <v>71.400000000000006</v>
      </c>
      <c r="Z234" s="41">
        <f t="shared" ref="Z234:Z239" si="44">IFERROR(IF(Y234=0,"",ROUNDUP(Y234/H234,0)*0.00502),"")</f>
        <v>0.17068</v>
      </c>
      <c r="AA234" s="68" t="s">
        <v>46</v>
      </c>
      <c r="AB234" s="69" t="s">
        <v>46</v>
      </c>
      <c r="AC234" s="322" t="s">
        <v>398</v>
      </c>
      <c r="AG234" s="78"/>
      <c r="AJ234" s="84" t="s">
        <v>46</v>
      </c>
      <c r="AK234" s="84">
        <v>0</v>
      </c>
      <c r="BB234" s="323" t="s">
        <v>67</v>
      </c>
      <c r="BM234" s="78">
        <f t="shared" si="40"/>
        <v>74.333333333333329</v>
      </c>
      <c r="BN234" s="78">
        <f t="shared" si="41"/>
        <v>75.820000000000007</v>
      </c>
      <c r="BO234" s="78">
        <f t="shared" si="42"/>
        <v>0.14245014245014245</v>
      </c>
      <c r="BP234" s="78">
        <f t="shared" si="43"/>
        <v>0.14529914529914531</v>
      </c>
    </row>
    <row r="235" spans="1:68" ht="27" hidden="1" customHeight="1" x14ac:dyDescent="0.25">
      <c r="A235" s="63" t="s">
        <v>410</v>
      </c>
      <c r="B235" s="63" t="s">
        <v>411</v>
      </c>
      <c r="C235" s="36">
        <v>4301031443</v>
      </c>
      <c r="D235" s="733">
        <v>4680115887213</v>
      </c>
      <c r="E235" s="733"/>
      <c r="F235" s="62">
        <v>0.3</v>
      </c>
      <c r="G235" s="37">
        <v>6</v>
      </c>
      <c r="H235" s="62">
        <v>1.8</v>
      </c>
      <c r="I235" s="62">
        <v>1.9</v>
      </c>
      <c r="J235" s="37">
        <v>234</v>
      </c>
      <c r="K235" s="37" t="s">
        <v>82</v>
      </c>
      <c r="L235" s="37" t="s">
        <v>46</v>
      </c>
      <c r="M235" s="38" t="s">
        <v>81</v>
      </c>
      <c r="N235" s="38"/>
      <c r="O235" s="37">
        <v>45</v>
      </c>
      <c r="P235" s="860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35" s="735"/>
      <c r="R235" s="735"/>
      <c r="S235" s="735"/>
      <c r="T235" s="736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39"/>
        <v>0</v>
      </c>
      <c r="Z235" s="41" t="str">
        <f t="shared" si="44"/>
        <v/>
      </c>
      <c r="AA235" s="68" t="s">
        <v>46</v>
      </c>
      <c r="AB235" s="69" t="s">
        <v>46</v>
      </c>
      <c r="AC235" s="324" t="s">
        <v>412</v>
      </c>
      <c r="AG235" s="78"/>
      <c r="AJ235" s="84" t="s">
        <v>46</v>
      </c>
      <c r="AK235" s="84">
        <v>0</v>
      </c>
      <c r="BB235" s="325" t="s">
        <v>67</v>
      </c>
      <c r="BM235" s="78">
        <f t="shared" si="40"/>
        <v>0</v>
      </c>
      <c r="BN235" s="78">
        <f t="shared" si="41"/>
        <v>0</v>
      </c>
      <c r="BO235" s="78">
        <f t="shared" si="42"/>
        <v>0</v>
      </c>
      <c r="BP235" s="78">
        <f t="shared" si="43"/>
        <v>0</v>
      </c>
    </row>
    <row r="236" spans="1:68" ht="27" customHeight="1" x14ac:dyDescent="0.25">
      <c r="A236" s="63" t="s">
        <v>413</v>
      </c>
      <c r="B236" s="63" t="s">
        <v>414</v>
      </c>
      <c r="C236" s="36">
        <v>4301031205</v>
      </c>
      <c r="D236" s="733">
        <v>4680115881785</v>
      </c>
      <c r="E236" s="733"/>
      <c r="F236" s="62">
        <v>0.35</v>
      </c>
      <c r="G236" s="37">
        <v>6</v>
      </c>
      <c r="H236" s="62">
        <v>2.1</v>
      </c>
      <c r="I236" s="62">
        <v>2.23</v>
      </c>
      <c r="J236" s="37">
        <v>234</v>
      </c>
      <c r="K236" s="37" t="s">
        <v>82</v>
      </c>
      <c r="L236" s="37" t="s">
        <v>46</v>
      </c>
      <c r="M236" s="38" t="s">
        <v>81</v>
      </c>
      <c r="N236" s="38"/>
      <c r="O236" s="37">
        <v>40</v>
      </c>
      <c r="P236" s="861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36" s="735"/>
      <c r="R236" s="735"/>
      <c r="S236" s="735"/>
      <c r="T236" s="736"/>
      <c r="U236" s="39" t="s">
        <v>46</v>
      </c>
      <c r="V236" s="39" t="s">
        <v>46</v>
      </c>
      <c r="W236" s="40" t="s">
        <v>0</v>
      </c>
      <c r="X236" s="58">
        <v>175</v>
      </c>
      <c r="Y236" s="55">
        <f t="shared" si="39"/>
        <v>176.4</v>
      </c>
      <c r="Z236" s="41">
        <f t="shared" si="44"/>
        <v>0.42168</v>
      </c>
      <c r="AA236" s="68" t="s">
        <v>46</v>
      </c>
      <c r="AB236" s="69" t="s">
        <v>46</v>
      </c>
      <c r="AC236" s="326" t="s">
        <v>401</v>
      </c>
      <c r="AG236" s="78"/>
      <c r="AJ236" s="84" t="s">
        <v>46</v>
      </c>
      <c r="AK236" s="84">
        <v>0</v>
      </c>
      <c r="BB236" s="327" t="s">
        <v>67</v>
      </c>
      <c r="BM236" s="78">
        <f t="shared" si="40"/>
        <v>185.83333333333331</v>
      </c>
      <c r="BN236" s="78">
        <f t="shared" si="41"/>
        <v>187.32</v>
      </c>
      <c r="BO236" s="78">
        <f t="shared" si="42"/>
        <v>0.35612535612535612</v>
      </c>
      <c r="BP236" s="78">
        <f t="shared" si="43"/>
        <v>0.35897435897435903</v>
      </c>
    </row>
    <row r="237" spans="1:68" ht="27" hidden="1" customHeight="1" x14ac:dyDescent="0.25">
      <c r="A237" s="63" t="s">
        <v>415</v>
      </c>
      <c r="B237" s="63" t="s">
        <v>416</v>
      </c>
      <c r="C237" s="36">
        <v>4301031499</v>
      </c>
      <c r="D237" s="733">
        <v>4680115888432</v>
      </c>
      <c r="E237" s="733"/>
      <c r="F237" s="62">
        <v>0.3</v>
      </c>
      <c r="G237" s="37">
        <v>6</v>
      </c>
      <c r="H237" s="62">
        <v>1.8</v>
      </c>
      <c r="I237" s="62">
        <v>1.93</v>
      </c>
      <c r="J237" s="37">
        <v>234</v>
      </c>
      <c r="K237" s="37" t="s">
        <v>82</v>
      </c>
      <c r="L237" s="37" t="s">
        <v>46</v>
      </c>
      <c r="M237" s="38" t="s">
        <v>81</v>
      </c>
      <c r="N237" s="38"/>
      <c r="O237" s="37">
        <v>45</v>
      </c>
      <c r="P237" s="862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7" s="735"/>
      <c r="R237" s="735"/>
      <c r="S237" s="735"/>
      <c r="T237" s="736"/>
      <c r="U237" s="39" t="s">
        <v>46</v>
      </c>
      <c r="V237" s="39" t="s">
        <v>46</v>
      </c>
      <c r="W237" s="40" t="s">
        <v>0</v>
      </c>
      <c r="X237" s="58">
        <v>0</v>
      </c>
      <c r="Y237" s="55">
        <f t="shared" si="39"/>
        <v>0</v>
      </c>
      <c r="Z237" s="41" t="str">
        <f t="shared" si="44"/>
        <v/>
      </c>
      <c r="AA237" s="68" t="s">
        <v>46</v>
      </c>
      <c r="AB237" s="69" t="s">
        <v>46</v>
      </c>
      <c r="AC237" s="328" t="s">
        <v>417</v>
      </c>
      <c r="AG237" s="78"/>
      <c r="AJ237" s="84" t="s">
        <v>46</v>
      </c>
      <c r="AK237" s="84">
        <v>0</v>
      </c>
      <c r="BB237" s="329" t="s">
        <v>67</v>
      </c>
      <c r="BM237" s="78">
        <f t="shared" si="40"/>
        <v>0</v>
      </c>
      <c r="BN237" s="78">
        <f t="shared" si="41"/>
        <v>0</v>
      </c>
      <c r="BO237" s="78">
        <f t="shared" si="42"/>
        <v>0</v>
      </c>
      <c r="BP237" s="78">
        <f t="shared" si="43"/>
        <v>0</v>
      </c>
    </row>
    <row r="238" spans="1:68" ht="27" hidden="1" customHeight="1" x14ac:dyDescent="0.25">
      <c r="A238" s="63" t="s">
        <v>418</v>
      </c>
      <c r="B238" s="63" t="s">
        <v>419</v>
      </c>
      <c r="C238" s="36">
        <v>4301031427</v>
      </c>
      <c r="D238" s="733">
        <v>4680115888104</v>
      </c>
      <c r="E238" s="733"/>
      <c r="F238" s="62">
        <v>0.35</v>
      </c>
      <c r="G238" s="37">
        <v>6</v>
      </c>
      <c r="H238" s="62">
        <v>2.1</v>
      </c>
      <c r="I238" s="62">
        <v>2.2000000000000002</v>
      </c>
      <c r="J238" s="37">
        <v>234</v>
      </c>
      <c r="K238" s="37" t="s">
        <v>82</v>
      </c>
      <c r="L238" s="37" t="s">
        <v>46</v>
      </c>
      <c r="M238" s="38" t="s">
        <v>81</v>
      </c>
      <c r="N238" s="38"/>
      <c r="O238" s="37">
        <v>45</v>
      </c>
      <c r="P238" s="863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8" s="735"/>
      <c r="R238" s="735"/>
      <c r="S238" s="735"/>
      <c r="T238" s="736"/>
      <c r="U238" s="39" t="s">
        <v>46</v>
      </c>
      <c r="V238" s="39" t="s">
        <v>46</v>
      </c>
      <c r="W238" s="40" t="s">
        <v>0</v>
      </c>
      <c r="X238" s="58">
        <v>0</v>
      </c>
      <c r="Y238" s="55">
        <f t="shared" si="39"/>
        <v>0</v>
      </c>
      <c r="Z238" s="41" t="str">
        <f t="shared" si="44"/>
        <v/>
      </c>
      <c r="AA238" s="68" t="s">
        <v>46</v>
      </c>
      <c r="AB238" s="69" t="s">
        <v>46</v>
      </c>
      <c r="AC238" s="330" t="s">
        <v>420</v>
      </c>
      <c r="AG238" s="78"/>
      <c r="AJ238" s="84" t="s">
        <v>46</v>
      </c>
      <c r="AK238" s="84">
        <v>0</v>
      </c>
      <c r="BB238" s="331" t="s">
        <v>67</v>
      </c>
      <c r="BM238" s="78">
        <f t="shared" si="40"/>
        <v>0</v>
      </c>
      <c r="BN238" s="78">
        <f t="shared" si="41"/>
        <v>0</v>
      </c>
      <c r="BO238" s="78">
        <f t="shared" si="42"/>
        <v>0</v>
      </c>
      <c r="BP238" s="78">
        <f t="shared" si="43"/>
        <v>0</v>
      </c>
    </row>
    <row r="239" spans="1:68" ht="27" hidden="1" customHeight="1" x14ac:dyDescent="0.25">
      <c r="A239" s="63" t="s">
        <v>421</v>
      </c>
      <c r="B239" s="63" t="s">
        <v>422</v>
      </c>
      <c r="C239" s="36">
        <v>4301031399</v>
      </c>
      <c r="D239" s="733">
        <v>4680115886537</v>
      </c>
      <c r="E239" s="733"/>
      <c r="F239" s="62">
        <v>0.3</v>
      </c>
      <c r="G239" s="37">
        <v>6</v>
      </c>
      <c r="H239" s="62">
        <v>1.8</v>
      </c>
      <c r="I239" s="62">
        <v>1.93</v>
      </c>
      <c r="J239" s="37">
        <v>234</v>
      </c>
      <c r="K239" s="37" t="s">
        <v>82</v>
      </c>
      <c r="L239" s="37" t="s">
        <v>46</v>
      </c>
      <c r="M239" s="38" t="s">
        <v>81</v>
      </c>
      <c r="N239" s="38"/>
      <c r="O239" s="37">
        <v>40</v>
      </c>
      <c r="P239" s="864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9" s="735"/>
      <c r="R239" s="735"/>
      <c r="S239" s="735"/>
      <c r="T239" s="736"/>
      <c r="U239" s="39" t="s">
        <v>46</v>
      </c>
      <c r="V239" s="39" t="s">
        <v>46</v>
      </c>
      <c r="W239" s="40" t="s">
        <v>0</v>
      </c>
      <c r="X239" s="58">
        <v>0</v>
      </c>
      <c r="Y239" s="55">
        <f t="shared" si="39"/>
        <v>0</v>
      </c>
      <c r="Z239" s="41" t="str">
        <f t="shared" si="44"/>
        <v/>
      </c>
      <c r="AA239" s="68" t="s">
        <v>46</v>
      </c>
      <c r="AB239" s="69" t="s">
        <v>46</v>
      </c>
      <c r="AC239" s="332" t="s">
        <v>423</v>
      </c>
      <c r="AG239" s="78"/>
      <c r="AJ239" s="84" t="s">
        <v>46</v>
      </c>
      <c r="AK239" s="84">
        <v>0</v>
      </c>
      <c r="BB239" s="333" t="s">
        <v>67</v>
      </c>
      <c r="BM239" s="78">
        <f t="shared" si="40"/>
        <v>0</v>
      </c>
      <c r="BN239" s="78">
        <f t="shared" si="41"/>
        <v>0</v>
      </c>
      <c r="BO239" s="78">
        <f t="shared" si="42"/>
        <v>0</v>
      </c>
      <c r="BP239" s="78">
        <f t="shared" si="43"/>
        <v>0</v>
      </c>
    </row>
    <row r="240" spans="1:68" ht="27" hidden="1" customHeight="1" x14ac:dyDescent="0.25">
      <c r="A240" s="63" t="s">
        <v>424</v>
      </c>
      <c r="B240" s="63" t="s">
        <v>425</v>
      </c>
      <c r="C240" s="36">
        <v>4301031279</v>
      </c>
      <c r="D240" s="733">
        <v>4680115887596</v>
      </c>
      <c r="E240" s="733"/>
      <c r="F240" s="62">
        <v>0.08</v>
      </c>
      <c r="G240" s="37">
        <v>10</v>
      </c>
      <c r="H240" s="62">
        <v>0.8</v>
      </c>
      <c r="I240" s="62">
        <v>1.01</v>
      </c>
      <c r="J240" s="37">
        <v>336</v>
      </c>
      <c r="K240" s="37" t="s">
        <v>131</v>
      </c>
      <c r="L240" s="37" t="s">
        <v>46</v>
      </c>
      <c r="M240" s="38" t="s">
        <v>81</v>
      </c>
      <c r="N240" s="38"/>
      <c r="O240" s="37">
        <v>45</v>
      </c>
      <c r="P240" s="865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40" s="735"/>
      <c r="R240" s="735"/>
      <c r="S240" s="735"/>
      <c r="T240" s="736"/>
      <c r="U240" s="39" t="s">
        <v>46</v>
      </c>
      <c r="V240" s="39" t="s">
        <v>46</v>
      </c>
      <c r="W240" s="40" t="s">
        <v>0</v>
      </c>
      <c r="X240" s="58">
        <v>0</v>
      </c>
      <c r="Y240" s="55">
        <f t="shared" si="39"/>
        <v>0</v>
      </c>
      <c r="Z240" s="41" t="str">
        <f>IFERROR(IF(Y240=0,"",ROUNDUP(Y240/H240,0)*0.00417),"")</f>
        <v/>
      </c>
      <c r="AA240" s="68" t="s">
        <v>46</v>
      </c>
      <c r="AB240" s="69" t="s">
        <v>46</v>
      </c>
      <c r="AC240" s="334" t="s">
        <v>426</v>
      </c>
      <c r="AG240" s="78"/>
      <c r="AJ240" s="84" t="s">
        <v>46</v>
      </c>
      <c r="AK240" s="84">
        <v>0</v>
      </c>
      <c r="BB240" s="335" t="s">
        <v>67</v>
      </c>
      <c r="BM240" s="78">
        <f t="shared" si="40"/>
        <v>0</v>
      </c>
      <c r="BN240" s="78">
        <f t="shared" si="41"/>
        <v>0</v>
      </c>
      <c r="BO240" s="78">
        <f t="shared" si="42"/>
        <v>0</v>
      </c>
      <c r="BP240" s="78">
        <f t="shared" si="43"/>
        <v>0</v>
      </c>
    </row>
    <row r="241" spans="1:68" ht="37.5" customHeight="1" x14ac:dyDescent="0.25">
      <c r="A241" s="63" t="s">
        <v>427</v>
      </c>
      <c r="B241" s="63" t="s">
        <v>428</v>
      </c>
      <c r="C241" s="36">
        <v>4301031202</v>
      </c>
      <c r="D241" s="733">
        <v>4680115881679</v>
      </c>
      <c r="E241" s="733"/>
      <c r="F241" s="62">
        <v>0.35</v>
      </c>
      <c r="G241" s="37">
        <v>6</v>
      </c>
      <c r="H241" s="62">
        <v>2.1</v>
      </c>
      <c r="I241" s="62">
        <v>2.2000000000000002</v>
      </c>
      <c r="J241" s="37">
        <v>234</v>
      </c>
      <c r="K241" s="37" t="s">
        <v>82</v>
      </c>
      <c r="L241" s="37" t="s">
        <v>46</v>
      </c>
      <c r="M241" s="38" t="s">
        <v>81</v>
      </c>
      <c r="N241" s="38"/>
      <c r="O241" s="37">
        <v>40</v>
      </c>
      <c r="P241" s="866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41" s="735"/>
      <c r="R241" s="735"/>
      <c r="S241" s="735"/>
      <c r="T241" s="736"/>
      <c r="U241" s="39" t="s">
        <v>46</v>
      </c>
      <c r="V241" s="39" t="s">
        <v>46</v>
      </c>
      <c r="W241" s="40" t="s">
        <v>0</v>
      </c>
      <c r="X241" s="58">
        <v>525</v>
      </c>
      <c r="Y241" s="55">
        <f t="shared" si="39"/>
        <v>525</v>
      </c>
      <c r="Z241" s="41">
        <f>IFERROR(IF(Y241=0,"",ROUNDUP(Y241/H241,0)*0.00502),"")</f>
        <v>1.2550000000000001</v>
      </c>
      <c r="AA241" s="68" t="s">
        <v>46</v>
      </c>
      <c r="AB241" s="69" t="s">
        <v>46</v>
      </c>
      <c r="AC241" s="336" t="s">
        <v>404</v>
      </c>
      <c r="AG241" s="78"/>
      <c r="AJ241" s="84" t="s">
        <v>46</v>
      </c>
      <c r="AK241" s="84">
        <v>0</v>
      </c>
      <c r="BB241" s="337" t="s">
        <v>67</v>
      </c>
      <c r="BM241" s="78">
        <f t="shared" si="40"/>
        <v>550</v>
      </c>
      <c r="BN241" s="78">
        <f t="shared" si="41"/>
        <v>550</v>
      </c>
      <c r="BO241" s="78">
        <f t="shared" si="42"/>
        <v>1.0683760683760686</v>
      </c>
      <c r="BP241" s="78">
        <f t="shared" si="43"/>
        <v>1.0683760683760686</v>
      </c>
    </row>
    <row r="242" spans="1:68" ht="27" hidden="1" customHeight="1" x14ac:dyDescent="0.25">
      <c r="A242" s="63" t="s">
        <v>429</v>
      </c>
      <c r="B242" s="63" t="s">
        <v>430</v>
      </c>
      <c r="C242" s="36">
        <v>4301031158</v>
      </c>
      <c r="D242" s="733">
        <v>4680115880191</v>
      </c>
      <c r="E242" s="733"/>
      <c r="F242" s="62">
        <v>0.4</v>
      </c>
      <c r="G242" s="37">
        <v>6</v>
      </c>
      <c r="H242" s="62">
        <v>2.4</v>
      </c>
      <c r="I242" s="62">
        <v>2.58</v>
      </c>
      <c r="J242" s="37">
        <v>182</v>
      </c>
      <c r="K242" s="37" t="s">
        <v>91</v>
      </c>
      <c r="L242" s="37" t="s">
        <v>46</v>
      </c>
      <c r="M242" s="38" t="s">
        <v>81</v>
      </c>
      <c r="N242" s="38"/>
      <c r="O242" s="37">
        <v>40</v>
      </c>
      <c r="P242" s="867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42" s="735"/>
      <c r="R242" s="735"/>
      <c r="S242" s="735"/>
      <c r="T242" s="736"/>
      <c r="U242" s="39" t="s">
        <v>46</v>
      </c>
      <c r="V242" s="39" t="s">
        <v>46</v>
      </c>
      <c r="W242" s="40" t="s">
        <v>0</v>
      </c>
      <c r="X242" s="58">
        <v>0</v>
      </c>
      <c r="Y242" s="55">
        <f t="shared" si="39"/>
        <v>0</v>
      </c>
      <c r="Z242" s="41" t="str">
        <f>IFERROR(IF(Y242=0,"",ROUNDUP(Y242/H242,0)*0.00651),"")</f>
        <v/>
      </c>
      <c r="AA242" s="68" t="s">
        <v>46</v>
      </c>
      <c r="AB242" s="69" t="s">
        <v>46</v>
      </c>
      <c r="AC242" s="338" t="s">
        <v>404</v>
      </c>
      <c r="AG242" s="78"/>
      <c r="AJ242" s="84" t="s">
        <v>46</v>
      </c>
      <c r="AK242" s="84">
        <v>0</v>
      </c>
      <c r="BB242" s="339" t="s">
        <v>67</v>
      </c>
      <c r="BM242" s="78">
        <f t="shared" si="40"/>
        <v>0</v>
      </c>
      <c r="BN242" s="78">
        <f t="shared" si="41"/>
        <v>0</v>
      </c>
      <c r="BO242" s="78">
        <f t="shared" si="42"/>
        <v>0</v>
      </c>
      <c r="BP242" s="78">
        <f t="shared" si="43"/>
        <v>0</v>
      </c>
    </row>
    <row r="243" spans="1:68" ht="27" hidden="1" customHeight="1" x14ac:dyDescent="0.25">
      <c r="A243" s="63" t="s">
        <v>431</v>
      </c>
      <c r="B243" s="63" t="s">
        <v>432</v>
      </c>
      <c r="C243" s="36">
        <v>4301031245</v>
      </c>
      <c r="D243" s="733">
        <v>4680115883963</v>
      </c>
      <c r="E243" s="733"/>
      <c r="F243" s="62">
        <v>0.28000000000000003</v>
      </c>
      <c r="G243" s="37">
        <v>6</v>
      </c>
      <c r="H243" s="62">
        <v>1.68</v>
      </c>
      <c r="I243" s="62">
        <v>1.78</v>
      </c>
      <c r="J243" s="37">
        <v>234</v>
      </c>
      <c r="K243" s="37" t="s">
        <v>82</v>
      </c>
      <c r="L243" s="37" t="s">
        <v>46</v>
      </c>
      <c r="M243" s="38" t="s">
        <v>81</v>
      </c>
      <c r="N243" s="38"/>
      <c r="O243" s="37">
        <v>40</v>
      </c>
      <c r="P243" s="86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43" s="735"/>
      <c r="R243" s="735"/>
      <c r="S243" s="735"/>
      <c r="T243" s="736"/>
      <c r="U243" s="39" t="s">
        <v>46</v>
      </c>
      <c r="V243" s="39" t="s">
        <v>46</v>
      </c>
      <c r="W243" s="40" t="s">
        <v>0</v>
      </c>
      <c r="X243" s="58">
        <v>0</v>
      </c>
      <c r="Y243" s="55">
        <f t="shared" si="39"/>
        <v>0</v>
      </c>
      <c r="Z243" s="41" t="str">
        <f>IFERROR(IF(Y243=0,"",ROUNDUP(Y243/H243,0)*0.00502),"")</f>
        <v/>
      </c>
      <c r="AA243" s="68" t="s">
        <v>46</v>
      </c>
      <c r="AB243" s="69" t="s">
        <v>46</v>
      </c>
      <c r="AC243" s="340" t="s">
        <v>433</v>
      </c>
      <c r="AG243" s="78"/>
      <c r="AJ243" s="84" t="s">
        <v>46</v>
      </c>
      <c r="AK243" s="84">
        <v>0</v>
      </c>
      <c r="BB243" s="341" t="s">
        <v>67</v>
      </c>
      <c r="BM243" s="78">
        <f t="shared" si="40"/>
        <v>0</v>
      </c>
      <c r="BN243" s="78">
        <f t="shared" si="41"/>
        <v>0</v>
      </c>
      <c r="BO243" s="78">
        <f t="shared" si="42"/>
        <v>0</v>
      </c>
      <c r="BP243" s="78">
        <f t="shared" si="43"/>
        <v>0</v>
      </c>
    </row>
    <row r="244" spans="1:68" x14ac:dyDescent="0.2">
      <c r="A244" s="741"/>
      <c r="B244" s="741"/>
      <c r="C244" s="741"/>
      <c r="D244" s="741"/>
      <c r="E244" s="741"/>
      <c r="F244" s="741"/>
      <c r="G244" s="741"/>
      <c r="H244" s="741"/>
      <c r="I244" s="741"/>
      <c r="J244" s="741"/>
      <c r="K244" s="741"/>
      <c r="L244" s="741"/>
      <c r="M244" s="741"/>
      <c r="N244" s="741"/>
      <c r="O244" s="742"/>
      <c r="P244" s="738" t="s">
        <v>40</v>
      </c>
      <c r="Q244" s="739"/>
      <c r="R244" s="739"/>
      <c r="S244" s="739"/>
      <c r="T244" s="739"/>
      <c r="U244" s="739"/>
      <c r="V244" s="740"/>
      <c r="W244" s="42" t="s">
        <v>39</v>
      </c>
      <c r="X244" s="43">
        <f>IFERROR(X230/H230,"0")+IFERROR(X231/H231,"0")+IFERROR(X232/H232,"0")+IFERROR(X233/H233,"0")+IFERROR(X234/H234,"0")+IFERROR(X235/H235,"0")+IFERROR(X236/H236,"0")+IFERROR(X237/H237,"0")+IFERROR(X238/H238,"0")+IFERROR(X239/H239,"0")+IFERROR(X240/H240,"0")+IFERROR(X241/H241,"0")+IFERROR(X242/H242,"0")+IFERROR(X243/H243,"0")</f>
        <v>376.19047619047615</v>
      </c>
      <c r="Y244" s="43">
        <f>IFERROR(Y230/H230,"0")+IFERROR(Y231/H231,"0")+IFERROR(Y232/H232,"0")+IFERROR(Y233/H233,"0")+IFERROR(Y234/H234,"0")+IFERROR(Y235/H235,"0")+IFERROR(Y236/H236,"0")+IFERROR(Y237/H237,"0")+IFERROR(Y238/H238,"0")+IFERROR(Y239/H239,"0")+IFERROR(Y240/H240,"0")+IFERROR(Y241/H241,"0")+IFERROR(Y242/H242,"0")+IFERROR(Y243/H243,"0")</f>
        <v>378</v>
      </c>
      <c r="Z244" s="43">
        <f>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+IFERROR(IF(Z241="",0,Z241),"0")+IFERROR(IF(Z242="",0,Z242),"0")+IFERROR(IF(Z243="",0,Z243),"0")</f>
        <v>1.9375600000000002</v>
      </c>
      <c r="AA244" s="67"/>
      <c r="AB244" s="67"/>
      <c r="AC244" s="67"/>
    </row>
    <row r="245" spans="1:68" x14ac:dyDescent="0.2">
      <c r="A245" s="741"/>
      <c r="B245" s="741"/>
      <c r="C245" s="741"/>
      <c r="D245" s="741"/>
      <c r="E245" s="741"/>
      <c r="F245" s="741"/>
      <c r="G245" s="741"/>
      <c r="H245" s="741"/>
      <c r="I245" s="741"/>
      <c r="J245" s="741"/>
      <c r="K245" s="741"/>
      <c r="L245" s="741"/>
      <c r="M245" s="741"/>
      <c r="N245" s="741"/>
      <c r="O245" s="742"/>
      <c r="P245" s="738" t="s">
        <v>40</v>
      </c>
      <c r="Q245" s="739"/>
      <c r="R245" s="739"/>
      <c r="S245" s="739"/>
      <c r="T245" s="739"/>
      <c r="U245" s="739"/>
      <c r="V245" s="740"/>
      <c r="W245" s="42" t="s">
        <v>0</v>
      </c>
      <c r="X245" s="43">
        <f>IFERROR(SUM(X230:X243),"0")</f>
        <v>810</v>
      </c>
      <c r="Y245" s="43">
        <f>IFERROR(SUM(Y230:Y243),"0")</f>
        <v>814.8</v>
      </c>
      <c r="Z245" s="42"/>
      <c r="AA245" s="67"/>
      <c r="AB245" s="67"/>
      <c r="AC245" s="67"/>
    </row>
    <row r="246" spans="1:68" ht="14.25" hidden="1" customHeight="1" x14ac:dyDescent="0.25">
      <c r="A246" s="732" t="s">
        <v>86</v>
      </c>
      <c r="B246" s="732"/>
      <c r="C246" s="732"/>
      <c r="D246" s="732"/>
      <c r="E246" s="732"/>
      <c r="F246" s="732"/>
      <c r="G246" s="732"/>
      <c r="H246" s="732"/>
      <c r="I246" s="732"/>
      <c r="J246" s="732"/>
      <c r="K246" s="732"/>
      <c r="L246" s="732"/>
      <c r="M246" s="732"/>
      <c r="N246" s="732"/>
      <c r="O246" s="732"/>
      <c r="P246" s="732"/>
      <c r="Q246" s="732"/>
      <c r="R246" s="732"/>
      <c r="S246" s="732"/>
      <c r="T246" s="732"/>
      <c r="U246" s="732"/>
      <c r="V246" s="732"/>
      <c r="W246" s="732"/>
      <c r="X246" s="732"/>
      <c r="Y246" s="732"/>
      <c r="Z246" s="732"/>
      <c r="AA246" s="66"/>
      <c r="AB246" s="66"/>
      <c r="AC246" s="80"/>
    </row>
    <row r="247" spans="1:68" ht="16.5" hidden="1" customHeight="1" x14ac:dyDescent="0.25">
      <c r="A247" s="63" t="s">
        <v>434</v>
      </c>
      <c r="B247" s="63" t="s">
        <v>435</v>
      </c>
      <c r="C247" s="36">
        <v>4301052209</v>
      </c>
      <c r="D247" s="733">
        <v>4680115888692</v>
      </c>
      <c r="E247" s="733"/>
      <c r="F247" s="62">
        <v>0.8</v>
      </c>
      <c r="G247" s="37">
        <v>6</v>
      </c>
      <c r="H247" s="62">
        <v>4.8</v>
      </c>
      <c r="I247" s="62">
        <v>5.2220000000000004</v>
      </c>
      <c r="J247" s="37">
        <v>104</v>
      </c>
      <c r="K247" s="37" t="s">
        <v>127</v>
      </c>
      <c r="L247" s="37" t="s">
        <v>46</v>
      </c>
      <c r="M247" s="38" t="s">
        <v>97</v>
      </c>
      <c r="N247" s="38"/>
      <c r="O247" s="37">
        <v>35</v>
      </c>
      <c r="P247" s="869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7" s="735"/>
      <c r="R247" s="735"/>
      <c r="S247" s="735"/>
      <c r="T247" s="736"/>
      <c r="U247" s="39" t="s">
        <v>46</v>
      </c>
      <c r="V247" s="39" t="s">
        <v>46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IFERROR(IF(Y247=0,"",ROUNDUP(Y247/H247,0)*0.01196),"")</f>
        <v/>
      </c>
      <c r="AA247" s="68" t="s">
        <v>46</v>
      </c>
      <c r="AB247" s="69" t="s">
        <v>46</v>
      </c>
      <c r="AC247" s="342" t="s">
        <v>436</v>
      </c>
      <c r="AG247" s="78"/>
      <c r="AJ247" s="84" t="s">
        <v>46</v>
      </c>
      <c r="AK247" s="84">
        <v>0</v>
      </c>
      <c r="BB247" s="343" t="s">
        <v>67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t="27" hidden="1" customHeight="1" x14ac:dyDescent="0.25">
      <c r="A248" s="63" t="s">
        <v>437</v>
      </c>
      <c r="B248" s="63" t="s">
        <v>438</v>
      </c>
      <c r="C248" s="36">
        <v>4301052213</v>
      </c>
      <c r="D248" s="733">
        <v>4680115888722</v>
      </c>
      <c r="E248" s="733"/>
      <c r="F248" s="62">
        <v>0.8</v>
      </c>
      <c r="G248" s="37">
        <v>6</v>
      </c>
      <c r="H248" s="62">
        <v>4.8</v>
      </c>
      <c r="I248" s="62">
        <v>5.2220000000000004</v>
      </c>
      <c r="J248" s="37">
        <v>104</v>
      </c>
      <c r="K248" s="37" t="s">
        <v>127</v>
      </c>
      <c r="L248" s="37" t="s">
        <v>46</v>
      </c>
      <c r="M248" s="38" t="s">
        <v>97</v>
      </c>
      <c r="N248" s="38"/>
      <c r="O248" s="37">
        <v>35</v>
      </c>
      <c r="P248" s="870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8" s="735"/>
      <c r="R248" s="735"/>
      <c r="S248" s="735"/>
      <c r="T248" s="736"/>
      <c r="U248" s="39" t="s">
        <v>46</v>
      </c>
      <c r="V248" s="39" t="s">
        <v>46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IFERROR(IF(Y248=0,"",ROUNDUP(Y248/H248,0)*0.01196),"")</f>
        <v/>
      </c>
      <c r="AA248" s="68" t="s">
        <v>46</v>
      </c>
      <c r="AB248" s="69" t="s">
        <v>46</v>
      </c>
      <c r="AC248" s="344" t="s">
        <v>439</v>
      </c>
      <c r="AG248" s="78"/>
      <c r="AJ248" s="84" t="s">
        <v>46</v>
      </c>
      <c r="AK248" s="84">
        <v>0</v>
      </c>
      <c r="BB248" s="345" t="s">
        <v>67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t="27" hidden="1" customHeight="1" x14ac:dyDescent="0.25">
      <c r="A249" s="63" t="s">
        <v>440</v>
      </c>
      <c r="B249" s="63" t="s">
        <v>441</v>
      </c>
      <c r="C249" s="36">
        <v>4301052177</v>
      </c>
      <c r="D249" s="733">
        <v>4680115888951</v>
      </c>
      <c r="E249" s="733"/>
      <c r="F249" s="62">
        <v>0.36</v>
      </c>
      <c r="G249" s="37">
        <v>6</v>
      </c>
      <c r="H249" s="62">
        <v>2.16</v>
      </c>
      <c r="I249" s="62">
        <v>2.4220000000000002</v>
      </c>
      <c r="J249" s="37">
        <v>132</v>
      </c>
      <c r="K249" s="37" t="s">
        <v>134</v>
      </c>
      <c r="L249" s="37" t="s">
        <v>46</v>
      </c>
      <c r="M249" s="38" t="s">
        <v>97</v>
      </c>
      <c r="N249" s="38"/>
      <c r="O249" s="37">
        <v>35</v>
      </c>
      <c r="P249" s="871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9" s="735"/>
      <c r="R249" s="735"/>
      <c r="S249" s="735"/>
      <c r="T249" s="736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IFERROR(IF(Y249=0,"",ROUNDUP(Y249/H249,0)*0.00902),"")</f>
        <v/>
      </c>
      <c r="AA249" s="68" t="s">
        <v>46</v>
      </c>
      <c r="AB249" s="69" t="s">
        <v>46</v>
      </c>
      <c r="AC249" s="346" t="s">
        <v>442</v>
      </c>
      <c r="AG249" s="78"/>
      <c r="AJ249" s="84" t="s">
        <v>46</v>
      </c>
      <c r="AK249" s="84">
        <v>0</v>
      </c>
      <c r="BB249" s="347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hidden="1" customHeight="1" x14ac:dyDescent="0.25">
      <c r="A250" s="63" t="s">
        <v>443</v>
      </c>
      <c r="B250" s="63" t="s">
        <v>444</v>
      </c>
      <c r="C250" s="36">
        <v>4301052178</v>
      </c>
      <c r="D250" s="733">
        <v>4680115888975</v>
      </c>
      <c r="E250" s="733"/>
      <c r="F250" s="62">
        <v>0.32</v>
      </c>
      <c r="G250" s="37">
        <v>6</v>
      </c>
      <c r="H250" s="62">
        <v>1.92</v>
      </c>
      <c r="I250" s="62">
        <v>2.1819999999999999</v>
      </c>
      <c r="J250" s="37">
        <v>132</v>
      </c>
      <c r="K250" s="37" t="s">
        <v>134</v>
      </c>
      <c r="L250" s="37" t="s">
        <v>46</v>
      </c>
      <c r="M250" s="38" t="s">
        <v>97</v>
      </c>
      <c r="N250" s="38"/>
      <c r="O250" s="37">
        <v>35</v>
      </c>
      <c r="P250" s="872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50" s="735"/>
      <c r="R250" s="735"/>
      <c r="S250" s="735"/>
      <c r="T250" s="736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IFERROR(IF(Y250=0,"",ROUNDUP(Y250/H250,0)*0.00902),"")</f>
        <v/>
      </c>
      <c r="AA250" s="68" t="s">
        <v>46</v>
      </c>
      <c r="AB250" s="69" t="s">
        <v>46</v>
      </c>
      <c r="AC250" s="348" t="s">
        <v>445</v>
      </c>
      <c r="AG250" s="78"/>
      <c r="AJ250" s="84" t="s">
        <v>46</v>
      </c>
      <c r="AK250" s="84">
        <v>0</v>
      </c>
      <c r="BB250" s="349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t="27" hidden="1" customHeight="1" x14ac:dyDescent="0.25">
      <c r="A251" s="63" t="s">
        <v>446</v>
      </c>
      <c r="B251" s="63" t="s">
        <v>447</v>
      </c>
      <c r="C251" s="36">
        <v>4301052176</v>
      </c>
      <c r="D251" s="733">
        <v>4680115888982</v>
      </c>
      <c r="E251" s="733"/>
      <c r="F251" s="62">
        <v>0.36</v>
      </c>
      <c r="G251" s="37">
        <v>6</v>
      </c>
      <c r="H251" s="62">
        <v>2.16</v>
      </c>
      <c r="I251" s="62">
        <v>2.4220000000000002</v>
      </c>
      <c r="J251" s="37">
        <v>132</v>
      </c>
      <c r="K251" s="37" t="s">
        <v>134</v>
      </c>
      <c r="L251" s="37" t="s">
        <v>46</v>
      </c>
      <c r="M251" s="38" t="s">
        <v>97</v>
      </c>
      <c r="N251" s="38"/>
      <c r="O251" s="37">
        <v>35</v>
      </c>
      <c r="P251" s="873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51" s="735"/>
      <c r="R251" s="735"/>
      <c r="S251" s="735"/>
      <c r="T251" s="736"/>
      <c r="U251" s="39" t="s">
        <v>46</v>
      </c>
      <c r="V251" s="39" t="s">
        <v>46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IFERROR(IF(Y251=0,"",ROUNDUP(Y251/H251,0)*0.00902),"")</f>
        <v/>
      </c>
      <c r="AA251" s="68" t="s">
        <v>46</v>
      </c>
      <c r="AB251" s="69" t="s">
        <v>46</v>
      </c>
      <c r="AC251" s="350" t="s">
        <v>439</v>
      </c>
      <c r="AG251" s="78"/>
      <c r="AJ251" s="84" t="s">
        <v>46</v>
      </c>
      <c r="AK251" s="84">
        <v>0</v>
      </c>
      <c r="BB251" s="351" t="s">
        <v>67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hidden="1" x14ac:dyDescent="0.2">
      <c r="A252" s="741"/>
      <c r="B252" s="741"/>
      <c r="C252" s="741"/>
      <c r="D252" s="741"/>
      <c r="E252" s="741"/>
      <c r="F252" s="741"/>
      <c r="G252" s="741"/>
      <c r="H252" s="741"/>
      <c r="I252" s="741"/>
      <c r="J252" s="741"/>
      <c r="K252" s="741"/>
      <c r="L252" s="741"/>
      <c r="M252" s="741"/>
      <c r="N252" s="741"/>
      <c r="O252" s="742"/>
      <c r="P252" s="738" t="s">
        <v>40</v>
      </c>
      <c r="Q252" s="739"/>
      <c r="R252" s="739"/>
      <c r="S252" s="739"/>
      <c r="T252" s="739"/>
      <c r="U252" s="739"/>
      <c r="V252" s="740"/>
      <c r="W252" s="42" t="s">
        <v>39</v>
      </c>
      <c r="X252" s="43">
        <f>IFERROR(X247/H247,"0")+IFERROR(X248/H248,"0")+IFERROR(X249/H249,"0")+IFERROR(X250/H250,"0")+IFERROR(X251/H251,"0")</f>
        <v>0</v>
      </c>
      <c r="Y252" s="43">
        <f>IFERROR(Y247/H247,"0")+IFERROR(Y248/H248,"0")+IFERROR(Y249/H249,"0")+IFERROR(Y250/H250,"0")+IFERROR(Y251/H251,"0")</f>
        <v>0</v>
      </c>
      <c r="Z252" s="43">
        <f>IFERROR(IF(Z247="",0,Z247),"0")+IFERROR(IF(Z248="",0,Z248),"0")+IFERROR(IF(Z249="",0,Z249),"0")+IFERROR(IF(Z250="",0,Z250),"0")+IFERROR(IF(Z251="",0,Z251),"0")</f>
        <v>0</v>
      </c>
      <c r="AA252" s="67"/>
      <c r="AB252" s="67"/>
      <c r="AC252" s="67"/>
    </row>
    <row r="253" spans="1:68" hidden="1" x14ac:dyDescent="0.2">
      <c r="A253" s="741"/>
      <c r="B253" s="741"/>
      <c r="C253" s="741"/>
      <c r="D253" s="741"/>
      <c r="E253" s="741"/>
      <c r="F253" s="741"/>
      <c r="G253" s="741"/>
      <c r="H253" s="741"/>
      <c r="I253" s="741"/>
      <c r="J253" s="741"/>
      <c r="K253" s="741"/>
      <c r="L253" s="741"/>
      <c r="M253" s="741"/>
      <c r="N253" s="741"/>
      <c r="O253" s="742"/>
      <c r="P253" s="738" t="s">
        <v>40</v>
      </c>
      <c r="Q253" s="739"/>
      <c r="R253" s="739"/>
      <c r="S253" s="739"/>
      <c r="T253" s="739"/>
      <c r="U253" s="739"/>
      <c r="V253" s="740"/>
      <c r="W253" s="42" t="s">
        <v>0</v>
      </c>
      <c r="X253" s="43">
        <f>IFERROR(SUM(X247:X251),"0")</f>
        <v>0</v>
      </c>
      <c r="Y253" s="43">
        <f>IFERROR(SUM(Y247:Y251),"0")</f>
        <v>0</v>
      </c>
      <c r="Z253" s="42"/>
      <c r="AA253" s="67"/>
      <c r="AB253" s="67"/>
      <c r="AC253" s="67"/>
    </row>
    <row r="254" spans="1:68" ht="14.25" hidden="1" customHeight="1" x14ac:dyDescent="0.25">
      <c r="A254" s="732" t="s">
        <v>294</v>
      </c>
      <c r="B254" s="732"/>
      <c r="C254" s="732"/>
      <c r="D254" s="732"/>
      <c r="E254" s="732"/>
      <c r="F254" s="732"/>
      <c r="G254" s="732"/>
      <c r="H254" s="732"/>
      <c r="I254" s="732"/>
      <c r="J254" s="732"/>
      <c r="K254" s="732"/>
      <c r="L254" s="732"/>
      <c r="M254" s="732"/>
      <c r="N254" s="732"/>
      <c r="O254" s="732"/>
      <c r="P254" s="732"/>
      <c r="Q254" s="732"/>
      <c r="R254" s="732"/>
      <c r="S254" s="732"/>
      <c r="T254" s="732"/>
      <c r="U254" s="732"/>
      <c r="V254" s="732"/>
      <c r="W254" s="732"/>
      <c r="X254" s="732"/>
      <c r="Y254" s="732"/>
      <c r="Z254" s="732"/>
      <c r="AA254" s="66"/>
      <c r="AB254" s="66"/>
      <c r="AC254" s="80"/>
    </row>
    <row r="255" spans="1:68" ht="27" hidden="1" customHeight="1" x14ac:dyDescent="0.25">
      <c r="A255" s="63" t="s">
        <v>448</v>
      </c>
      <c r="B255" s="63" t="s">
        <v>449</v>
      </c>
      <c r="C255" s="36">
        <v>4301032053</v>
      </c>
      <c r="D255" s="733">
        <v>4680115886780</v>
      </c>
      <c r="E255" s="733"/>
      <c r="F255" s="62">
        <v>7.0000000000000007E-2</v>
      </c>
      <c r="G255" s="37">
        <v>18</v>
      </c>
      <c r="H255" s="62">
        <v>1.26</v>
      </c>
      <c r="I255" s="62">
        <v>1.45</v>
      </c>
      <c r="J255" s="37">
        <v>216</v>
      </c>
      <c r="K255" s="37" t="s">
        <v>365</v>
      </c>
      <c r="L255" s="37" t="s">
        <v>46</v>
      </c>
      <c r="M255" s="38" t="s">
        <v>299</v>
      </c>
      <c r="N255" s="38"/>
      <c r="O255" s="37">
        <v>60</v>
      </c>
      <c r="P255" s="874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5" s="735"/>
      <c r="R255" s="735"/>
      <c r="S255" s="735"/>
      <c r="T255" s="736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IFERROR(IF(Y255=0,"",ROUNDUP(Y255/H255,0)*0.0059),"")</f>
        <v/>
      </c>
      <c r="AA255" s="68" t="s">
        <v>46</v>
      </c>
      <c r="AB255" s="69" t="s">
        <v>46</v>
      </c>
      <c r="AC255" s="352" t="s">
        <v>450</v>
      </c>
      <c r="AG255" s="78"/>
      <c r="AJ255" s="84" t="s">
        <v>46</v>
      </c>
      <c r="AK255" s="84">
        <v>0</v>
      </c>
      <c r="BB255" s="353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27" hidden="1" customHeight="1" x14ac:dyDescent="0.25">
      <c r="A256" s="63" t="s">
        <v>451</v>
      </c>
      <c r="B256" s="63" t="s">
        <v>452</v>
      </c>
      <c r="C256" s="36">
        <v>4301032051</v>
      </c>
      <c r="D256" s="733">
        <v>4680115886742</v>
      </c>
      <c r="E256" s="733"/>
      <c r="F256" s="62">
        <v>7.0000000000000007E-2</v>
      </c>
      <c r="G256" s="37">
        <v>18</v>
      </c>
      <c r="H256" s="62">
        <v>1.26</v>
      </c>
      <c r="I256" s="62">
        <v>1.45</v>
      </c>
      <c r="J256" s="37">
        <v>216</v>
      </c>
      <c r="K256" s="37" t="s">
        <v>365</v>
      </c>
      <c r="L256" s="37" t="s">
        <v>46</v>
      </c>
      <c r="M256" s="38" t="s">
        <v>299</v>
      </c>
      <c r="N256" s="38"/>
      <c r="O256" s="37">
        <v>90</v>
      </c>
      <c r="P256" s="875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6" s="735"/>
      <c r="R256" s="735"/>
      <c r="S256" s="735"/>
      <c r="T256" s="736"/>
      <c r="U256" s="39" t="s">
        <v>46</v>
      </c>
      <c r="V256" s="39" t="s">
        <v>46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IFERROR(IF(Y256=0,"",ROUNDUP(Y256/H256,0)*0.0059),"")</f>
        <v/>
      </c>
      <c r="AA256" s="68" t="s">
        <v>46</v>
      </c>
      <c r="AB256" s="69" t="s">
        <v>46</v>
      </c>
      <c r="AC256" s="354" t="s">
        <v>453</v>
      </c>
      <c r="AG256" s="78"/>
      <c r="AJ256" s="84" t="s">
        <v>46</v>
      </c>
      <c r="AK256" s="84">
        <v>0</v>
      </c>
      <c r="BB256" s="355" t="s">
        <v>67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t="27" hidden="1" customHeight="1" x14ac:dyDescent="0.25">
      <c r="A257" s="63" t="s">
        <v>454</v>
      </c>
      <c r="B257" s="63" t="s">
        <v>455</v>
      </c>
      <c r="C257" s="36">
        <v>4301032052</v>
      </c>
      <c r="D257" s="733">
        <v>4680115886766</v>
      </c>
      <c r="E257" s="733"/>
      <c r="F257" s="62">
        <v>7.0000000000000007E-2</v>
      </c>
      <c r="G257" s="37">
        <v>18</v>
      </c>
      <c r="H257" s="62">
        <v>1.26</v>
      </c>
      <c r="I257" s="62">
        <v>1.45</v>
      </c>
      <c r="J257" s="37">
        <v>216</v>
      </c>
      <c r="K257" s="37" t="s">
        <v>365</v>
      </c>
      <c r="L257" s="37" t="s">
        <v>46</v>
      </c>
      <c r="M257" s="38" t="s">
        <v>299</v>
      </c>
      <c r="N257" s="38"/>
      <c r="O257" s="37">
        <v>90</v>
      </c>
      <c r="P257" s="876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7" s="735"/>
      <c r="R257" s="735"/>
      <c r="S257" s="735"/>
      <c r="T257" s="736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IFERROR(IF(Y257=0,"",ROUNDUP(Y257/H257,0)*0.0059),"")</f>
        <v/>
      </c>
      <c r="AA257" s="68" t="s">
        <v>46</v>
      </c>
      <c r="AB257" s="69" t="s">
        <v>46</v>
      </c>
      <c r="AC257" s="356" t="s">
        <v>453</v>
      </c>
      <c r="AG257" s="78"/>
      <c r="AJ257" s="84" t="s">
        <v>46</v>
      </c>
      <c r="AK257" s="84">
        <v>0</v>
      </c>
      <c r="BB257" s="357" t="s">
        <v>67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idden="1" x14ac:dyDescent="0.2">
      <c r="A258" s="741"/>
      <c r="B258" s="741"/>
      <c r="C258" s="741"/>
      <c r="D258" s="741"/>
      <c r="E258" s="741"/>
      <c r="F258" s="741"/>
      <c r="G258" s="741"/>
      <c r="H258" s="741"/>
      <c r="I258" s="741"/>
      <c r="J258" s="741"/>
      <c r="K258" s="741"/>
      <c r="L258" s="741"/>
      <c r="M258" s="741"/>
      <c r="N258" s="741"/>
      <c r="O258" s="742"/>
      <c r="P258" s="738" t="s">
        <v>40</v>
      </c>
      <c r="Q258" s="739"/>
      <c r="R258" s="739"/>
      <c r="S258" s="739"/>
      <c r="T258" s="739"/>
      <c r="U258" s="739"/>
      <c r="V258" s="740"/>
      <c r="W258" s="42" t="s">
        <v>39</v>
      </c>
      <c r="X258" s="43">
        <f>IFERROR(X255/H255,"0")+IFERROR(X256/H256,"0")+IFERROR(X257/H257,"0")</f>
        <v>0</v>
      </c>
      <c r="Y258" s="43">
        <f>IFERROR(Y255/H255,"0")+IFERROR(Y256/H256,"0")+IFERROR(Y257/H257,"0")</f>
        <v>0</v>
      </c>
      <c r="Z258" s="43">
        <f>IFERROR(IF(Z255="",0,Z255),"0")+IFERROR(IF(Z256="",0,Z256),"0")+IFERROR(IF(Z257="",0,Z257),"0")</f>
        <v>0</v>
      </c>
      <c r="AA258" s="67"/>
      <c r="AB258" s="67"/>
      <c r="AC258" s="67"/>
    </row>
    <row r="259" spans="1:68" hidden="1" x14ac:dyDescent="0.2">
      <c r="A259" s="741"/>
      <c r="B259" s="741"/>
      <c r="C259" s="741"/>
      <c r="D259" s="741"/>
      <c r="E259" s="741"/>
      <c r="F259" s="741"/>
      <c r="G259" s="741"/>
      <c r="H259" s="741"/>
      <c r="I259" s="741"/>
      <c r="J259" s="741"/>
      <c r="K259" s="741"/>
      <c r="L259" s="741"/>
      <c r="M259" s="741"/>
      <c r="N259" s="741"/>
      <c r="O259" s="742"/>
      <c r="P259" s="738" t="s">
        <v>40</v>
      </c>
      <c r="Q259" s="739"/>
      <c r="R259" s="739"/>
      <c r="S259" s="739"/>
      <c r="T259" s="739"/>
      <c r="U259" s="739"/>
      <c r="V259" s="740"/>
      <c r="W259" s="42" t="s">
        <v>0</v>
      </c>
      <c r="X259" s="43">
        <f>IFERROR(SUM(X255:X257),"0")</f>
        <v>0</v>
      </c>
      <c r="Y259" s="43">
        <f>IFERROR(SUM(Y255:Y257),"0")</f>
        <v>0</v>
      </c>
      <c r="Z259" s="42"/>
      <c r="AA259" s="67"/>
      <c r="AB259" s="67"/>
      <c r="AC259" s="67"/>
    </row>
    <row r="260" spans="1:68" ht="14.25" hidden="1" customHeight="1" x14ac:dyDescent="0.25">
      <c r="A260" s="732" t="s">
        <v>456</v>
      </c>
      <c r="B260" s="732"/>
      <c r="C260" s="732"/>
      <c r="D260" s="732"/>
      <c r="E260" s="732"/>
      <c r="F260" s="732"/>
      <c r="G260" s="732"/>
      <c r="H260" s="732"/>
      <c r="I260" s="732"/>
      <c r="J260" s="732"/>
      <c r="K260" s="732"/>
      <c r="L260" s="732"/>
      <c r="M260" s="732"/>
      <c r="N260" s="732"/>
      <c r="O260" s="732"/>
      <c r="P260" s="732"/>
      <c r="Q260" s="732"/>
      <c r="R260" s="732"/>
      <c r="S260" s="732"/>
      <c r="T260" s="732"/>
      <c r="U260" s="732"/>
      <c r="V260" s="732"/>
      <c r="W260" s="732"/>
      <c r="X260" s="732"/>
      <c r="Y260" s="732"/>
      <c r="Z260" s="732"/>
      <c r="AA260" s="66"/>
      <c r="AB260" s="66"/>
      <c r="AC260" s="80"/>
    </row>
    <row r="261" spans="1:68" ht="27" hidden="1" customHeight="1" x14ac:dyDescent="0.25">
      <c r="A261" s="63" t="s">
        <v>457</v>
      </c>
      <c r="B261" s="63" t="s">
        <v>458</v>
      </c>
      <c r="C261" s="36">
        <v>4301170013</v>
      </c>
      <c r="D261" s="733">
        <v>4680115886797</v>
      </c>
      <c r="E261" s="733"/>
      <c r="F261" s="62">
        <v>7.0000000000000007E-2</v>
      </c>
      <c r="G261" s="37">
        <v>18</v>
      </c>
      <c r="H261" s="62">
        <v>1.26</v>
      </c>
      <c r="I261" s="62">
        <v>1.45</v>
      </c>
      <c r="J261" s="37">
        <v>216</v>
      </c>
      <c r="K261" s="37" t="s">
        <v>365</v>
      </c>
      <c r="L261" s="37" t="s">
        <v>46</v>
      </c>
      <c r="M261" s="38" t="s">
        <v>299</v>
      </c>
      <c r="N261" s="38"/>
      <c r="O261" s="37">
        <v>90</v>
      </c>
      <c r="P261" s="87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61" s="735"/>
      <c r="R261" s="735"/>
      <c r="S261" s="735"/>
      <c r="T261" s="736"/>
      <c r="U261" s="39" t="s">
        <v>46</v>
      </c>
      <c r="V261" s="39" t="s">
        <v>46</v>
      </c>
      <c r="W261" s="40" t="s">
        <v>0</v>
      </c>
      <c r="X261" s="58">
        <v>0</v>
      </c>
      <c r="Y261" s="55">
        <f>IFERROR(IF(X261="",0,CEILING((X261/$H261),1)*$H261),"")</f>
        <v>0</v>
      </c>
      <c r="Z261" s="41" t="str">
        <f>IFERROR(IF(Y261=0,"",ROUNDUP(Y261/H261,0)*0.0059),"")</f>
        <v/>
      </c>
      <c r="AA261" s="68" t="s">
        <v>46</v>
      </c>
      <c r="AB261" s="69" t="s">
        <v>46</v>
      </c>
      <c r="AC261" s="358" t="s">
        <v>453</v>
      </c>
      <c r="AG261" s="78"/>
      <c r="AJ261" s="84" t="s">
        <v>46</v>
      </c>
      <c r="AK261" s="84">
        <v>0</v>
      </c>
      <c r="BB261" s="359" t="s">
        <v>67</v>
      </c>
      <c r="BM261" s="78">
        <f>IFERROR(X261*I261/H261,"0")</f>
        <v>0</v>
      </c>
      <c r="BN261" s="78">
        <f>IFERROR(Y261*I261/H261,"0")</f>
        <v>0</v>
      </c>
      <c r="BO261" s="78">
        <f>IFERROR(1/J261*(X261/H261),"0")</f>
        <v>0</v>
      </c>
      <c r="BP261" s="78">
        <f>IFERROR(1/J261*(Y261/H261),"0")</f>
        <v>0</v>
      </c>
    </row>
    <row r="262" spans="1:68" hidden="1" x14ac:dyDescent="0.2">
      <c r="A262" s="741"/>
      <c r="B262" s="741"/>
      <c r="C262" s="741"/>
      <c r="D262" s="741"/>
      <c r="E262" s="741"/>
      <c r="F262" s="741"/>
      <c r="G262" s="741"/>
      <c r="H262" s="741"/>
      <c r="I262" s="741"/>
      <c r="J262" s="741"/>
      <c r="K262" s="741"/>
      <c r="L262" s="741"/>
      <c r="M262" s="741"/>
      <c r="N262" s="741"/>
      <c r="O262" s="742"/>
      <c r="P262" s="738" t="s">
        <v>40</v>
      </c>
      <c r="Q262" s="739"/>
      <c r="R262" s="739"/>
      <c r="S262" s="739"/>
      <c r="T262" s="739"/>
      <c r="U262" s="739"/>
      <c r="V262" s="740"/>
      <c r="W262" s="42" t="s">
        <v>39</v>
      </c>
      <c r="X262" s="43">
        <f>IFERROR(X261/H261,"0")</f>
        <v>0</v>
      </c>
      <c r="Y262" s="43">
        <f>IFERROR(Y261/H261,"0")</f>
        <v>0</v>
      </c>
      <c r="Z262" s="43">
        <f>IFERROR(IF(Z261="",0,Z261),"0")</f>
        <v>0</v>
      </c>
      <c r="AA262" s="67"/>
      <c r="AB262" s="67"/>
      <c r="AC262" s="67"/>
    </row>
    <row r="263" spans="1:68" hidden="1" x14ac:dyDescent="0.2">
      <c r="A263" s="741"/>
      <c r="B263" s="741"/>
      <c r="C263" s="741"/>
      <c r="D263" s="741"/>
      <c r="E263" s="741"/>
      <c r="F263" s="741"/>
      <c r="G263" s="741"/>
      <c r="H263" s="741"/>
      <c r="I263" s="741"/>
      <c r="J263" s="741"/>
      <c r="K263" s="741"/>
      <c r="L263" s="741"/>
      <c r="M263" s="741"/>
      <c r="N263" s="741"/>
      <c r="O263" s="742"/>
      <c r="P263" s="738" t="s">
        <v>40</v>
      </c>
      <c r="Q263" s="739"/>
      <c r="R263" s="739"/>
      <c r="S263" s="739"/>
      <c r="T263" s="739"/>
      <c r="U263" s="739"/>
      <c r="V263" s="740"/>
      <c r="W263" s="42" t="s">
        <v>0</v>
      </c>
      <c r="X263" s="43">
        <f>IFERROR(SUM(X261:X261),"0")</f>
        <v>0</v>
      </c>
      <c r="Y263" s="43">
        <f>IFERROR(SUM(Y261:Y261),"0")</f>
        <v>0</v>
      </c>
      <c r="Z263" s="42"/>
      <c r="AA263" s="67"/>
      <c r="AB263" s="67"/>
      <c r="AC263" s="67"/>
    </row>
    <row r="264" spans="1:68" ht="16.5" hidden="1" customHeight="1" x14ac:dyDescent="0.25">
      <c r="A264" s="731" t="s">
        <v>459</v>
      </c>
      <c r="B264" s="731"/>
      <c r="C264" s="731"/>
      <c r="D264" s="731"/>
      <c r="E264" s="731"/>
      <c r="F264" s="731"/>
      <c r="G264" s="731"/>
      <c r="H264" s="731"/>
      <c r="I264" s="731"/>
      <c r="J264" s="731"/>
      <c r="K264" s="731"/>
      <c r="L264" s="731"/>
      <c r="M264" s="731"/>
      <c r="N264" s="731"/>
      <c r="O264" s="731"/>
      <c r="P264" s="731"/>
      <c r="Q264" s="731"/>
      <c r="R264" s="731"/>
      <c r="S264" s="731"/>
      <c r="T264" s="731"/>
      <c r="U264" s="731"/>
      <c r="V264" s="731"/>
      <c r="W264" s="731"/>
      <c r="X264" s="731"/>
      <c r="Y264" s="731"/>
      <c r="Z264" s="731"/>
      <c r="AA264" s="65"/>
      <c r="AB264" s="65"/>
      <c r="AC264" s="79"/>
    </row>
    <row r="265" spans="1:68" ht="14.25" hidden="1" customHeight="1" x14ac:dyDescent="0.25">
      <c r="A265" s="732" t="s">
        <v>122</v>
      </c>
      <c r="B265" s="732"/>
      <c r="C265" s="732"/>
      <c r="D265" s="732"/>
      <c r="E265" s="732"/>
      <c r="F265" s="732"/>
      <c r="G265" s="732"/>
      <c r="H265" s="732"/>
      <c r="I265" s="732"/>
      <c r="J265" s="732"/>
      <c r="K265" s="732"/>
      <c r="L265" s="732"/>
      <c r="M265" s="732"/>
      <c r="N265" s="732"/>
      <c r="O265" s="732"/>
      <c r="P265" s="732"/>
      <c r="Q265" s="732"/>
      <c r="R265" s="732"/>
      <c r="S265" s="732"/>
      <c r="T265" s="732"/>
      <c r="U265" s="732"/>
      <c r="V265" s="732"/>
      <c r="W265" s="732"/>
      <c r="X265" s="732"/>
      <c r="Y265" s="732"/>
      <c r="Z265" s="732"/>
      <c r="AA265" s="66"/>
      <c r="AB265" s="66"/>
      <c r="AC265" s="80"/>
    </row>
    <row r="266" spans="1:68" ht="27" hidden="1" customHeight="1" x14ac:dyDescent="0.25">
      <c r="A266" s="63" t="s">
        <v>460</v>
      </c>
      <c r="B266" s="63" t="s">
        <v>461</v>
      </c>
      <c r="C266" s="36">
        <v>4301011450</v>
      </c>
      <c r="D266" s="733">
        <v>4680115881402</v>
      </c>
      <c r="E266" s="733"/>
      <c r="F266" s="62">
        <v>1.35</v>
      </c>
      <c r="G266" s="37">
        <v>8</v>
      </c>
      <c r="H266" s="62">
        <v>10.8</v>
      </c>
      <c r="I266" s="62">
        <v>11.21</v>
      </c>
      <c r="J266" s="37">
        <v>64</v>
      </c>
      <c r="K266" s="37" t="s">
        <v>127</v>
      </c>
      <c r="L266" s="37" t="s">
        <v>46</v>
      </c>
      <c r="M266" s="38" t="s">
        <v>126</v>
      </c>
      <c r="N266" s="38"/>
      <c r="O266" s="37">
        <v>55</v>
      </c>
      <c r="P266" s="878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6" s="735"/>
      <c r="R266" s="735"/>
      <c r="S266" s="735"/>
      <c r="T266" s="736"/>
      <c r="U266" s="39" t="s">
        <v>46</v>
      </c>
      <c r="V266" s="39" t="s">
        <v>46</v>
      </c>
      <c r="W266" s="40" t="s">
        <v>0</v>
      </c>
      <c r="X266" s="58">
        <v>0</v>
      </c>
      <c r="Y266" s="55">
        <f>IFERROR(IF(X266="",0,CEILING((X266/$H266),1)*$H266),"")</f>
        <v>0</v>
      </c>
      <c r="Z266" s="41" t="str">
        <f>IFERROR(IF(Y266=0,"",ROUNDUP(Y266/H266,0)*0.01898),"")</f>
        <v/>
      </c>
      <c r="AA266" s="68" t="s">
        <v>46</v>
      </c>
      <c r="AB266" s="69" t="s">
        <v>46</v>
      </c>
      <c r="AC266" s="360" t="s">
        <v>462</v>
      </c>
      <c r="AG266" s="78"/>
      <c r="AJ266" s="84" t="s">
        <v>46</v>
      </c>
      <c r="AK266" s="84">
        <v>0</v>
      </c>
      <c r="BB266" s="361" t="s">
        <v>67</v>
      </c>
      <c r="BM266" s="78">
        <f>IFERROR(X266*I266/H266,"0")</f>
        <v>0</v>
      </c>
      <c r="BN266" s="78">
        <f>IFERROR(Y266*I266/H266,"0")</f>
        <v>0</v>
      </c>
      <c r="BO266" s="78">
        <f>IFERROR(1/J266*(X266/H266),"0")</f>
        <v>0</v>
      </c>
      <c r="BP266" s="78">
        <f>IFERROR(1/J266*(Y266/H266),"0")</f>
        <v>0</v>
      </c>
    </row>
    <row r="267" spans="1:68" ht="27" hidden="1" customHeight="1" x14ac:dyDescent="0.25">
      <c r="A267" s="63" t="s">
        <v>463</v>
      </c>
      <c r="B267" s="63" t="s">
        <v>464</v>
      </c>
      <c r="C267" s="36">
        <v>4301011768</v>
      </c>
      <c r="D267" s="733">
        <v>4680115881396</v>
      </c>
      <c r="E267" s="733"/>
      <c r="F267" s="62">
        <v>0.45</v>
      </c>
      <c r="G267" s="37">
        <v>6</v>
      </c>
      <c r="H267" s="62">
        <v>2.7</v>
      </c>
      <c r="I267" s="62">
        <v>2.88</v>
      </c>
      <c r="J267" s="37">
        <v>182</v>
      </c>
      <c r="K267" s="37" t="s">
        <v>91</v>
      </c>
      <c r="L267" s="37" t="s">
        <v>46</v>
      </c>
      <c r="M267" s="38" t="s">
        <v>126</v>
      </c>
      <c r="N267" s="38"/>
      <c r="O267" s="37">
        <v>55</v>
      </c>
      <c r="P267" s="879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7" s="735"/>
      <c r="R267" s="735"/>
      <c r="S267" s="735"/>
      <c r="T267" s="736"/>
      <c r="U267" s="39" t="s">
        <v>46</v>
      </c>
      <c r="V267" s="39" t="s">
        <v>46</v>
      </c>
      <c r="W267" s="40" t="s">
        <v>0</v>
      </c>
      <c r="X267" s="58">
        <v>0</v>
      </c>
      <c r="Y267" s="55">
        <f>IFERROR(IF(X267="",0,CEILING((X267/$H267),1)*$H267),"")</f>
        <v>0</v>
      </c>
      <c r="Z267" s="41" t="str">
        <f>IFERROR(IF(Y267=0,"",ROUNDUP(Y267/H267,0)*0.00651),"")</f>
        <v/>
      </c>
      <c r="AA267" s="68" t="s">
        <v>46</v>
      </c>
      <c r="AB267" s="69" t="s">
        <v>46</v>
      </c>
      <c r="AC267" s="362" t="s">
        <v>462</v>
      </c>
      <c r="AG267" s="78"/>
      <c r="AJ267" s="84" t="s">
        <v>46</v>
      </c>
      <c r="AK267" s="84">
        <v>0</v>
      </c>
      <c r="BB267" s="363" t="s">
        <v>67</v>
      </c>
      <c r="BM267" s="78">
        <f>IFERROR(X267*I267/H267,"0")</f>
        <v>0</v>
      </c>
      <c r="BN267" s="78">
        <f>IFERROR(Y267*I267/H267,"0")</f>
        <v>0</v>
      </c>
      <c r="BO267" s="78">
        <f>IFERROR(1/J267*(X267/H267),"0")</f>
        <v>0</v>
      </c>
      <c r="BP267" s="78">
        <f>IFERROR(1/J267*(Y267/H267),"0")</f>
        <v>0</v>
      </c>
    </row>
    <row r="268" spans="1:68" hidden="1" x14ac:dyDescent="0.2">
      <c r="A268" s="741"/>
      <c r="B268" s="741"/>
      <c r="C268" s="741"/>
      <c r="D268" s="741"/>
      <c r="E268" s="741"/>
      <c r="F268" s="741"/>
      <c r="G268" s="741"/>
      <c r="H268" s="741"/>
      <c r="I268" s="741"/>
      <c r="J268" s="741"/>
      <c r="K268" s="741"/>
      <c r="L268" s="741"/>
      <c r="M268" s="741"/>
      <c r="N268" s="741"/>
      <c r="O268" s="742"/>
      <c r="P268" s="738" t="s">
        <v>40</v>
      </c>
      <c r="Q268" s="739"/>
      <c r="R268" s="739"/>
      <c r="S268" s="739"/>
      <c r="T268" s="739"/>
      <c r="U268" s="739"/>
      <c r="V268" s="740"/>
      <c r="W268" s="42" t="s">
        <v>39</v>
      </c>
      <c r="X268" s="43">
        <f>IFERROR(X266/H266,"0")+IFERROR(X267/H267,"0")</f>
        <v>0</v>
      </c>
      <c r="Y268" s="43">
        <f>IFERROR(Y266/H266,"0")+IFERROR(Y267/H267,"0")</f>
        <v>0</v>
      </c>
      <c r="Z268" s="43">
        <f>IFERROR(IF(Z266="",0,Z266),"0")+IFERROR(IF(Z267="",0,Z267),"0")</f>
        <v>0</v>
      </c>
      <c r="AA268" s="67"/>
      <c r="AB268" s="67"/>
      <c r="AC268" s="67"/>
    </row>
    <row r="269" spans="1:68" hidden="1" x14ac:dyDescent="0.2">
      <c r="A269" s="741"/>
      <c r="B269" s="741"/>
      <c r="C269" s="741"/>
      <c r="D269" s="741"/>
      <c r="E269" s="741"/>
      <c r="F269" s="741"/>
      <c r="G269" s="741"/>
      <c r="H269" s="741"/>
      <c r="I269" s="741"/>
      <c r="J269" s="741"/>
      <c r="K269" s="741"/>
      <c r="L269" s="741"/>
      <c r="M269" s="741"/>
      <c r="N269" s="741"/>
      <c r="O269" s="742"/>
      <c r="P269" s="738" t="s">
        <v>40</v>
      </c>
      <c r="Q269" s="739"/>
      <c r="R269" s="739"/>
      <c r="S269" s="739"/>
      <c r="T269" s="739"/>
      <c r="U269" s="739"/>
      <c r="V269" s="740"/>
      <c r="W269" s="42" t="s">
        <v>0</v>
      </c>
      <c r="X269" s="43">
        <f>IFERROR(SUM(X266:X267),"0")</f>
        <v>0</v>
      </c>
      <c r="Y269" s="43">
        <f>IFERROR(SUM(Y266:Y267),"0")</f>
        <v>0</v>
      </c>
      <c r="Z269" s="42"/>
      <c r="AA269" s="67"/>
      <c r="AB269" s="67"/>
      <c r="AC269" s="67"/>
    </row>
    <row r="270" spans="1:68" ht="14.25" hidden="1" customHeight="1" x14ac:dyDescent="0.25">
      <c r="A270" s="732" t="s">
        <v>155</v>
      </c>
      <c r="B270" s="732"/>
      <c r="C270" s="732"/>
      <c r="D270" s="732"/>
      <c r="E270" s="732"/>
      <c r="F270" s="732"/>
      <c r="G270" s="732"/>
      <c r="H270" s="732"/>
      <c r="I270" s="732"/>
      <c r="J270" s="732"/>
      <c r="K270" s="732"/>
      <c r="L270" s="732"/>
      <c r="M270" s="732"/>
      <c r="N270" s="732"/>
      <c r="O270" s="732"/>
      <c r="P270" s="732"/>
      <c r="Q270" s="732"/>
      <c r="R270" s="732"/>
      <c r="S270" s="732"/>
      <c r="T270" s="732"/>
      <c r="U270" s="732"/>
      <c r="V270" s="732"/>
      <c r="W270" s="732"/>
      <c r="X270" s="732"/>
      <c r="Y270" s="732"/>
      <c r="Z270" s="732"/>
      <c r="AA270" s="66"/>
      <c r="AB270" s="66"/>
      <c r="AC270" s="80"/>
    </row>
    <row r="271" spans="1:68" ht="16.5" hidden="1" customHeight="1" x14ac:dyDescent="0.25">
      <c r="A271" s="63" t="s">
        <v>465</v>
      </c>
      <c r="B271" s="63" t="s">
        <v>466</v>
      </c>
      <c r="C271" s="36">
        <v>4301020261</v>
      </c>
      <c r="D271" s="733">
        <v>4680115882935</v>
      </c>
      <c r="E271" s="733"/>
      <c r="F271" s="62">
        <v>1.35</v>
      </c>
      <c r="G271" s="37">
        <v>8</v>
      </c>
      <c r="H271" s="62">
        <v>10.8</v>
      </c>
      <c r="I271" s="62">
        <v>11.21</v>
      </c>
      <c r="J271" s="37">
        <v>64</v>
      </c>
      <c r="K271" s="37" t="s">
        <v>127</v>
      </c>
      <c r="L271" s="37" t="s">
        <v>46</v>
      </c>
      <c r="M271" s="38" t="s">
        <v>126</v>
      </c>
      <c r="N271" s="38"/>
      <c r="O271" s="37">
        <v>50</v>
      </c>
      <c r="P271" s="88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71" s="735"/>
      <c r="R271" s="735"/>
      <c r="S271" s="735"/>
      <c r="T271" s="736"/>
      <c r="U271" s="39" t="s">
        <v>46</v>
      </c>
      <c r="V271" s="39" t="s">
        <v>46</v>
      </c>
      <c r="W271" s="40" t="s">
        <v>0</v>
      </c>
      <c r="X271" s="58">
        <v>0</v>
      </c>
      <c r="Y271" s="55">
        <f>IFERROR(IF(X271="",0,CEILING((X271/$H271),1)*$H271),"")</f>
        <v>0</v>
      </c>
      <c r="Z271" s="41" t="str">
        <f>IFERROR(IF(Y271=0,"",ROUNDUP(Y271/H271,0)*0.01898),"")</f>
        <v/>
      </c>
      <c r="AA271" s="68" t="s">
        <v>46</v>
      </c>
      <c r="AB271" s="69" t="s">
        <v>46</v>
      </c>
      <c r="AC271" s="364" t="s">
        <v>467</v>
      </c>
      <c r="AG271" s="78"/>
      <c r="AJ271" s="84" t="s">
        <v>46</v>
      </c>
      <c r="AK271" s="84">
        <v>0</v>
      </c>
      <c r="BB271" s="365" t="s">
        <v>67</v>
      </c>
      <c r="BM271" s="78">
        <f>IFERROR(X271*I271/H271,"0")</f>
        <v>0</v>
      </c>
      <c r="BN271" s="78">
        <f>IFERROR(Y271*I271/H271,"0")</f>
        <v>0</v>
      </c>
      <c r="BO271" s="78">
        <f>IFERROR(1/J271*(X271/H271),"0")</f>
        <v>0</v>
      </c>
      <c r="BP271" s="78">
        <f>IFERROR(1/J271*(Y271/H271),"0")</f>
        <v>0</v>
      </c>
    </row>
    <row r="272" spans="1:68" ht="16.5" hidden="1" customHeight="1" x14ac:dyDescent="0.25">
      <c r="A272" s="63" t="s">
        <v>468</v>
      </c>
      <c r="B272" s="63" t="s">
        <v>469</v>
      </c>
      <c r="C272" s="36">
        <v>4301020220</v>
      </c>
      <c r="D272" s="733">
        <v>4680115880764</v>
      </c>
      <c r="E272" s="733"/>
      <c r="F272" s="62">
        <v>0.35</v>
      </c>
      <c r="G272" s="37">
        <v>6</v>
      </c>
      <c r="H272" s="62">
        <v>2.1</v>
      </c>
      <c r="I272" s="62">
        <v>2.2799999999999998</v>
      </c>
      <c r="J272" s="37">
        <v>182</v>
      </c>
      <c r="K272" s="37" t="s">
        <v>91</v>
      </c>
      <c r="L272" s="37" t="s">
        <v>46</v>
      </c>
      <c r="M272" s="38" t="s">
        <v>126</v>
      </c>
      <c r="N272" s="38"/>
      <c r="O272" s="37">
        <v>50</v>
      </c>
      <c r="P272" s="881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72" s="735"/>
      <c r="R272" s="735"/>
      <c r="S272" s="735"/>
      <c r="T272" s="736"/>
      <c r="U272" s="39" t="s">
        <v>46</v>
      </c>
      <c r="V272" s="39" t="s">
        <v>46</v>
      </c>
      <c r="W272" s="40" t="s">
        <v>0</v>
      </c>
      <c r="X272" s="58">
        <v>0</v>
      </c>
      <c r="Y272" s="55">
        <f>IFERROR(IF(X272="",0,CEILING((X272/$H272),1)*$H272),"")</f>
        <v>0</v>
      </c>
      <c r="Z272" s="41" t="str">
        <f>IFERROR(IF(Y272=0,"",ROUNDUP(Y272/H272,0)*0.00651),"")</f>
        <v/>
      </c>
      <c r="AA272" s="68" t="s">
        <v>46</v>
      </c>
      <c r="AB272" s="69" t="s">
        <v>46</v>
      </c>
      <c r="AC272" s="366" t="s">
        <v>467</v>
      </c>
      <c r="AG272" s="78"/>
      <c r="AJ272" s="84" t="s">
        <v>46</v>
      </c>
      <c r="AK272" s="84">
        <v>0</v>
      </c>
      <c r="BB272" s="367" t="s">
        <v>67</v>
      </c>
      <c r="BM272" s="78">
        <f>IFERROR(X272*I272/H272,"0")</f>
        <v>0</v>
      </c>
      <c r="BN272" s="78">
        <f>IFERROR(Y272*I272/H272,"0")</f>
        <v>0</v>
      </c>
      <c r="BO272" s="78">
        <f>IFERROR(1/J272*(X272/H272),"0")</f>
        <v>0</v>
      </c>
      <c r="BP272" s="78">
        <f>IFERROR(1/J272*(Y272/H272),"0")</f>
        <v>0</v>
      </c>
    </row>
    <row r="273" spans="1:68" hidden="1" x14ac:dyDescent="0.2">
      <c r="A273" s="741"/>
      <c r="B273" s="741"/>
      <c r="C273" s="741"/>
      <c r="D273" s="741"/>
      <c r="E273" s="741"/>
      <c r="F273" s="741"/>
      <c r="G273" s="741"/>
      <c r="H273" s="741"/>
      <c r="I273" s="741"/>
      <c r="J273" s="741"/>
      <c r="K273" s="741"/>
      <c r="L273" s="741"/>
      <c r="M273" s="741"/>
      <c r="N273" s="741"/>
      <c r="O273" s="742"/>
      <c r="P273" s="738" t="s">
        <v>40</v>
      </c>
      <c r="Q273" s="739"/>
      <c r="R273" s="739"/>
      <c r="S273" s="739"/>
      <c r="T273" s="739"/>
      <c r="U273" s="739"/>
      <c r="V273" s="740"/>
      <c r="W273" s="42" t="s">
        <v>39</v>
      </c>
      <c r="X273" s="43">
        <f>IFERROR(X271/H271,"0")+IFERROR(X272/H272,"0")</f>
        <v>0</v>
      </c>
      <c r="Y273" s="43">
        <f>IFERROR(Y271/H271,"0")+IFERROR(Y272/H272,"0")</f>
        <v>0</v>
      </c>
      <c r="Z273" s="43">
        <f>IFERROR(IF(Z271="",0,Z271),"0")+IFERROR(IF(Z272="",0,Z272),"0")</f>
        <v>0</v>
      </c>
      <c r="AA273" s="67"/>
      <c r="AB273" s="67"/>
      <c r="AC273" s="67"/>
    </row>
    <row r="274" spans="1:68" hidden="1" x14ac:dyDescent="0.2">
      <c r="A274" s="741"/>
      <c r="B274" s="741"/>
      <c r="C274" s="741"/>
      <c r="D274" s="741"/>
      <c r="E274" s="741"/>
      <c r="F274" s="741"/>
      <c r="G274" s="741"/>
      <c r="H274" s="741"/>
      <c r="I274" s="741"/>
      <c r="J274" s="741"/>
      <c r="K274" s="741"/>
      <c r="L274" s="741"/>
      <c r="M274" s="741"/>
      <c r="N274" s="741"/>
      <c r="O274" s="742"/>
      <c r="P274" s="738" t="s">
        <v>40</v>
      </c>
      <c r="Q274" s="739"/>
      <c r="R274" s="739"/>
      <c r="S274" s="739"/>
      <c r="T274" s="739"/>
      <c r="U274" s="739"/>
      <c r="V274" s="740"/>
      <c r="W274" s="42" t="s">
        <v>0</v>
      </c>
      <c r="X274" s="43">
        <f>IFERROR(SUM(X271:X272),"0")</f>
        <v>0</v>
      </c>
      <c r="Y274" s="43">
        <f>IFERROR(SUM(Y271:Y272),"0")</f>
        <v>0</v>
      </c>
      <c r="Z274" s="42"/>
      <c r="AA274" s="67"/>
      <c r="AB274" s="67"/>
      <c r="AC274" s="67"/>
    </row>
    <row r="275" spans="1:68" ht="14.25" hidden="1" customHeight="1" x14ac:dyDescent="0.25">
      <c r="A275" s="732" t="s">
        <v>77</v>
      </c>
      <c r="B275" s="732"/>
      <c r="C275" s="732"/>
      <c r="D275" s="732"/>
      <c r="E275" s="732"/>
      <c r="F275" s="732"/>
      <c r="G275" s="732"/>
      <c r="H275" s="732"/>
      <c r="I275" s="732"/>
      <c r="J275" s="732"/>
      <c r="K275" s="732"/>
      <c r="L275" s="732"/>
      <c r="M275" s="732"/>
      <c r="N275" s="732"/>
      <c r="O275" s="732"/>
      <c r="P275" s="732"/>
      <c r="Q275" s="732"/>
      <c r="R275" s="732"/>
      <c r="S275" s="732"/>
      <c r="T275" s="732"/>
      <c r="U275" s="732"/>
      <c r="V275" s="732"/>
      <c r="W275" s="732"/>
      <c r="X275" s="732"/>
      <c r="Y275" s="732"/>
      <c r="Z275" s="732"/>
      <c r="AA275" s="66"/>
      <c r="AB275" s="66"/>
      <c r="AC275" s="80"/>
    </row>
    <row r="276" spans="1:68" ht="27" hidden="1" customHeight="1" x14ac:dyDescent="0.25">
      <c r="A276" s="63" t="s">
        <v>470</v>
      </c>
      <c r="B276" s="63" t="s">
        <v>471</v>
      </c>
      <c r="C276" s="36">
        <v>4301031224</v>
      </c>
      <c r="D276" s="733">
        <v>4680115882683</v>
      </c>
      <c r="E276" s="733"/>
      <c r="F276" s="62">
        <v>0.9</v>
      </c>
      <c r="G276" s="37">
        <v>6</v>
      </c>
      <c r="H276" s="62">
        <v>5.4</v>
      </c>
      <c r="I276" s="62">
        <v>5.59</v>
      </c>
      <c r="J276" s="37">
        <v>132</v>
      </c>
      <c r="K276" s="37" t="s">
        <v>134</v>
      </c>
      <c r="L276" s="37" t="s">
        <v>46</v>
      </c>
      <c r="M276" s="38" t="s">
        <v>81</v>
      </c>
      <c r="N276" s="38"/>
      <c r="O276" s="37">
        <v>40</v>
      </c>
      <c r="P276" s="882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6" s="735"/>
      <c r="R276" s="735"/>
      <c r="S276" s="735"/>
      <c r="T276" s="736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ref="Y276:Y283" si="45">IFERROR(IF(X276="",0,CEILING((X276/$H276),1)*$H276),"")</f>
        <v>0</v>
      </c>
      <c r="Z276" s="41" t="str">
        <f>IFERROR(IF(Y276=0,"",ROUNDUP(Y276/H276,0)*0.00902),"")</f>
        <v/>
      </c>
      <c r="AA276" s="68" t="s">
        <v>46</v>
      </c>
      <c r="AB276" s="69" t="s">
        <v>46</v>
      </c>
      <c r="AC276" s="368" t="s">
        <v>472</v>
      </c>
      <c r="AG276" s="78"/>
      <c r="AJ276" s="84" t="s">
        <v>46</v>
      </c>
      <c r="AK276" s="84">
        <v>0</v>
      </c>
      <c r="BB276" s="369" t="s">
        <v>67</v>
      </c>
      <c r="BM276" s="78">
        <f t="shared" ref="BM276:BM283" si="46">IFERROR(X276*I276/H276,"0")</f>
        <v>0</v>
      </c>
      <c r="BN276" s="78">
        <f t="shared" ref="BN276:BN283" si="47">IFERROR(Y276*I276/H276,"0")</f>
        <v>0</v>
      </c>
      <c r="BO276" s="78">
        <f t="shared" ref="BO276:BO283" si="48">IFERROR(1/J276*(X276/H276),"0")</f>
        <v>0</v>
      </c>
      <c r="BP276" s="78">
        <f t="shared" ref="BP276:BP283" si="49">IFERROR(1/J276*(Y276/H276),"0")</f>
        <v>0</v>
      </c>
    </row>
    <row r="277" spans="1:68" ht="27" hidden="1" customHeight="1" x14ac:dyDescent="0.25">
      <c r="A277" s="63" t="s">
        <v>473</v>
      </c>
      <c r="B277" s="63" t="s">
        <v>474</v>
      </c>
      <c r="C277" s="36">
        <v>4301031230</v>
      </c>
      <c r="D277" s="733">
        <v>4680115882690</v>
      </c>
      <c r="E277" s="733"/>
      <c r="F277" s="62">
        <v>0.9</v>
      </c>
      <c r="G277" s="37">
        <v>6</v>
      </c>
      <c r="H277" s="62">
        <v>5.4</v>
      </c>
      <c r="I277" s="62">
        <v>5.59</v>
      </c>
      <c r="J277" s="37">
        <v>132</v>
      </c>
      <c r="K277" s="37" t="s">
        <v>134</v>
      </c>
      <c r="L277" s="37" t="s">
        <v>46</v>
      </c>
      <c r="M277" s="38" t="s">
        <v>81</v>
      </c>
      <c r="N277" s="38"/>
      <c r="O277" s="37">
        <v>40</v>
      </c>
      <c r="P277" s="88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7" s="735"/>
      <c r="R277" s="735"/>
      <c r="S277" s="735"/>
      <c r="T277" s="736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45"/>
        <v>0</v>
      </c>
      <c r="Z277" s="41" t="str">
        <f>IFERROR(IF(Y277=0,"",ROUNDUP(Y277/H277,0)*0.00902),"")</f>
        <v/>
      </c>
      <c r="AA277" s="68" t="s">
        <v>46</v>
      </c>
      <c r="AB277" s="69" t="s">
        <v>46</v>
      </c>
      <c r="AC277" s="370" t="s">
        <v>475</v>
      </c>
      <c r="AG277" s="78"/>
      <c r="AJ277" s="84" t="s">
        <v>46</v>
      </c>
      <c r="AK277" s="84">
        <v>0</v>
      </c>
      <c r="BB277" s="371" t="s">
        <v>67</v>
      </c>
      <c r="BM277" s="78">
        <f t="shared" si="46"/>
        <v>0</v>
      </c>
      <c r="BN277" s="78">
        <f t="shared" si="47"/>
        <v>0</v>
      </c>
      <c r="BO277" s="78">
        <f t="shared" si="48"/>
        <v>0</v>
      </c>
      <c r="BP277" s="78">
        <f t="shared" si="49"/>
        <v>0</v>
      </c>
    </row>
    <row r="278" spans="1:68" ht="27" hidden="1" customHeight="1" x14ac:dyDescent="0.25">
      <c r="A278" s="63" t="s">
        <v>476</v>
      </c>
      <c r="B278" s="63" t="s">
        <v>477</v>
      </c>
      <c r="C278" s="36">
        <v>4301031220</v>
      </c>
      <c r="D278" s="733">
        <v>4680115882669</v>
      </c>
      <c r="E278" s="733"/>
      <c r="F278" s="62">
        <v>0.9</v>
      </c>
      <c r="G278" s="37">
        <v>6</v>
      </c>
      <c r="H278" s="62">
        <v>5.4</v>
      </c>
      <c r="I278" s="62">
        <v>5.59</v>
      </c>
      <c r="J278" s="37">
        <v>132</v>
      </c>
      <c r="K278" s="37" t="s">
        <v>134</v>
      </c>
      <c r="L278" s="37" t="s">
        <v>46</v>
      </c>
      <c r="M278" s="38" t="s">
        <v>81</v>
      </c>
      <c r="N278" s="38"/>
      <c r="O278" s="37">
        <v>40</v>
      </c>
      <c r="P278" s="884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8" s="735"/>
      <c r="R278" s="735"/>
      <c r="S278" s="735"/>
      <c r="T278" s="736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45"/>
        <v>0</v>
      </c>
      <c r="Z278" s="41" t="str">
        <f>IFERROR(IF(Y278=0,"",ROUNDUP(Y278/H278,0)*0.00902),"")</f>
        <v/>
      </c>
      <c r="AA278" s="68" t="s">
        <v>46</v>
      </c>
      <c r="AB278" s="69" t="s">
        <v>46</v>
      </c>
      <c r="AC278" s="372" t="s">
        <v>478</v>
      </c>
      <c r="AG278" s="78"/>
      <c r="AJ278" s="84" t="s">
        <v>46</v>
      </c>
      <c r="AK278" s="84">
        <v>0</v>
      </c>
      <c r="BB278" s="373" t="s">
        <v>67</v>
      </c>
      <c r="BM278" s="78">
        <f t="shared" si="46"/>
        <v>0</v>
      </c>
      <c r="BN278" s="78">
        <f t="shared" si="47"/>
        <v>0</v>
      </c>
      <c r="BO278" s="78">
        <f t="shared" si="48"/>
        <v>0</v>
      </c>
      <c r="BP278" s="78">
        <f t="shared" si="49"/>
        <v>0</v>
      </c>
    </row>
    <row r="279" spans="1:68" ht="27" hidden="1" customHeight="1" x14ac:dyDescent="0.25">
      <c r="A279" s="63" t="s">
        <v>479</v>
      </c>
      <c r="B279" s="63" t="s">
        <v>480</v>
      </c>
      <c r="C279" s="36">
        <v>4301031221</v>
      </c>
      <c r="D279" s="733">
        <v>4680115882676</v>
      </c>
      <c r="E279" s="733"/>
      <c r="F279" s="62">
        <v>0.9</v>
      </c>
      <c r="G279" s="37">
        <v>6</v>
      </c>
      <c r="H279" s="62">
        <v>5.4</v>
      </c>
      <c r="I279" s="62">
        <v>5.59</v>
      </c>
      <c r="J279" s="37">
        <v>132</v>
      </c>
      <c r="K279" s="37" t="s">
        <v>134</v>
      </c>
      <c r="L279" s="37" t="s">
        <v>46</v>
      </c>
      <c r="M279" s="38" t="s">
        <v>81</v>
      </c>
      <c r="N279" s="38"/>
      <c r="O279" s="37">
        <v>40</v>
      </c>
      <c r="P279" s="885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9" s="735"/>
      <c r="R279" s="735"/>
      <c r="S279" s="735"/>
      <c r="T279" s="736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45"/>
        <v>0</v>
      </c>
      <c r="Z279" s="41" t="str">
        <f>IFERROR(IF(Y279=0,"",ROUNDUP(Y279/H279,0)*0.00902),"")</f>
        <v/>
      </c>
      <c r="AA279" s="68" t="s">
        <v>46</v>
      </c>
      <c r="AB279" s="69" t="s">
        <v>46</v>
      </c>
      <c r="AC279" s="374" t="s">
        <v>481</v>
      </c>
      <c r="AG279" s="78"/>
      <c r="AJ279" s="84" t="s">
        <v>46</v>
      </c>
      <c r="AK279" s="84">
        <v>0</v>
      </c>
      <c r="BB279" s="375" t="s">
        <v>67</v>
      </c>
      <c r="BM279" s="78">
        <f t="shared" si="46"/>
        <v>0</v>
      </c>
      <c r="BN279" s="78">
        <f t="shared" si="47"/>
        <v>0</v>
      </c>
      <c r="BO279" s="78">
        <f t="shared" si="48"/>
        <v>0</v>
      </c>
      <c r="BP279" s="78">
        <f t="shared" si="49"/>
        <v>0</v>
      </c>
    </row>
    <row r="280" spans="1:68" ht="27" customHeight="1" x14ac:dyDescent="0.25">
      <c r="A280" s="63" t="s">
        <v>482</v>
      </c>
      <c r="B280" s="63" t="s">
        <v>483</v>
      </c>
      <c r="C280" s="36">
        <v>4301031223</v>
      </c>
      <c r="D280" s="733">
        <v>4680115884014</v>
      </c>
      <c r="E280" s="733"/>
      <c r="F280" s="62">
        <v>0.3</v>
      </c>
      <c r="G280" s="37">
        <v>6</v>
      </c>
      <c r="H280" s="62">
        <v>1.8</v>
      </c>
      <c r="I280" s="62">
        <v>1.93</v>
      </c>
      <c r="J280" s="37">
        <v>234</v>
      </c>
      <c r="K280" s="37" t="s">
        <v>82</v>
      </c>
      <c r="L280" s="37" t="s">
        <v>46</v>
      </c>
      <c r="M280" s="38" t="s">
        <v>81</v>
      </c>
      <c r="N280" s="38"/>
      <c r="O280" s="37">
        <v>40</v>
      </c>
      <c r="P280" s="886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80" s="735"/>
      <c r="R280" s="735"/>
      <c r="S280" s="735"/>
      <c r="T280" s="736"/>
      <c r="U280" s="39" t="s">
        <v>46</v>
      </c>
      <c r="V280" s="39" t="s">
        <v>46</v>
      </c>
      <c r="W280" s="40" t="s">
        <v>0</v>
      </c>
      <c r="X280" s="58">
        <v>210</v>
      </c>
      <c r="Y280" s="55">
        <f t="shared" si="45"/>
        <v>210.6</v>
      </c>
      <c r="Z280" s="41">
        <f>IFERROR(IF(Y280=0,"",ROUNDUP(Y280/H280,0)*0.00502),"")</f>
        <v>0.58733999999999997</v>
      </c>
      <c r="AA280" s="68" t="s">
        <v>46</v>
      </c>
      <c r="AB280" s="69" t="s">
        <v>46</v>
      </c>
      <c r="AC280" s="376" t="s">
        <v>472</v>
      </c>
      <c r="AG280" s="78"/>
      <c r="AJ280" s="84" t="s">
        <v>46</v>
      </c>
      <c r="AK280" s="84">
        <v>0</v>
      </c>
      <c r="BB280" s="377" t="s">
        <v>67</v>
      </c>
      <c r="BM280" s="78">
        <f t="shared" si="46"/>
        <v>225.16666666666666</v>
      </c>
      <c r="BN280" s="78">
        <f t="shared" si="47"/>
        <v>225.80999999999997</v>
      </c>
      <c r="BO280" s="78">
        <f t="shared" si="48"/>
        <v>0.4985754985754986</v>
      </c>
      <c r="BP280" s="78">
        <f t="shared" si="49"/>
        <v>0.5</v>
      </c>
    </row>
    <row r="281" spans="1:68" ht="27" customHeight="1" x14ac:dyDescent="0.25">
      <c r="A281" s="63" t="s">
        <v>484</v>
      </c>
      <c r="B281" s="63" t="s">
        <v>485</v>
      </c>
      <c r="C281" s="36">
        <v>4301031222</v>
      </c>
      <c r="D281" s="733">
        <v>4680115884007</v>
      </c>
      <c r="E281" s="733"/>
      <c r="F281" s="62">
        <v>0.3</v>
      </c>
      <c r="G281" s="37">
        <v>6</v>
      </c>
      <c r="H281" s="62">
        <v>1.8</v>
      </c>
      <c r="I281" s="62">
        <v>1.9</v>
      </c>
      <c r="J281" s="37">
        <v>234</v>
      </c>
      <c r="K281" s="37" t="s">
        <v>82</v>
      </c>
      <c r="L281" s="37" t="s">
        <v>46</v>
      </c>
      <c r="M281" s="38" t="s">
        <v>81</v>
      </c>
      <c r="N281" s="38"/>
      <c r="O281" s="37">
        <v>40</v>
      </c>
      <c r="P281" s="887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81" s="735"/>
      <c r="R281" s="735"/>
      <c r="S281" s="735"/>
      <c r="T281" s="736"/>
      <c r="U281" s="39" t="s">
        <v>46</v>
      </c>
      <c r="V281" s="39" t="s">
        <v>46</v>
      </c>
      <c r="W281" s="40" t="s">
        <v>0</v>
      </c>
      <c r="X281" s="58">
        <v>180</v>
      </c>
      <c r="Y281" s="55">
        <f t="shared" si="45"/>
        <v>180</v>
      </c>
      <c r="Z281" s="41">
        <f>IFERROR(IF(Y281=0,"",ROUNDUP(Y281/H281,0)*0.00502),"")</f>
        <v>0.502</v>
      </c>
      <c r="AA281" s="68" t="s">
        <v>46</v>
      </c>
      <c r="AB281" s="69" t="s">
        <v>46</v>
      </c>
      <c r="AC281" s="378" t="s">
        <v>475</v>
      </c>
      <c r="AG281" s="78"/>
      <c r="AJ281" s="84" t="s">
        <v>46</v>
      </c>
      <c r="AK281" s="84">
        <v>0</v>
      </c>
      <c r="BB281" s="379" t="s">
        <v>67</v>
      </c>
      <c r="BM281" s="78">
        <f t="shared" si="46"/>
        <v>190</v>
      </c>
      <c r="BN281" s="78">
        <f t="shared" si="47"/>
        <v>190</v>
      </c>
      <c r="BO281" s="78">
        <f t="shared" si="48"/>
        <v>0.42735042735042739</v>
      </c>
      <c r="BP281" s="78">
        <f t="shared" si="49"/>
        <v>0.42735042735042739</v>
      </c>
    </row>
    <row r="282" spans="1:68" ht="27" customHeight="1" x14ac:dyDescent="0.25">
      <c r="A282" s="63" t="s">
        <v>486</v>
      </c>
      <c r="B282" s="63" t="s">
        <v>487</v>
      </c>
      <c r="C282" s="36">
        <v>4301031229</v>
      </c>
      <c r="D282" s="733">
        <v>4680115884038</v>
      </c>
      <c r="E282" s="733"/>
      <c r="F282" s="62">
        <v>0.3</v>
      </c>
      <c r="G282" s="37">
        <v>6</v>
      </c>
      <c r="H282" s="62">
        <v>1.8</v>
      </c>
      <c r="I282" s="62">
        <v>1.9</v>
      </c>
      <c r="J282" s="37">
        <v>234</v>
      </c>
      <c r="K282" s="37" t="s">
        <v>82</v>
      </c>
      <c r="L282" s="37" t="s">
        <v>46</v>
      </c>
      <c r="M282" s="38" t="s">
        <v>81</v>
      </c>
      <c r="N282" s="38"/>
      <c r="O282" s="37">
        <v>40</v>
      </c>
      <c r="P282" s="88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82" s="735"/>
      <c r="R282" s="735"/>
      <c r="S282" s="735"/>
      <c r="T282" s="736"/>
      <c r="U282" s="39" t="s">
        <v>46</v>
      </c>
      <c r="V282" s="39" t="s">
        <v>46</v>
      </c>
      <c r="W282" s="40" t="s">
        <v>0</v>
      </c>
      <c r="X282" s="58">
        <v>180</v>
      </c>
      <c r="Y282" s="55">
        <f t="shared" si="45"/>
        <v>180</v>
      </c>
      <c r="Z282" s="41">
        <f>IFERROR(IF(Y282=0,"",ROUNDUP(Y282/H282,0)*0.00502),"")</f>
        <v>0.502</v>
      </c>
      <c r="AA282" s="68" t="s">
        <v>46</v>
      </c>
      <c r="AB282" s="69" t="s">
        <v>46</v>
      </c>
      <c r="AC282" s="380" t="s">
        <v>478</v>
      </c>
      <c r="AG282" s="78"/>
      <c r="AJ282" s="84" t="s">
        <v>46</v>
      </c>
      <c r="AK282" s="84">
        <v>0</v>
      </c>
      <c r="BB282" s="381" t="s">
        <v>67</v>
      </c>
      <c r="BM282" s="78">
        <f t="shared" si="46"/>
        <v>190</v>
      </c>
      <c r="BN282" s="78">
        <f t="shared" si="47"/>
        <v>190</v>
      </c>
      <c r="BO282" s="78">
        <f t="shared" si="48"/>
        <v>0.42735042735042739</v>
      </c>
      <c r="BP282" s="78">
        <f t="shared" si="49"/>
        <v>0.42735042735042739</v>
      </c>
    </row>
    <row r="283" spans="1:68" ht="27" customHeight="1" x14ac:dyDescent="0.25">
      <c r="A283" s="63" t="s">
        <v>488</v>
      </c>
      <c r="B283" s="63" t="s">
        <v>489</v>
      </c>
      <c r="C283" s="36">
        <v>4301031225</v>
      </c>
      <c r="D283" s="733">
        <v>4680115884021</v>
      </c>
      <c r="E283" s="733"/>
      <c r="F283" s="62">
        <v>0.3</v>
      </c>
      <c r="G283" s="37">
        <v>6</v>
      </c>
      <c r="H283" s="62">
        <v>1.8</v>
      </c>
      <c r="I283" s="62">
        <v>1.9</v>
      </c>
      <c r="J283" s="37">
        <v>234</v>
      </c>
      <c r="K283" s="37" t="s">
        <v>82</v>
      </c>
      <c r="L283" s="37" t="s">
        <v>46</v>
      </c>
      <c r="M283" s="38" t="s">
        <v>81</v>
      </c>
      <c r="N283" s="38"/>
      <c r="O283" s="37">
        <v>40</v>
      </c>
      <c r="P283" s="889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83" s="735"/>
      <c r="R283" s="735"/>
      <c r="S283" s="735"/>
      <c r="T283" s="736"/>
      <c r="U283" s="39" t="s">
        <v>46</v>
      </c>
      <c r="V283" s="39" t="s">
        <v>46</v>
      </c>
      <c r="W283" s="40" t="s">
        <v>0</v>
      </c>
      <c r="X283" s="58">
        <v>180</v>
      </c>
      <c r="Y283" s="55">
        <f t="shared" si="45"/>
        <v>180</v>
      </c>
      <c r="Z283" s="41">
        <f>IFERROR(IF(Y283=0,"",ROUNDUP(Y283/H283,0)*0.00502),"")</f>
        <v>0.502</v>
      </c>
      <c r="AA283" s="68" t="s">
        <v>46</v>
      </c>
      <c r="AB283" s="69" t="s">
        <v>46</v>
      </c>
      <c r="AC283" s="382" t="s">
        <v>481</v>
      </c>
      <c r="AG283" s="78"/>
      <c r="AJ283" s="84" t="s">
        <v>46</v>
      </c>
      <c r="AK283" s="84">
        <v>0</v>
      </c>
      <c r="BB283" s="383" t="s">
        <v>67</v>
      </c>
      <c r="BM283" s="78">
        <f t="shared" si="46"/>
        <v>190</v>
      </c>
      <c r="BN283" s="78">
        <f t="shared" si="47"/>
        <v>190</v>
      </c>
      <c r="BO283" s="78">
        <f t="shared" si="48"/>
        <v>0.42735042735042739</v>
      </c>
      <c r="BP283" s="78">
        <f t="shared" si="49"/>
        <v>0.42735042735042739</v>
      </c>
    </row>
    <row r="284" spans="1:68" x14ac:dyDescent="0.2">
      <c r="A284" s="741"/>
      <c r="B284" s="741"/>
      <c r="C284" s="741"/>
      <c r="D284" s="741"/>
      <c r="E284" s="741"/>
      <c r="F284" s="741"/>
      <c r="G284" s="741"/>
      <c r="H284" s="741"/>
      <c r="I284" s="741"/>
      <c r="J284" s="741"/>
      <c r="K284" s="741"/>
      <c r="L284" s="741"/>
      <c r="M284" s="741"/>
      <c r="N284" s="741"/>
      <c r="O284" s="742"/>
      <c r="P284" s="738" t="s">
        <v>40</v>
      </c>
      <c r="Q284" s="739"/>
      <c r="R284" s="739"/>
      <c r="S284" s="739"/>
      <c r="T284" s="739"/>
      <c r="U284" s="739"/>
      <c r="V284" s="740"/>
      <c r="W284" s="42" t="s">
        <v>39</v>
      </c>
      <c r="X284" s="43">
        <f>IFERROR(X276/H276,"0")+IFERROR(X277/H277,"0")+IFERROR(X278/H278,"0")+IFERROR(X279/H279,"0")+IFERROR(X280/H280,"0")+IFERROR(X281/H281,"0")+IFERROR(X282/H282,"0")+IFERROR(X283/H283,"0")</f>
        <v>416.66666666666663</v>
      </c>
      <c r="Y284" s="43">
        <f>IFERROR(Y276/H276,"0")+IFERROR(Y277/H277,"0")+IFERROR(Y278/H278,"0")+IFERROR(Y279/H279,"0")+IFERROR(Y280/H280,"0")+IFERROR(Y281/H281,"0")+IFERROR(Y282/H282,"0")+IFERROR(Y283/H283,"0")</f>
        <v>417</v>
      </c>
      <c r="Z284" s="43">
        <f>IFERROR(IF(Z276="",0,Z276),"0")+IFERROR(IF(Z277="",0,Z277),"0")+IFERROR(IF(Z278="",0,Z278),"0")+IFERROR(IF(Z279="",0,Z279),"0")+IFERROR(IF(Z280="",0,Z280),"0")+IFERROR(IF(Z281="",0,Z281),"0")+IFERROR(IF(Z282="",0,Z282),"0")+IFERROR(IF(Z283="",0,Z283),"0")</f>
        <v>2.09334</v>
      </c>
      <c r="AA284" s="67"/>
      <c r="AB284" s="67"/>
      <c r="AC284" s="67"/>
    </row>
    <row r="285" spans="1:68" x14ac:dyDescent="0.2">
      <c r="A285" s="741"/>
      <c r="B285" s="741"/>
      <c r="C285" s="741"/>
      <c r="D285" s="741"/>
      <c r="E285" s="741"/>
      <c r="F285" s="741"/>
      <c r="G285" s="741"/>
      <c r="H285" s="741"/>
      <c r="I285" s="741"/>
      <c r="J285" s="741"/>
      <c r="K285" s="741"/>
      <c r="L285" s="741"/>
      <c r="M285" s="741"/>
      <c r="N285" s="741"/>
      <c r="O285" s="742"/>
      <c r="P285" s="738" t="s">
        <v>40</v>
      </c>
      <c r="Q285" s="739"/>
      <c r="R285" s="739"/>
      <c r="S285" s="739"/>
      <c r="T285" s="739"/>
      <c r="U285" s="739"/>
      <c r="V285" s="740"/>
      <c r="W285" s="42" t="s">
        <v>0</v>
      </c>
      <c r="X285" s="43">
        <f>IFERROR(SUM(X276:X283),"0")</f>
        <v>750</v>
      </c>
      <c r="Y285" s="43">
        <f>IFERROR(SUM(Y276:Y283),"0")</f>
        <v>750.6</v>
      </c>
      <c r="Z285" s="42"/>
      <c r="AA285" s="67"/>
      <c r="AB285" s="67"/>
      <c r="AC285" s="67"/>
    </row>
    <row r="286" spans="1:68" ht="14.25" hidden="1" customHeight="1" x14ac:dyDescent="0.25">
      <c r="A286" s="732" t="s">
        <v>86</v>
      </c>
      <c r="B286" s="732"/>
      <c r="C286" s="732"/>
      <c r="D286" s="732"/>
      <c r="E286" s="732"/>
      <c r="F286" s="732"/>
      <c r="G286" s="732"/>
      <c r="H286" s="732"/>
      <c r="I286" s="732"/>
      <c r="J286" s="732"/>
      <c r="K286" s="732"/>
      <c r="L286" s="732"/>
      <c r="M286" s="732"/>
      <c r="N286" s="732"/>
      <c r="O286" s="732"/>
      <c r="P286" s="732"/>
      <c r="Q286" s="732"/>
      <c r="R286" s="732"/>
      <c r="S286" s="732"/>
      <c r="T286" s="732"/>
      <c r="U286" s="732"/>
      <c r="V286" s="732"/>
      <c r="W286" s="732"/>
      <c r="X286" s="732"/>
      <c r="Y286" s="732"/>
      <c r="Z286" s="732"/>
      <c r="AA286" s="66"/>
      <c r="AB286" s="66"/>
      <c r="AC286" s="80"/>
    </row>
    <row r="287" spans="1:68" ht="27" hidden="1" customHeight="1" x14ac:dyDescent="0.25">
      <c r="A287" s="63" t="s">
        <v>490</v>
      </c>
      <c r="B287" s="63" t="s">
        <v>491</v>
      </c>
      <c r="C287" s="36">
        <v>4301051408</v>
      </c>
      <c r="D287" s="733">
        <v>4680115881594</v>
      </c>
      <c r="E287" s="733"/>
      <c r="F287" s="62">
        <v>1.35</v>
      </c>
      <c r="G287" s="37">
        <v>6</v>
      </c>
      <c r="H287" s="62">
        <v>8.1</v>
      </c>
      <c r="I287" s="62">
        <v>8.5939999999999994</v>
      </c>
      <c r="J287" s="37">
        <v>64</v>
      </c>
      <c r="K287" s="37" t="s">
        <v>127</v>
      </c>
      <c r="L287" s="37" t="s">
        <v>46</v>
      </c>
      <c r="M287" s="38" t="s">
        <v>90</v>
      </c>
      <c r="N287" s="38"/>
      <c r="O287" s="37">
        <v>40</v>
      </c>
      <c r="P287" s="890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7" s="735"/>
      <c r="R287" s="735"/>
      <c r="S287" s="735"/>
      <c r="T287" s="736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ref="Y287:Y298" si="50">IFERROR(IF(X287="",0,CEILING((X287/$H287),1)*$H287),"")</f>
        <v>0</v>
      </c>
      <c r="Z287" s="41" t="str">
        <f>IFERROR(IF(Y287=0,"",ROUNDUP(Y287/H287,0)*0.01898),"")</f>
        <v/>
      </c>
      <c r="AA287" s="68" t="s">
        <v>46</v>
      </c>
      <c r="AB287" s="69" t="s">
        <v>46</v>
      </c>
      <c r="AC287" s="384" t="s">
        <v>492</v>
      </c>
      <c r="AG287" s="78"/>
      <c r="AJ287" s="84" t="s">
        <v>46</v>
      </c>
      <c r="AK287" s="84">
        <v>0</v>
      </c>
      <c r="BB287" s="385" t="s">
        <v>67</v>
      </c>
      <c r="BM287" s="78">
        <f t="shared" ref="BM287:BM298" si="51">IFERROR(X287*I287/H287,"0")</f>
        <v>0</v>
      </c>
      <c r="BN287" s="78">
        <f t="shared" ref="BN287:BN298" si="52">IFERROR(Y287*I287/H287,"0")</f>
        <v>0</v>
      </c>
      <c r="BO287" s="78">
        <f t="shared" ref="BO287:BO298" si="53">IFERROR(1/J287*(X287/H287),"0")</f>
        <v>0</v>
      </c>
      <c r="BP287" s="78">
        <f t="shared" ref="BP287:BP298" si="54">IFERROR(1/J287*(Y287/H287),"0")</f>
        <v>0</v>
      </c>
    </row>
    <row r="288" spans="1:68" ht="27" hidden="1" customHeight="1" x14ac:dyDescent="0.25">
      <c r="A288" s="63" t="s">
        <v>493</v>
      </c>
      <c r="B288" s="63" t="s">
        <v>494</v>
      </c>
      <c r="C288" s="36">
        <v>4301051411</v>
      </c>
      <c r="D288" s="733">
        <v>4680115881617</v>
      </c>
      <c r="E288" s="733"/>
      <c r="F288" s="62">
        <v>1.35</v>
      </c>
      <c r="G288" s="37">
        <v>6</v>
      </c>
      <c r="H288" s="62">
        <v>8.1</v>
      </c>
      <c r="I288" s="62">
        <v>8.5760000000000005</v>
      </c>
      <c r="J288" s="37">
        <v>64</v>
      </c>
      <c r="K288" s="37" t="s">
        <v>127</v>
      </c>
      <c r="L288" s="37" t="s">
        <v>46</v>
      </c>
      <c r="M288" s="38" t="s">
        <v>90</v>
      </c>
      <c r="N288" s="38"/>
      <c r="O288" s="37">
        <v>40</v>
      </c>
      <c r="P288" s="891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8" s="735"/>
      <c r="R288" s="735"/>
      <c r="S288" s="735"/>
      <c r="T288" s="736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50"/>
        <v>0</v>
      </c>
      <c r="Z288" s="41" t="str">
        <f>IFERROR(IF(Y288=0,"",ROUNDUP(Y288/H288,0)*0.01898),"")</f>
        <v/>
      </c>
      <c r="AA288" s="68" t="s">
        <v>46</v>
      </c>
      <c r="AB288" s="69" t="s">
        <v>46</v>
      </c>
      <c r="AC288" s="386" t="s">
        <v>495</v>
      </c>
      <c r="AG288" s="78"/>
      <c r="AJ288" s="84" t="s">
        <v>46</v>
      </c>
      <c r="AK288" s="84">
        <v>0</v>
      </c>
      <c r="BB288" s="387" t="s">
        <v>67</v>
      </c>
      <c r="BM288" s="78">
        <f t="shared" si="51"/>
        <v>0</v>
      </c>
      <c r="BN288" s="78">
        <f t="shared" si="52"/>
        <v>0</v>
      </c>
      <c r="BO288" s="78">
        <f t="shared" si="53"/>
        <v>0</v>
      </c>
      <c r="BP288" s="78">
        <f t="shared" si="54"/>
        <v>0</v>
      </c>
    </row>
    <row r="289" spans="1:68" ht="27" customHeight="1" x14ac:dyDescent="0.25">
      <c r="A289" s="63" t="s">
        <v>496</v>
      </c>
      <c r="B289" s="63" t="s">
        <v>497</v>
      </c>
      <c r="C289" s="36">
        <v>4301051656</v>
      </c>
      <c r="D289" s="733">
        <v>4680115880573</v>
      </c>
      <c r="E289" s="733"/>
      <c r="F289" s="62">
        <v>1.45</v>
      </c>
      <c r="G289" s="37">
        <v>6</v>
      </c>
      <c r="H289" s="62">
        <v>8.6999999999999993</v>
      </c>
      <c r="I289" s="62">
        <v>9.1940000000000008</v>
      </c>
      <c r="J289" s="37">
        <v>64</v>
      </c>
      <c r="K289" s="37" t="s">
        <v>127</v>
      </c>
      <c r="L289" s="37" t="s">
        <v>46</v>
      </c>
      <c r="M289" s="38" t="s">
        <v>90</v>
      </c>
      <c r="N289" s="38"/>
      <c r="O289" s="37">
        <v>45</v>
      </c>
      <c r="P289" s="892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9" s="735"/>
      <c r="R289" s="735"/>
      <c r="S289" s="735"/>
      <c r="T289" s="736"/>
      <c r="U289" s="39" t="s">
        <v>46</v>
      </c>
      <c r="V289" s="39" t="s">
        <v>46</v>
      </c>
      <c r="W289" s="40" t="s">
        <v>0</v>
      </c>
      <c r="X289" s="58">
        <v>200</v>
      </c>
      <c r="Y289" s="55">
        <f t="shared" si="50"/>
        <v>200.1</v>
      </c>
      <c r="Z289" s="41">
        <f>IFERROR(IF(Y289=0,"",ROUNDUP(Y289/H289,0)*0.01898),"")</f>
        <v>0.43653999999999998</v>
      </c>
      <c r="AA289" s="68" t="s">
        <v>46</v>
      </c>
      <c r="AB289" s="69" t="s">
        <v>46</v>
      </c>
      <c r="AC289" s="388" t="s">
        <v>498</v>
      </c>
      <c r="AG289" s="78"/>
      <c r="AJ289" s="84" t="s">
        <v>46</v>
      </c>
      <c r="AK289" s="84">
        <v>0</v>
      </c>
      <c r="BB289" s="389" t="s">
        <v>67</v>
      </c>
      <c r="BM289" s="78">
        <f t="shared" si="51"/>
        <v>211.35632183908049</v>
      </c>
      <c r="BN289" s="78">
        <f t="shared" si="52"/>
        <v>211.46200000000005</v>
      </c>
      <c r="BO289" s="78">
        <f t="shared" si="53"/>
        <v>0.35919540229885061</v>
      </c>
      <c r="BP289" s="78">
        <f t="shared" si="54"/>
        <v>0.359375</v>
      </c>
    </row>
    <row r="290" spans="1:68" ht="27" customHeight="1" x14ac:dyDescent="0.25">
      <c r="A290" s="63" t="s">
        <v>499</v>
      </c>
      <c r="B290" s="63" t="s">
        <v>500</v>
      </c>
      <c r="C290" s="36">
        <v>4301051407</v>
      </c>
      <c r="D290" s="733">
        <v>4680115882195</v>
      </c>
      <c r="E290" s="733"/>
      <c r="F290" s="62">
        <v>0.4</v>
      </c>
      <c r="G290" s="37">
        <v>6</v>
      </c>
      <c r="H290" s="62">
        <v>2.4</v>
      </c>
      <c r="I290" s="62">
        <v>2.67</v>
      </c>
      <c r="J290" s="37">
        <v>182</v>
      </c>
      <c r="K290" s="37" t="s">
        <v>91</v>
      </c>
      <c r="L290" s="37" t="s">
        <v>46</v>
      </c>
      <c r="M290" s="38" t="s">
        <v>90</v>
      </c>
      <c r="N290" s="38"/>
      <c r="O290" s="37">
        <v>40</v>
      </c>
      <c r="P290" s="893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90" s="735"/>
      <c r="R290" s="735"/>
      <c r="S290" s="735"/>
      <c r="T290" s="736"/>
      <c r="U290" s="39" t="s">
        <v>46</v>
      </c>
      <c r="V290" s="39" t="s">
        <v>46</v>
      </c>
      <c r="W290" s="40" t="s">
        <v>0</v>
      </c>
      <c r="X290" s="58">
        <v>400</v>
      </c>
      <c r="Y290" s="55">
        <f t="shared" si="50"/>
        <v>400.8</v>
      </c>
      <c r="Z290" s="41">
        <f>IFERROR(IF(Y290=0,"",ROUNDUP(Y290/H290,0)*0.00651),"")</f>
        <v>1.08717</v>
      </c>
      <c r="AA290" s="68" t="s">
        <v>46</v>
      </c>
      <c r="AB290" s="69" t="s">
        <v>46</v>
      </c>
      <c r="AC290" s="390" t="s">
        <v>492</v>
      </c>
      <c r="AG290" s="78"/>
      <c r="AJ290" s="84" t="s">
        <v>46</v>
      </c>
      <c r="AK290" s="84">
        <v>0</v>
      </c>
      <c r="BB290" s="391" t="s">
        <v>67</v>
      </c>
      <c r="BM290" s="78">
        <f t="shared" si="51"/>
        <v>445</v>
      </c>
      <c r="BN290" s="78">
        <f t="shared" si="52"/>
        <v>445.89</v>
      </c>
      <c r="BO290" s="78">
        <f t="shared" si="53"/>
        <v>0.91575091575091594</v>
      </c>
      <c r="BP290" s="78">
        <f t="shared" si="54"/>
        <v>0.91758241758241765</v>
      </c>
    </row>
    <row r="291" spans="1:68" ht="27" hidden="1" customHeight="1" x14ac:dyDescent="0.25">
      <c r="A291" s="63" t="s">
        <v>501</v>
      </c>
      <c r="B291" s="63" t="s">
        <v>502</v>
      </c>
      <c r="C291" s="36">
        <v>4301051752</v>
      </c>
      <c r="D291" s="733">
        <v>4680115882607</v>
      </c>
      <c r="E291" s="733"/>
      <c r="F291" s="62">
        <v>0.3</v>
      </c>
      <c r="G291" s="37">
        <v>6</v>
      </c>
      <c r="H291" s="62">
        <v>1.8</v>
      </c>
      <c r="I291" s="62">
        <v>2.052</v>
      </c>
      <c r="J291" s="37">
        <v>182</v>
      </c>
      <c r="K291" s="37" t="s">
        <v>91</v>
      </c>
      <c r="L291" s="37" t="s">
        <v>46</v>
      </c>
      <c r="M291" s="38" t="s">
        <v>97</v>
      </c>
      <c r="N291" s="38"/>
      <c r="O291" s="37">
        <v>45</v>
      </c>
      <c r="P291" s="89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91" s="735"/>
      <c r="R291" s="735"/>
      <c r="S291" s="735"/>
      <c r="T291" s="736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50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92" t="s">
        <v>498</v>
      </c>
      <c r="AG291" s="78"/>
      <c r="AJ291" s="84" t="s">
        <v>46</v>
      </c>
      <c r="AK291" s="84">
        <v>0</v>
      </c>
      <c r="BB291" s="393" t="s">
        <v>67</v>
      </c>
      <c r="BM291" s="78">
        <f t="shared" si="51"/>
        <v>0</v>
      </c>
      <c r="BN291" s="78">
        <f t="shared" si="52"/>
        <v>0</v>
      </c>
      <c r="BO291" s="78">
        <f t="shared" si="53"/>
        <v>0</v>
      </c>
      <c r="BP291" s="78">
        <f t="shared" si="54"/>
        <v>0</v>
      </c>
    </row>
    <row r="292" spans="1:68" ht="27" hidden="1" customHeight="1" x14ac:dyDescent="0.25">
      <c r="A292" s="63" t="s">
        <v>503</v>
      </c>
      <c r="B292" s="63" t="s">
        <v>504</v>
      </c>
      <c r="C292" s="36">
        <v>4301052143</v>
      </c>
      <c r="D292" s="733">
        <v>4680115882607</v>
      </c>
      <c r="E292" s="733"/>
      <c r="F292" s="62">
        <v>0.3</v>
      </c>
      <c r="G292" s="37">
        <v>6</v>
      </c>
      <c r="H292" s="62">
        <v>1.8</v>
      </c>
      <c r="I292" s="62">
        <v>2.0619999999999998</v>
      </c>
      <c r="J292" s="37">
        <v>132</v>
      </c>
      <c r="K292" s="37" t="s">
        <v>134</v>
      </c>
      <c r="L292" s="37" t="s">
        <v>46</v>
      </c>
      <c r="M292" s="38" t="s">
        <v>90</v>
      </c>
      <c r="N292" s="38"/>
      <c r="O292" s="37">
        <v>45</v>
      </c>
      <c r="P292" s="895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92" s="735"/>
      <c r="R292" s="735"/>
      <c r="S292" s="735"/>
      <c r="T292" s="736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50"/>
        <v>0</v>
      </c>
      <c r="Z292" s="41" t="str">
        <f>IFERROR(IF(Y292=0,"",ROUNDUP(Y292/H292,0)*0.00902),"")</f>
        <v/>
      </c>
      <c r="AA292" s="68" t="s">
        <v>46</v>
      </c>
      <c r="AB292" s="69" t="s">
        <v>46</v>
      </c>
      <c r="AC292" s="394" t="s">
        <v>505</v>
      </c>
      <c r="AG292" s="78"/>
      <c r="AJ292" s="84" t="s">
        <v>46</v>
      </c>
      <c r="AK292" s="84">
        <v>0</v>
      </c>
      <c r="BB292" s="395" t="s">
        <v>67</v>
      </c>
      <c r="BM292" s="78">
        <f t="shared" si="51"/>
        <v>0</v>
      </c>
      <c r="BN292" s="78">
        <f t="shared" si="52"/>
        <v>0</v>
      </c>
      <c r="BO292" s="78">
        <f t="shared" si="53"/>
        <v>0</v>
      </c>
      <c r="BP292" s="78">
        <f t="shared" si="54"/>
        <v>0</v>
      </c>
    </row>
    <row r="293" spans="1:68" ht="27" customHeight="1" x14ac:dyDescent="0.25">
      <c r="A293" s="63" t="s">
        <v>506</v>
      </c>
      <c r="B293" s="63" t="s">
        <v>507</v>
      </c>
      <c r="C293" s="36">
        <v>4301051666</v>
      </c>
      <c r="D293" s="733">
        <v>4680115880092</v>
      </c>
      <c r="E293" s="733"/>
      <c r="F293" s="62">
        <v>0.4</v>
      </c>
      <c r="G293" s="37">
        <v>6</v>
      </c>
      <c r="H293" s="62">
        <v>2.4</v>
      </c>
      <c r="I293" s="62">
        <v>2.6520000000000001</v>
      </c>
      <c r="J293" s="37">
        <v>182</v>
      </c>
      <c r="K293" s="37" t="s">
        <v>91</v>
      </c>
      <c r="L293" s="37" t="s">
        <v>46</v>
      </c>
      <c r="M293" s="38" t="s">
        <v>90</v>
      </c>
      <c r="N293" s="38"/>
      <c r="O293" s="37">
        <v>45</v>
      </c>
      <c r="P293" s="89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93" s="735"/>
      <c r="R293" s="735"/>
      <c r="S293" s="735"/>
      <c r="T293" s="736"/>
      <c r="U293" s="39" t="s">
        <v>46</v>
      </c>
      <c r="V293" s="39" t="s">
        <v>46</v>
      </c>
      <c r="W293" s="40" t="s">
        <v>0</v>
      </c>
      <c r="X293" s="58">
        <v>600</v>
      </c>
      <c r="Y293" s="55">
        <f t="shared" si="50"/>
        <v>600</v>
      </c>
      <c r="Z293" s="41">
        <f>IFERROR(IF(Y293=0,"",ROUNDUP(Y293/H293,0)*0.00651),"")</f>
        <v>1.6274999999999999</v>
      </c>
      <c r="AA293" s="68" t="s">
        <v>46</v>
      </c>
      <c r="AB293" s="69" t="s">
        <v>46</v>
      </c>
      <c r="AC293" s="396" t="s">
        <v>498</v>
      </c>
      <c r="AG293" s="78"/>
      <c r="AJ293" s="84" t="s">
        <v>46</v>
      </c>
      <c r="AK293" s="84">
        <v>0</v>
      </c>
      <c r="BB293" s="397" t="s">
        <v>67</v>
      </c>
      <c r="BM293" s="78">
        <f t="shared" si="51"/>
        <v>663</v>
      </c>
      <c r="BN293" s="78">
        <f t="shared" si="52"/>
        <v>663</v>
      </c>
      <c r="BO293" s="78">
        <f t="shared" si="53"/>
        <v>1.3736263736263736</v>
      </c>
      <c r="BP293" s="78">
        <f t="shared" si="54"/>
        <v>1.3736263736263736</v>
      </c>
    </row>
    <row r="294" spans="1:68" ht="27" hidden="1" customHeight="1" x14ac:dyDescent="0.25">
      <c r="A294" s="63" t="s">
        <v>508</v>
      </c>
      <c r="B294" s="63" t="s">
        <v>509</v>
      </c>
      <c r="C294" s="36">
        <v>4301052214</v>
      </c>
      <c r="D294" s="733">
        <v>4680115889064</v>
      </c>
      <c r="E294" s="733"/>
      <c r="F294" s="62">
        <v>0.7</v>
      </c>
      <c r="G294" s="37">
        <v>6</v>
      </c>
      <c r="H294" s="62">
        <v>4.2</v>
      </c>
      <c r="I294" s="62">
        <v>4.6159999999999997</v>
      </c>
      <c r="J294" s="37">
        <v>104</v>
      </c>
      <c r="K294" s="37" t="s">
        <v>127</v>
      </c>
      <c r="L294" s="37" t="s">
        <v>46</v>
      </c>
      <c r="M294" s="38" t="s">
        <v>90</v>
      </c>
      <c r="N294" s="38"/>
      <c r="O294" s="37">
        <v>45</v>
      </c>
      <c r="P294" s="897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4" s="735"/>
      <c r="R294" s="735"/>
      <c r="S294" s="735"/>
      <c r="T294" s="736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50"/>
        <v>0</v>
      </c>
      <c r="Z294" s="41" t="str">
        <f>IFERROR(IF(Y294=0,"",ROUNDUP(Y294/H294,0)*0.01196),"")</f>
        <v/>
      </c>
      <c r="AA294" s="68" t="s">
        <v>46</v>
      </c>
      <c r="AB294" s="69" t="s">
        <v>46</v>
      </c>
      <c r="AC294" s="398" t="s">
        <v>505</v>
      </c>
      <c r="AG294" s="78"/>
      <c r="AJ294" s="84" t="s">
        <v>46</v>
      </c>
      <c r="AK294" s="84">
        <v>0</v>
      </c>
      <c r="BB294" s="399" t="s">
        <v>67</v>
      </c>
      <c r="BM294" s="78">
        <f t="shared" si="51"/>
        <v>0</v>
      </c>
      <c r="BN294" s="78">
        <f t="shared" si="52"/>
        <v>0</v>
      </c>
      <c r="BO294" s="78">
        <f t="shared" si="53"/>
        <v>0</v>
      </c>
      <c r="BP294" s="78">
        <f t="shared" si="54"/>
        <v>0</v>
      </c>
    </row>
    <row r="295" spans="1:68" ht="27" hidden="1" customHeight="1" x14ac:dyDescent="0.25">
      <c r="A295" s="63" t="s">
        <v>510</v>
      </c>
      <c r="B295" s="63" t="s">
        <v>511</v>
      </c>
      <c r="C295" s="36">
        <v>4301051668</v>
      </c>
      <c r="D295" s="733">
        <v>4680115880221</v>
      </c>
      <c r="E295" s="733"/>
      <c r="F295" s="62">
        <v>0.4</v>
      </c>
      <c r="G295" s="37">
        <v>6</v>
      </c>
      <c r="H295" s="62">
        <v>2.4</v>
      </c>
      <c r="I295" s="62">
        <v>2.6520000000000001</v>
      </c>
      <c r="J295" s="37">
        <v>182</v>
      </c>
      <c r="K295" s="37" t="s">
        <v>91</v>
      </c>
      <c r="L295" s="37" t="s">
        <v>46</v>
      </c>
      <c r="M295" s="38" t="s">
        <v>90</v>
      </c>
      <c r="N295" s="38"/>
      <c r="O295" s="37">
        <v>45</v>
      </c>
      <c r="P295" s="898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5" s="735"/>
      <c r="R295" s="735"/>
      <c r="S295" s="735"/>
      <c r="T295" s="736"/>
      <c r="U295" s="39" t="s">
        <v>46</v>
      </c>
      <c r="V295" s="39" t="s">
        <v>46</v>
      </c>
      <c r="W295" s="40" t="s">
        <v>0</v>
      </c>
      <c r="X295" s="58">
        <v>0</v>
      </c>
      <c r="Y295" s="55">
        <f t="shared" si="50"/>
        <v>0</v>
      </c>
      <c r="Z295" s="41" t="str">
        <f>IFERROR(IF(Y295=0,"",ROUNDUP(Y295/H295,0)*0.00651),"")</f>
        <v/>
      </c>
      <c r="AA295" s="68" t="s">
        <v>46</v>
      </c>
      <c r="AB295" s="69" t="s">
        <v>46</v>
      </c>
      <c r="AC295" s="400" t="s">
        <v>498</v>
      </c>
      <c r="AG295" s="78"/>
      <c r="AJ295" s="84" t="s">
        <v>46</v>
      </c>
      <c r="AK295" s="84">
        <v>0</v>
      </c>
      <c r="BB295" s="401" t="s">
        <v>67</v>
      </c>
      <c r="BM295" s="78">
        <f t="shared" si="51"/>
        <v>0</v>
      </c>
      <c r="BN295" s="78">
        <f t="shared" si="52"/>
        <v>0</v>
      </c>
      <c r="BO295" s="78">
        <f t="shared" si="53"/>
        <v>0</v>
      </c>
      <c r="BP295" s="78">
        <f t="shared" si="54"/>
        <v>0</v>
      </c>
    </row>
    <row r="296" spans="1:68" ht="27" customHeight="1" x14ac:dyDescent="0.25">
      <c r="A296" s="63" t="s">
        <v>512</v>
      </c>
      <c r="B296" s="63" t="s">
        <v>513</v>
      </c>
      <c r="C296" s="36">
        <v>4301051945</v>
      </c>
      <c r="D296" s="733">
        <v>4680115880504</v>
      </c>
      <c r="E296" s="733"/>
      <c r="F296" s="62">
        <v>0.4</v>
      </c>
      <c r="G296" s="37">
        <v>6</v>
      </c>
      <c r="H296" s="62">
        <v>2.4</v>
      </c>
      <c r="I296" s="62">
        <v>2.6520000000000001</v>
      </c>
      <c r="J296" s="37">
        <v>182</v>
      </c>
      <c r="K296" s="37" t="s">
        <v>91</v>
      </c>
      <c r="L296" s="37" t="s">
        <v>46</v>
      </c>
      <c r="M296" s="38" t="s">
        <v>97</v>
      </c>
      <c r="N296" s="38"/>
      <c r="O296" s="37">
        <v>40</v>
      </c>
      <c r="P296" s="899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6" s="735"/>
      <c r="R296" s="735"/>
      <c r="S296" s="735"/>
      <c r="T296" s="736"/>
      <c r="U296" s="39" t="s">
        <v>46</v>
      </c>
      <c r="V296" s="39" t="s">
        <v>46</v>
      </c>
      <c r="W296" s="40" t="s">
        <v>0</v>
      </c>
      <c r="X296" s="58">
        <v>120</v>
      </c>
      <c r="Y296" s="55">
        <f t="shared" si="50"/>
        <v>120</v>
      </c>
      <c r="Z296" s="41">
        <f>IFERROR(IF(Y296=0,"",ROUNDUP(Y296/H296,0)*0.00651),"")</f>
        <v>0.32550000000000001</v>
      </c>
      <c r="AA296" s="68" t="s">
        <v>46</v>
      </c>
      <c r="AB296" s="69" t="s">
        <v>46</v>
      </c>
      <c r="AC296" s="402" t="s">
        <v>514</v>
      </c>
      <c r="AG296" s="78"/>
      <c r="AJ296" s="84" t="s">
        <v>46</v>
      </c>
      <c r="AK296" s="84">
        <v>0</v>
      </c>
      <c r="BB296" s="403" t="s">
        <v>67</v>
      </c>
      <c r="BM296" s="78">
        <f t="shared" si="51"/>
        <v>132.60000000000002</v>
      </c>
      <c r="BN296" s="78">
        <f t="shared" si="52"/>
        <v>132.60000000000002</v>
      </c>
      <c r="BO296" s="78">
        <f t="shared" si="53"/>
        <v>0.27472527472527475</v>
      </c>
      <c r="BP296" s="78">
        <f t="shared" si="54"/>
        <v>0.27472527472527475</v>
      </c>
    </row>
    <row r="297" spans="1:68" ht="27" hidden="1" customHeight="1" x14ac:dyDescent="0.25">
      <c r="A297" s="63" t="s">
        <v>515</v>
      </c>
      <c r="B297" s="63" t="s">
        <v>516</v>
      </c>
      <c r="C297" s="36">
        <v>4301051410</v>
      </c>
      <c r="D297" s="733">
        <v>4680115882164</v>
      </c>
      <c r="E297" s="733"/>
      <c r="F297" s="62">
        <v>0.4</v>
      </c>
      <c r="G297" s="37">
        <v>6</v>
      </c>
      <c r="H297" s="62">
        <v>2.4</v>
      </c>
      <c r="I297" s="62">
        <v>2.6579999999999999</v>
      </c>
      <c r="J297" s="37">
        <v>182</v>
      </c>
      <c r="K297" s="37" t="s">
        <v>91</v>
      </c>
      <c r="L297" s="37" t="s">
        <v>46</v>
      </c>
      <c r="M297" s="38" t="s">
        <v>90</v>
      </c>
      <c r="N297" s="38"/>
      <c r="O297" s="37">
        <v>40</v>
      </c>
      <c r="P297" s="900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7" s="735"/>
      <c r="R297" s="735"/>
      <c r="S297" s="735"/>
      <c r="T297" s="736"/>
      <c r="U297" s="39" t="s">
        <v>46</v>
      </c>
      <c r="V297" s="39" t="s">
        <v>46</v>
      </c>
      <c r="W297" s="40" t="s">
        <v>0</v>
      </c>
      <c r="X297" s="58">
        <v>0</v>
      </c>
      <c r="Y297" s="55">
        <f t="shared" si="50"/>
        <v>0</v>
      </c>
      <c r="Z297" s="41" t="str">
        <f>IFERROR(IF(Y297=0,"",ROUNDUP(Y297/H297,0)*0.00651),"")</f>
        <v/>
      </c>
      <c r="AA297" s="68" t="s">
        <v>46</v>
      </c>
      <c r="AB297" s="69" t="s">
        <v>46</v>
      </c>
      <c r="AC297" s="404" t="s">
        <v>517</v>
      </c>
      <c r="AG297" s="78"/>
      <c r="AJ297" s="84" t="s">
        <v>46</v>
      </c>
      <c r="AK297" s="84">
        <v>0</v>
      </c>
      <c r="BB297" s="405" t="s">
        <v>67</v>
      </c>
      <c r="BM297" s="78">
        <f t="shared" si="51"/>
        <v>0</v>
      </c>
      <c r="BN297" s="78">
        <f t="shared" si="52"/>
        <v>0</v>
      </c>
      <c r="BO297" s="78">
        <f t="shared" si="53"/>
        <v>0</v>
      </c>
      <c r="BP297" s="78">
        <f t="shared" si="54"/>
        <v>0</v>
      </c>
    </row>
    <row r="298" spans="1:68" ht="27" hidden="1" customHeight="1" x14ac:dyDescent="0.25">
      <c r="A298" s="63" t="s">
        <v>518</v>
      </c>
      <c r="B298" s="63" t="s">
        <v>519</v>
      </c>
      <c r="C298" s="36">
        <v>4301052180</v>
      </c>
      <c r="D298" s="733">
        <v>4680115888340</v>
      </c>
      <c r="E298" s="733"/>
      <c r="F298" s="62">
        <v>0.4</v>
      </c>
      <c r="G298" s="37">
        <v>6</v>
      </c>
      <c r="H298" s="62">
        <v>2.4</v>
      </c>
      <c r="I298" s="62">
        <v>2.6520000000000001</v>
      </c>
      <c r="J298" s="37">
        <v>182</v>
      </c>
      <c r="K298" s="37" t="s">
        <v>91</v>
      </c>
      <c r="L298" s="37" t="s">
        <v>46</v>
      </c>
      <c r="M298" s="38" t="s">
        <v>90</v>
      </c>
      <c r="N298" s="38"/>
      <c r="O298" s="37">
        <v>45</v>
      </c>
      <c r="P298" s="901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8" s="735"/>
      <c r="R298" s="735"/>
      <c r="S298" s="735"/>
      <c r="T298" s="736"/>
      <c r="U298" s="39" t="s">
        <v>46</v>
      </c>
      <c r="V298" s="39" t="s">
        <v>46</v>
      </c>
      <c r="W298" s="40" t="s">
        <v>0</v>
      </c>
      <c r="X298" s="58">
        <v>0</v>
      </c>
      <c r="Y298" s="55">
        <f t="shared" si="50"/>
        <v>0</v>
      </c>
      <c r="Z298" s="41" t="str">
        <f>IFERROR(IF(Y298=0,"",ROUNDUP(Y298/H298,0)*0.00651),"")</f>
        <v/>
      </c>
      <c r="AA298" s="68" t="s">
        <v>46</v>
      </c>
      <c r="AB298" s="69" t="s">
        <v>46</v>
      </c>
      <c r="AC298" s="406" t="s">
        <v>520</v>
      </c>
      <c r="AG298" s="78"/>
      <c r="AJ298" s="84" t="s">
        <v>46</v>
      </c>
      <c r="AK298" s="84">
        <v>0</v>
      </c>
      <c r="BB298" s="407" t="s">
        <v>67</v>
      </c>
      <c r="BM298" s="78">
        <f t="shared" si="51"/>
        <v>0</v>
      </c>
      <c r="BN298" s="78">
        <f t="shared" si="52"/>
        <v>0</v>
      </c>
      <c r="BO298" s="78">
        <f t="shared" si="53"/>
        <v>0</v>
      </c>
      <c r="BP298" s="78">
        <f t="shared" si="54"/>
        <v>0</v>
      </c>
    </row>
    <row r="299" spans="1:68" x14ac:dyDescent="0.2">
      <c r="A299" s="741"/>
      <c r="B299" s="741"/>
      <c r="C299" s="741"/>
      <c r="D299" s="741"/>
      <c r="E299" s="741"/>
      <c r="F299" s="741"/>
      <c r="G299" s="741"/>
      <c r="H299" s="741"/>
      <c r="I299" s="741"/>
      <c r="J299" s="741"/>
      <c r="K299" s="741"/>
      <c r="L299" s="741"/>
      <c r="M299" s="741"/>
      <c r="N299" s="741"/>
      <c r="O299" s="742"/>
      <c r="P299" s="738" t="s">
        <v>40</v>
      </c>
      <c r="Q299" s="739"/>
      <c r="R299" s="739"/>
      <c r="S299" s="739"/>
      <c r="T299" s="739"/>
      <c r="U299" s="739"/>
      <c r="V299" s="740"/>
      <c r="W299" s="42" t="s">
        <v>39</v>
      </c>
      <c r="X299" s="43">
        <f>IFERROR(X287/H287,"0")+IFERROR(X288/H288,"0")+IFERROR(X289/H289,"0")+IFERROR(X290/H290,"0")+IFERROR(X291/H291,"0")+IFERROR(X292/H292,"0")+IFERROR(X293/H293,"0")+IFERROR(X294/H294,"0")+IFERROR(X295/H295,"0")+IFERROR(X296/H296,"0")+IFERROR(X297/H297,"0")+IFERROR(X298/H298,"0")</f>
        <v>489.65517241379314</v>
      </c>
      <c r="Y299" s="43">
        <f>IFERROR(Y287/H287,"0")+IFERROR(Y288/H288,"0")+IFERROR(Y289/H289,"0")+IFERROR(Y290/H290,"0")+IFERROR(Y291/H291,"0")+IFERROR(Y292/H292,"0")+IFERROR(Y293/H293,"0")+IFERROR(Y294/H294,"0")+IFERROR(Y295/H295,"0")+IFERROR(Y296/H296,"0")+IFERROR(Y297/H297,"0")+IFERROR(Y298/H298,"0")</f>
        <v>490</v>
      </c>
      <c r="Z299" s="43">
        <f>IFERROR(IF(Z287="",0,Z287),"0")+IFERROR(IF(Z288="",0,Z288),"0")+IFERROR(IF(Z289="",0,Z289),"0")+IFERROR(IF(Z290="",0,Z290),"0")+IFERROR(IF(Z291="",0,Z291),"0")+IFERROR(IF(Z292="",0,Z292),"0")+IFERROR(IF(Z293="",0,Z293),"0")+IFERROR(IF(Z294="",0,Z294),"0")+IFERROR(IF(Z295="",0,Z295),"0")+IFERROR(IF(Z296="",0,Z296),"0")+IFERROR(IF(Z297="",0,Z297),"0")+IFERROR(IF(Z298="",0,Z298),"0")</f>
        <v>3.4767099999999997</v>
      </c>
      <c r="AA299" s="67"/>
      <c r="AB299" s="67"/>
      <c r="AC299" s="67"/>
    </row>
    <row r="300" spans="1:68" x14ac:dyDescent="0.2">
      <c r="A300" s="741"/>
      <c r="B300" s="741"/>
      <c r="C300" s="741"/>
      <c r="D300" s="741"/>
      <c r="E300" s="741"/>
      <c r="F300" s="741"/>
      <c r="G300" s="741"/>
      <c r="H300" s="741"/>
      <c r="I300" s="741"/>
      <c r="J300" s="741"/>
      <c r="K300" s="741"/>
      <c r="L300" s="741"/>
      <c r="M300" s="741"/>
      <c r="N300" s="741"/>
      <c r="O300" s="742"/>
      <c r="P300" s="738" t="s">
        <v>40</v>
      </c>
      <c r="Q300" s="739"/>
      <c r="R300" s="739"/>
      <c r="S300" s="739"/>
      <c r="T300" s="739"/>
      <c r="U300" s="739"/>
      <c r="V300" s="740"/>
      <c r="W300" s="42" t="s">
        <v>0</v>
      </c>
      <c r="X300" s="43">
        <f>IFERROR(SUM(X287:X298),"0")</f>
        <v>1320</v>
      </c>
      <c r="Y300" s="43">
        <f>IFERROR(SUM(Y287:Y298),"0")</f>
        <v>1320.9</v>
      </c>
      <c r="Z300" s="42"/>
      <c r="AA300" s="67"/>
      <c r="AB300" s="67"/>
      <c r="AC300" s="67"/>
    </row>
    <row r="301" spans="1:68" ht="14.25" hidden="1" customHeight="1" x14ac:dyDescent="0.25">
      <c r="A301" s="732" t="s">
        <v>173</v>
      </c>
      <c r="B301" s="732"/>
      <c r="C301" s="732"/>
      <c r="D301" s="732"/>
      <c r="E301" s="732"/>
      <c r="F301" s="732"/>
      <c r="G301" s="732"/>
      <c r="H301" s="732"/>
      <c r="I301" s="732"/>
      <c r="J301" s="732"/>
      <c r="K301" s="732"/>
      <c r="L301" s="732"/>
      <c r="M301" s="732"/>
      <c r="N301" s="732"/>
      <c r="O301" s="732"/>
      <c r="P301" s="732"/>
      <c r="Q301" s="732"/>
      <c r="R301" s="732"/>
      <c r="S301" s="732"/>
      <c r="T301" s="732"/>
      <c r="U301" s="732"/>
      <c r="V301" s="732"/>
      <c r="W301" s="732"/>
      <c r="X301" s="732"/>
      <c r="Y301" s="732"/>
      <c r="Z301" s="732"/>
      <c r="AA301" s="66"/>
      <c r="AB301" s="66"/>
      <c r="AC301" s="80"/>
    </row>
    <row r="302" spans="1:68" ht="27" customHeight="1" x14ac:dyDescent="0.25">
      <c r="A302" s="63" t="s">
        <v>521</v>
      </c>
      <c r="B302" s="63" t="s">
        <v>522</v>
      </c>
      <c r="C302" s="36">
        <v>4301060463</v>
      </c>
      <c r="D302" s="733">
        <v>4680115880818</v>
      </c>
      <c r="E302" s="733"/>
      <c r="F302" s="62">
        <v>0.4</v>
      </c>
      <c r="G302" s="37">
        <v>6</v>
      </c>
      <c r="H302" s="62">
        <v>2.4</v>
      </c>
      <c r="I302" s="62">
        <v>2.6520000000000001</v>
      </c>
      <c r="J302" s="37">
        <v>182</v>
      </c>
      <c r="K302" s="37" t="s">
        <v>91</v>
      </c>
      <c r="L302" s="37" t="s">
        <v>46</v>
      </c>
      <c r="M302" s="38" t="s">
        <v>97</v>
      </c>
      <c r="N302" s="38"/>
      <c r="O302" s="37">
        <v>40</v>
      </c>
      <c r="P302" s="902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302" s="735"/>
      <c r="R302" s="735"/>
      <c r="S302" s="735"/>
      <c r="T302" s="736"/>
      <c r="U302" s="39" t="s">
        <v>46</v>
      </c>
      <c r="V302" s="39" t="s">
        <v>46</v>
      </c>
      <c r="W302" s="40" t="s">
        <v>0</v>
      </c>
      <c r="X302" s="58">
        <v>40</v>
      </c>
      <c r="Y302" s="55">
        <f>IFERROR(IF(X302="",0,CEILING((X302/$H302),1)*$H302),"")</f>
        <v>40.799999999999997</v>
      </c>
      <c r="Z302" s="41">
        <f>IFERROR(IF(Y302=0,"",ROUNDUP(Y302/H302,0)*0.00651),"")</f>
        <v>0.11067</v>
      </c>
      <c r="AA302" s="68" t="s">
        <v>46</v>
      </c>
      <c r="AB302" s="69" t="s">
        <v>46</v>
      </c>
      <c r="AC302" s="408" t="s">
        <v>523</v>
      </c>
      <c r="AG302" s="78"/>
      <c r="AJ302" s="84" t="s">
        <v>46</v>
      </c>
      <c r="AK302" s="84">
        <v>0</v>
      </c>
      <c r="BB302" s="409" t="s">
        <v>67</v>
      </c>
      <c r="BM302" s="78">
        <f>IFERROR(X302*I302/H302,"0")</f>
        <v>44.20000000000001</v>
      </c>
      <c r="BN302" s="78">
        <f>IFERROR(Y302*I302/H302,"0")</f>
        <v>45.084000000000003</v>
      </c>
      <c r="BO302" s="78">
        <f>IFERROR(1/J302*(X302/H302),"0")</f>
        <v>9.1575091575091583E-2</v>
      </c>
      <c r="BP302" s="78">
        <f>IFERROR(1/J302*(Y302/H302),"0")</f>
        <v>9.3406593406593408E-2</v>
      </c>
    </row>
    <row r="303" spans="1:68" ht="27" customHeight="1" x14ac:dyDescent="0.25">
      <c r="A303" s="63" t="s">
        <v>524</v>
      </c>
      <c r="B303" s="63" t="s">
        <v>525</v>
      </c>
      <c r="C303" s="36">
        <v>4301060389</v>
      </c>
      <c r="D303" s="733">
        <v>4680115880801</v>
      </c>
      <c r="E303" s="733"/>
      <c r="F303" s="62">
        <v>0.4</v>
      </c>
      <c r="G303" s="37">
        <v>6</v>
      </c>
      <c r="H303" s="62">
        <v>2.4</v>
      </c>
      <c r="I303" s="62">
        <v>2.6520000000000001</v>
      </c>
      <c r="J303" s="37">
        <v>182</v>
      </c>
      <c r="K303" s="37" t="s">
        <v>91</v>
      </c>
      <c r="L303" s="37" t="s">
        <v>46</v>
      </c>
      <c r="M303" s="38" t="s">
        <v>90</v>
      </c>
      <c r="N303" s="38"/>
      <c r="O303" s="37">
        <v>40</v>
      </c>
      <c r="P303" s="903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303" s="735"/>
      <c r="R303" s="735"/>
      <c r="S303" s="735"/>
      <c r="T303" s="736"/>
      <c r="U303" s="39" t="s">
        <v>46</v>
      </c>
      <c r="V303" s="39" t="s">
        <v>46</v>
      </c>
      <c r="W303" s="40" t="s">
        <v>0</v>
      </c>
      <c r="X303" s="58">
        <v>160</v>
      </c>
      <c r="Y303" s="55">
        <f>IFERROR(IF(X303="",0,CEILING((X303/$H303),1)*$H303),"")</f>
        <v>160.79999999999998</v>
      </c>
      <c r="Z303" s="41">
        <f>IFERROR(IF(Y303=0,"",ROUNDUP(Y303/H303,0)*0.00651),"")</f>
        <v>0.43617</v>
      </c>
      <c r="AA303" s="68" t="s">
        <v>46</v>
      </c>
      <c r="AB303" s="69" t="s">
        <v>46</v>
      </c>
      <c r="AC303" s="410" t="s">
        <v>526</v>
      </c>
      <c r="AG303" s="78"/>
      <c r="AJ303" s="84" t="s">
        <v>46</v>
      </c>
      <c r="AK303" s="84">
        <v>0</v>
      </c>
      <c r="BB303" s="411" t="s">
        <v>67</v>
      </c>
      <c r="BM303" s="78">
        <f>IFERROR(X303*I303/H303,"0")</f>
        <v>176.80000000000004</v>
      </c>
      <c r="BN303" s="78">
        <f>IFERROR(Y303*I303/H303,"0")</f>
        <v>177.684</v>
      </c>
      <c r="BO303" s="78">
        <f>IFERROR(1/J303*(X303/H303),"0")</f>
        <v>0.36630036630036633</v>
      </c>
      <c r="BP303" s="78">
        <f>IFERROR(1/J303*(Y303/H303),"0")</f>
        <v>0.36813186813186816</v>
      </c>
    </row>
    <row r="304" spans="1:68" x14ac:dyDescent="0.2">
      <c r="A304" s="741"/>
      <c r="B304" s="741"/>
      <c r="C304" s="741"/>
      <c r="D304" s="741"/>
      <c r="E304" s="741"/>
      <c r="F304" s="741"/>
      <c r="G304" s="741"/>
      <c r="H304" s="741"/>
      <c r="I304" s="741"/>
      <c r="J304" s="741"/>
      <c r="K304" s="741"/>
      <c r="L304" s="741"/>
      <c r="M304" s="741"/>
      <c r="N304" s="741"/>
      <c r="O304" s="742"/>
      <c r="P304" s="738" t="s">
        <v>40</v>
      </c>
      <c r="Q304" s="739"/>
      <c r="R304" s="739"/>
      <c r="S304" s="739"/>
      <c r="T304" s="739"/>
      <c r="U304" s="739"/>
      <c r="V304" s="740"/>
      <c r="W304" s="42" t="s">
        <v>39</v>
      </c>
      <c r="X304" s="43">
        <f>IFERROR(X302/H302,"0")+IFERROR(X303/H303,"0")</f>
        <v>83.333333333333343</v>
      </c>
      <c r="Y304" s="43">
        <f>IFERROR(Y302/H302,"0")+IFERROR(Y303/H303,"0")</f>
        <v>84</v>
      </c>
      <c r="Z304" s="43">
        <f>IFERROR(IF(Z302="",0,Z302),"0")+IFERROR(IF(Z303="",0,Z303),"0")</f>
        <v>0.54683999999999999</v>
      </c>
      <c r="AA304" s="67"/>
      <c r="AB304" s="67"/>
      <c r="AC304" s="67"/>
    </row>
    <row r="305" spans="1:68" x14ac:dyDescent="0.2">
      <c r="A305" s="741"/>
      <c r="B305" s="741"/>
      <c r="C305" s="741"/>
      <c r="D305" s="741"/>
      <c r="E305" s="741"/>
      <c r="F305" s="741"/>
      <c r="G305" s="741"/>
      <c r="H305" s="741"/>
      <c r="I305" s="741"/>
      <c r="J305" s="741"/>
      <c r="K305" s="741"/>
      <c r="L305" s="741"/>
      <c r="M305" s="741"/>
      <c r="N305" s="741"/>
      <c r="O305" s="742"/>
      <c r="P305" s="738" t="s">
        <v>40</v>
      </c>
      <c r="Q305" s="739"/>
      <c r="R305" s="739"/>
      <c r="S305" s="739"/>
      <c r="T305" s="739"/>
      <c r="U305" s="739"/>
      <c r="V305" s="740"/>
      <c r="W305" s="42" t="s">
        <v>0</v>
      </c>
      <c r="X305" s="43">
        <f>IFERROR(SUM(X302:X303),"0")</f>
        <v>200</v>
      </c>
      <c r="Y305" s="43">
        <f>IFERROR(SUM(Y302:Y303),"0")</f>
        <v>201.59999999999997</v>
      </c>
      <c r="Z305" s="42"/>
      <c r="AA305" s="67"/>
      <c r="AB305" s="67"/>
      <c r="AC305" s="67"/>
    </row>
    <row r="306" spans="1:68" ht="16.5" hidden="1" customHeight="1" x14ac:dyDescent="0.25">
      <c r="A306" s="731" t="s">
        <v>527</v>
      </c>
      <c r="B306" s="731"/>
      <c r="C306" s="731"/>
      <c r="D306" s="731"/>
      <c r="E306" s="731"/>
      <c r="F306" s="731"/>
      <c r="G306" s="731"/>
      <c r="H306" s="731"/>
      <c r="I306" s="731"/>
      <c r="J306" s="731"/>
      <c r="K306" s="731"/>
      <c r="L306" s="731"/>
      <c r="M306" s="731"/>
      <c r="N306" s="731"/>
      <c r="O306" s="731"/>
      <c r="P306" s="731"/>
      <c r="Q306" s="731"/>
      <c r="R306" s="731"/>
      <c r="S306" s="731"/>
      <c r="T306" s="731"/>
      <c r="U306" s="731"/>
      <c r="V306" s="731"/>
      <c r="W306" s="731"/>
      <c r="X306" s="731"/>
      <c r="Y306" s="731"/>
      <c r="Z306" s="731"/>
      <c r="AA306" s="65"/>
      <c r="AB306" s="65"/>
      <c r="AC306" s="79"/>
    </row>
    <row r="307" spans="1:68" ht="14.25" hidden="1" customHeight="1" x14ac:dyDescent="0.25">
      <c r="A307" s="732" t="s">
        <v>122</v>
      </c>
      <c r="B307" s="732"/>
      <c r="C307" s="732"/>
      <c r="D307" s="732"/>
      <c r="E307" s="732"/>
      <c r="F307" s="732"/>
      <c r="G307" s="732"/>
      <c r="H307" s="732"/>
      <c r="I307" s="732"/>
      <c r="J307" s="732"/>
      <c r="K307" s="732"/>
      <c r="L307" s="732"/>
      <c r="M307" s="732"/>
      <c r="N307" s="732"/>
      <c r="O307" s="732"/>
      <c r="P307" s="732"/>
      <c r="Q307" s="732"/>
      <c r="R307" s="732"/>
      <c r="S307" s="732"/>
      <c r="T307" s="732"/>
      <c r="U307" s="732"/>
      <c r="V307" s="732"/>
      <c r="W307" s="732"/>
      <c r="X307" s="732"/>
      <c r="Y307" s="732"/>
      <c r="Z307" s="732"/>
      <c r="AA307" s="66"/>
      <c r="AB307" s="66"/>
      <c r="AC307" s="80"/>
    </row>
    <row r="308" spans="1:68" ht="27" hidden="1" customHeight="1" x14ac:dyDescent="0.25">
      <c r="A308" s="63" t="s">
        <v>528</v>
      </c>
      <c r="B308" s="63" t="s">
        <v>529</v>
      </c>
      <c r="C308" s="36">
        <v>4301011826</v>
      </c>
      <c r="D308" s="733">
        <v>4680115884137</v>
      </c>
      <c r="E308" s="733"/>
      <c r="F308" s="62">
        <v>1.45</v>
      </c>
      <c r="G308" s="37">
        <v>8</v>
      </c>
      <c r="H308" s="62">
        <v>11.6</v>
      </c>
      <c r="I308" s="62">
        <v>12.01</v>
      </c>
      <c r="J308" s="37">
        <v>64</v>
      </c>
      <c r="K308" s="37" t="s">
        <v>127</v>
      </c>
      <c r="L308" s="37" t="s">
        <v>46</v>
      </c>
      <c r="M308" s="38" t="s">
        <v>126</v>
      </c>
      <c r="N308" s="38"/>
      <c r="O308" s="37">
        <v>55</v>
      </c>
      <c r="P308" s="90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8" s="735"/>
      <c r="R308" s="735"/>
      <c r="S308" s="735"/>
      <c r="T308" s="736"/>
      <c r="U308" s="39" t="s">
        <v>46</v>
      </c>
      <c r="V308" s="39" t="s">
        <v>46</v>
      </c>
      <c r="W308" s="40" t="s">
        <v>0</v>
      </c>
      <c r="X308" s="58">
        <v>0</v>
      </c>
      <c r="Y308" s="55">
        <f t="shared" ref="Y308:Y314" si="55">IFERROR(IF(X308="",0,CEILING((X308/$H308),1)*$H308),"")</f>
        <v>0</v>
      </c>
      <c r="Z308" s="41" t="str">
        <f>IFERROR(IF(Y308=0,"",ROUNDUP(Y308/H308,0)*0.01898),"")</f>
        <v/>
      </c>
      <c r="AA308" s="68" t="s">
        <v>46</v>
      </c>
      <c r="AB308" s="69" t="s">
        <v>46</v>
      </c>
      <c r="AC308" s="412" t="s">
        <v>530</v>
      </c>
      <c r="AG308" s="78"/>
      <c r="AJ308" s="84" t="s">
        <v>46</v>
      </c>
      <c r="AK308" s="84">
        <v>0</v>
      </c>
      <c r="BB308" s="413" t="s">
        <v>67</v>
      </c>
      <c r="BM308" s="78">
        <f t="shared" ref="BM308:BM314" si="56">IFERROR(X308*I308/H308,"0")</f>
        <v>0</v>
      </c>
      <c r="BN308" s="78">
        <f t="shared" ref="BN308:BN314" si="57">IFERROR(Y308*I308/H308,"0")</f>
        <v>0</v>
      </c>
      <c r="BO308" s="78">
        <f t="shared" ref="BO308:BO314" si="58">IFERROR(1/J308*(X308/H308),"0")</f>
        <v>0</v>
      </c>
      <c r="BP308" s="78">
        <f t="shared" ref="BP308:BP314" si="59">IFERROR(1/J308*(Y308/H308),"0")</f>
        <v>0</v>
      </c>
    </row>
    <row r="309" spans="1:68" ht="27" hidden="1" customHeight="1" x14ac:dyDescent="0.25">
      <c r="A309" s="63" t="s">
        <v>531</v>
      </c>
      <c r="B309" s="63" t="s">
        <v>532</v>
      </c>
      <c r="C309" s="36">
        <v>4301011724</v>
      </c>
      <c r="D309" s="733">
        <v>4680115884236</v>
      </c>
      <c r="E309" s="733"/>
      <c r="F309" s="62">
        <v>1.45</v>
      </c>
      <c r="G309" s="37">
        <v>8</v>
      </c>
      <c r="H309" s="62">
        <v>11.6</v>
      </c>
      <c r="I309" s="62">
        <v>12.01</v>
      </c>
      <c r="J309" s="37">
        <v>64</v>
      </c>
      <c r="K309" s="37" t="s">
        <v>127</v>
      </c>
      <c r="L309" s="37" t="s">
        <v>46</v>
      </c>
      <c r="M309" s="38" t="s">
        <v>126</v>
      </c>
      <c r="N309" s="38"/>
      <c r="O309" s="37">
        <v>55</v>
      </c>
      <c r="P309" s="90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9" s="735"/>
      <c r="R309" s="735"/>
      <c r="S309" s="735"/>
      <c r="T309" s="736"/>
      <c r="U309" s="39" t="s">
        <v>46</v>
      </c>
      <c r="V309" s="39" t="s">
        <v>46</v>
      </c>
      <c r="W309" s="40" t="s">
        <v>0</v>
      </c>
      <c r="X309" s="58">
        <v>0</v>
      </c>
      <c r="Y309" s="55">
        <f t="shared" si="55"/>
        <v>0</v>
      </c>
      <c r="Z309" s="41" t="str">
        <f>IFERROR(IF(Y309=0,"",ROUNDUP(Y309/H309,0)*0.01898),"")</f>
        <v/>
      </c>
      <c r="AA309" s="68" t="s">
        <v>46</v>
      </c>
      <c r="AB309" s="69" t="s">
        <v>46</v>
      </c>
      <c r="AC309" s="414" t="s">
        <v>533</v>
      </c>
      <c r="AG309" s="78"/>
      <c r="AJ309" s="84" t="s">
        <v>46</v>
      </c>
      <c r="AK309" s="84">
        <v>0</v>
      </c>
      <c r="BB309" s="415" t="s">
        <v>67</v>
      </c>
      <c r="BM309" s="78">
        <f t="shared" si="56"/>
        <v>0</v>
      </c>
      <c r="BN309" s="78">
        <f t="shared" si="57"/>
        <v>0</v>
      </c>
      <c r="BO309" s="78">
        <f t="shared" si="58"/>
        <v>0</v>
      </c>
      <c r="BP309" s="78">
        <f t="shared" si="59"/>
        <v>0</v>
      </c>
    </row>
    <row r="310" spans="1:68" ht="27" hidden="1" customHeight="1" x14ac:dyDescent="0.25">
      <c r="A310" s="63" t="s">
        <v>534</v>
      </c>
      <c r="B310" s="63" t="s">
        <v>535</v>
      </c>
      <c r="C310" s="36">
        <v>4301011721</v>
      </c>
      <c r="D310" s="733">
        <v>4680115884175</v>
      </c>
      <c r="E310" s="733"/>
      <c r="F310" s="62">
        <v>1.45</v>
      </c>
      <c r="G310" s="37">
        <v>8</v>
      </c>
      <c r="H310" s="62">
        <v>11.6</v>
      </c>
      <c r="I310" s="62">
        <v>12.01</v>
      </c>
      <c r="J310" s="37">
        <v>64</v>
      </c>
      <c r="K310" s="37" t="s">
        <v>127</v>
      </c>
      <c r="L310" s="37" t="s">
        <v>46</v>
      </c>
      <c r="M310" s="38" t="s">
        <v>126</v>
      </c>
      <c r="N310" s="38"/>
      <c r="O310" s="37">
        <v>55</v>
      </c>
      <c r="P310" s="90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10" s="735"/>
      <c r="R310" s="735"/>
      <c r="S310" s="735"/>
      <c r="T310" s="736"/>
      <c r="U310" s="39" t="s">
        <v>46</v>
      </c>
      <c r="V310" s="39" t="s">
        <v>46</v>
      </c>
      <c r="W310" s="40" t="s">
        <v>0</v>
      </c>
      <c r="X310" s="58">
        <v>0</v>
      </c>
      <c r="Y310" s="55">
        <f t="shared" si="55"/>
        <v>0</v>
      </c>
      <c r="Z310" s="41" t="str">
        <f>IFERROR(IF(Y310=0,"",ROUNDUP(Y310/H310,0)*0.01898),"")</f>
        <v/>
      </c>
      <c r="AA310" s="68" t="s">
        <v>46</v>
      </c>
      <c r="AB310" s="69" t="s">
        <v>46</v>
      </c>
      <c r="AC310" s="416" t="s">
        <v>388</v>
      </c>
      <c r="AG310" s="78"/>
      <c r="AJ310" s="84" t="s">
        <v>46</v>
      </c>
      <c r="AK310" s="84">
        <v>0</v>
      </c>
      <c r="BB310" s="417" t="s">
        <v>67</v>
      </c>
      <c r="BM310" s="78">
        <f t="shared" si="56"/>
        <v>0</v>
      </c>
      <c r="BN310" s="78">
        <f t="shared" si="57"/>
        <v>0</v>
      </c>
      <c r="BO310" s="78">
        <f t="shared" si="58"/>
        <v>0</v>
      </c>
      <c r="BP310" s="78">
        <f t="shared" si="59"/>
        <v>0</v>
      </c>
    </row>
    <row r="311" spans="1:68" ht="27" hidden="1" customHeight="1" x14ac:dyDescent="0.25">
      <c r="A311" s="63" t="s">
        <v>536</v>
      </c>
      <c r="B311" s="63" t="s">
        <v>537</v>
      </c>
      <c r="C311" s="36">
        <v>4301011824</v>
      </c>
      <c r="D311" s="733">
        <v>4680115884144</v>
      </c>
      <c r="E311" s="733"/>
      <c r="F311" s="62">
        <v>0.4</v>
      </c>
      <c r="G311" s="37">
        <v>10</v>
      </c>
      <c r="H311" s="62">
        <v>4</v>
      </c>
      <c r="I311" s="62">
        <v>4.1900000000000004</v>
      </c>
      <c r="J311" s="37">
        <v>132</v>
      </c>
      <c r="K311" s="37" t="s">
        <v>134</v>
      </c>
      <c r="L311" s="37" t="s">
        <v>46</v>
      </c>
      <c r="M311" s="38" t="s">
        <v>126</v>
      </c>
      <c r="N311" s="38"/>
      <c r="O311" s="37">
        <v>55</v>
      </c>
      <c r="P311" s="907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11" s="735"/>
      <c r="R311" s="735"/>
      <c r="S311" s="735"/>
      <c r="T311" s="736"/>
      <c r="U311" s="39" t="s">
        <v>46</v>
      </c>
      <c r="V311" s="39" t="s">
        <v>46</v>
      </c>
      <c r="W311" s="40" t="s">
        <v>0</v>
      </c>
      <c r="X311" s="58">
        <v>0</v>
      </c>
      <c r="Y311" s="55">
        <f t="shared" si="55"/>
        <v>0</v>
      </c>
      <c r="Z311" s="41" t="str">
        <f>IFERROR(IF(Y311=0,"",ROUNDUP(Y311/H311,0)*0.00902),"")</f>
        <v/>
      </c>
      <c r="AA311" s="68" t="s">
        <v>46</v>
      </c>
      <c r="AB311" s="69" t="s">
        <v>46</v>
      </c>
      <c r="AC311" s="418" t="s">
        <v>530</v>
      </c>
      <c r="AG311" s="78"/>
      <c r="AJ311" s="84" t="s">
        <v>46</v>
      </c>
      <c r="AK311" s="84">
        <v>0</v>
      </c>
      <c r="BB311" s="419" t="s">
        <v>67</v>
      </c>
      <c r="BM311" s="78">
        <f t="shared" si="56"/>
        <v>0</v>
      </c>
      <c r="BN311" s="78">
        <f t="shared" si="57"/>
        <v>0</v>
      </c>
      <c r="BO311" s="78">
        <f t="shared" si="58"/>
        <v>0</v>
      </c>
      <c r="BP311" s="78">
        <f t="shared" si="59"/>
        <v>0</v>
      </c>
    </row>
    <row r="312" spans="1:68" ht="27" hidden="1" customHeight="1" x14ac:dyDescent="0.25">
      <c r="A312" s="63" t="s">
        <v>538</v>
      </c>
      <c r="B312" s="63" t="s">
        <v>539</v>
      </c>
      <c r="C312" s="36">
        <v>4301012149</v>
      </c>
      <c r="D312" s="733">
        <v>4680115886551</v>
      </c>
      <c r="E312" s="733"/>
      <c r="F312" s="62">
        <v>0.4</v>
      </c>
      <c r="G312" s="37">
        <v>10</v>
      </c>
      <c r="H312" s="62">
        <v>4</v>
      </c>
      <c r="I312" s="62">
        <v>4.1900000000000004</v>
      </c>
      <c r="J312" s="37">
        <v>132</v>
      </c>
      <c r="K312" s="37" t="s">
        <v>134</v>
      </c>
      <c r="L312" s="37" t="s">
        <v>46</v>
      </c>
      <c r="M312" s="38" t="s">
        <v>126</v>
      </c>
      <c r="N312" s="38"/>
      <c r="O312" s="37">
        <v>55</v>
      </c>
      <c r="P312" s="908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12" s="735"/>
      <c r="R312" s="735"/>
      <c r="S312" s="735"/>
      <c r="T312" s="736"/>
      <c r="U312" s="39" t="s">
        <v>46</v>
      </c>
      <c r="V312" s="39" t="s">
        <v>46</v>
      </c>
      <c r="W312" s="40" t="s">
        <v>0</v>
      </c>
      <c r="X312" s="58">
        <v>0</v>
      </c>
      <c r="Y312" s="55">
        <f t="shared" si="55"/>
        <v>0</v>
      </c>
      <c r="Z312" s="41" t="str">
        <f>IFERROR(IF(Y312=0,"",ROUNDUP(Y312/H312,0)*0.00902),"")</f>
        <v/>
      </c>
      <c r="AA312" s="68" t="s">
        <v>46</v>
      </c>
      <c r="AB312" s="69" t="s">
        <v>46</v>
      </c>
      <c r="AC312" s="420" t="s">
        <v>540</v>
      </c>
      <c r="AG312" s="78"/>
      <c r="AJ312" s="84" t="s">
        <v>46</v>
      </c>
      <c r="AK312" s="84">
        <v>0</v>
      </c>
      <c r="BB312" s="421" t="s">
        <v>67</v>
      </c>
      <c r="BM312" s="78">
        <f t="shared" si="56"/>
        <v>0</v>
      </c>
      <c r="BN312" s="78">
        <f t="shared" si="57"/>
        <v>0</v>
      </c>
      <c r="BO312" s="78">
        <f t="shared" si="58"/>
        <v>0</v>
      </c>
      <c r="BP312" s="78">
        <f t="shared" si="59"/>
        <v>0</v>
      </c>
    </row>
    <row r="313" spans="1:68" ht="27" hidden="1" customHeight="1" x14ac:dyDescent="0.25">
      <c r="A313" s="63" t="s">
        <v>541</v>
      </c>
      <c r="B313" s="63" t="s">
        <v>542</v>
      </c>
      <c r="C313" s="36">
        <v>4301012228</v>
      </c>
      <c r="D313" s="733">
        <v>4680115887282</v>
      </c>
      <c r="E313" s="733"/>
      <c r="F313" s="62">
        <v>0.4</v>
      </c>
      <c r="G313" s="37">
        <v>6</v>
      </c>
      <c r="H313" s="62">
        <v>2.4</v>
      </c>
      <c r="I313" s="62">
        <v>2.58</v>
      </c>
      <c r="J313" s="37">
        <v>182</v>
      </c>
      <c r="K313" s="37" t="s">
        <v>91</v>
      </c>
      <c r="L313" s="37" t="s">
        <v>46</v>
      </c>
      <c r="M313" s="38" t="s">
        <v>126</v>
      </c>
      <c r="N313" s="38"/>
      <c r="O313" s="37">
        <v>55</v>
      </c>
      <c r="P313" s="909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13" s="735"/>
      <c r="R313" s="735"/>
      <c r="S313" s="735"/>
      <c r="T313" s="736"/>
      <c r="U313" s="39" t="s">
        <v>46</v>
      </c>
      <c r="V313" s="39" t="s">
        <v>46</v>
      </c>
      <c r="W313" s="40" t="s">
        <v>0</v>
      </c>
      <c r="X313" s="58">
        <v>0</v>
      </c>
      <c r="Y313" s="55">
        <f t="shared" si="55"/>
        <v>0</v>
      </c>
      <c r="Z313" s="41" t="str">
        <f>IFERROR(IF(Y313=0,"",ROUNDUP(Y313/H313,0)*0.00651),"")</f>
        <v/>
      </c>
      <c r="AA313" s="68" t="s">
        <v>46</v>
      </c>
      <c r="AB313" s="69" t="s">
        <v>46</v>
      </c>
      <c r="AC313" s="422" t="s">
        <v>543</v>
      </c>
      <c r="AG313" s="78"/>
      <c r="AJ313" s="84" t="s">
        <v>46</v>
      </c>
      <c r="AK313" s="84">
        <v>0</v>
      </c>
      <c r="BB313" s="423" t="s">
        <v>67</v>
      </c>
      <c r="BM313" s="78">
        <f t="shared" si="56"/>
        <v>0</v>
      </c>
      <c r="BN313" s="78">
        <f t="shared" si="57"/>
        <v>0</v>
      </c>
      <c r="BO313" s="78">
        <f t="shared" si="58"/>
        <v>0</v>
      </c>
      <c r="BP313" s="78">
        <f t="shared" si="59"/>
        <v>0</v>
      </c>
    </row>
    <row r="314" spans="1:68" ht="27" hidden="1" customHeight="1" x14ac:dyDescent="0.25">
      <c r="A314" s="63" t="s">
        <v>544</v>
      </c>
      <c r="B314" s="63" t="s">
        <v>545</v>
      </c>
      <c r="C314" s="36">
        <v>4301011722</v>
      </c>
      <c r="D314" s="733">
        <v>4680115884205</v>
      </c>
      <c r="E314" s="733"/>
      <c r="F314" s="62">
        <v>0.4</v>
      </c>
      <c r="G314" s="37">
        <v>10</v>
      </c>
      <c r="H314" s="62">
        <v>4</v>
      </c>
      <c r="I314" s="62">
        <v>4.1900000000000004</v>
      </c>
      <c r="J314" s="37">
        <v>132</v>
      </c>
      <c r="K314" s="37" t="s">
        <v>134</v>
      </c>
      <c r="L314" s="37" t="s">
        <v>46</v>
      </c>
      <c r="M314" s="38" t="s">
        <v>126</v>
      </c>
      <c r="N314" s="38"/>
      <c r="O314" s="37">
        <v>55</v>
      </c>
      <c r="P314" s="910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4" s="735"/>
      <c r="R314" s="735"/>
      <c r="S314" s="735"/>
      <c r="T314" s="736"/>
      <c r="U314" s="39" t="s">
        <v>46</v>
      </c>
      <c r="V314" s="39" t="s">
        <v>46</v>
      </c>
      <c r="W314" s="40" t="s">
        <v>0</v>
      </c>
      <c r="X314" s="58">
        <v>0</v>
      </c>
      <c r="Y314" s="55">
        <f t="shared" si="55"/>
        <v>0</v>
      </c>
      <c r="Z314" s="41" t="str">
        <f>IFERROR(IF(Y314=0,"",ROUNDUP(Y314/H314,0)*0.00902),"")</f>
        <v/>
      </c>
      <c r="AA314" s="68" t="s">
        <v>46</v>
      </c>
      <c r="AB314" s="69" t="s">
        <v>46</v>
      </c>
      <c r="AC314" s="424" t="s">
        <v>388</v>
      </c>
      <c r="AG314" s="78"/>
      <c r="AJ314" s="84" t="s">
        <v>46</v>
      </c>
      <c r="AK314" s="84">
        <v>0</v>
      </c>
      <c r="BB314" s="425" t="s">
        <v>67</v>
      </c>
      <c r="BM314" s="78">
        <f t="shared" si="56"/>
        <v>0</v>
      </c>
      <c r="BN314" s="78">
        <f t="shared" si="57"/>
        <v>0</v>
      </c>
      <c r="BO314" s="78">
        <f t="shared" si="58"/>
        <v>0</v>
      </c>
      <c r="BP314" s="78">
        <f t="shared" si="59"/>
        <v>0</v>
      </c>
    </row>
    <row r="315" spans="1:68" hidden="1" x14ac:dyDescent="0.2">
      <c r="A315" s="741"/>
      <c r="B315" s="741"/>
      <c r="C315" s="741"/>
      <c r="D315" s="741"/>
      <c r="E315" s="741"/>
      <c r="F315" s="741"/>
      <c r="G315" s="741"/>
      <c r="H315" s="741"/>
      <c r="I315" s="741"/>
      <c r="J315" s="741"/>
      <c r="K315" s="741"/>
      <c r="L315" s="741"/>
      <c r="M315" s="741"/>
      <c r="N315" s="741"/>
      <c r="O315" s="742"/>
      <c r="P315" s="738" t="s">
        <v>40</v>
      </c>
      <c r="Q315" s="739"/>
      <c r="R315" s="739"/>
      <c r="S315" s="739"/>
      <c r="T315" s="739"/>
      <c r="U315" s="739"/>
      <c r="V315" s="740"/>
      <c r="W315" s="42" t="s">
        <v>39</v>
      </c>
      <c r="X315" s="43">
        <f>IFERROR(X308/H308,"0")+IFERROR(X309/H309,"0")+IFERROR(X310/H310,"0")+IFERROR(X311/H311,"0")+IFERROR(X312/H312,"0")+IFERROR(X313/H313,"0")+IFERROR(X314/H314,"0")</f>
        <v>0</v>
      </c>
      <c r="Y315" s="43">
        <f>IFERROR(Y308/H308,"0")+IFERROR(Y309/H309,"0")+IFERROR(Y310/H310,"0")+IFERROR(Y311/H311,"0")+IFERROR(Y312/H312,"0")+IFERROR(Y313/H313,"0")+IFERROR(Y314/H314,"0")</f>
        <v>0</v>
      </c>
      <c r="Z315" s="43">
        <f>IFERROR(IF(Z308="",0,Z308),"0")+IFERROR(IF(Z309="",0,Z309),"0")+IFERROR(IF(Z310="",0,Z310),"0")+IFERROR(IF(Z311="",0,Z311),"0")+IFERROR(IF(Z312="",0,Z312),"0")+IFERROR(IF(Z313="",0,Z313),"0")+IFERROR(IF(Z314="",0,Z314),"0")</f>
        <v>0</v>
      </c>
      <c r="AA315" s="67"/>
      <c r="AB315" s="67"/>
      <c r="AC315" s="67"/>
    </row>
    <row r="316" spans="1:68" hidden="1" x14ac:dyDescent="0.2">
      <c r="A316" s="741"/>
      <c r="B316" s="741"/>
      <c r="C316" s="741"/>
      <c r="D316" s="741"/>
      <c r="E316" s="741"/>
      <c r="F316" s="741"/>
      <c r="G316" s="741"/>
      <c r="H316" s="741"/>
      <c r="I316" s="741"/>
      <c r="J316" s="741"/>
      <c r="K316" s="741"/>
      <c r="L316" s="741"/>
      <c r="M316" s="741"/>
      <c r="N316" s="741"/>
      <c r="O316" s="742"/>
      <c r="P316" s="738" t="s">
        <v>40</v>
      </c>
      <c r="Q316" s="739"/>
      <c r="R316" s="739"/>
      <c r="S316" s="739"/>
      <c r="T316" s="739"/>
      <c r="U316" s="739"/>
      <c r="V316" s="740"/>
      <c r="W316" s="42" t="s">
        <v>0</v>
      </c>
      <c r="X316" s="43">
        <f>IFERROR(SUM(X308:X314),"0")</f>
        <v>0</v>
      </c>
      <c r="Y316" s="43">
        <f>IFERROR(SUM(Y308:Y314),"0")</f>
        <v>0</v>
      </c>
      <c r="Z316" s="42"/>
      <c r="AA316" s="67"/>
      <c r="AB316" s="67"/>
      <c r="AC316" s="67"/>
    </row>
    <row r="317" spans="1:68" ht="14.25" hidden="1" customHeight="1" x14ac:dyDescent="0.25">
      <c r="A317" s="732" t="s">
        <v>155</v>
      </c>
      <c r="B317" s="732"/>
      <c r="C317" s="732"/>
      <c r="D317" s="732"/>
      <c r="E317" s="732"/>
      <c r="F317" s="732"/>
      <c r="G317" s="732"/>
      <c r="H317" s="732"/>
      <c r="I317" s="732"/>
      <c r="J317" s="732"/>
      <c r="K317" s="732"/>
      <c r="L317" s="732"/>
      <c r="M317" s="732"/>
      <c r="N317" s="732"/>
      <c r="O317" s="732"/>
      <c r="P317" s="732"/>
      <c r="Q317" s="732"/>
      <c r="R317" s="732"/>
      <c r="S317" s="732"/>
      <c r="T317" s="732"/>
      <c r="U317" s="732"/>
      <c r="V317" s="732"/>
      <c r="W317" s="732"/>
      <c r="X317" s="732"/>
      <c r="Y317" s="732"/>
      <c r="Z317" s="732"/>
      <c r="AA317" s="66"/>
      <c r="AB317" s="66"/>
      <c r="AC317" s="80"/>
    </row>
    <row r="318" spans="1:68" ht="27" hidden="1" customHeight="1" x14ac:dyDescent="0.25">
      <c r="A318" s="63" t="s">
        <v>546</v>
      </c>
      <c r="B318" s="63" t="s">
        <v>547</v>
      </c>
      <c r="C318" s="36">
        <v>4301020377</v>
      </c>
      <c r="D318" s="733">
        <v>4680115885981</v>
      </c>
      <c r="E318" s="733"/>
      <c r="F318" s="62">
        <v>0.33</v>
      </c>
      <c r="G318" s="37">
        <v>6</v>
      </c>
      <c r="H318" s="62">
        <v>1.98</v>
      </c>
      <c r="I318" s="62">
        <v>2.08</v>
      </c>
      <c r="J318" s="37">
        <v>234</v>
      </c>
      <c r="K318" s="37" t="s">
        <v>82</v>
      </c>
      <c r="L318" s="37" t="s">
        <v>46</v>
      </c>
      <c r="M318" s="38" t="s">
        <v>90</v>
      </c>
      <c r="N318" s="38"/>
      <c r="O318" s="37">
        <v>50</v>
      </c>
      <c r="P318" s="91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8" s="735"/>
      <c r="R318" s="735"/>
      <c r="S318" s="735"/>
      <c r="T318" s="736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IFERROR(IF(Y318=0,"",ROUNDUP(Y318/H318,0)*0.00502),"")</f>
        <v/>
      </c>
      <c r="AA318" s="68" t="s">
        <v>46</v>
      </c>
      <c r="AB318" s="69" t="s">
        <v>46</v>
      </c>
      <c r="AC318" s="426" t="s">
        <v>548</v>
      </c>
      <c r="AG318" s="78"/>
      <c r="AJ318" s="84" t="s">
        <v>46</v>
      </c>
      <c r="AK318" s="84">
        <v>0</v>
      </c>
      <c r="BB318" s="427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idden="1" x14ac:dyDescent="0.2">
      <c r="A319" s="741"/>
      <c r="B319" s="741"/>
      <c r="C319" s="741"/>
      <c r="D319" s="741"/>
      <c r="E319" s="741"/>
      <c r="F319" s="741"/>
      <c r="G319" s="741"/>
      <c r="H319" s="741"/>
      <c r="I319" s="741"/>
      <c r="J319" s="741"/>
      <c r="K319" s="741"/>
      <c r="L319" s="741"/>
      <c r="M319" s="741"/>
      <c r="N319" s="741"/>
      <c r="O319" s="742"/>
      <c r="P319" s="738" t="s">
        <v>40</v>
      </c>
      <c r="Q319" s="739"/>
      <c r="R319" s="739"/>
      <c r="S319" s="739"/>
      <c r="T319" s="739"/>
      <c r="U319" s="739"/>
      <c r="V319" s="740"/>
      <c r="W319" s="42" t="s">
        <v>39</v>
      </c>
      <c r="X319" s="43">
        <f>IFERROR(X318/H318,"0")</f>
        <v>0</v>
      </c>
      <c r="Y319" s="43">
        <f>IFERROR(Y318/H318,"0")</f>
        <v>0</v>
      </c>
      <c r="Z319" s="43">
        <f>IFERROR(IF(Z318="",0,Z318),"0")</f>
        <v>0</v>
      </c>
      <c r="AA319" s="67"/>
      <c r="AB319" s="67"/>
      <c r="AC319" s="67"/>
    </row>
    <row r="320" spans="1:68" hidden="1" x14ac:dyDescent="0.2">
      <c r="A320" s="741"/>
      <c r="B320" s="741"/>
      <c r="C320" s="741"/>
      <c r="D320" s="741"/>
      <c r="E320" s="741"/>
      <c r="F320" s="741"/>
      <c r="G320" s="741"/>
      <c r="H320" s="741"/>
      <c r="I320" s="741"/>
      <c r="J320" s="741"/>
      <c r="K320" s="741"/>
      <c r="L320" s="741"/>
      <c r="M320" s="741"/>
      <c r="N320" s="741"/>
      <c r="O320" s="742"/>
      <c r="P320" s="738" t="s">
        <v>40</v>
      </c>
      <c r="Q320" s="739"/>
      <c r="R320" s="739"/>
      <c r="S320" s="739"/>
      <c r="T320" s="739"/>
      <c r="U320" s="739"/>
      <c r="V320" s="740"/>
      <c r="W320" s="42" t="s">
        <v>0</v>
      </c>
      <c r="X320" s="43">
        <f>IFERROR(SUM(X318:X318),"0")</f>
        <v>0</v>
      </c>
      <c r="Y320" s="43">
        <f>IFERROR(SUM(Y318:Y318),"0")</f>
        <v>0</v>
      </c>
      <c r="Z320" s="42"/>
      <c r="AA320" s="67"/>
      <c r="AB320" s="67"/>
      <c r="AC320" s="67"/>
    </row>
    <row r="321" spans="1:68" ht="14.25" hidden="1" customHeight="1" x14ac:dyDescent="0.25">
      <c r="A321" s="732" t="s">
        <v>549</v>
      </c>
      <c r="B321" s="732"/>
      <c r="C321" s="732"/>
      <c r="D321" s="732"/>
      <c r="E321" s="732"/>
      <c r="F321" s="732"/>
      <c r="G321" s="732"/>
      <c r="H321" s="732"/>
      <c r="I321" s="732"/>
      <c r="J321" s="732"/>
      <c r="K321" s="732"/>
      <c r="L321" s="732"/>
      <c r="M321" s="732"/>
      <c r="N321" s="732"/>
      <c r="O321" s="732"/>
      <c r="P321" s="732"/>
      <c r="Q321" s="732"/>
      <c r="R321" s="732"/>
      <c r="S321" s="732"/>
      <c r="T321" s="732"/>
      <c r="U321" s="732"/>
      <c r="V321" s="732"/>
      <c r="W321" s="732"/>
      <c r="X321" s="732"/>
      <c r="Y321" s="732"/>
      <c r="Z321" s="732"/>
      <c r="AA321" s="66"/>
      <c r="AB321" s="66"/>
      <c r="AC321" s="80"/>
    </row>
    <row r="322" spans="1:68" ht="27" hidden="1" customHeight="1" x14ac:dyDescent="0.25">
      <c r="A322" s="63" t="s">
        <v>550</v>
      </c>
      <c r="B322" s="63" t="s">
        <v>551</v>
      </c>
      <c r="C322" s="36">
        <v>4301040362</v>
      </c>
      <c r="D322" s="733">
        <v>4680115886803</v>
      </c>
      <c r="E322" s="733"/>
      <c r="F322" s="62">
        <v>0.12</v>
      </c>
      <c r="G322" s="37">
        <v>15</v>
      </c>
      <c r="H322" s="62">
        <v>1.8</v>
      </c>
      <c r="I322" s="62">
        <v>1.9750000000000001</v>
      </c>
      <c r="J322" s="37">
        <v>216</v>
      </c>
      <c r="K322" s="37" t="s">
        <v>365</v>
      </c>
      <c r="L322" s="37" t="s">
        <v>46</v>
      </c>
      <c r="M322" s="38" t="s">
        <v>299</v>
      </c>
      <c r="N322" s="38"/>
      <c r="O322" s="37">
        <v>45</v>
      </c>
      <c r="P322" s="912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22" s="735"/>
      <c r="R322" s="735"/>
      <c r="S322" s="735"/>
      <c r="T322" s="736"/>
      <c r="U322" s="39" t="s">
        <v>46</v>
      </c>
      <c r="V322" s="39" t="s">
        <v>46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IFERROR(IF(Y322=0,"",ROUNDUP(Y322/H322,0)*0.0059),"")</f>
        <v/>
      </c>
      <c r="AA322" s="68" t="s">
        <v>46</v>
      </c>
      <c r="AB322" s="69" t="s">
        <v>46</v>
      </c>
      <c r="AC322" s="428" t="s">
        <v>552</v>
      </c>
      <c r="AG322" s="78"/>
      <c r="AJ322" s="84" t="s">
        <v>46</v>
      </c>
      <c r="AK322" s="84">
        <v>0</v>
      </c>
      <c r="BB322" s="429" t="s">
        <v>67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idden="1" x14ac:dyDescent="0.2">
      <c r="A323" s="741"/>
      <c r="B323" s="741"/>
      <c r="C323" s="741"/>
      <c r="D323" s="741"/>
      <c r="E323" s="741"/>
      <c r="F323" s="741"/>
      <c r="G323" s="741"/>
      <c r="H323" s="741"/>
      <c r="I323" s="741"/>
      <c r="J323" s="741"/>
      <c r="K323" s="741"/>
      <c r="L323" s="741"/>
      <c r="M323" s="741"/>
      <c r="N323" s="741"/>
      <c r="O323" s="742"/>
      <c r="P323" s="738" t="s">
        <v>40</v>
      </c>
      <c r="Q323" s="739"/>
      <c r="R323" s="739"/>
      <c r="S323" s="739"/>
      <c r="T323" s="739"/>
      <c r="U323" s="739"/>
      <c r="V323" s="740"/>
      <c r="W323" s="42" t="s">
        <v>39</v>
      </c>
      <c r="X323" s="43">
        <f>IFERROR(X322/H322,"0")</f>
        <v>0</v>
      </c>
      <c r="Y323" s="43">
        <f>IFERROR(Y322/H322,"0")</f>
        <v>0</v>
      </c>
      <c r="Z323" s="43">
        <f>IFERROR(IF(Z322="",0,Z322),"0")</f>
        <v>0</v>
      </c>
      <c r="AA323" s="67"/>
      <c r="AB323" s="67"/>
      <c r="AC323" s="67"/>
    </row>
    <row r="324" spans="1:68" hidden="1" x14ac:dyDescent="0.2">
      <c r="A324" s="741"/>
      <c r="B324" s="741"/>
      <c r="C324" s="741"/>
      <c r="D324" s="741"/>
      <c r="E324" s="741"/>
      <c r="F324" s="741"/>
      <c r="G324" s="741"/>
      <c r="H324" s="741"/>
      <c r="I324" s="741"/>
      <c r="J324" s="741"/>
      <c r="K324" s="741"/>
      <c r="L324" s="741"/>
      <c r="M324" s="741"/>
      <c r="N324" s="741"/>
      <c r="O324" s="742"/>
      <c r="P324" s="738" t="s">
        <v>40</v>
      </c>
      <c r="Q324" s="739"/>
      <c r="R324" s="739"/>
      <c r="S324" s="739"/>
      <c r="T324" s="739"/>
      <c r="U324" s="739"/>
      <c r="V324" s="740"/>
      <c r="W324" s="42" t="s">
        <v>0</v>
      </c>
      <c r="X324" s="43">
        <f>IFERROR(SUM(X322:X322),"0")</f>
        <v>0</v>
      </c>
      <c r="Y324" s="43">
        <f>IFERROR(SUM(Y322:Y322),"0")</f>
        <v>0</v>
      </c>
      <c r="Z324" s="42"/>
      <c r="AA324" s="67"/>
      <c r="AB324" s="67"/>
      <c r="AC324" s="67"/>
    </row>
    <row r="325" spans="1:68" ht="14.25" hidden="1" customHeight="1" x14ac:dyDescent="0.25">
      <c r="A325" s="732" t="s">
        <v>366</v>
      </c>
      <c r="B325" s="732"/>
      <c r="C325" s="732"/>
      <c r="D325" s="732"/>
      <c r="E325" s="732"/>
      <c r="F325" s="732"/>
      <c r="G325" s="732"/>
      <c r="H325" s="732"/>
      <c r="I325" s="732"/>
      <c r="J325" s="732"/>
      <c r="K325" s="732"/>
      <c r="L325" s="732"/>
      <c r="M325" s="732"/>
      <c r="N325" s="732"/>
      <c r="O325" s="732"/>
      <c r="P325" s="732"/>
      <c r="Q325" s="732"/>
      <c r="R325" s="732"/>
      <c r="S325" s="732"/>
      <c r="T325" s="732"/>
      <c r="U325" s="732"/>
      <c r="V325" s="732"/>
      <c r="W325" s="732"/>
      <c r="X325" s="732"/>
      <c r="Y325" s="732"/>
      <c r="Z325" s="732"/>
      <c r="AA325" s="66"/>
      <c r="AB325" s="66"/>
      <c r="AC325" s="80"/>
    </row>
    <row r="326" spans="1:68" ht="27" hidden="1" customHeight="1" x14ac:dyDescent="0.25">
      <c r="A326" s="63" t="s">
        <v>553</v>
      </c>
      <c r="B326" s="63" t="s">
        <v>554</v>
      </c>
      <c r="C326" s="36">
        <v>4301041004</v>
      </c>
      <c r="D326" s="733">
        <v>4680115886704</v>
      </c>
      <c r="E326" s="733"/>
      <c r="F326" s="62">
        <v>5.5E-2</v>
      </c>
      <c r="G326" s="37">
        <v>18</v>
      </c>
      <c r="H326" s="62">
        <v>0.99</v>
      </c>
      <c r="I326" s="62">
        <v>1.18</v>
      </c>
      <c r="J326" s="37">
        <v>216</v>
      </c>
      <c r="K326" s="37" t="s">
        <v>365</v>
      </c>
      <c r="L326" s="37" t="s">
        <v>46</v>
      </c>
      <c r="M326" s="38" t="s">
        <v>299</v>
      </c>
      <c r="N326" s="38"/>
      <c r="O326" s="37">
        <v>90</v>
      </c>
      <c r="P326" s="913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26" s="735"/>
      <c r="R326" s="735"/>
      <c r="S326" s="735"/>
      <c r="T326" s="736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IFERROR(IF(Y326=0,"",ROUNDUP(Y326/H326,0)*0.0059),"")</f>
        <v/>
      </c>
      <c r="AA326" s="68" t="s">
        <v>46</v>
      </c>
      <c r="AB326" s="69" t="s">
        <v>46</v>
      </c>
      <c r="AC326" s="430" t="s">
        <v>555</v>
      </c>
      <c r="AG326" s="78"/>
      <c r="AJ326" s="84" t="s">
        <v>46</v>
      </c>
      <c r="AK326" s="84">
        <v>0</v>
      </c>
      <c r="BB326" s="431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27" hidden="1" customHeight="1" x14ac:dyDescent="0.25">
      <c r="A327" s="63" t="s">
        <v>556</v>
      </c>
      <c r="B327" s="63" t="s">
        <v>557</v>
      </c>
      <c r="C327" s="36">
        <v>4301041008</v>
      </c>
      <c r="D327" s="733">
        <v>4680115886681</v>
      </c>
      <c r="E327" s="733"/>
      <c r="F327" s="62">
        <v>0.12</v>
      </c>
      <c r="G327" s="37">
        <v>15</v>
      </c>
      <c r="H327" s="62">
        <v>1.8</v>
      </c>
      <c r="I327" s="62">
        <v>1.9750000000000001</v>
      </c>
      <c r="J327" s="37">
        <v>216</v>
      </c>
      <c r="K327" s="37" t="s">
        <v>365</v>
      </c>
      <c r="L327" s="37" t="s">
        <v>46</v>
      </c>
      <c r="M327" s="38" t="s">
        <v>299</v>
      </c>
      <c r="N327" s="38"/>
      <c r="O327" s="37">
        <v>90</v>
      </c>
      <c r="P327" s="914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7" s="735"/>
      <c r="R327" s="735"/>
      <c r="S327" s="735"/>
      <c r="T327" s="736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IFERROR(IF(Y327=0,"",ROUNDUP(Y327/H327,0)*0.0059),"")</f>
        <v/>
      </c>
      <c r="AA327" s="68" t="s">
        <v>46</v>
      </c>
      <c r="AB327" s="69" t="s">
        <v>46</v>
      </c>
      <c r="AC327" s="432" t="s">
        <v>555</v>
      </c>
      <c r="AG327" s="78"/>
      <c r="AJ327" s="84" t="s">
        <v>46</v>
      </c>
      <c r="AK327" s="84">
        <v>0</v>
      </c>
      <c r="BB327" s="433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27" hidden="1" customHeight="1" x14ac:dyDescent="0.25">
      <c r="A328" s="63" t="s">
        <v>558</v>
      </c>
      <c r="B328" s="63" t="s">
        <v>559</v>
      </c>
      <c r="C328" s="36">
        <v>4301041007</v>
      </c>
      <c r="D328" s="733">
        <v>4680115886735</v>
      </c>
      <c r="E328" s="733"/>
      <c r="F328" s="62">
        <v>0.05</v>
      </c>
      <c r="G328" s="37">
        <v>18</v>
      </c>
      <c r="H328" s="62">
        <v>0.9</v>
      </c>
      <c r="I328" s="62">
        <v>1.0900000000000001</v>
      </c>
      <c r="J328" s="37">
        <v>216</v>
      </c>
      <c r="K328" s="37" t="s">
        <v>365</v>
      </c>
      <c r="L328" s="37" t="s">
        <v>46</v>
      </c>
      <c r="M328" s="38" t="s">
        <v>299</v>
      </c>
      <c r="N328" s="38"/>
      <c r="O328" s="37">
        <v>90</v>
      </c>
      <c r="P328" s="915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8" s="735"/>
      <c r="R328" s="735"/>
      <c r="S328" s="735"/>
      <c r="T328" s="736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IFERROR(IF(Y328=0,"",ROUNDUP(Y328/H328,0)*0.0059),"")</f>
        <v/>
      </c>
      <c r="AA328" s="68" t="s">
        <v>46</v>
      </c>
      <c r="AB328" s="69" t="s">
        <v>46</v>
      </c>
      <c r="AC328" s="434" t="s">
        <v>555</v>
      </c>
      <c r="AG328" s="78"/>
      <c r="AJ328" s="84" t="s">
        <v>46</v>
      </c>
      <c r="AK328" s="84">
        <v>0</v>
      </c>
      <c r="BB328" s="435" t="s">
        <v>67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idden="1" x14ac:dyDescent="0.2">
      <c r="A329" s="741"/>
      <c r="B329" s="741"/>
      <c r="C329" s="741"/>
      <c r="D329" s="741"/>
      <c r="E329" s="741"/>
      <c r="F329" s="741"/>
      <c r="G329" s="741"/>
      <c r="H329" s="741"/>
      <c r="I329" s="741"/>
      <c r="J329" s="741"/>
      <c r="K329" s="741"/>
      <c r="L329" s="741"/>
      <c r="M329" s="741"/>
      <c r="N329" s="741"/>
      <c r="O329" s="742"/>
      <c r="P329" s="738" t="s">
        <v>40</v>
      </c>
      <c r="Q329" s="739"/>
      <c r="R329" s="739"/>
      <c r="S329" s="739"/>
      <c r="T329" s="739"/>
      <c r="U329" s="739"/>
      <c r="V329" s="740"/>
      <c r="W329" s="42" t="s">
        <v>39</v>
      </c>
      <c r="X329" s="43">
        <f>IFERROR(X326/H326,"0")+IFERROR(X327/H327,"0")+IFERROR(X328/H328,"0")</f>
        <v>0</v>
      </c>
      <c r="Y329" s="43">
        <f>IFERROR(Y326/H326,"0")+IFERROR(Y327/H327,"0")+IFERROR(Y328/H328,"0")</f>
        <v>0</v>
      </c>
      <c r="Z329" s="43">
        <f>IFERROR(IF(Z326="",0,Z326),"0")+IFERROR(IF(Z327="",0,Z327),"0")+IFERROR(IF(Z328="",0,Z328),"0")</f>
        <v>0</v>
      </c>
      <c r="AA329" s="67"/>
      <c r="AB329" s="67"/>
      <c r="AC329" s="67"/>
    </row>
    <row r="330" spans="1:68" hidden="1" x14ac:dyDescent="0.2">
      <c r="A330" s="741"/>
      <c r="B330" s="741"/>
      <c r="C330" s="741"/>
      <c r="D330" s="741"/>
      <c r="E330" s="741"/>
      <c r="F330" s="741"/>
      <c r="G330" s="741"/>
      <c r="H330" s="741"/>
      <c r="I330" s="741"/>
      <c r="J330" s="741"/>
      <c r="K330" s="741"/>
      <c r="L330" s="741"/>
      <c r="M330" s="741"/>
      <c r="N330" s="741"/>
      <c r="O330" s="742"/>
      <c r="P330" s="738" t="s">
        <v>40</v>
      </c>
      <c r="Q330" s="739"/>
      <c r="R330" s="739"/>
      <c r="S330" s="739"/>
      <c r="T330" s="739"/>
      <c r="U330" s="739"/>
      <c r="V330" s="740"/>
      <c r="W330" s="42" t="s">
        <v>0</v>
      </c>
      <c r="X330" s="43">
        <f>IFERROR(SUM(X326:X328),"0")</f>
        <v>0</v>
      </c>
      <c r="Y330" s="43">
        <f>IFERROR(SUM(Y326:Y328),"0")</f>
        <v>0</v>
      </c>
      <c r="Z330" s="42"/>
      <c r="AA330" s="67"/>
      <c r="AB330" s="67"/>
      <c r="AC330" s="67"/>
    </row>
    <row r="331" spans="1:68" ht="16.5" hidden="1" customHeight="1" x14ac:dyDescent="0.25">
      <c r="A331" s="731" t="s">
        <v>560</v>
      </c>
      <c r="B331" s="731"/>
      <c r="C331" s="731"/>
      <c r="D331" s="731"/>
      <c r="E331" s="731"/>
      <c r="F331" s="731"/>
      <c r="G331" s="731"/>
      <c r="H331" s="731"/>
      <c r="I331" s="731"/>
      <c r="J331" s="731"/>
      <c r="K331" s="731"/>
      <c r="L331" s="731"/>
      <c r="M331" s="731"/>
      <c r="N331" s="731"/>
      <c r="O331" s="731"/>
      <c r="P331" s="731"/>
      <c r="Q331" s="731"/>
      <c r="R331" s="731"/>
      <c r="S331" s="731"/>
      <c r="T331" s="731"/>
      <c r="U331" s="731"/>
      <c r="V331" s="731"/>
      <c r="W331" s="731"/>
      <c r="X331" s="731"/>
      <c r="Y331" s="731"/>
      <c r="Z331" s="731"/>
      <c r="AA331" s="65"/>
      <c r="AB331" s="65"/>
      <c r="AC331" s="79"/>
    </row>
    <row r="332" spans="1:68" ht="14.25" hidden="1" customHeight="1" x14ac:dyDescent="0.25">
      <c r="A332" s="732" t="s">
        <v>122</v>
      </c>
      <c r="B332" s="732"/>
      <c r="C332" s="732"/>
      <c r="D332" s="732"/>
      <c r="E332" s="732"/>
      <c r="F332" s="732"/>
      <c r="G332" s="732"/>
      <c r="H332" s="732"/>
      <c r="I332" s="732"/>
      <c r="J332" s="732"/>
      <c r="K332" s="732"/>
      <c r="L332" s="732"/>
      <c r="M332" s="732"/>
      <c r="N332" s="732"/>
      <c r="O332" s="732"/>
      <c r="P332" s="732"/>
      <c r="Q332" s="732"/>
      <c r="R332" s="732"/>
      <c r="S332" s="732"/>
      <c r="T332" s="732"/>
      <c r="U332" s="732"/>
      <c r="V332" s="732"/>
      <c r="W332" s="732"/>
      <c r="X332" s="732"/>
      <c r="Y332" s="732"/>
      <c r="Z332" s="732"/>
      <c r="AA332" s="66"/>
      <c r="AB332" s="66"/>
      <c r="AC332" s="80"/>
    </row>
    <row r="333" spans="1:68" ht="27" hidden="1" customHeight="1" x14ac:dyDescent="0.25">
      <c r="A333" s="63" t="s">
        <v>561</v>
      </c>
      <c r="B333" s="63" t="s">
        <v>562</v>
      </c>
      <c r="C333" s="36">
        <v>4301011855</v>
      </c>
      <c r="D333" s="733">
        <v>4680115885837</v>
      </c>
      <c r="E333" s="733"/>
      <c r="F333" s="62">
        <v>1.35</v>
      </c>
      <c r="G333" s="37">
        <v>8</v>
      </c>
      <c r="H333" s="62">
        <v>10.8</v>
      </c>
      <c r="I333" s="62">
        <v>11.21</v>
      </c>
      <c r="J333" s="37">
        <v>64</v>
      </c>
      <c r="K333" s="37" t="s">
        <v>127</v>
      </c>
      <c r="L333" s="37" t="s">
        <v>46</v>
      </c>
      <c r="M333" s="38" t="s">
        <v>126</v>
      </c>
      <c r="N333" s="38"/>
      <c r="O333" s="37">
        <v>55</v>
      </c>
      <c r="P333" s="91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33" s="735"/>
      <c r="R333" s="735"/>
      <c r="S333" s="735"/>
      <c r="T333" s="736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IFERROR(IF(Y333=0,"",ROUNDUP(Y333/H333,0)*0.01898),"")</f>
        <v/>
      </c>
      <c r="AA333" s="68" t="s">
        <v>46</v>
      </c>
      <c r="AB333" s="69" t="s">
        <v>46</v>
      </c>
      <c r="AC333" s="436" t="s">
        <v>563</v>
      </c>
      <c r="AG333" s="78"/>
      <c r="AJ333" s="84" t="s">
        <v>46</v>
      </c>
      <c r="AK333" s="84">
        <v>0</v>
      </c>
      <c r="BB333" s="437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37.5" hidden="1" customHeight="1" x14ac:dyDescent="0.25">
      <c r="A334" s="63" t="s">
        <v>564</v>
      </c>
      <c r="B334" s="63" t="s">
        <v>565</v>
      </c>
      <c r="C334" s="36">
        <v>4301012234</v>
      </c>
      <c r="D334" s="733">
        <v>4680115887237</v>
      </c>
      <c r="E334" s="733"/>
      <c r="F334" s="62">
        <v>1.35</v>
      </c>
      <c r="G334" s="37">
        <v>8</v>
      </c>
      <c r="H334" s="62">
        <v>10.8</v>
      </c>
      <c r="I334" s="62">
        <v>11.21</v>
      </c>
      <c r="J334" s="37">
        <v>64</v>
      </c>
      <c r="K334" s="37" t="s">
        <v>127</v>
      </c>
      <c r="L334" s="37" t="s">
        <v>46</v>
      </c>
      <c r="M334" s="38" t="s">
        <v>126</v>
      </c>
      <c r="N334" s="38"/>
      <c r="O334" s="37">
        <v>55</v>
      </c>
      <c r="P334" s="917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34" s="735"/>
      <c r="R334" s="735"/>
      <c r="S334" s="735"/>
      <c r="T334" s="736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IFERROR(IF(Y334=0,"",ROUNDUP(Y334/H334,0)*0.01898),"")</f>
        <v/>
      </c>
      <c r="AA334" s="68" t="s">
        <v>46</v>
      </c>
      <c r="AB334" s="69" t="s">
        <v>46</v>
      </c>
      <c r="AC334" s="438" t="s">
        <v>566</v>
      </c>
      <c r="AG334" s="78"/>
      <c r="AJ334" s="84" t="s">
        <v>46</v>
      </c>
      <c r="AK334" s="84">
        <v>0</v>
      </c>
      <c r="BB334" s="439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hidden="1" customHeight="1" x14ac:dyDescent="0.25">
      <c r="A335" s="63" t="s">
        <v>567</v>
      </c>
      <c r="B335" s="63" t="s">
        <v>568</v>
      </c>
      <c r="C335" s="36">
        <v>4301011850</v>
      </c>
      <c r="D335" s="733">
        <v>4680115885806</v>
      </c>
      <c r="E335" s="733"/>
      <c r="F335" s="62">
        <v>1.35</v>
      </c>
      <c r="G335" s="37">
        <v>8</v>
      </c>
      <c r="H335" s="62">
        <v>10.8</v>
      </c>
      <c r="I335" s="62">
        <v>11.21</v>
      </c>
      <c r="J335" s="37">
        <v>64</v>
      </c>
      <c r="K335" s="37" t="s">
        <v>127</v>
      </c>
      <c r="L335" s="37" t="s">
        <v>46</v>
      </c>
      <c r="M335" s="38" t="s">
        <v>126</v>
      </c>
      <c r="N335" s="38"/>
      <c r="O335" s="37">
        <v>55</v>
      </c>
      <c r="P335" s="918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5" s="735"/>
      <c r="R335" s="735"/>
      <c r="S335" s="735"/>
      <c r="T335" s="736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IFERROR(IF(Y335=0,"",ROUNDUP(Y335/H335,0)*0.01898),"")</f>
        <v/>
      </c>
      <c r="AA335" s="68" t="s">
        <v>46</v>
      </c>
      <c r="AB335" s="69" t="s">
        <v>46</v>
      </c>
      <c r="AC335" s="440" t="s">
        <v>569</v>
      </c>
      <c r="AG335" s="78"/>
      <c r="AJ335" s="84" t="s">
        <v>46</v>
      </c>
      <c r="AK335" s="84">
        <v>0</v>
      </c>
      <c r="BB335" s="441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hidden="1" customHeight="1" x14ac:dyDescent="0.25">
      <c r="A336" s="63" t="s">
        <v>570</v>
      </c>
      <c r="B336" s="63" t="s">
        <v>571</v>
      </c>
      <c r="C336" s="36">
        <v>4301011852</v>
      </c>
      <c r="D336" s="733">
        <v>4680115885844</v>
      </c>
      <c r="E336" s="733"/>
      <c r="F336" s="62">
        <v>0.4</v>
      </c>
      <c r="G336" s="37">
        <v>10</v>
      </c>
      <c r="H336" s="62">
        <v>4</v>
      </c>
      <c r="I336" s="62">
        <v>4.1900000000000004</v>
      </c>
      <c r="J336" s="37">
        <v>132</v>
      </c>
      <c r="K336" s="37" t="s">
        <v>134</v>
      </c>
      <c r="L336" s="37" t="s">
        <v>46</v>
      </c>
      <c r="M336" s="38" t="s">
        <v>126</v>
      </c>
      <c r="N336" s="38"/>
      <c r="O336" s="37">
        <v>55</v>
      </c>
      <c r="P336" s="919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6" s="735"/>
      <c r="R336" s="735"/>
      <c r="S336" s="735"/>
      <c r="T336" s="736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IFERROR(IF(Y336=0,"",ROUNDUP(Y336/H336,0)*0.00902),"")</f>
        <v/>
      </c>
      <c r="AA336" s="68" t="s">
        <v>46</v>
      </c>
      <c r="AB336" s="69" t="s">
        <v>46</v>
      </c>
      <c r="AC336" s="442" t="s">
        <v>572</v>
      </c>
      <c r="AG336" s="78"/>
      <c r="AJ336" s="84" t="s">
        <v>46</v>
      </c>
      <c r="AK336" s="84">
        <v>0</v>
      </c>
      <c r="BB336" s="443" t="s">
        <v>67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37.5" hidden="1" customHeight="1" x14ac:dyDescent="0.25">
      <c r="A337" s="63" t="s">
        <v>573</v>
      </c>
      <c r="B337" s="63" t="s">
        <v>574</v>
      </c>
      <c r="C337" s="36">
        <v>4301011851</v>
      </c>
      <c r="D337" s="733">
        <v>4680115885820</v>
      </c>
      <c r="E337" s="733"/>
      <c r="F337" s="62">
        <v>0.4</v>
      </c>
      <c r="G337" s="37">
        <v>10</v>
      </c>
      <c r="H337" s="62">
        <v>4</v>
      </c>
      <c r="I337" s="62">
        <v>4.1900000000000004</v>
      </c>
      <c r="J337" s="37">
        <v>132</v>
      </c>
      <c r="K337" s="37" t="s">
        <v>134</v>
      </c>
      <c r="L337" s="37" t="s">
        <v>46</v>
      </c>
      <c r="M337" s="38" t="s">
        <v>126</v>
      </c>
      <c r="N337" s="38"/>
      <c r="O337" s="37">
        <v>55</v>
      </c>
      <c r="P337" s="92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7" s="735"/>
      <c r="R337" s="735"/>
      <c r="S337" s="735"/>
      <c r="T337" s="736"/>
      <c r="U337" s="39" t="s">
        <v>46</v>
      </c>
      <c r="V337" s="39" t="s">
        <v>46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IFERROR(IF(Y337=0,"",ROUNDUP(Y337/H337,0)*0.00902),"")</f>
        <v/>
      </c>
      <c r="AA337" s="68" t="s">
        <v>46</v>
      </c>
      <c r="AB337" s="69" t="s">
        <v>46</v>
      </c>
      <c r="AC337" s="444" t="s">
        <v>575</v>
      </c>
      <c r="AG337" s="78"/>
      <c r="AJ337" s="84" t="s">
        <v>46</v>
      </c>
      <c r="AK337" s="84">
        <v>0</v>
      </c>
      <c r="BB337" s="445" t="s">
        <v>67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hidden="1" x14ac:dyDescent="0.2">
      <c r="A338" s="741"/>
      <c r="B338" s="741"/>
      <c r="C338" s="741"/>
      <c r="D338" s="741"/>
      <c r="E338" s="741"/>
      <c r="F338" s="741"/>
      <c r="G338" s="741"/>
      <c r="H338" s="741"/>
      <c r="I338" s="741"/>
      <c r="J338" s="741"/>
      <c r="K338" s="741"/>
      <c r="L338" s="741"/>
      <c r="M338" s="741"/>
      <c r="N338" s="741"/>
      <c r="O338" s="742"/>
      <c r="P338" s="738" t="s">
        <v>40</v>
      </c>
      <c r="Q338" s="739"/>
      <c r="R338" s="739"/>
      <c r="S338" s="739"/>
      <c r="T338" s="739"/>
      <c r="U338" s="739"/>
      <c r="V338" s="740"/>
      <c r="W338" s="42" t="s">
        <v>39</v>
      </c>
      <c r="X338" s="43">
        <f>IFERROR(X333/H333,"0")+IFERROR(X334/H334,"0")+IFERROR(X335/H335,"0")+IFERROR(X336/H336,"0")+IFERROR(X337/H337,"0")</f>
        <v>0</v>
      </c>
      <c r="Y338" s="43">
        <f>IFERROR(Y333/H333,"0")+IFERROR(Y334/H334,"0")+IFERROR(Y335/H335,"0")+IFERROR(Y336/H336,"0")+IFERROR(Y337/H337,"0")</f>
        <v>0</v>
      </c>
      <c r="Z338" s="43">
        <f>IFERROR(IF(Z333="",0,Z333),"0")+IFERROR(IF(Z334="",0,Z334),"0")+IFERROR(IF(Z335="",0,Z335),"0")+IFERROR(IF(Z336="",0,Z336),"0")+IFERROR(IF(Z337="",0,Z337),"0")</f>
        <v>0</v>
      </c>
      <c r="AA338" s="67"/>
      <c r="AB338" s="67"/>
      <c r="AC338" s="67"/>
    </row>
    <row r="339" spans="1:68" hidden="1" x14ac:dyDescent="0.2">
      <c r="A339" s="741"/>
      <c r="B339" s="741"/>
      <c r="C339" s="741"/>
      <c r="D339" s="741"/>
      <c r="E339" s="741"/>
      <c r="F339" s="741"/>
      <c r="G339" s="741"/>
      <c r="H339" s="741"/>
      <c r="I339" s="741"/>
      <c r="J339" s="741"/>
      <c r="K339" s="741"/>
      <c r="L339" s="741"/>
      <c r="M339" s="741"/>
      <c r="N339" s="741"/>
      <c r="O339" s="742"/>
      <c r="P339" s="738" t="s">
        <v>40</v>
      </c>
      <c r="Q339" s="739"/>
      <c r="R339" s="739"/>
      <c r="S339" s="739"/>
      <c r="T339" s="739"/>
      <c r="U339" s="739"/>
      <c r="V339" s="740"/>
      <c r="W339" s="42" t="s">
        <v>0</v>
      </c>
      <c r="X339" s="43">
        <f>IFERROR(SUM(X333:X337),"0")</f>
        <v>0</v>
      </c>
      <c r="Y339" s="43">
        <f>IFERROR(SUM(Y333:Y337),"0")</f>
        <v>0</v>
      </c>
      <c r="Z339" s="42"/>
      <c r="AA339" s="67"/>
      <c r="AB339" s="67"/>
      <c r="AC339" s="67"/>
    </row>
    <row r="340" spans="1:68" ht="16.5" hidden="1" customHeight="1" x14ac:dyDescent="0.25">
      <c r="A340" s="731" t="s">
        <v>576</v>
      </c>
      <c r="B340" s="731"/>
      <c r="C340" s="731"/>
      <c r="D340" s="731"/>
      <c r="E340" s="731"/>
      <c r="F340" s="731"/>
      <c r="G340" s="731"/>
      <c r="H340" s="731"/>
      <c r="I340" s="731"/>
      <c r="J340" s="731"/>
      <c r="K340" s="731"/>
      <c r="L340" s="731"/>
      <c r="M340" s="731"/>
      <c r="N340" s="731"/>
      <c r="O340" s="731"/>
      <c r="P340" s="731"/>
      <c r="Q340" s="731"/>
      <c r="R340" s="731"/>
      <c r="S340" s="731"/>
      <c r="T340" s="731"/>
      <c r="U340" s="731"/>
      <c r="V340" s="731"/>
      <c r="W340" s="731"/>
      <c r="X340" s="731"/>
      <c r="Y340" s="731"/>
      <c r="Z340" s="731"/>
      <c r="AA340" s="65"/>
      <c r="AB340" s="65"/>
      <c r="AC340" s="79"/>
    </row>
    <row r="341" spans="1:68" ht="14.25" hidden="1" customHeight="1" x14ac:dyDescent="0.25">
      <c r="A341" s="732" t="s">
        <v>86</v>
      </c>
      <c r="B341" s="732"/>
      <c r="C341" s="732"/>
      <c r="D341" s="732"/>
      <c r="E341" s="732"/>
      <c r="F341" s="732"/>
      <c r="G341" s="732"/>
      <c r="H341" s="732"/>
      <c r="I341" s="732"/>
      <c r="J341" s="732"/>
      <c r="K341" s="732"/>
      <c r="L341" s="732"/>
      <c r="M341" s="732"/>
      <c r="N341" s="732"/>
      <c r="O341" s="732"/>
      <c r="P341" s="732"/>
      <c r="Q341" s="732"/>
      <c r="R341" s="732"/>
      <c r="S341" s="732"/>
      <c r="T341" s="732"/>
      <c r="U341" s="732"/>
      <c r="V341" s="732"/>
      <c r="W341" s="732"/>
      <c r="X341" s="732"/>
      <c r="Y341" s="732"/>
      <c r="Z341" s="732"/>
      <c r="AA341" s="66"/>
      <c r="AB341" s="66"/>
      <c r="AC341" s="80"/>
    </row>
    <row r="342" spans="1:68" ht="27" hidden="1" customHeight="1" x14ac:dyDescent="0.25">
      <c r="A342" s="63" t="s">
        <v>577</v>
      </c>
      <c r="B342" s="63" t="s">
        <v>578</v>
      </c>
      <c r="C342" s="36">
        <v>4301051893</v>
      </c>
      <c r="D342" s="733">
        <v>4680115886186</v>
      </c>
      <c r="E342" s="733"/>
      <c r="F342" s="62">
        <v>0.3</v>
      </c>
      <c r="G342" s="37">
        <v>6</v>
      </c>
      <c r="H342" s="62">
        <v>1.8</v>
      </c>
      <c r="I342" s="62">
        <v>1.98</v>
      </c>
      <c r="J342" s="37">
        <v>182</v>
      </c>
      <c r="K342" s="37" t="s">
        <v>91</v>
      </c>
      <c r="L342" s="37" t="s">
        <v>46</v>
      </c>
      <c r="M342" s="38" t="s">
        <v>90</v>
      </c>
      <c r="N342" s="38"/>
      <c r="O342" s="37">
        <v>45</v>
      </c>
      <c r="P342" s="921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42" s="735"/>
      <c r="R342" s="735"/>
      <c r="S342" s="735"/>
      <c r="T342" s="736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IFERROR(IF(Y342=0,"",ROUNDUP(Y342/H342,0)*0.00651),"")</f>
        <v/>
      </c>
      <c r="AA342" s="68" t="s">
        <v>46</v>
      </c>
      <c r="AB342" s="69" t="s">
        <v>46</v>
      </c>
      <c r="AC342" s="446" t="s">
        <v>579</v>
      </c>
      <c r="AG342" s="78"/>
      <c r="AJ342" s="84" t="s">
        <v>46</v>
      </c>
      <c r="AK342" s="84">
        <v>0</v>
      </c>
      <c r="BB342" s="447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hidden="1" customHeight="1" x14ac:dyDescent="0.25">
      <c r="A343" s="63" t="s">
        <v>580</v>
      </c>
      <c r="B343" s="63" t="s">
        <v>581</v>
      </c>
      <c r="C343" s="36">
        <v>4301051795</v>
      </c>
      <c r="D343" s="733">
        <v>4680115881228</v>
      </c>
      <c r="E343" s="733"/>
      <c r="F343" s="62">
        <v>0.4</v>
      </c>
      <c r="G343" s="37">
        <v>6</v>
      </c>
      <c r="H343" s="62">
        <v>2.4</v>
      </c>
      <c r="I343" s="62">
        <v>2.6520000000000001</v>
      </c>
      <c r="J343" s="37">
        <v>182</v>
      </c>
      <c r="K343" s="37" t="s">
        <v>91</v>
      </c>
      <c r="L343" s="37" t="s">
        <v>46</v>
      </c>
      <c r="M343" s="38" t="s">
        <v>97</v>
      </c>
      <c r="N343" s="38"/>
      <c r="O343" s="37">
        <v>40</v>
      </c>
      <c r="P343" s="922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43" s="735"/>
      <c r="R343" s="735"/>
      <c r="S343" s="735"/>
      <c r="T343" s="736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IFERROR(IF(Y343=0,"",ROUNDUP(Y343/H343,0)*0.00651),"")</f>
        <v/>
      </c>
      <c r="AA343" s="68" t="s">
        <v>46</v>
      </c>
      <c r="AB343" s="69" t="s">
        <v>46</v>
      </c>
      <c r="AC343" s="448" t="s">
        <v>582</v>
      </c>
      <c r="AG343" s="78"/>
      <c r="AJ343" s="84" t="s">
        <v>46</v>
      </c>
      <c r="AK343" s="84">
        <v>0</v>
      </c>
      <c r="BB343" s="449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customHeight="1" x14ac:dyDescent="0.25">
      <c r="A344" s="63" t="s">
        <v>583</v>
      </c>
      <c r="B344" s="63" t="s">
        <v>584</v>
      </c>
      <c r="C344" s="36">
        <v>4301051388</v>
      </c>
      <c r="D344" s="733">
        <v>4680115881211</v>
      </c>
      <c r="E344" s="733"/>
      <c r="F344" s="62">
        <v>0.4</v>
      </c>
      <c r="G344" s="37">
        <v>6</v>
      </c>
      <c r="H344" s="62">
        <v>2.4</v>
      </c>
      <c r="I344" s="62">
        <v>2.58</v>
      </c>
      <c r="J344" s="37">
        <v>182</v>
      </c>
      <c r="K344" s="37" t="s">
        <v>91</v>
      </c>
      <c r="L344" s="37" t="s">
        <v>46</v>
      </c>
      <c r="M344" s="38" t="s">
        <v>90</v>
      </c>
      <c r="N344" s="38"/>
      <c r="O344" s="37">
        <v>45</v>
      </c>
      <c r="P344" s="92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44" s="735"/>
      <c r="R344" s="735"/>
      <c r="S344" s="735"/>
      <c r="T344" s="736"/>
      <c r="U344" s="39" t="s">
        <v>46</v>
      </c>
      <c r="V344" s="39" t="s">
        <v>46</v>
      </c>
      <c r="W344" s="40" t="s">
        <v>0</v>
      </c>
      <c r="X344" s="58">
        <v>200</v>
      </c>
      <c r="Y344" s="55">
        <f>IFERROR(IF(X344="",0,CEILING((X344/$H344),1)*$H344),"")</f>
        <v>201.6</v>
      </c>
      <c r="Z344" s="41">
        <f>IFERROR(IF(Y344=0,"",ROUNDUP(Y344/H344,0)*0.00651),"")</f>
        <v>0.54683999999999999</v>
      </c>
      <c r="AA344" s="68" t="s">
        <v>46</v>
      </c>
      <c r="AB344" s="69" t="s">
        <v>46</v>
      </c>
      <c r="AC344" s="450" t="s">
        <v>579</v>
      </c>
      <c r="AG344" s="78"/>
      <c r="AJ344" s="84" t="s">
        <v>46</v>
      </c>
      <c r="AK344" s="84">
        <v>0</v>
      </c>
      <c r="BB344" s="451" t="s">
        <v>67</v>
      </c>
      <c r="BM344" s="78">
        <f>IFERROR(X344*I344/H344,"0")</f>
        <v>215</v>
      </c>
      <c r="BN344" s="78">
        <f>IFERROR(Y344*I344/H344,"0")</f>
        <v>216.72000000000003</v>
      </c>
      <c r="BO344" s="78">
        <f>IFERROR(1/J344*(X344/H344),"0")</f>
        <v>0.45787545787545797</v>
      </c>
      <c r="BP344" s="78">
        <f>IFERROR(1/J344*(Y344/H344),"0")</f>
        <v>0.46153846153846156</v>
      </c>
    </row>
    <row r="345" spans="1:68" x14ac:dyDescent="0.2">
      <c r="A345" s="741"/>
      <c r="B345" s="741"/>
      <c r="C345" s="741"/>
      <c r="D345" s="741"/>
      <c r="E345" s="741"/>
      <c r="F345" s="741"/>
      <c r="G345" s="741"/>
      <c r="H345" s="741"/>
      <c r="I345" s="741"/>
      <c r="J345" s="741"/>
      <c r="K345" s="741"/>
      <c r="L345" s="741"/>
      <c r="M345" s="741"/>
      <c r="N345" s="741"/>
      <c r="O345" s="742"/>
      <c r="P345" s="738" t="s">
        <v>40</v>
      </c>
      <c r="Q345" s="739"/>
      <c r="R345" s="739"/>
      <c r="S345" s="739"/>
      <c r="T345" s="739"/>
      <c r="U345" s="739"/>
      <c r="V345" s="740"/>
      <c r="W345" s="42" t="s">
        <v>39</v>
      </c>
      <c r="X345" s="43">
        <f>IFERROR(X342/H342,"0")+IFERROR(X343/H343,"0")+IFERROR(X344/H344,"0")</f>
        <v>83.333333333333343</v>
      </c>
      <c r="Y345" s="43">
        <f>IFERROR(Y342/H342,"0")+IFERROR(Y343/H343,"0")+IFERROR(Y344/H344,"0")</f>
        <v>84</v>
      </c>
      <c r="Z345" s="43">
        <f>IFERROR(IF(Z342="",0,Z342),"0")+IFERROR(IF(Z343="",0,Z343),"0")+IFERROR(IF(Z344="",0,Z344),"0")</f>
        <v>0.54683999999999999</v>
      </c>
      <c r="AA345" s="67"/>
      <c r="AB345" s="67"/>
      <c r="AC345" s="67"/>
    </row>
    <row r="346" spans="1:68" x14ac:dyDescent="0.2">
      <c r="A346" s="741"/>
      <c r="B346" s="741"/>
      <c r="C346" s="741"/>
      <c r="D346" s="741"/>
      <c r="E346" s="741"/>
      <c r="F346" s="741"/>
      <c r="G346" s="741"/>
      <c r="H346" s="741"/>
      <c r="I346" s="741"/>
      <c r="J346" s="741"/>
      <c r="K346" s="741"/>
      <c r="L346" s="741"/>
      <c r="M346" s="741"/>
      <c r="N346" s="741"/>
      <c r="O346" s="742"/>
      <c r="P346" s="738" t="s">
        <v>40</v>
      </c>
      <c r="Q346" s="739"/>
      <c r="R346" s="739"/>
      <c r="S346" s="739"/>
      <c r="T346" s="739"/>
      <c r="U346" s="739"/>
      <c r="V346" s="740"/>
      <c r="W346" s="42" t="s">
        <v>0</v>
      </c>
      <c r="X346" s="43">
        <f>IFERROR(SUM(X342:X344),"0")</f>
        <v>200</v>
      </c>
      <c r="Y346" s="43">
        <f>IFERROR(SUM(Y342:Y344),"0")</f>
        <v>201.6</v>
      </c>
      <c r="Z346" s="42"/>
      <c r="AA346" s="67"/>
      <c r="AB346" s="67"/>
      <c r="AC346" s="67"/>
    </row>
    <row r="347" spans="1:68" ht="16.5" hidden="1" customHeight="1" x14ac:dyDescent="0.25">
      <c r="A347" s="731" t="s">
        <v>585</v>
      </c>
      <c r="B347" s="731"/>
      <c r="C347" s="731"/>
      <c r="D347" s="731"/>
      <c r="E347" s="731"/>
      <c r="F347" s="731"/>
      <c r="G347" s="731"/>
      <c r="H347" s="731"/>
      <c r="I347" s="731"/>
      <c r="J347" s="731"/>
      <c r="K347" s="731"/>
      <c r="L347" s="731"/>
      <c r="M347" s="731"/>
      <c r="N347" s="731"/>
      <c r="O347" s="731"/>
      <c r="P347" s="731"/>
      <c r="Q347" s="731"/>
      <c r="R347" s="731"/>
      <c r="S347" s="731"/>
      <c r="T347" s="731"/>
      <c r="U347" s="731"/>
      <c r="V347" s="731"/>
      <c r="W347" s="731"/>
      <c r="X347" s="731"/>
      <c r="Y347" s="731"/>
      <c r="Z347" s="731"/>
      <c r="AA347" s="65"/>
      <c r="AB347" s="65"/>
      <c r="AC347" s="79"/>
    </row>
    <row r="348" spans="1:68" ht="14.25" hidden="1" customHeight="1" x14ac:dyDescent="0.25">
      <c r="A348" s="732" t="s">
        <v>77</v>
      </c>
      <c r="B348" s="732"/>
      <c r="C348" s="732"/>
      <c r="D348" s="732"/>
      <c r="E348" s="732"/>
      <c r="F348" s="732"/>
      <c r="G348" s="732"/>
      <c r="H348" s="732"/>
      <c r="I348" s="732"/>
      <c r="J348" s="732"/>
      <c r="K348" s="732"/>
      <c r="L348" s="732"/>
      <c r="M348" s="732"/>
      <c r="N348" s="732"/>
      <c r="O348" s="732"/>
      <c r="P348" s="732"/>
      <c r="Q348" s="732"/>
      <c r="R348" s="732"/>
      <c r="S348" s="732"/>
      <c r="T348" s="732"/>
      <c r="U348" s="732"/>
      <c r="V348" s="732"/>
      <c r="W348" s="732"/>
      <c r="X348" s="732"/>
      <c r="Y348" s="732"/>
      <c r="Z348" s="732"/>
      <c r="AA348" s="66"/>
      <c r="AB348" s="66"/>
      <c r="AC348" s="80"/>
    </row>
    <row r="349" spans="1:68" ht="27" hidden="1" customHeight="1" x14ac:dyDescent="0.25">
      <c r="A349" s="63" t="s">
        <v>586</v>
      </c>
      <c r="B349" s="63" t="s">
        <v>587</v>
      </c>
      <c r="C349" s="36">
        <v>4301031445</v>
      </c>
      <c r="D349" s="733">
        <v>4680115888319</v>
      </c>
      <c r="E349" s="733"/>
      <c r="F349" s="62">
        <v>0.35</v>
      </c>
      <c r="G349" s="37">
        <v>6</v>
      </c>
      <c r="H349" s="62">
        <v>2.1</v>
      </c>
      <c r="I349" s="62">
        <v>2.23</v>
      </c>
      <c r="J349" s="37">
        <v>234</v>
      </c>
      <c r="K349" s="37" t="s">
        <v>82</v>
      </c>
      <c r="L349" s="37" t="s">
        <v>46</v>
      </c>
      <c r="M349" s="38" t="s">
        <v>81</v>
      </c>
      <c r="N349" s="38"/>
      <c r="O349" s="37">
        <v>45</v>
      </c>
      <c r="P349" s="924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9" s="735"/>
      <c r="R349" s="735"/>
      <c r="S349" s="735"/>
      <c r="T349" s="736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IFERROR(IF(Y349=0,"",ROUNDUP(Y349/H349,0)*0.00502),"")</f>
        <v/>
      </c>
      <c r="AA349" s="68" t="s">
        <v>46</v>
      </c>
      <c r="AB349" s="69" t="s">
        <v>46</v>
      </c>
      <c r="AC349" s="452" t="s">
        <v>420</v>
      </c>
      <c r="AG349" s="78"/>
      <c r="AJ349" s="84" t="s">
        <v>46</v>
      </c>
      <c r="AK349" s="84">
        <v>0</v>
      </c>
      <c r="BB349" s="453" t="s">
        <v>67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ht="27" hidden="1" customHeight="1" x14ac:dyDescent="0.25">
      <c r="A350" s="63" t="s">
        <v>588</v>
      </c>
      <c r="B350" s="63" t="s">
        <v>589</v>
      </c>
      <c r="C350" s="36">
        <v>4301031502</v>
      </c>
      <c r="D350" s="733">
        <v>4680115884700</v>
      </c>
      <c r="E350" s="733"/>
      <c r="F350" s="62">
        <v>0.57999999999999996</v>
      </c>
      <c r="G350" s="37">
        <v>4</v>
      </c>
      <c r="H350" s="62">
        <v>2.3199999999999998</v>
      </c>
      <c r="I350" s="62">
        <v>2.42</v>
      </c>
      <c r="J350" s="37">
        <v>234</v>
      </c>
      <c r="K350" s="37" t="s">
        <v>82</v>
      </c>
      <c r="L350" s="37" t="s">
        <v>46</v>
      </c>
      <c r="M350" s="38" t="s">
        <v>81</v>
      </c>
      <c r="N350" s="38"/>
      <c r="O350" s="37">
        <v>40</v>
      </c>
      <c r="P350" s="925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50" s="735"/>
      <c r="R350" s="735"/>
      <c r="S350" s="735"/>
      <c r="T350" s="736"/>
      <c r="U350" s="39" t="s">
        <v>46</v>
      </c>
      <c r="V350" s="39" t="s">
        <v>46</v>
      </c>
      <c r="W350" s="40" t="s">
        <v>0</v>
      </c>
      <c r="X350" s="58">
        <v>0</v>
      </c>
      <c r="Y350" s="55">
        <f>IFERROR(IF(X350="",0,CEILING((X350/$H350),1)*$H350),"")</f>
        <v>0</v>
      </c>
      <c r="Z350" s="41" t="str">
        <f>IFERROR(IF(Y350=0,"",ROUNDUP(Y350/H350,0)*0.00502),"")</f>
        <v/>
      </c>
      <c r="AA350" s="68" t="s">
        <v>46</v>
      </c>
      <c r="AB350" s="69" t="s">
        <v>46</v>
      </c>
      <c r="AC350" s="454" t="s">
        <v>590</v>
      </c>
      <c r="AG350" s="78"/>
      <c r="AJ350" s="84" t="s">
        <v>46</v>
      </c>
      <c r="AK350" s="84">
        <v>0</v>
      </c>
      <c r="BB350" s="455" t="s">
        <v>67</v>
      </c>
      <c r="BM350" s="78">
        <f>IFERROR(X350*I350/H350,"0")</f>
        <v>0</v>
      </c>
      <c r="BN350" s="78">
        <f>IFERROR(Y350*I350/H350,"0")</f>
        <v>0</v>
      </c>
      <c r="BO350" s="78">
        <f>IFERROR(1/J350*(X350/H350),"0")</f>
        <v>0</v>
      </c>
      <c r="BP350" s="78">
        <f>IFERROR(1/J350*(Y350/H350),"0")</f>
        <v>0</v>
      </c>
    </row>
    <row r="351" spans="1:68" ht="27" hidden="1" customHeight="1" x14ac:dyDescent="0.25">
      <c r="A351" s="63" t="s">
        <v>591</v>
      </c>
      <c r="B351" s="63" t="s">
        <v>592</v>
      </c>
      <c r="C351" s="36">
        <v>4301031307</v>
      </c>
      <c r="D351" s="733">
        <v>4680115880344</v>
      </c>
      <c r="E351" s="733"/>
      <c r="F351" s="62">
        <v>0.28000000000000003</v>
      </c>
      <c r="G351" s="37">
        <v>6</v>
      </c>
      <c r="H351" s="62">
        <v>1.68</v>
      </c>
      <c r="I351" s="62">
        <v>1.78</v>
      </c>
      <c r="J351" s="37">
        <v>234</v>
      </c>
      <c r="K351" s="37" t="s">
        <v>82</v>
      </c>
      <c r="L351" s="37" t="s">
        <v>46</v>
      </c>
      <c r="M351" s="38" t="s">
        <v>81</v>
      </c>
      <c r="N351" s="38"/>
      <c r="O351" s="37">
        <v>40</v>
      </c>
      <c r="P351" s="926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51" s="735"/>
      <c r="R351" s="735"/>
      <c r="S351" s="735"/>
      <c r="T351" s="736"/>
      <c r="U351" s="39" t="s">
        <v>46</v>
      </c>
      <c r="V351" s="39" t="s">
        <v>46</v>
      </c>
      <c r="W351" s="40" t="s">
        <v>0</v>
      </c>
      <c r="X351" s="58">
        <v>0</v>
      </c>
      <c r="Y351" s="55">
        <f>IFERROR(IF(X351="",0,CEILING((X351/$H351),1)*$H351),"")</f>
        <v>0</v>
      </c>
      <c r="Z351" s="41" t="str">
        <f>IFERROR(IF(Y351=0,"",ROUNDUP(Y351/H351,0)*0.00502),"")</f>
        <v/>
      </c>
      <c r="AA351" s="68" t="s">
        <v>46</v>
      </c>
      <c r="AB351" s="69" t="s">
        <v>46</v>
      </c>
      <c r="AC351" s="456" t="s">
        <v>593</v>
      </c>
      <c r="AG351" s="78"/>
      <c r="AJ351" s="84" t="s">
        <v>46</v>
      </c>
      <c r="AK351" s="84">
        <v>0</v>
      </c>
      <c r="BB351" s="457" t="s">
        <v>67</v>
      </c>
      <c r="BM351" s="78">
        <f>IFERROR(X351*I351/H351,"0")</f>
        <v>0</v>
      </c>
      <c r="BN351" s="78">
        <f>IFERROR(Y351*I351/H351,"0")</f>
        <v>0</v>
      </c>
      <c r="BO351" s="78">
        <f>IFERROR(1/J351*(X351/H351),"0")</f>
        <v>0</v>
      </c>
      <c r="BP351" s="78">
        <f>IFERROR(1/J351*(Y351/H351),"0")</f>
        <v>0</v>
      </c>
    </row>
    <row r="352" spans="1:68" ht="27" hidden="1" customHeight="1" x14ac:dyDescent="0.25">
      <c r="A352" s="63" t="s">
        <v>594</v>
      </c>
      <c r="B352" s="63" t="s">
        <v>595</v>
      </c>
      <c r="C352" s="36">
        <v>4301031501</v>
      </c>
      <c r="D352" s="733">
        <v>4680115886919</v>
      </c>
      <c r="E352" s="733"/>
      <c r="F352" s="62">
        <v>0.4</v>
      </c>
      <c r="G352" s="37">
        <v>6</v>
      </c>
      <c r="H352" s="62">
        <v>2.4</v>
      </c>
      <c r="I352" s="62">
        <v>2.58</v>
      </c>
      <c r="J352" s="37">
        <v>182</v>
      </c>
      <c r="K352" s="37" t="s">
        <v>91</v>
      </c>
      <c r="L352" s="37" t="s">
        <v>46</v>
      </c>
      <c r="M352" s="38" t="s">
        <v>81</v>
      </c>
      <c r="N352" s="38"/>
      <c r="O352" s="37">
        <v>40</v>
      </c>
      <c r="P352" s="927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52" s="735"/>
      <c r="R352" s="735"/>
      <c r="S352" s="735"/>
      <c r="T352" s="736"/>
      <c r="U352" s="39" t="s">
        <v>46</v>
      </c>
      <c r="V352" s="39" t="s">
        <v>46</v>
      </c>
      <c r="W352" s="40" t="s">
        <v>0</v>
      </c>
      <c r="X352" s="58">
        <v>0</v>
      </c>
      <c r="Y352" s="55">
        <f>IFERROR(IF(X352="",0,CEILING((X352/$H352),1)*$H352),"")</f>
        <v>0</v>
      </c>
      <c r="Z352" s="41" t="str">
        <f>IFERROR(IF(Y352=0,"",ROUNDUP(Y352/H352,0)*0.00651),"")</f>
        <v/>
      </c>
      <c r="AA352" s="68" t="s">
        <v>46</v>
      </c>
      <c r="AB352" s="69" t="s">
        <v>46</v>
      </c>
      <c r="AC352" s="458" t="s">
        <v>596</v>
      </c>
      <c r="AG352" s="78"/>
      <c r="AJ352" s="84" t="s">
        <v>46</v>
      </c>
      <c r="AK352" s="84">
        <v>0</v>
      </c>
      <c r="BB352" s="459" t="s">
        <v>67</v>
      </c>
      <c r="BM352" s="78">
        <f>IFERROR(X352*I352/H352,"0")</f>
        <v>0</v>
      </c>
      <c r="BN352" s="78">
        <f>IFERROR(Y352*I352/H352,"0")</f>
        <v>0</v>
      </c>
      <c r="BO352" s="78">
        <f>IFERROR(1/J352*(X352/H352),"0")</f>
        <v>0</v>
      </c>
      <c r="BP352" s="78">
        <f>IFERROR(1/J352*(Y352/H352),"0")</f>
        <v>0</v>
      </c>
    </row>
    <row r="353" spans="1:68" ht="27" hidden="1" customHeight="1" x14ac:dyDescent="0.25">
      <c r="A353" s="63" t="s">
        <v>597</v>
      </c>
      <c r="B353" s="63" t="s">
        <v>598</v>
      </c>
      <c r="C353" s="36">
        <v>4301031246</v>
      </c>
      <c r="D353" s="733">
        <v>4680115883970</v>
      </c>
      <c r="E353" s="733"/>
      <c r="F353" s="62">
        <v>0.28000000000000003</v>
      </c>
      <c r="G353" s="37">
        <v>6</v>
      </c>
      <c r="H353" s="62">
        <v>1.68</v>
      </c>
      <c r="I353" s="62">
        <v>2.5</v>
      </c>
      <c r="J353" s="37">
        <v>234</v>
      </c>
      <c r="K353" s="37" t="s">
        <v>82</v>
      </c>
      <c r="L353" s="37" t="s">
        <v>46</v>
      </c>
      <c r="M353" s="38" t="s">
        <v>81</v>
      </c>
      <c r="N353" s="38"/>
      <c r="O353" s="37">
        <v>40</v>
      </c>
      <c r="P353" s="928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53" s="735"/>
      <c r="R353" s="735"/>
      <c r="S353" s="735"/>
      <c r="T353" s="736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IFERROR(IF(Y353=0,"",ROUNDUP(Y353/H353,0)*0.00502),"")</f>
        <v/>
      </c>
      <c r="AA353" s="68" t="s">
        <v>46</v>
      </c>
      <c r="AB353" s="69" t="s">
        <v>46</v>
      </c>
      <c r="AC353" s="460" t="s">
        <v>599</v>
      </c>
      <c r="AG353" s="78"/>
      <c r="AJ353" s="84" t="s">
        <v>46</v>
      </c>
      <c r="AK353" s="84">
        <v>0</v>
      </c>
      <c r="BB353" s="461" t="s">
        <v>67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idden="1" x14ac:dyDescent="0.2">
      <c r="A354" s="741"/>
      <c r="B354" s="741"/>
      <c r="C354" s="741"/>
      <c r="D354" s="741"/>
      <c r="E354" s="741"/>
      <c r="F354" s="741"/>
      <c r="G354" s="741"/>
      <c r="H354" s="741"/>
      <c r="I354" s="741"/>
      <c r="J354" s="741"/>
      <c r="K354" s="741"/>
      <c r="L354" s="741"/>
      <c r="M354" s="741"/>
      <c r="N354" s="741"/>
      <c r="O354" s="742"/>
      <c r="P354" s="738" t="s">
        <v>40</v>
      </c>
      <c r="Q354" s="739"/>
      <c r="R354" s="739"/>
      <c r="S354" s="739"/>
      <c r="T354" s="739"/>
      <c r="U354" s="739"/>
      <c r="V354" s="740"/>
      <c r="W354" s="42" t="s">
        <v>39</v>
      </c>
      <c r="X354" s="43">
        <f>IFERROR(X349/H349,"0")+IFERROR(X350/H350,"0")+IFERROR(X351/H351,"0")+IFERROR(X352/H352,"0")+IFERROR(X353/H353,"0")</f>
        <v>0</v>
      </c>
      <c r="Y354" s="43">
        <f>IFERROR(Y349/H349,"0")+IFERROR(Y350/H350,"0")+IFERROR(Y351/H351,"0")+IFERROR(Y352/H352,"0")+IFERROR(Y353/H353,"0")</f>
        <v>0</v>
      </c>
      <c r="Z354" s="43">
        <f>IFERROR(IF(Z349="",0,Z349),"0")+IFERROR(IF(Z350="",0,Z350),"0")+IFERROR(IF(Z351="",0,Z351),"0")+IFERROR(IF(Z352="",0,Z352),"0")+IFERROR(IF(Z353="",0,Z353),"0")</f>
        <v>0</v>
      </c>
      <c r="AA354" s="67"/>
      <c r="AB354" s="67"/>
      <c r="AC354" s="67"/>
    </row>
    <row r="355" spans="1:68" hidden="1" x14ac:dyDescent="0.2">
      <c r="A355" s="741"/>
      <c r="B355" s="741"/>
      <c r="C355" s="741"/>
      <c r="D355" s="741"/>
      <c r="E355" s="741"/>
      <c r="F355" s="741"/>
      <c r="G355" s="741"/>
      <c r="H355" s="741"/>
      <c r="I355" s="741"/>
      <c r="J355" s="741"/>
      <c r="K355" s="741"/>
      <c r="L355" s="741"/>
      <c r="M355" s="741"/>
      <c r="N355" s="741"/>
      <c r="O355" s="742"/>
      <c r="P355" s="738" t="s">
        <v>40</v>
      </c>
      <c r="Q355" s="739"/>
      <c r="R355" s="739"/>
      <c r="S355" s="739"/>
      <c r="T355" s="739"/>
      <c r="U355" s="739"/>
      <c r="V355" s="740"/>
      <c r="W355" s="42" t="s">
        <v>0</v>
      </c>
      <c r="X355" s="43">
        <f>IFERROR(SUM(X349:X353),"0")</f>
        <v>0</v>
      </c>
      <c r="Y355" s="43">
        <f>IFERROR(SUM(Y349:Y353),"0")</f>
        <v>0</v>
      </c>
      <c r="Z355" s="42"/>
      <c r="AA355" s="67"/>
      <c r="AB355" s="67"/>
      <c r="AC355" s="67"/>
    </row>
    <row r="356" spans="1:68" ht="14.25" hidden="1" customHeight="1" x14ac:dyDescent="0.25">
      <c r="A356" s="732" t="s">
        <v>86</v>
      </c>
      <c r="B356" s="732"/>
      <c r="C356" s="732"/>
      <c r="D356" s="732"/>
      <c r="E356" s="732"/>
      <c r="F356" s="732"/>
      <c r="G356" s="732"/>
      <c r="H356" s="732"/>
      <c r="I356" s="732"/>
      <c r="J356" s="732"/>
      <c r="K356" s="732"/>
      <c r="L356" s="732"/>
      <c r="M356" s="732"/>
      <c r="N356" s="732"/>
      <c r="O356" s="732"/>
      <c r="P356" s="732"/>
      <c r="Q356" s="732"/>
      <c r="R356" s="732"/>
      <c r="S356" s="732"/>
      <c r="T356" s="732"/>
      <c r="U356" s="732"/>
      <c r="V356" s="732"/>
      <c r="W356" s="732"/>
      <c r="X356" s="732"/>
      <c r="Y356" s="732"/>
      <c r="Z356" s="732"/>
      <c r="AA356" s="66"/>
      <c r="AB356" s="66"/>
      <c r="AC356" s="80"/>
    </row>
    <row r="357" spans="1:68" ht="27" hidden="1" customHeight="1" x14ac:dyDescent="0.25">
      <c r="A357" s="63" t="s">
        <v>600</v>
      </c>
      <c r="B357" s="63" t="s">
        <v>601</v>
      </c>
      <c r="C357" s="36">
        <v>4301051782</v>
      </c>
      <c r="D357" s="733">
        <v>4680115884618</v>
      </c>
      <c r="E357" s="733"/>
      <c r="F357" s="62">
        <v>0.6</v>
      </c>
      <c r="G357" s="37">
        <v>6</v>
      </c>
      <c r="H357" s="62">
        <v>3.6</v>
      </c>
      <c r="I357" s="62">
        <v>3.79</v>
      </c>
      <c r="J357" s="37">
        <v>132</v>
      </c>
      <c r="K357" s="37" t="s">
        <v>134</v>
      </c>
      <c r="L357" s="37" t="s">
        <v>46</v>
      </c>
      <c r="M357" s="38" t="s">
        <v>90</v>
      </c>
      <c r="N357" s="38"/>
      <c r="O357" s="37">
        <v>45</v>
      </c>
      <c r="P357" s="929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7" s="735"/>
      <c r="R357" s="735"/>
      <c r="S357" s="735"/>
      <c r="T357" s="736"/>
      <c r="U357" s="39" t="s">
        <v>46</v>
      </c>
      <c r="V357" s="39" t="s">
        <v>46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IFERROR(IF(Y357=0,"",ROUNDUP(Y357/H357,0)*0.00902),"")</f>
        <v/>
      </c>
      <c r="AA357" s="68" t="s">
        <v>46</v>
      </c>
      <c r="AB357" s="69" t="s">
        <v>46</v>
      </c>
      <c r="AC357" s="462" t="s">
        <v>602</v>
      </c>
      <c r="AG357" s="78"/>
      <c r="AJ357" s="84" t="s">
        <v>46</v>
      </c>
      <c r="AK357" s="84">
        <v>0</v>
      </c>
      <c r="BB357" s="463" t="s">
        <v>67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t="27" hidden="1" customHeight="1" x14ac:dyDescent="0.25">
      <c r="A358" s="63" t="s">
        <v>603</v>
      </c>
      <c r="B358" s="63" t="s">
        <v>604</v>
      </c>
      <c r="C358" s="36">
        <v>4301052057</v>
      </c>
      <c r="D358" s="733">
        <v>4680115887114</v>
      </c>
      <c r="E358" s="733"/>
      <c r="F358" s="62">
        <v>0.55000000000000004</v>
      </c>
      <c r="G358" s="37">
        <v>6</v>
      </c>
      <c r="H358" s="62">
        <v>3.3</v>
      </c>
      <c r="I358" s="62">
        <v>3.49</v>
      </c>
      <c r="J358" s="37">
        <v>132</v>
      </c>
      <c r="K358" s="37" t="s">
        <v>134</v>
      </c>
      <c r="L358" s="37" t="s">
        <v>46</v>
      </c>
      <c r="M358" s="38" t="s">
        <v>90</v>
      </c>
      <c r="N358" s="38"/>
      <c r="O358" s="37">
        <v>45</v>
      </c>
      <c r="P358" s="930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8" s="735"/>
      <c r="R358" s="735"/>
      <c r="S358" s="735"/>
      <c r="T358" s="736"/>
      <c r="U358" s="39" t="s">
        <v>46</v>
      </c>
      <c r="V358" s="39" t="s">
        <v>46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IFERROR(IF(Y358=0,"",ROUNDUP(Y358/H358,0)*0.00902),"")</f>
        <v/>
      </c>
      <c r="AA358" s="68" t="s">
        <v>46</v>
      </c>
      <c r="AB358" s="69" t="s">
        <v>46</v>
      </c>
      <c r="AC358" s="464" t="s">
        <v>605</v>
      </c>
      <c r="AG358" s="78"/>
      <c r="AJ358" s="84" t="s">
        <v>46</v>
      </c>
      <c r="AK358" s="84">
        <v>0</v>
      </c>
      <c r="BB358" s="465" t="s">
        <v>67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hidden="1" x14ac:dyDescent="0.2">
      <c r="A359" s="741"/>
      <c r="B359" s="741"/>
      <c r="C359" s="741"/>
      <c r="D359" s="741"/>
      <c r="E359" s="741"/>
      <c r="F359" s="741"/>
      <c r="G359" s="741"/>
      <c r="H359" s="741"/>
      <c r="I359" s="741"/>
      <c r="J359" s="741"/>
      <c r="K359" s="741"/>
      <c r="L359" s="741"/>
      <c r="M359" s="741"/>
      <c r="N359" s="741"/>
      <c r="O359" s="742"/>
      <c r="P359" s="738" t="s">
        <v>40</v>
      </c>
      <c r="Q359" s="739"/>
      <c r="R359" s="739"/>
      <c r="S359" s="739"/>
      <c r="T359" s="739"/>
      <c r="U359" s="739"/>
      <c r="V359" s="740"/>
      <c r="W359" s="42" t="s">
        <v>39</v>
      </c>
      <c r="X359" s="43">
        <f>IFERROR(X357/H357,"0")+IFERROR(X358/H358,"0")</f>
        <v>0</v>
      </c>
      <c r="Y359" s="43">
        <f>IFERROR(Y357/H357,"0")+IFERROR(Y358/H358,"0")</f>
        <v>0</v>
      </c>
      <c r="Z359" s="43">
        <f>IFERROR(IF(Z357="",0,Z357),"0")+IFERROR(IF(Z358="",0,Z358),"0")</f>
        <v>0</v>
      </c>
      <c r="AA359" s="67"/>
      <c r="AB359" s="67"/>
      <c r="AC359" s="67"/>
    </row>
    <row r="360" spans="1:68" hidden="1" x14ac:dyDescent="0.2">
      <c r="A360" s="741"/>
      <c r="B360" s="741"/>
      <c r="C360" s="741"/>
      <c r="D360" s="741"/>
      <c r="E360" s="741"/>
      <c r="F360" s="741"/>
      <c r="G360" s="741"/>
      <c r="H360" s="741"/>
      <c r="I360" s="741"/>
      <c r="J360" s="741"/>
      <c r="K360" s="741"/>
      <c r="L360" s="741"/>
      <c r="M360" s="741"/>
      <c r="N360" s="741"/>
      <c r="O360" s="742"/>
      <c r="P360" s="738" t="s">
        <v>40</v>
      </c>
      <c r="Q360" s="739"/>
      <c r="R360" s="739"/>
      <c r="S360" s="739"/>
      <c r="T360" s="739"/>
      <c r="U360" s="739"/>
      <c r="V360" s="740"/>
      <c r="W360" s="42" t="s">
        <v>0</v>
      </c>
      <c r="X360" s="43">
        <f>IFERROR(SUM(X357:X358),"0")</f>
        <v>0</v>
      </c>
      <c r="Y360" s="43">
        <f>IFERROR(SUM(Y357:Y358),"0")</f>
        <v>0</v>
      </c>
      <c r="Z360" s="42"/>
      <c r="AA360" s="67"/>
      <c r="AB360" s="67"/>
      <c r="AC360" s="67"/>
    </row>
    <row r="361" spans="1:68" ht="16.5" hidden="1" customHeight="1" x14ac:dyDescent="0.25">
      <c r="A361" s="731" t="s">
        <v>606</v>
      </c>
      <c r="B361" s="731"/>
      <c r="C361" s="731"/>
      <c r="D361" s="731"/>
      <c r="E361" s="731"/>
      <c r="F361" s="731"/>
      <c r="G361" s="731"/>
      <c r="H361" s="731"/>
      <c r="I361" s="731"/>
      <c r="J361" s="731"/>
      <c r="K361" s="731"/>
      <c r="L361" s="731"/>
      <c r="M361" s="731"/>
      <c r="N361" s="731"/>
      <c r="O361" s="731"/>
      <c r="P361" s="731"/>
      <c r="Q361" s="731"/>
      <c r="R361" s="731"/>
      <c r="S361" s="731"/>
      <c r="T361" s="731"/>
      <c r="U361" s="731"/>
      <c r="V361" s="731"/>
      <c r="W361" s="731"/>
      <c r="X361" s="731"/>
      <c r="Y361" s="731"/>
      <c r="Z361" s="731"/>
      <c r="AA361" s="65"/>
      <c r="AB361" s="65"/>
      <c r="AC361" s="79"/>
    </row>
    <row r="362" spans="1:68" ht="14.25" hidden="1" customHeight="1" x14ac:dyDescent="0.25">
      <c r="A362" s="732" t="s">
        <v>122</v>
      </c>
      <c r="B362" s="732"/>
      <c r="C362" s="732"/>
      <c r="D362" s="732"/>
      <c r="E362" s="732"/>
      <c r="F362" s="732"/>
      <c r="G362" s="732"/>
      <c r="H362" s="732"/>
      <c r="I362" s="732"/>
      <c r="J362" s="732"/>
      <c r="K362" s="732"/>
      <c r="L362" s="732"/>
      <c r="M362" s="732"/>
      <c r="N362" s="732"/>
      <c r="O362" s="732"/>
      <c r="P362" s="732"/>
      <c r="Q362" s="732"/>
      <c r="R362" s="732"/>
      <c r="S362" s="732"/>
      <c r="T362" s="732"/>
      <c r="U362" s="732"/>
      <c r="V362" s="732"/>
      <c r="W362" s="732"/>
      <c r="X362" s="732"/>
      <c r="Y362" s="732"/>
      <c r="Z362" s="732"/>
      <c r="AA362" s="66"/>
      <c r="AB362" s="66"/>
      <c r="AC362" s="80"/>
    </row>
    <row r="363" spans="1:68" ht="27" customHeight="1" x14ac:dyDescent="0.25">
      <c r="A363" s="63" t="s">
        <v>607</v>
      </c>
      <c r="B363" s="63" t="s">
        <v>608</v>
      </c>
      <c r="C363" s="36">
        <v>4301012324</v>
      </c>
      <c r="D363" s="733">
        <v>4680115887947</v>
      </c>
      <c r="E363" s="733"/>
      <c r="F363" s="62">
        <v>1.3</v>
      </c>
      <c r="G363" s="37">
        <v>6</v>
      </c>
      <c r="H363" s="62">
        <v>7.8</v>
      </c>
      <c r="I363" s="62">
        <v>8.2100000000000009</v>
      </c>
      <c r="J363" s="37">
        <v>64</v>
      </c>
      <c r="K363" s="37" t="s">
        <v>127</v>
      </c>
      <c r="L363" s="37" t="s">
        <v>46</v>
      </c>
      <c r="M363" s="38" t="s">
        <v>90</v>
      </c>
      <c r="N363" s="38"/>
      <c r="O363" s="37">
        <v>60</v>
      </c>
      <c r="P363" s="931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63" s="735"/>
      <c r="R363" s="735"/>
      <c r="S363" s="735"/>
      <c r="T363" s="736"/>
      <c r="U363" s="39" t="s">
        <v>46</v>
      </c>
      <c r="V363" s="39" t="s">
        <v>46</v>
      </c>
      <c r="W363" s="40" t="s">
        <v>0</v>
      </c>
      <c r="X363" s="58">
        <v>150</v>
      </c>
      <c r="Y363" s="55">
        <f>IFERROR(IF(X363="",0,CEILING((X363/$H363),1)*$H363),"")</f>
        <v>156</v>
      </c>
      <c r="Z363" s="41">
        <f>IFERROR(IF(Y363=0,"",ROUNDUP(Y363/H363,0)*0.01898),"")</f>
        <v>0.37959999999999999</v>
      </c>
      <c r="AA363" s="68" t="s">
        <v>46</v>
      </c>
      <c r="AB363" s="69" t="s">
        <v>46</v>
      </c>
      <c r="AC363" s="466" t="s">
        <v>379</v>
      </c>
      <c r="AG363" s="78"/>
      <c r="AJ363" s="84" t="s">
        <v>46</v>
      </c>
      <c r="AK363" s="84">
        <v>0</v>
      </c>
      <c r="BB363" s="467" t="s">
        <v>67</v>
      </c>
      <c r="BM363" s="78">
        <f>IFERROR(X363*I363/H363,"0")</f>
        <v>157.88461538461542</v>
      </c>
      <c r="BN363" s="78">
        <f>IFERROR(Y363*I363/H363,"0")</f>
        <v>164.20000000000005</v>
      </c>
      <c r="BO363" s="78">
        <f>IFERROR(1/J363*(X363/H363),"0")</f>
        <v>0.30048076923076922</v>
      </c>
      <c r="BP363" s="78">
        <f>IFERROR(1/J363*(Y363/H363),"0")</f>
        <v>0.3125</v>
      </c>
    </row>
    <row r="364" spans="1:68" ht="27" customHeight="1" x14ac:dyDescent="0.25">
      <c r="A364" s="63" t="s">
        <v>609</v>
      </c>
      <c r="B364" s="63" t="s">
        <v>610</v>
      </c>
      <c r="C364" s="36">
        <v>4301012325</v>
      </c>
      <c r="D364" s="733">
        <v>4680115887978</v>
      </c>
      <c r="E364" s="733"/>
      <c r="F364" s="62">
        <v>1.3</v>
      </c>
      <c r="G364" s="37">
        <v>6</v>
      </c>
      <c r="H364" s="62">
        <v>7.8</v>
      </c>
      <c r="I364" s="62">
        <v>8.2100000000000009</v>
      </c>
      <c r="J364" s="37">
        <v>64</v>
      </c>
      <c r="K364" s="37" t="s">
        <v>127</v>
      </c>
      <c r="L364" s="37" t="s">
        <v>46</v>
      </c>
      <c r="M364" s="38" t="s">
        <v>90</v>
      </c>
      <c r="N364" s="38"/>
      <c r="O364" s="37">
        <v>60</v>
      </c>
      <c r="P364" s="932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4" s="735"/>
      <c r="R364" s="735"/>
      <c r="S364" s="735"/>
      <c r="T364" s="736"/>
      <c r="U364" s="39" t="s">
        <v>46</v>
      </c>
      <c r="V364" s="39" t="s">
        <v>46</v>
      </c>
      <c r="W364" s="40" t="s">
        <v>0</v>
      </c>
      <c r="X364" s="58">
        <v>250</v>
      </c>
      <c r="Y364" s="55">
        <f>IFERROR(IF(X364="",0,CEILING((X364/$H364),1)*$H364),"")</f>
        <v>257.39999999999998</v>
      </c>
      <c r="Z364" s="41">
        <f>IFERROR(IF(Y364=0,"",ROUNDUP(Y364/H364,0)*0.01898),"")</f>
        <v>0.62634000000000001</v>
      </c>
      <c r="AA364" s="68" t="s">
        <v>46</v>
      </c>
      <c r="AB364" s="69" t="s">
        <v>46</v>
      </c>
      <c r="AC364" s="468" t="s">
        <v>611</v>
      </c>
      <c r="AG364" s="78"/>
      <c r="AJ364" s="84" t="s">
        <v>46</v>
      </c>
      <c r="AK364" s="84">
        <v>0</v>
      </c>
      <c r="BB364" s="469" t="s">
        <v>67</v>
      </c>
      <c r="BM364" s="78">
        <f>IFERROR(X364*I364/H364,"0")</f>
        <v>263.14102564102564</v>
      </c>
      <c r="BN364" s="78">
        <f>IFERROR(Y364*I364/H364,"0")</f>
        <v>270.93</v>
      </c>
      <c r="BO364" s="78">
        <f>IFERROR(1/J364*(X364/H364),"0")</f>
        <v>0.50080128205128205</v>
      </c>
      <c r="BP364" s="78">
        <f>IFERROR(1/J364*(Y364/H364),"0")</f>
        <v>0.515625</v>
      </c>
    </row>
    <row r="365" spans="1:68" ht="27" customHeight="1" x14ac:dyDescent="0.25">
      <c r="A365" s="63" t="s">
        <v>612</v>
      </c>
      <c r="B365" s="63" t="s">
        <v>613</v>
      </c>
      <c r="C365" s="36">
        <v>4301012327</v>
      </c>
      <c r="D365" s="733">
        <v>4680115887992</v>
      </c>
      <c r="E365" s="733"/>
      <c r="F365" s="62">
        <v>1.3</v>
      </c>
      <c r="G365" s="37">
        <v>6</v>
      </c>
      <c r="H365" s="62">
        <v>7.8</v>
      </c>
      <c r="I365" s="62">
        <v>8.2100000000000009</v>
      </c>
      <c r="J365" s="37">
        <v>64</v>
      </c>
      <c r="K365" s="37" t="s">
        <v>127</v>
      </c>
      <c r="L365" s="37" t="s">
        <v>46</v>
      </c>
      <c r="M365" s="38" t="s">
        <v>90</v>
      </c>
      <c r="N365" s="38"/>
      <c r="O365" s="37">
        <v>60</v>
      </c>
      <c r="P365" s="933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5" s="735"/>
      <c r="R365" s="735"/>
      <c r="S365" s="735"/>
      <c r="T365" s="736"/>
      <c r="U365" s="39" t="s">
        <v>46</v>
      </c>
      <c r="V365" s="39" t="s">
        <v>46</v>
      </c>
      <c r="W365" s="40" t="s">
        <v>0</v>
      </c>
      <c r="X365" s="58">
        <v>100</v>
      </c>
      <c r="Y365" s="55">
        <f>IFERROR(IF(X365="",0,CEILING((X365/$H365),1)*$H365),"")</f>
        <v>101.39999999999999</v>
      </c>
      <c r="Z365" s="41">
        <f>IFERROR(IF(Y365=0,"",ROUNDUP(Y365/H365,0)*0.01898),"")</f>
        <v>0.24674000000000001</v>
      </c>
      <c r="AA365" s="68" t="s">
        <v>46</v>
      </c>
      <c r="AB365" s="69" t="s">
        <v>46</v>
      </c>
      <c r="AC365" s="470" t="s">
        <v>614</v>
      </c>
      <c r="AG365" s="78"/>
      <c r="AJ365" s="84" t="s">
        <v>46</v>
      </c>
      <c r="AK365" s="84">
        <v>0</v>
      </c>
      <c r="BB365" s="471" t="s">
        <v>67</v>
      </c>
      <c r="BM365" s="78">
        <f>IFERROR(X365*I365/H365,"0")</f>
        <v>105.25641025641028</v>
      </c>
      <c r="BN365" s="78">
        <f>IFERROR(Y365*I365/H365,"0")</f>
        <v>106.73</v>
      </c>
      <c r="BO365" s="78">
        <f>IFERROR(1/J365*(X365/H365),"0")</f>
        <v>0.20032051282051283</v>
      </c>
      <c r="BP365" s="78">
        <f>IFERROR(1/J365*(Y365/H365),"0")</f>
        <v>0.203125</v>
      </c>
    </row>
    <row r="366" spans="1:68" x14ac:dyDescent="0.2">
      <c r="A366" s="741"/>
      <c r="B366" s="741"/>
      <c r="C366" s="741"/>
      <c r="D366" s="741"/>
      <c r="E366" s="741"/>
      <c r="F366" s="741"/>
      <c r="G366" s="741"/>
      <c r="H366" s="741"/>
      <c r="I366" s="741"/>
      <c r="J366" s="741"/>
      <c r="K366" s="741"/>
      <c r="L366" s="741"/>
      <c r="M366" s="741"/>
      <c r="N366" s="741"/>
      <c r="O366" s="742"/>
      <c r="P366" s="738" t="s">
        <v>40</v>
      </c>
      <c r="Q366" s="739"/>
      <c r="R366" s="739"/>
      <c r="S366" s="739"/>
      <c r="T366" s="739"/>
      <c r="U366" s="739"/>
      <c r="V366" s="740"/>
      <c r="W366" s="42" t="s">
        <v>39</v>
      </c>
      <c r="X366" s="43">
        <f>IFERROR(X363/H363,"0")+IFERROR(X364/H364,"0")+IFERROR(X365/H365,"0")</f>
        <v>64.102564102564102</v>
      </c>
      <c r="Y366" s="43">
        <f>IFERROR(Y363/H363,"0")+IFERROR(Y364/H364,"0")+IFERROR(Y365/H365,"0")</f>
        <v>66</v>
      </c>
      <c r="Z366" s="43">
        <f>IFERROR(IF(Z363="",0,Z363),"0")+IFERROR(IF(Z364="",0,Z364),"0")+IFERROR(IF(Z365="",0,Z365),"0")</f>
        <v>1.25268</v>
      </c>
      <c r="AA366" s="67"/>
      <c r="AB366" s="67"/>
      <c r="AC366" s="67"/>
    </row>
    <row r="367" spans="1:68" x14ac:dyDescent="0.2">
      <c r="A367" s="741"/>
      <c r="B367" s="741"/>
      <c r="C367" s="741"/>
      <c r="D367" s="741"/>
      <c r="E367" s="741"/>
      <c r="F367" s="741"/>
      <c r="G367" s="741"/>
      <c r="H367" s="741"/>
      <c r="I367" s="741"/>
      <c r="J367" s="741"/>
      <c r="K367" s="741"/>
      <c r="L367" s="741"/>
      <c r="M367" s="741"/>
      <c r="N367" s="741"/>
      <c r="O367" s="742"/>
      <c r="P367" s="738" t="s">
        <v>40</v>
      </c>
      <c r="Q367" s="739"/>
      <c r="R367" s="739"/>
      <c r="S367" s="739"/>
      <c r="T367" s="739"/>
      <c r="U367" s="739"/>
      <c r="V367" s="740"/>
      <c r="W367" s="42" t="s">
        <v>0</v>
      </c>
      <c r="X367" s="43">
        <f>IFERROR(SUM(X363:X365),"0")</f>
        <v>500</v>
      </c>
      <c r="Y367" s="43">
        <f>IFERROR(SUM(Y363:Y365),"0")</f>
        <v>514.79999999999995</v>
      </c>
      <c r="Z367" s="42"/>
      <c r="AA367" s="67"/>
      <c r="AB367" s="67"/>
      <c r="AC367" s="67"/>
    </row>
    <row r="368" spans="1:68" ht="16.5" hidden="1" customHeight="1" x14ac:dyDescent="0.25">
      <c r="A368" s="731" t="s">
        <v>615</v>
      </c>
      <c r="B368" s="731"/>
      <c r="C368" s="731"/>
      <c r="D368" s="731"/>
      <c r="E368" s="731"/>
      <c r="F368" s="731"/>
      <c r="G368" s="731"/>
      <c r="H368" s="731"/>
      <c r="I368" s="731"/>
      <c r="J368" s="731"/>
      <c r="K368" s="731"/>
      <c r="L368" s="731"/>
      <c r="M368" s="731"/>
      <c r="N368" s="731"/>
      <c r="O368" s="731"/>
      <c r="P368" s="731"/>
      <c r="Q368" s="731"/>
      <c r="R368" s="731"/>
      <c r="S368" s="731"/>
      <c r="T368" s="731"/>
      <c r="U368" s="731"/>
      <c r="V368" s="731"/>
      <c r="W368" s="731"/>
      <c r="X368" s="731"/>
      <c r="Y368" s="731"/>
      <c r="Z368" s="731"/>
      <c r="AA368" s="65"/>
      <c r="AB368" s="65"/>
      <c r="AC368" s="79"/>
    </row>
    <row r="369" spans="1:68" ht="14.25" hidden="1" customHeight="1" x14ac:dyDescent="0.25">
      <c r="A369" s="732" t="s">
        <v>122</v>
      </c>
      <c r="B369" s="732"/>
      <c r="C369" s="732"/>
      <c r="D369" s="732"/>
      <c r="E369" s="732"/>
      <c r="F369" s="732"/>
      <c r="G369" s="732"/>
      <c r="H369" s="732"/>
      <c r="I369" s="732"/>
      <c r="J369" s="732"/>
      <c r="K369" s="732"/>
      <c r="L369" s="732"/>
      <c r="M369" s="732"/>
      <c r="N369" s="732"/>
      <c r="O369" s="732"/>
      <c r="P369" s="732"/>
      <c r="Q369" s="732"/>
      <c r="R369" s="732"/>
      <c r="S369" s="732"/>
      <c r="T369" s="732"/>
      <c r="U369" s="732"/>
      <c r="V369" s="732"/>
      <c r="W369" s="732"/>
      <c r="X369" s="732"/>
      <c r="Y369" s="732"/>
      <c r="Z369" s="732"/>
      <c r="AA369" s="66"/>
      <c r="AB369" s="66"/>
      <c r="AC369" s="80"/>
    </row>
    <row r="370" spans="1:68" ht="27" customHeight="1" x14ac:dyDescent="0.25">
      <c r="A370" s="63" t="s">
        <v>616</v>
      </c>
      <c r="B370" s="63" t="s">
        <v>617</v>
      </c>
      <c r="C370" s="36">
        <v>4301012126</v>
      </c>
      <c r="D370" s="733">
        <v>4607091386004</v>
      </c>
      <c r="E370" s="733"/>
      <c r="F370" s="62">
        <v>1.35</v>
      </c>
      <c r="G370" s="37">
        <v>8</v>
      </c>
      <c r="H370" s="62">
        <v>10.8</v>
      </c>
      <c r="I370" s="62">
        <v>11.21</v>
      </c>
      <c r="J370" s="37">
        <v>64</v>
      </c>
      <c r="K370" s="37" t="s">
        <v>127</v>
      </c>
      <c r="L370" s="37" t="s">
        <v>46</v>
      </c>
      <c r="M370" s="38" t="s">
        <v>126</v>
      </c>
      <c r="N370" s="38"/>
      <c r="O370" s="37">
        <v>55</v>
      </c>
      <c r="P370" s="934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70" s="735"/>
      <c r="R370" s="735"/>
      <c r="S370" s="735"/>
      <c r="T370" s="736"/>
      <c r="U370" s="39" t="s">
        <v>46</v>
      </c>
      <c r="V370" s="39" t="s">
        <v>46</v>
      </c>
      <c r="W370" s="40" t="s">
        <v>0</v>
      </c>
      <c r="X370" s="58">
        <v>30</v>
      </c>
      <c r="Y370" s="55">
        <f t="shared" ref="Y370:Y375" si="60">IFERROR(IF(X370="",0,CEILING((X370/$H370),1)*$H370),"")</f>
        <v>32.400000000000006</v>
      </c>
      <c r="Z370" s="41">
        <f>IFERROR(IF(Y370=0,"",ROUNDUP(Y370/H370,0)*0.01898),"")</f>
        <v>5.6940000000000004E-2</v>
      </c>
      <c r="AA370" s="68" t="s">
        <v>46</v>
      </c>
      <c r="AB370" s="69" t="s">
        <v>46</v>
      </c>
      <c r="AC370" s="472" t="s">
        <v>618</v>
      </c>
      <c r="AG370" s="78"/>
      <c r="AJ370" s="84" t="s">
        <v>46</v>
      </c>
      <c r="AK370" s="84">
        <v>0</v>
      </c>
      <c r="BB370" s="473" t="s">
        <v>67</v>
      </c>
      <c r="BM370" s="78">
        <f t="shared" ref="BM370:BM375" si="61">IFERROR(X370*I370/H370,"0")</f>
        <v>31.138888888888889</v>
      </c>
      <c r="BN370" s="78">
        <f t="shared" ref="BN370:BN375" si="62">IFERROR(Y370*I370/H370,"0")</f>
        <v>33.630000000000003</v>
      </c>
      <c r="BO370" s="78">
        <f t="shared" ref="BO370:BO375" si="63">IFERROR(1/J370*(X370/H370),"0")</f>
        <v>4.3402777777777776E-2</v>
      </c>
      <c r="BP370" s="78">
        <f t="shared" ref="BP370:BP375" si="64">IFERROR(1/J370*(Y370/H370),"0")</f>
        <v>4.6875000000000007E-2</v>
      </c>
    </row>
    <row r="371" spans="1:68" ht="27" hidden="1" customHeight="1" x14ac:dyDescent="0.25">
      <c r="A371" s="63" t="s">
        <v>619</v>
      </c>
      <c r="B371" s="63" t="s">
        <v>620</v>
      </c>
      <c r="C371" s="36">
        <v>4301012235</v>
      </c>
      <c r="D371" s="733">
        <v>4680115887190</v>
      </c>
      <c r="E371" s="733"/>
      <c r="F371" s="62">
        <v>1.35</v>
      </c>
      <c r="G371" s="37">
        <v>8</v>
      </c>
      <c r="H371" s="62">
        <v>10.8</v>
      </c>
      <c r="I371" s="62">
        <v>11.21</v>
      </c>
      <c r="J371" s="37">
        <v>64</v>
      </c>
      <c r="K371" s="37" t="s">
        <v>127</v>
      </c>
      <c r="L371" s="37" t="s">
        <v>46</v>
      </c>
      <c r="M371" s="38" t="s">
        <v>126</v>
      </c>
      <c r="N371" s="38"/>
      <c r="O371" s="37">
        <v>55</v>
      </c>
      <c r="P371" s="935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71" s="735"/>
      <c r="R371" s="735"/>
      <c r="S371" s="735"/>
      <c r="T371" s="736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60"/>
        <v>0</v>
      </c>
      <c r="Z371" s="41" t="str">
        <f>IFERROR(IF(Y371=0,"",ROUNDUP(Y371/H371,0)*0.01898),"")</f>
        <v/>
      </c>
      <c r="AA371" s="68" t="s">
        <v>46</v>
      </c>
      <c r="AB371" s="69" t="s">
        <v>46</v>
      </c>
      <c r="AC371" s="474" t="s">
        <v>621</v>
      </c>
      <c r="AG371" s="78"/>
      <c r="AJ371" s="84" t="s">
        <v>46</v>
      </c>
      <c r="AK371" s="84">
        <v>0</v>
      </c>
      <c r="BB371" s="475" t="s">
        <v>67</v>
      </c>
      <c r="BM371" s="78">
        <f t="shared" si="61"/>
        <v>0</v>
      </c>
      <c r="BN371" s="78">
        <f t="shared" si="62"/>
        <v>0</v>
      </c>
      <c r="BO371" s="78">
        <f t="shared" si="63"/>
        <v>0</v>
      </c>
      <c r="BP371" s="78">
        <f t="shared" si="64"/>
        <v>0</v>
      </c>
    </row>
    <row r="372" spans="1:68" ht="37.5" hidden="1" customHeight="1" x14ac:dyDescent="0.25">
      <c r="A372" s="63" t="s">
        <v>622</v>
      </c>
      <c r="B372" s="63" t="s">
        <v>623</v>
      </c>
      <c r="C372" s="36">
        <v>4301012233</v>
      </c>
      <c r="D372" s="733">
        <v>4680115887138</v>
      </c>
      <c r="E372" s="733"/>
      <c r="F372" s="62">
        <v>1.35</v>
      </c>
      <c r="G372" s="37">
        <v>8</v>
      </c>
      <c r="H372" s="62">
        <v>10.8</v>
      </c>
      <c r="I372" s="62">
        <v>11.21</v>
      </c>
      <c r="J372" s="37">
        <v>64</v>
      </c>
      <c r="K372" s="37" t="s">
        <v>127</v>
      </c>
      <c r="L372" s="37" t="s">
        <v>46</v>
      </c>
      <c r="M372" s="38" t="s">
        <v>126</v>
      </c>
      <c r="N372" s="38"/>
      <c r="O372" s="37">
        <v>55</v>
      </c>
      <c r="P372" s="936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72" s="735"/>
      <c r="R372" s="735"/>
      <c r="S372" s="735"/>
      <c r="T372" s="736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60"/>
        <v>0</v>
      </c>
      <c r="Z372" s="41" t="str">
        <f>IFERROR(IF(Y372=0,"",ROUNDUP(Y372/H372,0)*0.01898),"")</f>
        <v/>
      </c>
      <c r="AA372" s="68" t="s">
        <v>46</v>
      </c>
      <c r="AB372" s="69" t="s">
        <v>46</v>
      </c>
      <c r="AC372" s="476" t="s">
        <v>624</v>
      </c>
      <c r="AG372" s="78"/>
      <c r="AJ372" s="84" t="s">
        <v>46</v>
      </c>
      <c r="AK372" s="84">
        <v>0</v>
      </c>
      <c r="BB372" s="477" t="s">
        <v>67</v>
      </c>
      <c r="BM372" s="78">
        <f t="shared" si="61"/>
        <v>0</v>
      </c>
      <c r="BN372" s="78">
        <f t="shared" si="62"/>
        <v>0</v>
      </c>
      <c r="BO372" s="78">
        <f t="shared" si="63"/>
        <v>0</v>
      </c>
      <c r="BP372" s="78">
        <f t="shared" si="64"/>
        <v>0</v>
      </c>
    </row>
    <row r="373" spans="1:68" ht="27" hidden="1" customHeight="1" x14ac:dyDescent="0.25">
      <c r="A373" s="63" t="s">
        <v>625</v>
      </c>
      <c r="B373" s="63" t="s">
        <v>626</v>
      </c>
      <c r="C373" s="36">
        <v>4301012016</v>
      </c>
      <c r="D373" s="733">
        <v>4680115885554</v>
      </c>
      <c r="E373" s="733"/>
      <c r="F373" s="62">
        <v>1.35</v>
      </c>
      <c r="G373" s="37">
        <v>8</v>
      </c>
      <c r="H373" s="62">
        <v>10.8</v>
      </c>
      <c r="I373" s="62">
        <v>11.21</v>
      </c>
      <c r="J373" s="37">
        <v>64</v>
      </c>
      <c r="K373" s="37" t="s">
        <v>127</v>
      </c>
      <c r="L373" s="37" t="s">
        <v>46</v>
      </c>
      <c r="M373" s="38" t="s">
        <v>90</v>
      </c>
      <c r="N373" s="38"/>
      <c r="O373" s="37">
        <v>55</v>
      </c>
      <c r="P373" s="937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3" s="735"/>
      <c r="R373" s="735"/>
      <c r="S373" s="735"/>
      <c r="T373" s="736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60"/>
        <v>0</v>
      </c>
      <c r="Z373" s="41" t="str">
        <f>IFERROR(IF(Y373=0,"",ROUNDUP(Y373/H373,0)*0.01898),"")</f>
        <v/>
      </c>
      <c r="AA373" s="68" t="s">
        <v>46</v>
      </c>
      <c r="AB373" s="69" t="s">
        <v>46</v>
      </c>
      <c r="AC373" s="478" t="s">
        <v>627</v>
      </c>
      <c r="AG373" s="78"/>
      <c r="AJ373" s="84" t="s">
        <v>46</v>
      </c>
      <c r="AK373" s="84">
        <v>0</v>
      </c>
      <c r="BB373" s="479" t="s">
        <v>67</v>
      </c>
      <c r="BM373" s="78">
        <f t="shared" si="61"/>
        <v>0</v>
      </c>
      <c r="BN373" s="78">
        <f t="shared" si="62"/>
        <v>0</v>
      </c>
      <c r="BO373" s="78">
        <f t="shared" si="63"/>
        <v>0</v>
      </c>
      <c r="BP373" s="78">
        <f t="shared" si="64"/>
        <v>0</v>
      </c>
    </row>
    <row r="374" spans="1:68" ht="27" hidden="1" customHeight="1" x14ac:dyDescent="0.25">
      <c r="A374" s="63" t="s">
        <v>628</v>
      </c>
      <c r="B374" s="63" t="s">
        <v>629</v>
      </c>
      <c r="C374" s="36">
        <v>4301012236</v>
      </c>
      <c r="D374" s="733">
        <v>4680115887220</v>
      </c>
      <c r="E374" s="733"/>
      <c r="F374" s="62">
        <v>0.4</v>
      </c>
      <c r="G374" s="37">
        <v>10</v>
      </c>
      <c r="H374" s="62">
        <v>4</v>
      </c>
      <c r="I374" s="62">
        <v>4.1900000000000004</v>
      </c>
      <c r="J374" s="37">
        <v>132</v>
      </c>
      <c r="K374" s="37" t="s">
        <v>134</v>
      </c>
      <c r="L374" s="37" t="s">
        <v>46</v>
      </c>
      <c r="M374" s="38" t="s">
        <v>126</v>
      </c>
      <c r="N374" s="38"/>
      <c r="O374" s="37">
        <v>55</v>
      </c>
      <c r="P374" s="938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4" s="735"/>
      <c r="R374" s="735"/>
      <c r="S374" s="735"/>
      <c r="T374" s="736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60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80" t="s">
        <v>621</v>
      </c>
      <c r="AG374" s="78"/>
      <c r="AJ374" s="84" t="s">
        <v>46</v>
      </c>
      <c r="AK374" s="84">
        <v>0</v>
      </c>
      <c r="BB374" s="481" t="s">
        <v>67</v>
      </c>
      <c r="BM374" s="78">
        <f t="shared" si="61"/>
        <v>0</v>
      </c>
      <c r="BN374" s="78">
        <f t="shared" si="62"/>
        <v>0</v>
      </c>
      <c r="BO374" s="78">
        <f t="shared" si="63"/>
        <v>0</v>
      </c>
      <c r="BP374" s="78">
        <f t="shared" si="64"/>
        <v>0</v>
      </c>
    </row>
    <row r="375" spans="1:68" ht="27" hidden="1" customHeight="1" x14ac:dyDescent="0.25">
      <c r="A375" s="63" t="s">
        <v>630</v>
      </c>
      <c r="B375" s="63" t="s">
        <v>631</v>
      </c>
      <c r="C375" s="36">
        <v>4301011859</v>
      </c>
      <c r="D375" s="733">
        <v>4680115885608</v>
      </c>
      <c r="E375" s="733"/>
      <c r="F375" s="62">
        <v>0.4</v>
      </c>
      <c r="G375" s="37">
        <v>10</v>
      </c>
      <c r="H375" s="62">
        <v>4</v>
      </c>
      <c r="I375" s="62">
        <v>4.1900000000000004</v>
      </c>
      <c r="J375" s="37">
        <v>132</v>
      </c>
      <c r="K375" s="37" t="s">
        <v>134</v>
      </c>
      <c r="L375" s="37" t="s">
        <v>46</v>
      </c>
      <c r="M375" s="38" t="s">
        <v>126</v>
      </c>
      <c r="N375" s="38"/>
      <c r="O375" s="37">
        <v>55</v>
      </c>
      <c r="P375" s="939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5" s="735"/>
      <c r="R375" s="735"/>
      <c r="S375" s="735"/>
      <c r="T375" s="736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60"/>
        <v>0</v>
      </c>
      <c r="Z375" s="41" t="str">
        <f>IFERROR(IF(Y375=0,"",ROUNDUP(Y375/H375,0)*0.00902),"")</f>
        <v/>
      </c>
      <c r="AA375" s="68" t="s">
        <v>46</v>
      </c>
      <c r="AB375" s="69" t="s">
        <v>46</v>
      </c>
      <c r="AC375" s="482" t="s">
        <v>632</v>
      </c>
      <c r="AG375" s="78"/>
      <c r="AJ375" s="84" t="s">
        <v>46</v>
      </c>
      <c r="AK375" s="84">
        <v>0</v>
      </c>
      <c r="BB375" s="483" t="s">
        <v>67</v>
      </c>
      <c r="BM375" s="78">
        <f t="shared" si="61"/>
        <v>0</v>
      </c>
      <c r="BN375" s="78">
        <f t="shared" si="62"/>
        <v>0</v>
      </c>
      <c r="BO375" s="78">
        <f t="shared" si="63"/>
        <v>0</v>
      </c>
      <c r="BP375" s="78">
        <f t="shared" si="64"/>
        <v>0</v>
      </c>
    </row>
    <row r="376" spans="1:68" x14ac:dyDescent="0.2">
      <c r="A376" s="741"/>
      <c r="B376" s="741"/>
      <c r="C376" s="741"/>
      <c r="D376" s="741"/>
      <c r="E376" s="741"/>
      <c r="F376" s="741"/>
      <c r="G376" s="741"/>
      <c r="H376" s="741"/>
      <c r="I376" s="741"/>
      <c r="J376" s="741"/>
      <c r="K376" s="741"/>
      <c r="L376" s="741"/>
      <c r="M376" s="741"/>
      <c r="N376" s="741"/>
      <c r="O376" s="742"/>
      <c r="P376" s="738" t="s">
        <v>40</v>
      </c>
      <c r="Q376" s="739"/>
      <c r="R376" s="739"/>
      <c r="S376" s="739"/>
      <c r="T376" s="739"/>
      <c r="U376" s="739"/>
      <c r="V376" s="740"/>
      <c r="W376" s="42" t="s">
        <v>39</v>
      </c>
      <c r="X376" s="43">
        <f>IFERROR(X370/H370,"0")+IFERROR(X371/H371,"0")+IFERROR(X372/H372,"0")+IFERROR(X373/H373,"0")+IFERROR(X374/H374,"0")+IFERROR(X375/H375,"0")</f>
        <v>2.7777777777777777</v>
      </c>
      <c r="Y376" s="43">
        <f>IFERROR(Y370/H370,"0")+IFERROR(Y371/H371,"0")+IFERROR(Y372/H372,"0")+IFERROR(Y373/H373,"0")+IFERROR(Y374/H374,"0")+IFERROR(Y375/H375,"0")</f>
        <v>3.0000000000000004</v>
      </c>
      <c r="Z376" s="43">
        <f>IFERROR(IF(Z370="",0,Z370),"0")+IFERROR(IF(Z371="",0,Z371),"0")+IFERROR(IF(Z372="",0,Z372),"0")+IFERROR(IF(Z373="",0,Z373),"0")+IFERROR(IF(Z374="",0,Z374),"0")+IFERROR(IF(Z375="",0,Z375),"0")</f>
        <v>5.6940000000000004E-2</v>
      </c>
      <c r="AA376" s="67"/>
      <c r="AB376" s="67"/>
      <c r="AC376" s="67"/>
    </row>
    <row r="377" spans="1:68" x14ac:dyDescent="0.2">
      <c r="A377" s="741"/>
      <c r="B377" s="741"/>
      <c r="C377" s="741"/>
      <c r="D377" s="741"/>
      <c r="E377" s="741"/>
      <c r="F377" s="741"/>
      <c r="G377" s="741"/>
      <c r="H377" s="741"/>
      <c r="I377" s="741"/>
      <c r="J377" s="741"/>
      <c r="K377" s="741"/>
      <c r="L377" s="741"/>
      <c r="M377" s="741"/>
      <c r="N377" s="741"/>
      <c r="O377" s="742"/>
      <c r="P377" s="738" t="s">
        <v>40</v>
      </c>
      <c r="Q377" s="739"/>
      <c r="R377" s="739"/>
      <c r="S377" s="739"/>
      <c r="T377" s="739"/>
      <c r="U377" s="739"/>
      <c r="V377" s="740"/>
      <c r="W377" s="42" t="s">
        <v>0</v>
      </c>
      <c r="X377" s="43">
        <f>IFERROR(SUM(X370:X375),"0")</f>
        <v>30</v>
      </c>
      <c r="Y377" s="43">
        <f>IFERROR(SUM(Y370:Y375),"0")</f>
        <v>32.400000000000006</v>
      </c>
      <c r="Z377" s="42"/>
      <c r="AA377" s="67"/>
      <c r="AB377" s="67"/>
      <c r="AC377" s="67"/>
    </row>
    <row r="378" spans="1:68" ht="14.25" hidden="1" customHeight="1" x14ac:dyDescent="0.25">
      <c r="A378" s="732" t="s">
        <v>77</v>
      </c>
      <c r="B378" s="732"/>
      <c r="C378" s="732"/>
      <c r="D378" s="732"/>
      <c r="E378" s="732"/>
      <c r="F378" s="732"/>
      <c r="G378" s="732"/>
      <c r="H378" s="732"/>
      <c r="I378" s="732"/>
      <c r="J378" s="732"/>
      <c r="K378" s="732"/>
      <c r="L378" s="732"/>
      <c r="M378" s="732"/>
      <c r="N378" s="732"/>
      <c r="O378" s="732"/>
      <c r="P378" s="732"/>
      <c r="Q378" s="732"/>
      <c r="R378" s="732"/>
      <c r="S378" s="732"/>
      <c r="T378" s="732"/>
      <c r="U378" s="732"/>
      <c r="V378" s="732"/>
      <c r="W378" s="732"/>
      <c r="X378" s="732"/>
      <c r="Y378" s="732"/>
      <c r="Z378" s="732"/>
      <c r="AA378" s="66"/>
      <c r="AB378" s="66"/>
      <c r="AC378" s="80"/>
    </row>
    <row r="379" spans="1:68" ht="27" hidden="1" customHeight="1" x14ac:dyDescent="0.25">
      <c r="A379" s="63" t="s">
        <v>633</v>
      </c>
      <c r="B379" s="63" t="s">
        <v>634</v>
      </c>
      <c r="C379" s="36">
        <v>4301030878</v>
      </c>
      <c r="D379" s="733">
        <v>4607091387193</v>
      </c>
      <c r="E379" s="733"/>
      <c r="F379" s="62">
        <v>0.7</v>
      </c>
      <c r="G379" s="37">
        <v>6</v>
      </c>
      <c r="H379" s="62">
        <v>4.2</v>
      </c>
      <c r="I379" s="62">
        <v>4.45</v>
      </c>
      <c r="J379" s="37">
        <v>132</v>
      </c>
      <c r="K379" s="37" t="s">
        <v>134</v>
      </c>
      <c r="L379" s="37" t="s">
        <v>46</v>
      </c>
      <c r="M379" s="38" t="s">
        <v>81</v>
      </c>
      <c r="N379" s="38"/>
      <c r="O379" s="37">
        <v>35</v>
      </c>
      <c r="P379" s="940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9" s="735"/>
      <c r="R379" s="735"/>
      <c r="S379" s="735"/>
      <c r="T379" s="736"/>
      <c r="U379" s="39" t="s">
        <v>46</v>
      </c>
      <c r="V379" s="39" t="s">
        <v>46</v>
      </c>
      <c r="W379" s="40" t="s">
        <v>0</v>
      </c>
      <c r="X379" s="58">
        <v>0</v>
      </c>
      <c r="Y379" s="55">
        <f t="shared" ref="Y379:Y385" si="65">IFERROR(IF(X379="",0,CEILING((X379/$H379),1)*$H379),"")</f>
        <v>0</v>
      </c>
      <c r="Z379" s="41" t="str">
        <f>IFERROR(IF(Y379=0,"",ROUNDUP(Y379/H379,0)*0.00902),"")</f>
        <v/>
      </c>
      <c r="AA379" s="68" t="s">
        <v>46</v>
      </c>
      <c r="AB379" s="69" t="s">
        <v>46</v>
      </c>
      <c r="AC379" s="484" t="s">
        <v>635</v>
      </c>
      <c r="AG379" s="78"/>
      <c r="AJ379" s="84" t="s">
        <v>46</v>
      </c>
      <c r="AK379" s="84">
        <v>0</v>
      </c>
      <c r="BB379" s="485" t="s">
        <v>67</v>
      </c>
      <c r="BM379" s="78">
        <f t="shared" ref="BM379:BM385" si="66">IFERROR(X379*I379/H379,"0")</f>
        <v>0</v>
      </c>
      <c r="BN379" s="78">
        <f t="shared" ref="BN379:BN385" si="67">IFERROR(Y379*I379/H379,"0")</f>
        <v>0</v>
      </c>
      <c r="BO379" s="78">
        <f t="shared" ref="BO379:BO385" si="68">IFERROR(1/J379*(X379/H379),"0")</f>
        <v>0</v>
      </c>
      <c r="BP379" s="78">
        <f t="shared" ref="BP379:BP385" si="69">IFERROR(1/J379*(Y379/H379),"0")</f>
        <v>0</v>
      </c>
    </row>
    <row r="380" spans="1:68" ht="27" hidden="1" customHeight="1" x14ac:dyDescent="0.25">
      <c r="A380" s="63" t="s">
        <v>636</v>
      </c>
      <c r="B380" s="63" t="s">
        <v>637</v>
      </c>
      <c r="C380" s="36">
        <v>4301031153</v>
      </c>
      <c r="D380" s="733">
        <v>4607091387230</v>
      </c>
      <c r="E380" s="733"/>
      <c r="F380" s="62">
        <v>0.7</v>
      </c>
      <c r="G380" s="37">
        <v>6</v>
      </c>
      <c r="H380" s="62">
        <v>4.2</v>
      </c>
      <c r="I380" s="62">
        <v>4.45</v>
      </c>
      <c r="J380" s="37">
        <v>132</v>
      </c>
      <c r="K380" s="37" t="s">
        <v>134</v>
      </c>
      <c r="L380" s="37" t="s">
        <v>46</v>
      </c>
      <c r="M380" s="38" t="s">
        <v>81</v>
      </c>
      <c r="N380" s="38"/>
      <c r="O380" s="37">
        <v>40</v>
      </c>
      <c r="P380" s="94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80" s="735"/>
      <c r="R380" s="735"/>
      <c r="S380" s="735"/>
      <c r="T380" s="736"/>
      <c r="U380" s="39" t="s">
        <v>46</v>
      </c>
      <c r="V380" s="39" t="s">
        <v>46</v>
      </c>
      <c r="W380" s="40" t="s">
        <v>0</v>
      </c>
      <c r="X380" s="58">
        <v>0</v>
      </c>
      <c r="Y380" s="55">
        <f t="shared" si="65"/>
        <v>0</v>
      </c>
      <c r="Z380" s="41" t="str">
        <f>IFERROR(IF(Y380=0,"",ROUNDUP(Y380/H380,0)*0.00902),"")</f>
        <v/>
      </c>
      <c r="AA380" s="68" t="s">
        <v>46</v>
      </c>
      <c r="AB380" s="69" t="s">
        <v>46</v>
      </c>
      <c r="AC380" s="486" t="s">
        <v>638</v>
      </c>
      <c r="AG380" s="78"/>
      <c r="AJ380" s="84" t="s">
        <v>46</v>
      </c>
      <c r="AK380" s="84">
        <v>0</v>
      </c>
      <c r="BB380" s="487" t="s">
        <v>67</v>
      </c>
      <c r="BM380" s="78">
        <f t="shared" si="66"/>
        <v>0</v>
      </c>
      <c r="BN380" s="78">
        <f t="shared" si="67"/>
        <v>0</v>
      </c>
      <c r="BO380" s="78">
        <f t="shared" si="68"/>
        <v>0</v>
      </c>
      <c r="BP380" s="78">
        <f t="shared" si="69"/>
        <v>0</v>
      </c>
    </row>
    <row r="381" spans="1:68" ht="27" hidden="1" customHeight="1" x14ac:dyDescent="0.25">
      <c r="A381" s="63" t="s">
        <v>639</v>
      </c>
      <c r="B381" s="63" t="s">
        <v>640</v>
      </c>
      <c r="C381" s="36">
        <v>4301031154</v>
      </c>
      <c r="D381" s="733">
        <v>4607091387292</v>
      </c>
      <c r="E381" s="733"/>
      <c r="F381" s="62">
        <v>0.73</v>
      </c>
      <c r="G381" s="37">
        <v>6</v>
      </c>
      <c r="H381" s="62">
        <v>4.38</v>
      </c>
      <c r="I381" s="62">
        <v>4.63</v>
      </c>
      <c r="J381" s="37">
        <v>132</v>
      </c>
      <c r="K381" s="37" t="s">
        <v>134</v>
      </c>
      <c r="L381" s="37" t="s">
        <v>46</v>
      </c>
      <c r="M381" s="38" t="s">
        <v>81</v>
      </c>
      <c r="N381" s="38"/>
      <c r="O381" s="37">
        <v>45</v>
      </c>
      <c r="P381" s="942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81" s="735"/>
      <c r="R381" s="735"/>
      <c r="S381" s="735"/>
      <c r="T381" s="736"/>
      <c r="U381" s="39" t="s">
        <v>46</v>
      </c>
      <c r="V381" s="39" t="s">
        <v>46</v>
      </c>
      <c r="W381" s="40" t="s">
        <v>0</v>
      </c>
      <c r="X381" s="58">
        <v>0</v>
      </c>
      <c r="Y381" s="55">
        <f t="shared" si="65"/>
        <v>0</v>
      </c>
      <c r="Z381" s="41" t="str">
        <f>IFERROR(IF(Y381=0,"",ROUNDUP(Y381/H381,0)*0.00902),"")</f>
        <v/>
      </c>
      <c r="AA381" s="68" t="s">
        <v>46</v>
      </c>
      <c r="AB381" s="69" t="s">
        <v>46</v>
      </c>
      <c r="AC381" s="488" t="s">
        <v>641</v>
      </c>
      <c r="AG381" s="78"/>
      <c r="AJ381" s="84" t="s">
        <v>46</v>
      </c>
      <c r="AK381" s="84">
        <v>0</v>
      </c>
      <c r="BB381" s="489" t="s">
        <v>67</v>
      </c>
      <c r="BM381" s="78">
        <f t="shared" si="66"/>
        <v>0</v>
      </c>
      <c r="BN381" s="78">
        <f t="shared" si="67"/>
        <v>0</v>
      </c>
      <c r="BO381" s="78">
        <f t="shared" si="68"/>
        <v>0</v>
      </c>
      <c r="BP381" s="78">
        <f t="shared" si="69"/>
        <v>0</v>
      </c>
    </row>
    <row r="382" spans="1:68" ht="27" hidden="1" customHeight="1" x14ac:dyDescent="0.25">
      <c r="A382" s="63" t="s">
        <v>642</v>
      </c>
      <c r="B382" s="63" t="s">
        <v>643</v>
      </c>
      <c r="C382" s="36">
        <v>4301031152</v>
      </c>
      <c r="D382" s="733">
        <v>4607091387285</v>
      </c>
      <c r="E382" s="733"/>
      <c r="F382" s="62">
        <v>0.35</v>
      </c>
      <c r="G382" s="37">
        <v>6</v>
      </c>
      <c r="H382" s="62">
        <v>2.1</v>
      </c>
      <c r="I382" s="62">
        <v>2.23</v>
      </c>
      <c r="J382" s="37">
        <v>234</v>
      </c>
      <c r="K382" s="37" t="s">
        <v>82</v>
      </c>
      <c r="L382" s="37" t="s">
        <v>46</v>
      </c>
      <c r="M382" s="38" t="s">
        <v>81</v>
      </c>
      <c r="N382" s="38"/>
      <c r="O382" s="37">
        <v>40</v>
      </c>
      <c r="P382" s="943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82" s="735"/>
      <c r="R382" s="735"/>
      <c r="S382" s="735"/>
      <c r="T382" s="736"/>
      <c r="U382" s="39" t="s">
        <v>46</v>
      </c>
      <c r="V382" s="39" t="s">
        <v>46</v>
      </c>
      <c r="W382" s="40" t="s">
        <v>0</v>
      </c>
      <c r="X382" s="58">
        <v>0</v>
      </c>
      <c r="Y382" s="55">
        <f t="shared" si="65"/>
        <v>0</v>
      </c>
      <c r="Z382" s="41" t="str">
        <f>IFERROR(IF(Y382=0,"",ROUNDUP(Y382/H382,0)*0.00502),"")</f>
        <v/>
      </c>
      <c r="AA382" s="68" t="s">
        <v>46</v>
      </c>
      <c r="AB382" s="69" t="s">
        <v>46</v>
      </c>
      <c r="AC382" s="490" t="s">
        <v>638</v>
      </c>
      <c r="AG382" s="78"/>
      <c r="AJ382" s="84" t="s">
        <v>46</v>
      </c>
      <c r="AK382" s="84">
        <v>0</v>
      </c>
      <c r="BB382" s="491" t="s">
        <v>67</v>
      </c>
      <c r="BM382" s="78">
        <f t="shared" si="66"/>
        <v>0</v>
      </c>
      <c r="BN382" s="78">
        <f t="shared" si="67"/>
        <v>0</v>
      </c>
      <c r="BO382" s="78">
        <f t="shared" si="68"/>
        <v>0</v>
      </c>
      <c r="BP382" s="78">
        <f t="shared" si="69"/>
        <v>0</v>
      </c>
    </row>
    <row r="383" spans="1:68" ht="27" customHeight="1" x14ac:dyDescent="0.25">
      <c r="A383" s="63" t="s">
        <v>644</v>
      </c>
      <c r="B383" s="63" t="s">
        <v>645</v>
      </c>
      <c r="C383" s="36">
        <v>4301031305</v>
      </c>
      <c r="D383" s="733">
        <v>4607091389845</v>
      </c>
      <c r="E383" s="733"/>
      <c r="F383" s="62">
        <v>0.35</v>
      </c>
      <c r="G383" s="37">
        <v>6</v>
      </c>
      <c r="H383" s="62">
        <v>2.1</v>
      </c>
      <c r="I383" s="62">
        <v>2.2000000000000002</v>
      </c>
      <c r="J383" s="37">
        <v>234</v>
      </c>
      <c r="K383" s="37" t="s">
        <v>82</v>
      </c>
      <c r="L383" s="37" t="s">
        <v>46</v>
      </c>
      <c r="M383" s="38" t="s">
        <v>81</v>
      </c>
      <c r="N383" s="38"/>
      <c r="O383" s="37">
        <v>40</v>
      </c>
      <c r="P383" s="944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3" s="735"/>
      <c r="R383" s="735"/>
      <c r="S383" s="735"/>
      <c r="T383" s="736"/>
      <c r="U383" s="39" t="s">
        <v>46</v>
      </c>
      <c r="V383" s="39" t="s">
        <v>46</v>
      </c>
      <c r="W383" s="40" t="s">
        <v>0</v>
      </c>
      <c r="X383" s="58">
        <v>350</v>
      </c>
      <c r="Y383" s="55">
        <f t="shared" si="65"/>
        <v>350.7</v>
      </c>
      <c r="Z383" s="41">
        <f>IFERROR(IF(Y383=0,"",ROUNDUP(Y383/H383,0)*0.00502),"")</f>
        <v>0.83833999999999997</v>
      </c>
      <c r="AA383" s="68" t="s">
        <v>46</v>
      </c>
      <c r="AB383" s="69" t="s">
        <v>46</v>
      </c>
      <c r="AC383" s="492" t="s">
        <v>646</v>
      </c>
      <c r="AG383" s="78"/>
      <c r="AJ383" s="84" t="s">
        <v>46</v>
      </c>
      <c r="AK383" s="84">
        <v>0</v>
      </c>
      <c r="BB383" s="493" t="s">
        <v>67</v>
      </c>
      <c r="BM383" s="78">
        <f t="shared" si="66"/>
        <v>366.66666666666669</v>
      </c>
      <c r="BN383" s="78">
        <f t="shared" si="67"/>
        <v>367.40000000000003</v>
      </c>
      <c r="BO383" s="78">
        <f t="shared" si="68"/>
        <v>0.71225071225071224</v>
      </c>
      <c r="BP383" s="78">
        <f t="shared" si="69"/>
        <v>0.71367521367521369</v>
      </c>
    </row>
    <row r="384" spans="1:68" ht="27" hidden="1" customHeight="1" x14ac:dyDescent="0.25">
      <c r="A384" s="63" t="s">
        <v>647</v>
      </c>
      <c r="B384" s="63" t="s">
        <v>648</v>
      </c>
      <c r="C384" s="36">
        <v>4301031460</v>
      </c>
      <c r="D384" s="733">
        <v>4680115887442</v>
      </c>
      <c r="E384" s="733"/>
      <c r="F384" s="62">
        <v>0.73</v>
      </c>
      <c r="G384" s="37">
        <v>6</v>
      </c>
      <c r="H384" s="62">
        <v>4.38</v>
      </c>
      <c r="I384" s="62">
        <v>4.63</v>
      </c>
      <c r="J384" s="37">
        <v>132</v>
      </c>
      <c r="K384" s="37" t="s">
        <v>134</v>
      </c>
      <c r="L384" s="37" t="s">
        <v>46</v>
      </c>
      <c r="M384" s="38" t="s">
        <v>81</v>
      </c>
      <c r="N384" s="38"/>
      <c r="O384" s="37">
        <v>45</v>
      </c>
      <c r="P384" s="945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4" s="735"/>
      <c r="R384" s="735"/>
      <c r="S384" s="735"/>
      <c r="T384" s="736"/>
      <c r="U384" s="39" t="s">
        <v>46</v>
      </c>
      <c r="V384" s="39" t="s">
        <v>46</v>
      </c>
      <c r="W384" s="40" t="s">
        <v>0</v>
      </c>
      <c r="X384" s="58">
        <v>0</v>
      </c>
      <c r="Y384" s="55">
        <f t="shared" si="65"/>
        <v>0</v>
      </c>
      <c r="Z384" s="41" t="str">
        <f>IFERROR(IF(Y384=0,"",ROUNDUP(Y384/H384,0)*0.00902),"")</f>
        <v/>
      </c>
      <c r="AA384" s="68" t="s">
        <v>46</v>
      </c>
      <c r="AB384" s="69" t="s">
        <v>46</v>
      </c>
      <c r="AC384" s="494" t="s">
        <v>641</v>
      </c>
      <c r="AG384" s="78"/>
      <c r="AJ384" s="84" t="s">
        <v>46</v>
      </c>
      <c r="AK384" s="84">
        <v>0</v>
      </c>
      <c r="BB384" s="495" t="s">
        <v>67</v>
      </c>
      <c r="BM384" s="78">
        <f t="shared" si="66"/>
        <v>0</v>
      </c>
      <c r="BN384" s="78">
        <f t="shared" si="67"/>
        <v>0</v>
      </c>
      <c r="BO384" s="78">
        <f t="shared" si="68"/>
        <v>0</v>
      </c>
      <c r="BP384" s="78">
        <f t="shared" si="69"/>
        <v>0</v>
      </c>
    </row>
    <row r="385" spans="1:68" ht="27" customHeight="1" x14ac:dyDescent="0.25">
      <c r="A385" s="63" t="s">
        <v>649</v>
      </c>
      <c r="B385" s="63" t="s">
        <v>650</v>
      </c>
      <c r="C385" s="36">
        <v>4301031066</v>
      </c>
      <c r="D385" s="733">
        <v>4607091383836</v>
      </c>
      <c r="E385" s="733"/>
      <c r="F385" s="62">
        <v>0.3</v>
      </c>
      <c r="G385" s="37">
        <v>6</v>
      </c>
      <c r="H385" s="62">
        <v>1.8</v>
      </c>
      <c r="I385" s="62">
        <v>2.028</v>
      </c>
      <c r="J385" s="37">
        <v>182</v>
      </c>
      <c r="K385" s="37" t="s">
        <v>91</v>
      </c>
      <c r="L385" s="37" t="s">
        <v>46</v>
      </c>
      <c r="M385" s="38" t="s">
        <v>81</v>
      </c>
      <c r="N385" s="38"/>
      <c r="O385" s="37">
        <v>40</v>
      </c>
      <c r="P385" s="946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5" s="735"/>
      <c r="R385" s="735"/>
      <c r="S385" s="735"/>
      <c r="T385" s="736"/>
      <c r="U385" s="39" t="s">
        <v>46</v>
      </c>
      <c r="V385" s="39" t="s">
        <v>46</v>
      </c>
      <c r="W385" s="40" t="s">
        <v>0</v>
      </c>
      <c r="X385" s="58">
        <v>30</v>
      </c>
      <c r="Y385" s="55">
        <f t="shared" si="65"/>
        <v>30.6</v>
      </c>
      <c r="Z385" s="41">
        <f>IFERROR(IF(Y385=0,"",ROUNDUP(Y385/H385,0)*0.00651),"")</f>
        <v>0.11067</v>
      </c>
      <c r="AA385" s="68" t="s">
        <v>46</v>
      </c>
      <c r="AB385" s="69" t="s">
        <v>46</v>
      </c>
      <c r="AC385" s="496" t="s">
        <v>651</v>
      </c>
      <c r="AG385" s="78"/>
      <c r="AJ385" s="84" t="s">
        <v>46</v>
      </c>
      <c r="AK385" s="84">
        <v>0</v>
      </c>
      <c r="BB385" s="497" t="s">
        <v>67</v>
      </c>
      <c r="BM385" s="78">
        <f t="shared" si="66"/>
        <v>33.800000000000004</v>
      </c>
      <c r="BN385" s="78">
        <f t="shared" si="67"/>
        <v>34.475999999999999</v>
      </c>
      <c r="BO385" s="78">
        <f t="shared" si="68"/>
        <v>9.1575091575091583E-2</v>
      </c>
      <c r="BP385" s="78">
        <f t="shared" si="69"/>
        <v>9.3406593406593408E-2</v>
      </c>
    </row>
    <row r="386" spans="1:68" x14ac:dyDescent="0.2">
      <c r="A386" s="741"/>
      <c r="B386" s="741"/>
      <c r="C386" s="741"/>
      <c r="D386" s="741"/>
      <c r="E386" s="741"/>
      <c r="F386" s="741"/>
      <c r="G386" s="741"/>
      <c r="H386" s="741"/>
      <c r="I386" s="741"/>
      <c r="J386" s="741"/>
      <c r="K386" s="741"/>
      <c r="L386" s="741"/>
      <c r="M386" s="741"/>
      <c r="N386" s="741"/>
      <c r="O386" s="742"/>
      <c r="P386" s="738" t="s">
        <v>40</v>
      </c>
      <c r="Q386" s="739"/>
      <c r="R386" s="739"/>
      <c r="S386" s="739"/>
      <c r="T386" s="739"/>
      <c r="U386" s="739"/>
      <c r="V386" s="740"/>
      <c r="W386" s="42" t="s">
        <v>39</v>
      </c>
      <c r="X386" s="43">
        <f>IFERROR(X379/H379,"0")+IFERROR(X380/H380,"0")+IFERROR(X381/H381,"0")+IFERROR(X382/H382,"0")+IFERROR(X383/H383,"0")+IFERROR(X384/H384,"0")+IFERROR(X385/H385,"0")</f>
        <v>183.33333333333331</v>
      </c>
      <c r="Y386" s="43">
        <f>IFERROR(Y379/H379,"0")+IFERROR(Y380/H380,"0")+IFERROR(Y381/H381,"0")+IFERROR(Y382/H382,"0")+IFERROR(Y383/H383,"0")+IFERROR(Y384/H384,"0")+IFERROR(Y385/H385,"0")</f>
        <v>184</v>
      </c>
      <c r="Z386" s="43">
        <f>IFERROR(IF(Z379="",0,Z379),"0")+IFERROR(IF(Z380="",0,Z380),"0")+IFERROR(IF(Z381="",0,Z381),"0")+IFERROR(IF(Z382="",0,Z382),"0")+IFERROR(IF(Z383="",0,Z383),"0")+IFERROR(IF(Z384="",0,Z384),"0")+IFERROR(IF(Z385="",0,Z385),"0")</f>
        <v>0.94901000000000002</v>
      </c>
      <c r="AA386" s="67"/>
      <c r="AB386" s="67"/>
      <c r="AC386" s="67"/>
    </row>
    <row r="387" spans="1:68" x14ac:dyDescent="0.2">
      <c r="A387" s="741"/>
      <c r="B387" s="741"/>
      <c r="C387" s="741"/>
      <c r="D387" s="741"/>
      <c r="E387" s="741"/>
      <c r="F387" s="741"/>
      <c r="G387" s="741"/>
      <c r="H387" s="741"/>
      <c r="I387" s="741"/>
      <c r="J387" s="741"/>
      <c r="K387" s="741"/>
      <c r="L387" s="741"/>
      <c r="M387" s="741"/>
      <c r="N387" s="741"/>
      <c r="O387" s="742"/>
      <c r="P387" s="738" t="s">
        <v>40</v>
      </c>
      <c r="Q387" s="739"/>
      <c r="R387" s="739"/>
      <c r="S387" s="739"/>
      <c r="T387" s="739"/>
      <c r="U387" s="739"/>
      <c r="V387" s="740"/>
      <c r="W387" s="42" t="s">
        <v>0</v>
      </c>
      <c r="X387" s="43">
        <f>IFERROR(SUM(X379:X385),"0")</f>
        <v>380</v>
      </c>
      <c r="Y387" s="43">
        <f>IFERROR(SUM(Y379:Y385),"0")</f>
        <v>381.3</v>
      </c>
      <c r="Z387" s="42"/>
      <c r="AA387" s="67"/>
      <c r="AB387" s="67"/>
      <c r="AC387" s="67"/>
    </row>
    <row r="388" spans="1:68" ht="14.25" hidden="1" customHeight="1" x14ac:dyDescent="0.25">
      <c r="A388" s="732" t="s">
        <v>86</v>
      </c>
      <c r="B388" s="732"/>
      <c r="C388" s="732"/>
      <c r="D388" s="732"/>
      <c r="E388" s="732"/>
      <c r="F388" s="732"/>
      <c r="G388" s="732"/>
      <c r="H388" s="732"/>
      <c r="I388" s="732"/>
      <c r="J388" s="732"/>
      <c r="K388" s="732"/>
      <c r="L388" s="732"/>
      <c r="M388" s="732"/>
      <c r="N388" s="732"/>
      <c r="O388" s="732"/>
      <c r="P388" s="732"/>
      <c r="Q388" s="732"/>
      <c r="R388" s="732"/>
      <c r="S388" s="732"/>
      <c r="T388" s="732"/>
      <c r="U388" s="732"/>
      <c r="V388" s="732"/>
      <c r="W388" s="732"/>
      <c r="X388" s="732"/>
      <c r="Y388" s="732"/>
      <c r="Z388" s="732"/>
      <c r="AA388" s="66"/>
      <c r="AB388" s="66"/>
      <c r="AC388" s="80"/>
    </row>
    <row r="389" spans="1:68" ht="27" hidden="1" customHeight="1" x14ac:dyDescent="0.25">
      <c r="A389" s="63" t="s">
        <v>652</v>
      </c>
      <c r="B389" s="63" t="s">
        <v>653</v>
      </c>
      <c r="C389" s="36">
        <v>4301051100</v>
      </c>
      <c r="D389" s="733">
        <v>4607091387766</v>
      </c>
      <c r="E389" s="733"/>
      <c r="F389" s="62">
        <v>1.3</v>
      </c>
      <c r="G389" s="37">
        <v>6</v>
      </c>
      <c r="H389" s="62">
        <v>7.8</v>
      </c>
      <c r="I389" s="62">
        <v>8.2880000000000003</v>
      </c>
      <c r="J389" s="37">
        <v>64</v>
      </c>
      <c r="K389" s="37" t="s">
        <v>127</v>
      </c>
      <c r="L389" s="37" t="s">
        <v>46</v>
      </c>
      <c r="M389" s="38" t="s">
        <v>90</v>
      </c>
      <c r="N389" s="38"/>
      <c r="O389" s="37">
        <v>40</v>
      </c>
      <c r="P389" s="947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9" s="735"/>
      <c r="R389" s="735"/>
      <c r="S389" s="735"/>
      <c r="T389" s="736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98" t="s">
        <v>654</v>
      </c>
      <c r="AG389" s="78"/>
      <c r="AJ389" s="84" t="s">
        <v>46</v>
      </c>
      <c r="AK389" s="84">
        <v>0</v>
      </c>
      <c r="BB389" s="499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t="27" hidden="1" customHeight="1" x14ac:dyDescent="0.25">
      <c r="A390" s="63" t="s">
        <v>655</v>
      </c>
      <c r="B390" s="63" t="s">
        <v>656</v>
      </c>
      <c r="C390" s="36">
        <v>4301051818</v>
      </c>
      <c r="D390" s="733">
        <v>4607091387957</v>
      </c>
      <c r="E390" s="733"/>
      <c r="F390" s="62">
        <v>1.3</v>
      </c>
      <c r="G390" s="37">
        <v>6</v>
      </c>
      <c r="H390" s="62">
        <v>7.8</v>
      </c>
      <c r="I390" s="62">
        <v>8.2940000000000005</v>
      </c>
      <c r="J390" s="37">
        <v>64</v>
      </c>
      <c r="K390" s="37" t="s">
        <v>127</v>
      </c>
      <c r="L390" s="37" t="s">
        <v>46</v>
      </c>
      <c r="M390" s="38" t="s">
        <v>90</v>
      </c>
      <c r="N390" s="38"/>
      <c r="O390" s="37">
        <v>40</v>
      </c>
      <c r="P390" s="94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90" s="735"/>
      <c r="R390" s="735"/>
      <c r="S390" s="735"/>
      <c r="T390" s="736"/>
      <c r="U390" s="39" t="s">
        <v>46</v>
      </c>
      <c r="V390" s="39" t="s">
        <v>46</v>
      </c>
      <c r="W390" s="40" t="s">
        <v>0</v>
      </c>
      <c r="X390" s="58">
        <v>0</v>
      </c>
      <c r="Y390" s="55">
        <f>IFERROR(IF(X390="",0,CEILING((X390/$H390),1)*$H390),"")</f>
        <v>0</v>
      </c>
      <c r="Z390" s="41" t="str">
        <f>IFERROR(IF(Y390=0,"",ROUNDUP(Y390/H390,0)*0.01898),"")</f>
        <v/>
      </c>
      <c r="AA390" s="68" t="s">
        <v>46</v>
      </c>
      <c r="AB390" s="69" t="s">
        <v>46</v>
      </c>
      <c r="AC390" s="500" t="s">
        <v>657</v>
      </c>
      <c r="AG390" s="78"/>
      <c r="AJ390" s="84" t="s">
        <v>46</v>
      </c>
      <c r="AK390" s="84">
        <v>0</v>
      </c>
      <c r="BB390" s="501" t="s">
        <v>67</v>
      </c>
      <c r="BM390" s="78">
        <f>IFERROR(X390*I390/H390,"0")</f>
        <v>0</v>
      </c>
      <c r="BN390" s="78">
        <f>IFERROR(Y390*I390/H390,"0")</f>
        <v>0</v>
      </c>
      <c r="BO390" s="78">
        <f>IFERROR(1/J390*(X390/H390),"0")</f>
        <v>0</v>
      </c>
      <c r="BP390" s="78">
        <f>IFERROR(1/J390*(Y390/H390),"0")</f>
        <v>0</v>
      </c>
    </row>
    <row r="391" spans="1:68" ht="27" hidden="1" customHeight="1" x14ac:dyDescent="0.25">
      <c r="A391" s="63" t="s">
        <v>658</v>
      </c>
      <c r="B391" s="63" t="s">
        <v>659</v>
      </c>
      <c r="C391" s="36">
        <v>4301051819</v>
      </c>
      <c r="D391" s="733">
        <v>4607091387964</v>
      </c>
      <c r="E391" s="733"/>
      <c r="F391" s="62">
        <v>1.35</v>
      </c>
      <c r="G391" s="37">
        <v>6</v>
      </c>
      <c r="H391" s="62">
        <v>8.1</v>
      </c>
      <c r="I391" s="62">
        <v>8.5760000000000005</v>
      </c>
      <c r="J391" s="37">
        <v>64</v>
      </c>
      <c r="K391" s="37" t="s">
        <v>127</v>
      </c>
      <c r="L391" s="37" t="s">
        <v>46</v>
      </c>
      <c r="M391" s="38" t="s">
        <v>90</v>
      </c>
      <c r="N391" s="38"/>
      <c r="O391" s="37">
        <v>40</v>
      </c>
      <c r="P391" s="949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91" s="735"/>
      <c r="R391" s="735"/>
      <c r="S391" s="735"/>
      <c r="T391" s="736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IFERROR(IF(Y391=0,"",ROUNDUP(Y391/H391,0)*0.01898),"")</f>
        <v/>
      </c>
      <c r="AA391" s="68" t="s">
        <v>46</v>
      </c>
      <c r="AB391" s="69" t="s">
        <v>46</v>
      </c>
      <c r="AC391" s="502" t="s">
        <v>660</v>
      </c>
      <c r="AG391" s="78"/>
      <c r="AJ391" s="84" t="s">
        <v>46</v>
      </c>
      <c r="AK391" s="84">
        <v>0</v>
      </c>
      <c r="BB391" s="503" t="s">
        <v>67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t="27" hidden="1" customHeight="1" x14ac:dyDescent="0.25">
      <c r="A392" s="63" t="s">
        <v>661</v>
      </c>
      <c r="B392" s="63" t="s">
        <v>662</v>
      </c>
      <c r="C392" s="36">
        <v>4301051734</v>
      </c>
      <c r="D392" s="733">
        <v>4680115884588</v>
      </c>
      <c r="E392" s="733"/>
      <c r="F392" s="62">
        <v>0.5</v>
      </c>
      <c r="G392" s="37">
        <v>6</v>
      </c>
      <c r="H392" s="62">
        <v>3</v>
      </c>
      <c r="I392" s="62">
        <v>3.246</v>
      </c>
      <c r="J392" s="37">
        <v>182</v>
      </c>
      <c r="K392" s="37" t="s">
        <v>91</v>
      </c>
      <c r="L392" s="37" t="s">
        <v>46</v>
      </c>
      <c r="M392" s="38" t="s">
        <v>90</v>
      </c>
      <c r="N392" s="38"/>
      <c r="O392" s="37">
        <v>40</v>
      </c>
      <c r="P392" s="95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92" s="735"/>
      <c r="R392" s="735"/>
      <c r="S392" s="735"/>
      <c r="T392" s="736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IFERROR(IF(Y392=0,"",ROUNDUP(Y392/H392,0)*0.00651),"")</f>
        <v/>
      </c>
      <c r="AA392" s="68" t="s">
        <v>46</v>
      </c>
      <c r="AB392" s="69" t="s">
        <v>46</v>
      </c>
      <c r="AC392" s="504" t="s">
        <v>654</v>
      </c>
      <c r="AG392" s="78"/>
      <c r="AJ392" s="84" t="s">
        <v>46</v>
      </c>
      <c r="AK392" s="84">
        <v>0</v>
      </c>
      <c r="BB392" s="505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idden="1" x14ac:dyDescent="0.2">
      <c r="A393" s="741"/>
      <c r="B393" s="741"/>
      <c r="C393" s="741"/>
      <c r="D393" s="741"/>
      <c r="E393" s="741"/>
      <c r="F393" s="741"/>
      <c r="G393" s="741"/>
      <c r="H393" s="741"/>
      <c r="I393" s="741"/>
      <c r="J393" s="741"/>
      <c r="K393" s="741"/>
      <c r="L393" s="741"/>
      <c r="M393" s="741"/>
      <c r="N393" s="741"/>
      <c r="O393" s="742"/>
      <c r="P393" s="738" t="s">
        <v>40</v>
      </c>
      <c r="Q393" s="739"/>
      <c r="R393" s="739"/>
      <c r="S393" s="739"/>
      <c r="T393" s="739"/>
      <c r="U393" s="739"/>
      <c r="V393" s="740"/>
      <c r="W393" s="42" t="s">
        <v>39</v>
      </c>
      <c r="X393" s="43">
        <f>IFERROR(X389/H389,"0")+IFERROR(X390/H390,"0")+IFERROR(X391/H391,"0")+IFERROR(X392/H392,"0")</f>
        <v>0</v>
      </c>
      <c r="Y393" s="43">
        <f>IFERROR(Y389/H389,"0")+IFERROR(Y390/H390,"0")+IFERROR(Y391/H391,"0")+IFERROR(Y392/H392,"0")</f>
        <v>0</v>
      </c>
      <c r="Z393" s="43">
        <f>IFERROR(IF(Z389="",0,Z389),"0")+IFERROR(IF(Z390="",0,Z390),"0")+IFERROR(IF(Z391="",0,Z391),"0")+IFERROR(IF(Z392="",0,Z392),"0")</f>
        <v>0</v>
      </c>
      <c r="AA393" s="67"/>
      <c r="AB393" s="67"/>
      <c r="AC393" s="67"/>
    </row>
    <row r="394" spans="1:68" hidden="1" x14ac:dyDescent="0.2">
      <c r="A394" s="741"/>
      <c r="B394" s="741"/>
      <c r="C394" s="741"/>
      <c r="D394" s="741"/>
      <c r="E394" s="741"/>
      <c r="F394" s="741"/>
      <c r="G394" s="741"/>
      <c r="H394" s="741"/>
      <c r="I394" s="741"/>
      <c r="J394" s="741"/>
      <c r="K394" s="741"/>
      <c r="L394" s="741"/>
      <c r="M394" s="741"/>
      <c r="N394" s="741"/>
      <c r="O394" s="742"/>
      <c r="P394" s="738" t="s">
        <v>40</v>
      </c>
      <c r="Q394" s="739"/>
      <c r="R394" s="739"/>
      <c r="S394" s="739"/>
      <c r="T394" s="739"/>
      <c r="U394" s="739"/>
      <c r="V394" s="740"/>
      <c r="W394" s="42" t="s">
        <v>0</v>
      </c>
      <c r="X394" s="43">
        <f>IFERROR(SUM(X389:X392),"0")</f>
        <v>0</v>
      </c>
      <c r="Y394" s="43">
        <f>IFERROR(SUM(Y389:Y392),"0")</f>
        <v>0</v>
      </c>
      <c r="Z394" s="42"/>
      <c r="AA394" s="67"/>
      <c r="AB394" s="67"/>
      <c r="AC394" s="67"/>
    </row>
    <row r="395" spans="1:68" ht="14.25" hidden="1" customHeight="1" x14ac:dyDescent="0.25">
      <c r="A395" s="732" t="s">
        <v>173</v>
      </c>
      <c r="B395" s="732"/>
      <c r="C395" s="732"/>
      <c r="D395" s="732"/>
      <c r="E395" s="732"/>
      <c r="F395" s="732"/>
      <c r="G395" s="732"/>
      <c r="H395" s="732"/>
      <c r="I395" s="732"/>
      <c r="J395" s="732"/>
      <c r="K395" s="732"/>
      <c r="L395" s="732"/>
      <c r="M395" s="732"/>
      <c r="N395" s="732"/>
      <c r="O395" s="732"/>
      <c r="P395" s="732"/>
      <c r="Q395" s="732"/>
      <c r="R395" s="732"/>
      <c r="S395" s="732"/>
      <c r="T395" s="732"/>
      <c r="U395" s="732"/>
      <c r="V395" s="732"/>
      <c r="W395" s="732"/>
      <c r="X395" s="732"/>
      <c r="Y395" s="732"/>
      <c r="Z395" s="732"/>
      <c r="AA395" s="66"/>
      <c r="AB395" s="66"/>
      <c r="AC395" s="80"/>
    </row>
    <row r="396" spans="1:68" ht="27" customHeight="1" x14ac:dyDescent="0.25">
      <c r="A396" s="63" t="s">
        <v>663</v>
      </c>
      <c r="B396" s="63" t="s">
        <v>664</v>
      </c>
      <c r="C396" s="36">
        <v>4301060387</v>
      </c>
      <c r="D396" s="733">
        <v>4607091380880</v>
      </c>
      <c r="E396" s="733"/>
      <c r="F396" s="62">
        <v>1.4</v>
      </c>
      <c r="G396" s="37">
        <v>6</v>
      </c>
      <c r="H396" s="62">
        <v>8.4</v>
      </c>
      <c r="I396" s="62">
        <v>8.8940000000000001</v>
      </c>
      <c r="J396" s="37">
        <v>64</v>
      </c>
      <c r="K396" s="37" t="s">
        <v>127</v>
      </c>
      <c r="L396" s="37" t="s">
        <v>46</v>
      </c>
      <c r="M396" s="38" t="s">
        <v>90</v>
      </c>
      <c r="N396" s="38"/>
      <c r="O396" s="37">
        <v>30</v>
      </c>
      <c r="P396" s="951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6" s="735"/>
      <c r="R396" s="735"/>
      <c r="S396" s="735"/>
      <c r="T396" s="736"/>
      <c r="U396" s="39" t="s">
        <v>46</v>
      </c>
      <c r="V396" s="39" t="s">
        <v>46</v>
      </c>
      <c r="W396" s="40" t="s">
        <v>0</v>
      </c>
      <c r="X396" s="58">
        <v>300</v>
      </c>
      <c r="Y396" s="55">
        <f>IFERROR(IF(X396="",0,CEILING((X396/$H396),1)*$H396),"")</f>
        <v>302.40000000000003</v>
      </c>
      <c r="Z396" s="41">
        <f>IFERROR(IF(Y396=0,"",ROUNDUP(Y396/H396,0)*0.01898),"")</f>
        <v>0.68328</v>
      </c>
      <c r="AA396" s="68" t="s">
        <v>46</v>
      </c>
      <c r="AB396" s="69" t="s">
        <v>46</v>
      </c>
      <c r="AC396" s="506" t="s">
        <v>665</v>
      </c>
      <c r="AG396" s="78"/>
      <c r="AJ396" s="84" t="s">
        <v>46</v>
      </c>
      <c r="AK396" s="84">
        <v>0</v>
      </c>
      <c r="BB396" s="507" t="s">
        <v>67</v>
      </c>
      <c r="BM396" s="78">
        <f>IFERROR(X396*I396/H396,"0")</f>
        <v>317.64285714285711</v>
      </c>
      <c r="BN396" s="78">
        <f>IFERROR(Y396*I396/H396,"0")</f>
        <v>320.18400000000003</v>
      </c>
      <c r="BO396" s="78">
        <f>IFERROR(1/J396*(X396/H396),"0")</f>
        <v>0.5580357142857143</v>
      </c>
      <c r="BP396" s="78">
        <f>IFERROR(1/J396*(Y396/H396),"0")</f>
        <v>0.5625</v>
      </c>
    </row>
    <row r="397" spans="1:68" ht="27" customHeight="1" x14ac:dyDescent="0.25">
      <c r="A397" s="63" t="s">
        <v>666</v>
      </c>
      <c r="B397" s="63" t="s">
        <v>667</v>
      </c>
      <c r="C397" s="36">
        <v>4301060406</v>
      </c>
      <c r="D397" s="733">
        <v>4607091384482</v>
      </c>
      <c r="E397" s="733"/>
      <c r="F397" s="62">
        <v>1.3</v>
      </c>
      <c r="G397" s="37">
        <v>6</v>
      </c>
      <c r="H397" s="62">
        <v>7.8</v>
      </c>
      <c r="I397" s="62">
        <v>8.2940000000000005</v>
      </c>
      <c r="J397" s="37">
        <v>64</v>
      </c>
      <c r="K397" s="37" t="s">
        <v>127</v>
      </c>
      <c r="L397" s="37" t="s">
        <v>46</v>
      </c>
      <c r="M397" s="38" t="s">
        <v>90</v>
      </c>
      <c r="N397" s="38"/>
      <c r="O397" s="37">
        <v>30</v>
      </c>
      <c r="P397" s="952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7" s="735"/>
      <c r="R397" s="735"/>
      <c r="S397" s="735"/>
      <c r="T397" s="736"/>
      <c r="U397" s="39" t="s">
        <v>46</v>
      </c>
      <c r="V397" s="39" t="s">
        <v>46</v>
      </c>
      <c r="W397" s="40" t="s">
        <v>0</v>
      </c>
      <c r="X397" s="58">
        <v>300</v>
      </c>
      <c r="Y397" s="55">
        <f>IFERROR(IF(X397="",0,CEILING((X397/$H397),1)*$H397),"")</f>
        <v>304.2</v>
      </c>
      <c r="Z397" s="41">
        <f>IFERROR(IF(Y397=0,"",ROUNDUP(Y397/H397,0)*0.01898),"")</f>
        <v>0.74021999999999999</v>
      </c>
      <c r="AA397" s="68" t="s">
        <v>46</v>
      </c>
      <c r="AB397" s="69" t="s">
        <v>46</v>
      </c>
      <c r="AC397" s="508" t="s">
        <v>668</v>
      </c>
      <c r="AG397" s="78"/>
      <c r="AJ397" s="84" t="s">
        <v>46</v>
      </c>
      <c r="AK397" s="84">
        <v>0</v>
      </c>
      <c r="BB397" s="509" t="s">
        <v>67</v>
      </c>
      <c r="BM397" s="78">
        <f>IFERROR(X397*I397/H397,"0")</f>
        <v>319.00000000000006</v>
      </c>
      <c r="BN397" s="78">
        <f>IFERROR(Y397*I397/H397,"0")</f>
        <v>323.46600000000001</v>
      </c>
      <c r="BO397" s="78">
        <f>IFERROR(1/J397*(X397/H397),"0")</f>
        <v>0.60096153846153844</v>
      </c>
      <c r="BP397" s="78">
        <f>IFERROR(1/J397*(Y397/H397),"0")</f>
        <v>0.609375</v>
      </c>
    </row>
    <row r="398" spans="1:68" ht="27" customHeight="1" x14ac:dyDescent="0.25">
      <c r="A398" s="63" t="s">
        <v>669</v>
      </c>
      <c r="B398" s="63" t="s">
        <v>670</v>
      </c>
      <c r="C398" s="36">
        <v>4301060484</v>
      </c>
      <c r="D398" s="733">
        <v>4607091380897</v>
      </c>
      <c r="E398" s="733"/>
      <c r="F398" s="62">
        <v>1.4</v>
      </c>
      <c r="G398" s="37">
        <v>6</v>
      </c>
      <c r="H398" s="62">
        <v>8.4</v>
      </c>
      <c r="I398" s="62">
        <v>8.8940000000000001</v>
      </c>
      <c r="J398" s="37">
        <v>64</v>
      </c>
      <c r="K398" s="37" t="s">
        <v>127</v>
      </c>
      <c r="L398" s="37" t="s">
        <v>46</v>
      </c>
      <c r="M398" s="38" t="s">
        <v>97</v>
      </c>
      <c r="N398" s="38"/>
      <c r="O398" s="37">
        <v>30</v>
      </c>
      <c r="P398" s="95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8" s="735"/>
      <c r="R398" s="735"/>
      <c r="S398" s="735"/>
      <c r="T398" s="736"/>
      <c r="U398" s="39" t="s">
        <v>46</v>
      </c>
      <c r="V398" s="39" t="s">
        <v>46</v>
      </c>
      <c r="W398" s="40" t="s">
        <v>0</v>
      </c>
      <c r="X398" s="58">
        <v>80</v>
      </c>
      <c r="Y398" s="55">
        <f>IFERROR(IF(X398="",0,CEILING((X398/$H398),1)*$H398),"")</f>
        <v>84</v>
      </c>
      <c r="Z398" s="41">
        <f>IFERROR(IF(Y398=0,"",ROUNDUP(Y398/H398,0)*0.01898),"")</f>
        <v>0.1898</v>
      </c>
      <c r="AA398" s="68" t="s">
        <v>46</v>
      </c>
      <c r="AB398" s="69" t="s">
        <v>46</v>
      </c>
      <c r="AC398" s="510" t="s">
        <v>671</v>
      </c>
      <c r="AG398" s="78"/>
      <c r="AJ398" s="84" t="s">
        <v>46</v>
      </c>
      <c r="AK398" s="84">
        <v>0</v>
      </c>
      <c r="BB398" s="511" t="s">
        <v>67</v>
      </c>
      <c r="BM398" s="78">
        <f>IFERROR(X398*I398/H398,"0")</f>
        <v>84.704761904761895</v>
      </c>
      <c r="BN398" s="78">
        <f>IFERROR(Y398*I398/H398,"0")</f>
        <v>88.94</v>
      </c>
      <c r="BO398" s="78">
        <f>IFERROR(1/J398*(X398/H398),"0")</f>
        <v>0.14880952380952381</v>
      </c>
      <c r="BP398" s="78">
        <f>IFERROR(1/J398*(Y398/H398),"0")</f>
        <v>0.15625</v>
      </c>
    </row>
    <row r="399" spans="1:68" x14ac:dyDescent="0.2">
      <c r="A399" s="741"/>
      <c r="B399" s="741"/>
      <c r="C399" s="741"/>
      <c r="D399" s="741"/>
      <c r="E399" s="741"/>
      <c r="F399" s="741"/>
      <c r="G399" s="741"/>
      <c r="H399" s="741"/>
      <c r="I399" s="741"/>
      <c r="J399" s="741"/>
      <c r="K399" s="741"/>
      <c r="L399" s="741"/>
      <c r="M399" s="741"/>
      <c r="N399" s="741"/>
      <c r="O399" s="742"/>
      <c r="P399" s="738" t="s">
        <v>40</v>
      </c>
      <c r="Q399" s="739"/>
      <c r="R399" s="739"/>
      <c r="S399" s="739"/>
      <c r="T399" s="739"/>
      <c r="U399" s="739"/>
      <c r="V399" s="740"/>
      <c r="W399" s="42" t="s">
        <v>39</v>
      </c>
      <c r="X399" s="43">
        <f>IFERROR(X396/H396,"0")+IFERROR(X397/H397,"0")+IFERROR(X398/H398,"0")</f>
        <v>83.699633699633694</v>
      </c>
      <c r="Y399" s="43">
        <f>IFERROR(Y396/H396,"0")+IFERROR(Y397/H397,"0")+IFERROR(Y398/H398,"0")</f>
        <v>85</v>
      </c>
      <c r="Z399" s="43">
        <f>IFERROR(IF(Z396="",0,Z396),"0")+IFERROR(IF(Z397="",0,Z397),"0")+IFERROR(IF(Z398="",0,Z398),"0")</f>
        <v>1.6133</v>
      </c>
      <c r="AA399" s="67"/>
      <c r="AB399" s="67"/>
      <c r="AC399" s="67"/>
    </row>
    <row r="400" spans="1:68" x14ac:dyDescent="0.2">
      <c r="A400" s="741"/>
      <c r="B400" s="741"/>
      <c r="C400" s="741"/>
      <c r="D400" s="741"/>
      <c r="E400" s="741"/>
      <c r="F400" s="741"/>
      <c r="G400" s="741"/>
      <c r="H400" s="741"/>
      <c r="I400" s="741"/>
      <c r="J400" s="741"/>
      <c r="K400" s="741"/>
      <c r="L400" s="741"/>
      <c r="M400" s="741"/>
      <c r="N400" s="741"/>
      <c r="O400" s="742"/>
      <c r="P400" s="738" t="s">
        <v>40</v>
      </c>
      <c r="Q400" s="739"/>
      <c r="R400" s="739"/>
      <c r="S400" s="739"/>
      <c r="T400" s="739"/>
      <c r="U400" s="739"/>
      <c r="V400" s="740"/>
      <c r="W400" s="42" t="s">
        <v>0</v>
      </c>
      <c r="X400" s="43">
        <f>IFERROR(SUM(X396:X398),"0")</f>
        <v>680</v>
      </c>
      <c r="Y400" s="43">
        <f>IFERROR(SUM(Y396:Y398),"0")</f>
        <v>690.6</v>
      </c>
      <c r="Z400" s="42"/>
      <c r="AA400" s="67"/>
      <c r="AB400" s="67"/>
      <c r="AC400" s="67"/>
    </row>
    <row r="401" spans="1:68" ht="14.25" hidden="1" customHeight="1" x14ac:dyDescent="0.25">
      <c r="A401" s="732" t="s">
        <v>294</v>
      </c>
      <c r="B401" s="732"/>
      <c r="C401" s="732"/>
      <c r="D401" s="732"/>
      <c r="E401" s="732"/>
      <c r="F401" s="732"/>
      <c r="G401" s="732"/>
      <c r="H401" s="732"/>
      <c r="I401" s="732"/>
      <c r="J401" s="732"/>
      <c r="K401" s="732"/>
      <c r="L401" s="732"/>
      <c r="M401" s="732"/>
      <c r="N401" s="732"/>
      <c r="O401" s="732"/>
      <c r="P401" s="732"/>
      <c r="Q401" s="732"/>
      <c r="R401" s="732"/>
      <c r="S401" s="732"/>
      <c r="T401" s="732"/>
      <c r="U401" s="732"/>
      <c r="V401" s="732"/>
      <c r="W401" s="732"/>
      <c r="X401" s="732"/>
      <c r="Y401" s="732"/>
      <c r="Z401" s="732"/>
      <c r="AA401" s="66"/>
      <c r="AB401" s="66"/>
      <c r="AC401" s="80"/>
    </row>
    <row r="402" spans="1:68" ht="27" hidden="1" customHeight="1" x14ac:dyDescent="0.25">
      <c r="A402" s="63" t="s">
        <v>672</v>
      </c>
      <c r="B402" s="63" t="s">
        <v>673</v>
      </c>
      <c r="C402" s="36">
        <v>4301030235</v>
      </c>
      <c r="D402" s="733">
        <v>4607091388381</v>
      </c>
      <c r="E402" s="733"/>
      <c r="F402" s="62">
        <v>0.38</v>
      </c>
      <c r="G402" s="37">
        <v>8</v>
      </c>
      <c r="H402" s="62">
        <v>3.04</v>
      </c>
      <c r="I402" s="62">
        <v>3.31</v>
      </c>
      <c r="J402" s="37">
        <v>132</v>
      </c>
      <c r="K402" s="37" t="s">
        <v>134</v>
      </c>
      <c r="L402" s="37" t="s">
        <v>46</v>
      </c>
      <c r="M402" s="38" t="s">
        <v>269</v>
      </c>
      <c r="N402" s="38"/>
      <c r="O402" s="37">
        <v>180</v>
      </c>
      <c r="P402" s="954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402" s="735"/>
      <c r="R402" s="735"/>
      <c r="S402" s="735"/>
      <c r="T402" s="736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IFERROR(IF(Y402=0,"",ROUNDUP(Y402/H402,0)*0.00902),"")</f>
        <v/>
      </c>
      <c r="AA402" s="68" t="s">
        <v>46</v>
      </c>
      <c r="AB402" s="69" t="s">
        <v>46</v>
      </c>
      <c r="AC402" s="512" t="s">
        <v>674</v>
      </c>
      <c r="AG402" s="78"/>
      <c r="AJ402" s="84" t="s">
        <v>46</v>
      </c>
      <c r="AK402" s="84">
        <v>0</v>
      </c>
      <c r="BB402" s="513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t="27" hidden="1" customHeight="1" x14ac:dyDescent="0.25">
      <c r="A403" s="63" t="s">
        <v>675</v>
      </c>
      <c r="B403" s="63" t="s">
        <v>676</v>
      </c>
      <c r="C403" s="36">
        <v>4301030232</v>
      </c>
      <c r="D403" s="733">
        <v>4607091388374</v>
      </c>
      <c r="E403" s="733"/>
      <c r="F403" s="62">
        <v>0.38</v>
      </c>
      <c r="G403" s="37">
        <v>8</v>
      </c>
      <c r="H403" s="62">
        <v>3.04</v>
      </c>
      <c r="I403" s="62">
        <v>3.27</v>
      </c>
      <c r="J403" s="37">
        <v>132</v>
      </c>
      <c r="K403" s="37" t="s">
        <v>134</v>
      </c>
      <c r="L403" s="37" t="s">
        <v>46</v>
      </c>
      <c r="M403" s="38" t="s">
        <v>269</v>
      </c>
      <c r="N403" s="38"/>
      <c r="O403" s="37">
        <v>180</v>
      </c>
      <c r="P403" s="955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3" s="735"/>
      <c r="R403" s="735"/>
      <c r="S403" s="735"/>
      <c r="T403" s="736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IFERROR(IF(Y403=0,"",ROUNDUP(Y403/H403,0)*0.00902),"")</f>
        <v/>
      </c>
      <c r="AA403" s="68" t="s">
        <v>46</v>
      </c>
      <c r="AB403" s="69" t="s">
        <v>46</v>
      </c>
      <c r="AC403" s="514" t="s">
        <v>674</v>
      </c>
      <c r="AG403" s="78"/>
      <c r="AJ403" s="84" t="s">
        <v>46</v>
      </c>
      <c r="AK403" s="84">
        <v>0</v>
      </c>
      <c r="BB403" s="515" t="s">
        <v>67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t="27" hidden="1" customHeight="1" x14ac:dyDescent="0.25">
      <c r="A404" s="63" t="s">
        <v>677</v>
      </c>
      <c r="B404" s="63" t="s">
        <v>678</v>
      </c>
      <c r="C404" s="36">
        <v>4301032015</v>
      </c>
      <c r="D404" s="733">
        <v>4607091383102</v>
      </c>
      <c r="E404" s="733"/>
      <c r="F404" s="62">
        <v>0.17</v>
      </c>
      <c r="G404" s="37">
        <v>15</v>
      </c>
      <c r="H404" s="62">
        <v>2.5499999999999998</v>
      </c>
      <c r="I404" s="62">
        <v>2.9550000000000001</v>
      </c>
      <c r="J404" s="37">
        <v>182</v>
      </c>
      <c r="K404" s="37" t="s">
        <v>91</v>
      </c>
      <c r="L404" s="37" t="s">
        <v>46</v>
      </c>
      <c r="M404" s="38" t="s">
        <v>269</v>
      </c>
      <c r="N404" s="38"/>
      <c r="O404" s="37">
        <v>180</v>
      </c>
      <c r="P404" s="956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4" s="735"/>
      <c r="R404" s="735"/>
      <c r="S404" s="735"/>
      <c r="T404" s="736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IFERROR(IF(Y404=0,"",ROUNDUP(Y404/H404,0)*0.00651),"")</f>
        <v/>
      </c>
      <c r="AA404" s="68" t="s">
        <v>46</v>
      </c>
      <c r="AB404" s="69" t="s">
        <v>46</v>
      </c>
      <c r="AC404" s="516" t="s">
        <v>674</v>
      </c>
      <c r="AG404" s="78"/>
      <c r="AJ404" s="84" t="s">
        <v>46</v>
      </c>
      <c r="AK404" s="84">
        <v>0</v>
      </c>
      <c r="BB404" s="517" t="s">
        <v>67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t="27" customHeight="1" x14ac:dyDescent="0.25">
      <c r="A405" s="63" t="s">
        <v>679</v>
      </c>
      <c r="B405" s="63" t="s">
        <v>680</v>
      </c>
      <c r="C405" s="36">
        <v>4301030233</v>
      </c>
      <c r="D405" s="733">
        <v>4607091388404</v>
      </c>
      <c r="E405" s="733"/>
      <c r="F405" s="62">
        <v>0.17</v>
      </c>
      <c r="G405" s="37">
        <v>15</v>
      </c>
      <c r="H405" s="62">
        <v>2.5499999999999998</v>
      </c>
      <c r="I405" s="62">
        <v>2.88</v>
      </c>
      <c r="J405" s="37">
        <v>182</v>
      </c>
      <c r="K405" s="37" t="s">
        <v>91</v>
      </c>
      <c r="L405" s="37" t="s">
        <v>46</v>
      </c>
      <c r="M405" s="38" t="s">
        <v>269</v>
      </c>
      <c r="N405" s="38"/>
      <c r="O405" s="37">
        <v>180</v>
      </c>
      <c r="P405" s="957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5" s="735"/>
      <c r="R405" s="735"/>
      <c r="S405" s="735"/>
      <c r="T405" s="736"/>
      <c r="U405" s="39" t="s">
        <v>46</v>
      </c>
      <c r="V405" s="39" t="s">
        <v>46</v>
      </c>
      <c r="W405" s="40" t="s">
        <v>0</v>
      </c>
      <c r="X405" s="58">
        <v>204.00000000000003</v>
      </c>
      <c r="Y405" s="55">
        <f>IFERROR(IF(X405="",0,CEILING((X405/$H405),1)*$H405),"")</f>
        <v>204</v>
      </c>
      <c r="Z405" s="41">
        <f>IFERROR(IF(Y405=0,"",ROUNDUP(Y405/H405,0)*0.00651),"")</f>
        <v>0.52080000000000004</v>
      </c>
      <c r="AA405" s="68" t="s">
        <v>46</v>
      </c>
      <c r="AB405" s="69" t="s">
        <v>46</v>
      </c>
      <c r="AC405" s="518" t="s">
        <v>674</v>
      </c>
      <c r="AG405" s="78"/>
      <c r="AJ405" s="84" t="s">
        <v>46</v>
      </c>
      <c r="AK405" s="84">
        <v>0</v>
      </c>
      <c r="BB405" s="519" t="s">
        <v>67</v>
      </c>
      <c r="BM405" s="78">
        <f>IFERROR(X405*I405/H405,"0")</f>
        <v>230.40000000000006</v>
      </c>
      <c r="BN405" s="78">
        <f>IFERROR(Y405*I405/H405,"0")</f>
        <v>230.4</v>
      </c>
      <c r="BO405" s="78">
        <f>IFERROR(1/J405*(X405/H405),"0")</f>
        <v>0.43956043956043966</v>
      </c>
      <c r="BP405" s="78">
        <f>IFERROR(1/J405*(Y405/H405),"0")</f>
        <v>0.43956043956043961</v>
      </c>
    </row>
    <row r="406" spans="1:68" x14ac:dyDescent="0.2">
      <c r="A406" s="741"/>
      <c r="B406" s="741"/>
      <c r="C406" s="741"/>
      <c r="D406" s="741"/>
      <c r="E406" s="741"/>
      <c r="F406" s="741"/>
      <c r="G406" s="741"/>
      <c r="H406" s="741"/>
      <c r="I406" s="741"/>
      <c r="J406" s="741"/>
      <c r="K406" s="741"/>
      <c r="L406" s="741"/>
      <c r="M406" s="741"/>
      <c r="N406" s="741"/>
      <c r="O406" s="742"/>
      <c r="P406" s="738" t="s">
        <v>40</v>
      </c>
      <c r="Q406" s="739"/>
      <c r="R406" s="739"/>
      <c r="S406" s="739"/>
      <c r="T406" s="739"/>
      <c r="U406" s="739"/>
      <c r="V406" s="740"/>
      <c r="W406" s="42" t="s">
        <v>39</v>
      </c>
      <c r="X406" s="43">
        <f>IFERROR(X402/H402,"0")+IFERROR(X403/H403,"0")+IFERROR(X404/H404,"0")+IFERROR(X405/H405,"0")</f>
        <v>80.000000000000014</v>
      </c>
      <c r="Y406" s="43">
        <f>IFERROR(Y402/H402,"0")+IFERROR(Y403/H403,"0")+IFERROR(Y404/H404,"0")+IFERROR(Y405/H405,"0")</f>
        <v>80</v>
      </c>
      <c r="Z406" s="43">
        <f>IFERROR(IF(Z402="",0,Z402),"0")+IFERROR(IF(Z403="",0,Z403),"0")+IFERROR(IF(Z404="",0,Z404),"0")+IFERROR(IF(Z405="",0,Z405),"0")</f>
        <v>0.52080000000000004</v>
      </c>
      <c r="AA406" s="67"/>
      <c r="AB406" s="67"/>
      <c r="AC406" s="67"/>
    </row>
    <row r="407" spans="1:68" x14ac:dyDescent="0.2">
      <c r="A407" s="741"/>
      <c r="B407" s="741"/>
      <c r="C407" s="741"/>
      <c r="D407" s="741"/>
      <c r="E407" s="741"/>
      <c r="F407" s="741"/>
      <c r="G407" s="741"/>
      <c r="H407" s="741"/>
      <c r="I407" s="741"/>
      <c r="J407" s="741"/>
      <c r="K407" s="741"/>
      <c r="L407" s="741"/>
      <c r="M407" s="741"/>
      <c r="N407" s="741"/>
      <c r="O407" s="742"/>
      <c r="P407" s="738" t="s">
        <v>40</v>
      </c>
      <c r="Q407" s="739"/>
      <c r="R407" s="739"/>
      <c r="S407" s="739"/>
      <c r="T407" s="739"/>
      <c r="U407" s="739"/>
      <c r="V407" s="740"/>
      <c r="W407" s="42" t="s">
        <v>0</v>
      </c>
      <c r="X407" s="43">
        <f>IFERROR(SUM(X402:X405),"0")</f>
        <v>204.00000000000003</v>
      </c>
      <c r="Y407" s="43">
        <f>IFERROR(SUM(Y402:Y405),"0")</f>
        <v>204</v>
      </c>
      <c r="Z407" s="42"/>
      <c r="AA407" s="67"/>
      <c r="AB407" s="67"/>
      <c r="AC407" s="67"/>
    </row>
    <row r="408" spans="1:68" ht="14.25" hidden="1" customHeight="1" x14ac:dyDescent="0.25">
      <c r="A408" s="732" t="s">
        <v>681</v>
      </c>
      <c r="B408" s="732"/>
      <c r="C408" s="732"/>
      <c r="D408" s="732"/>
      <c r="E408" s="732"/>
      <c r="F408" s="732"/>
      <c r="G408" s="732"/>
      <c r="H408" s="732"/>
      <c r="I408" s="732"/>
      <c r="J408" s="732"/>
      <c r="K408" s="732"/>
      <c r="L408" s="732"/>
      <c r="M408" s="732"/>
      <c r="N408" s="732"/>
      <c r="O408" s="732"/>
      <c r="P408" s="732"/>
      <c r="Q408" s="732"/>
      <c r="R408" s="732"/>
      <c r="S408" s="732"/>
      <c r="T408" s="732"/>
      <c r="U408" s="732"/>
      <c r="V408" s="732"/>
      <c r="W408" s="732"/>
      <c r="X408" s="732"/>
      <c r="Y408" s="732"/>
      <c r="Z408" s="732"/>
      <c r="AA408" s="66"/>
      <c r="AB408" s="66"/>
      <c r="AC408" s="80"/>
    </row>
    <row r="409" spans="1:68" ht="16.5" hidden="1" customHeight="1" x14ac:dyDescent="0.25">
      <c r="A409" s="63" t="s">
        <v>682</v>
      </c>
      <c r="B409" s="63" t="s">
        <v>683</v>
      </c>
      <c r="C409" s="36">
        <v>4301180007</v>
      </c>
      <c r="D409" s="733">
        <v>4680115881808</v>
      </c>
      <c r="E409" s="733"/>
      <c r="F409" s="62">
        <v>0.1</v>
      </c>
      <c r="G409" s="37">
        <v>20</v>
      </c>
      <c r="H409" s="62">
        <v>2</v>
      </c>
      <c r="I409" s="62">
        <v>2.2400000000000002</v>
      </c>
      <c r="J409" s="37">
        <v>238</v>
      </c>
      <c r="K409" s="37" t="s">
        <v>91</v>
      </c>
      <c r="L409" s="37" t="s">
        <v>46</v>
      </c>
      <c r="M409" s="38" t="s">
        <v>685</v>
      </c>
      <c r="N409" s="38"/>
      <c r="O409" s="37">
        <v>731</v>
      </c>
      <c r="P409" s="958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9" s="735"/>
      <c r="R409" s="735"/>
      <c r="S409" s="735"/>
      <c r="T409" s="736"/>
      <c r="U409" s="39" t="s">
        <v>46</v>
      </c>
      <c r="V409" s="39" t="s">
        <v>46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IFERROR(IF(Y409=0,"",ROUNDUP(Y409/H409,0)*0.00474),"")</f>
        <v/>
      </c>
      <c r="AA409" s="68" t="s">
        <v>46</v>
      </c>
      <c r="AB409" s="69" t="s">
        <v>46</v>
      </c>
      <c r="AC409" s="520" t="s">
        <v>684</v>
      </c>
      <c r="AG409" s="78"/>
      <c r="AJ409" s="84" t="s">
        <v>46</v>
      </c>
      <c r="AK409" s="84">
        <v>0</v>
      </c>
      <c r="BB409" s="521" t="s">
        <v>67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t="27" hidden="1" customHeight="1" x14ac:dyDescent="0.25">
      <c r="A410" s="63" t="s">
        <v>686</v>
      </c>
      <c r="B410" s="63" t="s">
        <v>687</v>
      </c>
      <c r="C410" s="36">
        <v>4301180006</v>
      </c>
      <c r="D410" s="733">
        <v>4680115881822</v>
      </c>
      <c r="E410" s="733"/>
      <c r="F410" s="62">
        <v>0.1</v>
      </c>
      <c r="G410" s="37">
        <v>20</v>
      </c>
      <c r="H410" s="62">
        <v>2</v>
      </c>
      <c r="I410" s="62">
        <v>2.2400000000000002</v>
      </c>
      <c r="J410" s="37">
        <v>238</v>
      </c>
      <c r="K410" s="37" t="s">
        <v>91</v>
      </c>
      <c r="L410" s="37" t="s">
        <v>46</v>
      </c>
      <c r="M410" s="38" t="s">
        <v>685</v>
      </c>
      <c r="N410" s="38"/>
      <c r="O410" s="37">
        <v>731</v>
      </c>
      <c r="P410" s="959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10" s="735"/>
      <c r="R410" s="735"/>
      <c r="S410" s="735"/>
      <c r="T410" s="736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IFERROR(IF(Y410=0,"",ROUNDUP(Y410/H410,0)*0.00474),"")</f>
        <v/>
      </c>
      <c r="AA410" s="68" t="s">
        <v>46</v>
      </c>
      <c r="AB410" s="69" t="s">
        <v>46</v>
      </c>
      <c r="AC410" s="522" t="s">
        <v>684</v>
      </c>
      <c r="AG410" s="78"/>
      <c r="AJ410" s="84" t="s">
        <v>46</v>
      </c>
      <c r="AK410" s="84">
        <v>0</v>
      </c>
      <c r="BB410" s="523" t="s">
        <v>67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t="27" hidden="1" customHeight="1" x14ac:dyDescent="0.25">
      <c r="A411" s="63" t="s">
        <v>688</v>
      </c>
      <c r="B411" s="63" t="s">
        <v>689</v>
      </c>
      <c r="C411" s="36">
        <v>4301180001</v>
      </c>
      <c r="D411" s="733">
        <v>4680115880016</v>
      </c>
      <c r="E411" s="733"/>
      <c r="F411" s="62">
        <v>0.1</v>
      </c>
      <c r="G411" s="37">
        <v>20</v>
      </c>
      <c r="H411" s="62">
        <v>2</v>
      </c>
      <c r="I411" s="62">
        <v>2.2400000000000002</v>
      </c>
      <c r="J411" s="37">
        <v>238</v>
      </c>
      <c r="K411" s="37" t="s">
        <v>91</v>
      </c>
      <c r="L411" s="37" t="s">
        <v>46</v>
      </c>
      <c r="M411" s="38" t="s">
        <v>685</v>
      </c>
      <c r="N411" s="38"/>
      <c r="O411" s="37">
        <v>731</v>
      </c>
      <c r="P411" s="960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11" s="735"/>
      <c r="R411" s="735"/>
      <c r="S411" s="735"/>
      <c r="T411" s="736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IFERROR(IF(Y411=0,"",ROUNDUP(Y411/H411,0)*0.00474),"")</f>
        <v/>
      </c>
      <c r="AA411" s="68" t="s">
        <v>46</v>
      </c>
      <c r="AB411" s="69" t="s">
        <v>46</v>
      </c>
      <c r="AC411" s="524" t="s">
        <v>684</v>
      </c>
      <c r="AG411" s="78"/>
      <c r="AJ411" s="84" t="s">
        <v>46</v>
      </c>
      <c r="AK411" s="84">
        <v>0</v>
      </c>
      <c r="BB411" s="525" t="s">
        <v>67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hidden="1" x14ac:dyDescent="0.2">
      <c r="A412" s="741"/>
      <c r="B412" s="741"/>
      <c r="C412" s="741"/>
      <c r="D412" s="741"/>
      <c r="E412" s="741"/>
      <c r="F412" s="741"/>
      <c r="G412" s="741"/>
      <c r="H412" s="741"/>
      <c r="I412" s="741"/>
      <c r="J412" s="741"/>
      <c r="K412" s="741"/>
      <c r="L412" s="741"/>
      <c r="M412" s="741"/>
      <c r="N412" s="741"/>
      <c r="O412" s="742"/>
      <c r="P412" s="738" t="s">
        <v>40</v>
      </c>
      <c r="Q412" s="739"/>
      <c r="R412" s="739"/>
      <c r="S412" s="739"/>
      <c r="T412" s="739"/>
      <c r="U412" s="739"/>
      <c r="V412" s="740"/>
      <c r="W412" s="42" t="s">
        <v>39</v>
      </c>
      <c r="X412" s="43">
        <f>IFERROR(X409/H409,"0")+IFERROR(X410/H410,"0")+IFERROR(X411/H411,"0")</f>
        <v>0</v>
      </c>
      <c r="Y412" s="43">
        <f>IFERROR(Y409/H409,"0")+IFERROR(Y410/H410,"0")+IFERROR(Y411/H411,"0")</f>
        <v>0</v>
      </c>
      <c r="Z412" s="43">
        <f>IFERROR(IF(Z409="",0,Z409),"0")+IFERROR(IF(Z410="",0,Z410),"0")+IFERROR(IF(Z411="",0,Z411),"0")</f>
        <v>0</v>
      </c>
      <c r="AA412" s="67"/>
      <c r="AB412" s="67"/>
      <c r="AC412" s="67"/>
    </row>
    <row r="413" spans="1:68" hidden="1" x14ac:dyDescent="0.2">
      <c r="A413" s="741"/>
      <c r="B413" s="741"/>
      <c r="C413" s="741"/>
      <c r="D413" s="741"/>
      <c r="E413" s="741"/>
      <c r="F413" s="741"/>
      <c r="G413" s="741"/>
      <c r="H413" s="741"/>
      <c r="I413" s="741"/>
      <c r="J413" s="741"/>
      <c r="K413" s="741"/>
      <c r="L413" s="741"/>
      <c r="M413" s="741"/>
      <c r="N413" s="741"/>
      <c r="O413" s="742"/>
      <c r="P413" s="738" t="s">
        <v>40</v>
      </c>
      <c r="Q413" s="739"/>
      <c r="R413" s="739"/>
      <c r="S413" s="739"/>
      <c r="T413" s="739"/>
      <c r="U413" s="739"/>
      <c r="V413" s="740"/>
      <c r="W413" s="42" t="s">
        <v>0</v>
      </c>
      <c r="X413" s="43">
        <f>IFERROR(SUM(X409:X411),"0")</f>
        <v>0</v>
      </c>
      <c r="Y413" s="43">
        <f>IFERROR(SUM(Y409:Y411),"0")</f>
        <v>0</v>
      </c>
      <c r="Z413" s="42"/>
      <c r="AA413" s="67"/>
      <c r="AB413" s="67"/>
      <c r="AC413" s="67"/>
    </row>
    <row r="414" spans="1:68" ht="14.25" hidden="1" customHeight="1" x14ac:dyDescent="0.25">
      <c r="A414" s="732" t="s">
        <v>690</v>
      </c>
      <c r="B414" s="732"/>
      <c r="C414" s="732"/>
      <c r="D414" s="732"/>
      <c r="E414" s="732"/>
      <c r="F414" s="732"/>
      <c r="G414" s="732"/>
      <c r="H414" s="732"/>
      <c r="I414" s="732"/>
      <c r="J414" s="732"/>
      <c r="K414" s="732"/>
      <c r="L414" s="732"/>
      <c r="M414" s="732"/>
      <c r="N414" s="732"/>
      <c r="O414" s="732"/>
      <c r="P414" s="732"/>
      <c r="Q414" s="732"/>
      <c r="R414" s="732"/>
      <c r="S414" s="732"/>
      <c r="T414" s="732"/>
      <c r="U414" s="732"/>
      <c r="V414" s="732"/>
      <c r="W414" s="732"/>
      <c r="X414" s="732"/>
      <c r="Y414" s="732"/>
      <c r="Z414" s="732"/>
      <c r="AA414" s="66"/>
      <c r="AB414" s="66"/>
      <c r="AC414" s="80"/>
    </row>
    <row r="415" spans="1:68" ht="27" hidden="1" customHeight="1" x14ac:dyDescent="0.25">
      <c r="A415" s="63" t="s">
        <v>691</v>
      </c>
      <c r="B415" s="63" t="s">
        <v>692</v>
      </c>
      <c r="C415" s="36">
        <v>4301220003</v>
      </c>
      <c r="D415" s="733">
        <v>4680115888678</v>
      </c>
      <c r="E415" s="733"/>
      <c r="F415" s="62">
        <v>0.25</v>
      </c>
      <c r="G415" s="37">
        <v>12</v>
      </c>
      <c r="H415" s="62">
        <v>3</v>
      </c>
      <c r="I415" s="62">
        <v>3.22</v>
      </c>
      <c r="J415" s="37">
        <v>224</v>
      </c>
      <c r="K415" s="37" t="s">
        <v>91</v>
      </c>
      <c r="L415" s="37" t="s">
        <v>46</v>
      </c>
      <c r="M415" s="38" t="s">
        <v>685</v>
      </c>
      <c r="N415" s="38"/>
      <c r="O415" s="37">
        <v>1096</v>
      </c>
      <c r="P415" s="961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5" s="735"/>
      <c r="R415" s="735"/>
      <c r="S415" s="735"/>
      <c r="T415" s="736"/>
      <c r="U415" s="39" t="s">
        <v>46</v>
      </c>
      <c r="V415" s="39" t="s">
        <v>46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IFERROR(IF(Y415=0,"",ROUNDUP(Y415/H415,0)*0.0045),"")</f>
        <v/>
      </c>
      <c r="AA415" s="68" t="s">
        <v>46</v>
      </c>
      <c r="AB415" s="69" t="s">
        <v>46</v>
      </c>
      <c r="AC415" s="526" t="s">
        <v>693</v>
      </c>
      <c r="AG415" s="78"/>
      <c r="AJ415" s="84" t="s">
        <v>46</v>
      </c>
      <c r="AK415" s="84">
        <v>0</v>
      </c>
      <c r="BB415" s="527" t="s">
        <v>67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hidden="1" customHeight="1" x14ac:dyDescent="0.25">
      <c r="A416" s="63" t="s">
        <v>694</v>
      </c>
      <c r="B416" s="63" t="s">
        <v>695</v>
      </c>
      <c r="C416" s="36">
        <v>4301220001</v>
      </c>
      <c r="D416" s="733">
        <v>4680115888654</v>
      </c>
      <c r="E416" s="733"/>
      <c r="F416" s="62">
        <v>0.32500000000000001</v>
      </c>
      <c r="G416" s="37">
        <v>12</v>
      </c>
      <c r="H416" s="62">
        <v>3.9</v>
      </c>
      <c r="I416" s="62">
        <v>4.17</v>
      </c>
      <c r="J416" s="37">
        <v>144</v>
      </c>
      <c r="K416" s="37" t="s">
        <v>134</v>
      </c>
      <c r="L416" s="37" t="s">
        <v>46</v>
      </c>
      <c r="M416" s="38" t="s">
        <v>685</v>
      </c>
      <c r="N416" s="38"/>
      <c r="O416" s="37">
        <v>1096</v>
      </c>
      <c r="P416" s="962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6" s="735"/>
      <c r="R416" s="735"/>
      <c r="S416" s="735"/>
      <c r="T416" s="736"/>
      <c r="U416" s="39" t="s">
        <v>46</v>
      </c>
      <c r="V416" s="39" t="s">
        <v>46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IFERROR(IF(Y416=0,"",ROUNDUP(Y416/H416,0)*0.006),"")</f>
        <v/>
      </c>
      <c r="AA416" s="68" t="s">
        <v>46</v>
      </c>
      <c r="AB416" s="69" t="s">
        <v>46</v>
      </c>
      <c r="AC416" s="528" t="s">
        <v>696</v>
      </c>
      <c r="AG416" s="78"/>
      <c r="AJ416" s="84" t="s">
        <v>46</v>
      </c>
      <c r="AK416" s="84">
        <v>0</v>
      </c>
      <c r="BB416" s="529" t="s">
        <v>67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ht="27" hidden="1" customHeight="1" x14ac:dyDescent="0.25">
      <c r="A417" s="63" t="s">
        <v>697</v>
      </c>
      <c r="B417" s="63" t="s">
        <v>698</v>
      </c>
      <c r="C417" s="36">
        <v>4301220002</v>
      </c>
      <c r="D417" s="733">
        <v>4680115888753</v>
      </c>
      <c r="E417" s="733"/>
      <c r="F417" s="62">
        <v>0.25</v>
      </c>
      <c r="G417" s="37">
        <v>12</v>
      </c>
      <c r="H417" s="62">
        <v>3</v>
      </c>
      <c r="I417" s="62">
        <v>3.22</v>
      </c>
      <c r="J417" s="37">
        <v>224</v>
      </c>
      <c r="K417" s="37" t="s">
        <v>91</v>
      </c>
      <c r="L417" s="37" t="s">
        <v>46</v>
      </c>
      <c r="M417" s="38" t="s">
        <v>685</v>
      </c>
      <c r="N417" s="38"/>
      <c r="O417" s="37">
        <v>1096</v>
      </c>
      <c r="P417" s="963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7" s="735"/>
      <c r="R417" s="735"/>
      <c r="S417" s="735"/>
      <c r="T417" s="736"/>
      <c r="U417" s="39" t="s">
        <v>46</v>
      </c>
      <c r="V417" s="39" t="s">
        <v>46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IFERROR(IF(Y417=0,"",ROUNDUP(Y417/H417,0)*0.0045),"")</f>
        <v/>
      </c>
      <c r="AA417" s="68" t="s">
        <v>46</v>
      </c>
      <c r="AB417" s="69" t="s">
        <v>46</v>
      </c>
      <c r="AC417" s="530" t="s">
        <v>693</v>
      </c>
      <c r="AG417" s="78"/>
      <c r="AJ417" s="84" t="s">
        <v>46</v>
      </c>
      <c r="AK417" s="84">
        <v>0</v>
      </c>
      <c r="BB417" s="531" t="s">
        <v>67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hidden="1" x14ac:dyDescent="0.2">
      <c r="A418" s="741"/>
      <c r="B418" s="741"/>
      <c r="C418" s="741"/>
      <c r="D418" s="741"/>
      <c r="E418" s="741"/>
      <c r="F418" s="741"/>
      <c r="G418" s="741"/>
      <c r="H418" s="741"/>
      <c r="I418" s="741"/>
      <c r="J418" s="741"/>
      <c r="K418" s="741"/>
      <c r="L418" s="741"/>
      <c r="M418" s="741"/>
      <c r="N418" s="741"/>
      <c r="O418" s="742"/>
      <c r="P418" s="738" t="s">
        <v>40</v>
      </c>
      <c r="Q418" s="739"/>
      <c r="R418" s="739"/>
      <c r="S418" s="739"/>
      <c r="T418" s="739"/>
      <c r="U418" s="739"/>
      <c r="V418" s="740"/>
      <c r="W418" s="42" t="s">
        <v>39</v>
      </c>
      <c r="X418" s="43">
        <f>IFERROR(X415/H415,"0")+IFERROR(X416/H416,"0")+IFERROR(X417/H417,"0")</f>
        <v>0</v>
      </c>
      <c r="Y418" s="43">
        <f>IFERROR(Y415/H415,"0")+IFERROR(Y416/H416,"0")+IFERROR(Y417/H417,"0")</f>
        <v>0</v>
      </c>
      <c r="Z418" s="43">
        <f>IFERROR(IF(Z415="",0,Z415),"0")+IFERROR(IF(Z416="",0,Z416),"0")+IFERROR(IF(Z417="",0,Z417),"0")</f>
        <v>0</v>
      </c>
      <c r="AA418" s="67"/>
      <c r="AB418" s="67"/>
      <c r="AC418" s="67"/>
    </row>
    <row r="419" spans="1:68" hidden="1" x14ac:dyDescent="0.2">
      <c r="A419" s="741"/>
      <c r="B419" s="741"/>
      <c r="C419" s="741"/>
      <c r="D419" s="741"/>
      <c r="E419" s="741"/>
      <c r="F419" s="741"/>
      <c r="G419" s="741"/>
      <c r="H419" s="741"/>
      <c r="I419" s="741"/>
      <c r="J419" s="741"/>
      <c r="K419" s="741"/>
      <c r="L419" s="741"/>
      <c r="M419" s="741"/>
      <c r="N419" s="741"/>
      <c r="O419" s="742"/>
      <c r="P419" s="738" t="s">
        <v>40</v>
      </c>
      <c r="Q419" s="739"/>
      <c r="R419" s="739"/>
      <c r="S419" s="739"/>
      <c r="T419" s="739"/>
      <c r="U419" s="739"/>
      <c r="V419" s="740"/>
      <c r="W419" s="42" t="s">
        <v>0</v>
      </c>
      <c r="X419" s="43">
        <f>IFERROR(SUM(X415:X417),"0")</f>
        <v>0</v>
      </c>
      <c r="Y419" s="43">
        <f>IFERROR(SUM(Y415:Y417),"0")</f>
        <v>0</v>
      </c>
      <c r="Z419" s="42"/>
      <c r="AA419" s="67"/>
      <c r="AB419" s="67"/>
      <c r="AC419" s="67"/>
    </row>
    <row r="420" spans="1:68" ht="16.5" hidden="1" customHeight="1" x14ac:dyDescent="0.25">
      <c r="A420" s="731" t="s">
        <v>699</v>
      </c>
      <c r="B420" s="731"/>
      <c r="C420" s="731"/>
      <c r="D420" s="731"/>
      <c r="E420" s="731"/>
      <c r="F420" s="731"/>
      <c r="G420" s="731"/>
      <c r="H420" s="731"/>
      <c r="I420" s="731"/>
      <c r="J420" s="731"/>
      <c r="K420" s="731"/>
      <c r="L420" s="731"/>
      <c r="M420" s="731"/>
      <c r="N420" s="731"/>
      <c r="O420" s="731"/>
      <c r="P420" s="731"/>
      <c r="Q420" s="731"/>
      <c r="R420" s="731"/>
      <c r="S420" s="731"/>
      <c r="T420" s="731"/>
      <c r="U420" s="731"/>
      <c r="V420" s="731"/>
      <c r="W420" s="731"/>
      <c r="X420" s="731"/>
      <c r="Y420" s="731"/>
      <c r="Z420" s="731"/>
      <c r="AA420" s="65"/>
      <c r="AB420" s="65"/>
      <c r="AC420" s="79"/>
    </row>
    <row r="421" spans="1:68" ht="14.25" hidden="1" customHeight="1" x14ac:dyDescent="0.25">
      <c r="A421" s="732" t="s">
        <v>86</v>
      </c>
      <c r="B421" s="732"/>
      <c r="C421" s="732"/>
      <c r="D421" s="732"/>
      <c r="E421" s="732"/>
      <c r="F421" s="732"/>
      <c r="G421" s="732"/>
      <c r="H421" s="732"/>
      <c r="I421" s="732"/>
      <c r="J421" s="732"/>
      <c r="K421" s="732"/>
      <c r="L421" s="732"/>
      <c r="M421" s="732"/>
      <c r="N421" s="732"/>
      <c r="O421" s="732"/>
      <c r="P421" s="732"/>
      <c r="Q421" s="732"/>
      <c r="R421" s="732"/>
      <c r="S421" s="732"/>
      <c r="T421" s="732"/>
      <c r="U421" s="732"/>
      <c r="V421" s="732"/>
      <c r="W421" s="732"/>
      <c r="X421" s="732"/>
      <c r="Y421" s="732"/>
      <c r="Z421" s="732"/>
      <c r="AA421" s="66"/>
      <c r="AB421" s="66"/>
      <c r="AC421" s="80"/>
    </row>
    <row r="422" spans="1:68" ht="16.5" hidden="1" customHeight="1" x14ac:dyDescent="0.25">
      <c r="A422" s="63" t="s">
        <v>700</v>
      </c>
      <c r="B422" s="63" t="s">
        <v>701</v>
      </c>
      <c r="C422" s="36">
        <v>4301052235</v>
      </c>
      <c r="D422" s="733">
        <v>4680115889415</v>
      </c>
      <c r="E422" s="733"/>
      <c r="F422" s="62">
        <v>1.3</v>
      </c>
      <c r="G422" s="37">
        <v>6</v>
      </c>
      <c r="H422" s="62">
        <v>7.8</v>
      </c>
      <c r="I422" s="62">
        <v>8.2100000000000009</v>
      </c>
      <c r="J422" s="37">
        <v>64</v>
      </c>
      <c r="K422" s="37" t="s">
        <v>127</v>
      </c>
      <c r="L422" s="37" t="s">
        <v>46</v>
      </c>
      <c r="M422" s="38" t="s">
        <v>90</v>
      </c>
      <c r="N422" s="38"/>
      <c r="O422" s="37">
        <v>40</v>
      </c>
      <c r="P422" s="964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22" s="735"/>
      <c r="R422" s="735"/>
      <c r="S422" s="735"/>
      <c r="T422" s="736"/>
      <c r="U422" s="39" t="s">
        <v>46</v>
      </c>
      <c r="V422" s="39" t="s">
        <v>46</v>
      </c>
      <c r="W422" s="40" t="s">
        <v>0</v>
      </c>
      <c r="X422" s="58">
        <v>0</v>
      </c>
      <c r="Y422" s="55">
        <f>IFERROR(IF(X422="",0,CEILING((X422/$H422),1)*$H422),"")</f>
        <v>0</v>
      </c>
      <c r="Z422" s="41" t="str">
        <f>IFERROR(IF(Y422=0,"",ROUNDUP(Y422/H422,0)*0.01898),"")</f>
        <v/>
      </c>
      <c r="AA422" s="68" t="s">
        <v>46</v>
      </c>
      <c r="AB422" s="69" t="s">
        <v>46</v>
      </c>
      <c r="AC422" s="532" t="s">
        <v>702</v>
      </c>
      <c r="AG422" s="78"/>
      <c r="AJ422" s="84" t="s">
        <v>46</v>
      </c>
      <c r="AK422" s="84">
        <v>0</v>
      </c>
      <c r="BB422" s="533" t="s">
        <v>67</v>
      </c>
      <c r="BM422" s="78">
        <f>IFERROR(X422*I422/H422,"0")</f>
        <v>0</v>
      </c>
      <c r="BN422" s="78">
        <f>IFERROR(Y422*I422/H422,"0")</f>
        <v>0</v>
      </c>
      <c r="BO422" s="78">
        <f>IFERROR(1/J422*(X422/H422),"0")</f>
        <v>0</v>
      </c>
      <c r="BP422" s="78">
        <f>IFERROR(1/J422*(Y422/H422),"0")</f>
        <v>0</v>
      </c>
    </row>
    <row r="423" spans="1:68" ht="16.5" hidden="1" customHeight="1" x14ac:dyDescent="0.25">
      <c r="A423" s="63" t="s">
        <v>703</v>
      </c>
      <c r="B423" s="63" t="s">
        <v>704</v>
      </c>
      <c r="C423" s="36">
        <v>4301052236</v>
      </c>
      <c r="D423" s="733">
        <v>4680115889422</v>
      </c>
      <c r="E423" s="733"/>
      <c r="F423" s="62">
        <v>1.3</v>
      </c>
      <c r="G423" s="37">
        <v>6</v>
      </c>
      <c r="H423" s="62">
        <v>7.8</v>
      </c>
      <c r="I423" s="62">
        <v>8.2100000000000009</v>
      </c>
      <c r="J423" s="37">
        <v>64</v>
      </c>
      <c r="K423" s="37" t="s">
        <v>127</v>
      </c>
      <c r="L423" s="37" t="s">
        <v>46</v>
      </c>
      <c r="M423" s="38" t="s">
        <v>90</v>
      </c>
      <c r="N423" s="38"/>
      <c r="O423" s="37">
        <v>40</v>
      </c>
      <c r="P423" s="965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3" s="735"/>
      <c r="R423" s="735"/>
      <c r="S423" s="735"/>
      <c r="T423" s="736"/>
      <c r="U423" s="39" t="s">
        <v>46</v>
      </c>
      <c r="V423" s="39" t="s">
        <v>46</v>
      </c>
      <c r="W423" s="40" t="s">
        <v>0</v>
      </c>
      <c r="X423" s="58">
        <v>0</v>
      </c>
      <c r="Y423" s="55">
        <f>IFERROR(IF(X423="",0,CEILING((X423/$H423),1)*$H423),"")</f>
        <v>0</v>
      </c>
      <c r="Z423" s="41" t="str">
        <f>IFERROR(IF(Y423=0,"",ROUNDUP(Y423/H423,0)*0.01898),"")</f>
        <v/>
      </c>
      <c r="AA423" s="68" t="s">
        <v>46</v>
      </c>
      <c r="AB423" s="69" t="s">
        <v>46</v>
      </c>
      <c r="AC423" s="534" t="s">
        <v>705</v>
      </c>
      <c r="AG423" s="78"/>
      <c r="AJ423" s="84" t="s">
        <v>46</v>
      </c>
      <c r="AK423" s="84">
        <v>0</v>
      </c>
      <c r="BB423" s="535" t="s">
        <v>67</v>
      </c>
      <c r="BM423" s="78">
        <f>IFERROR(X423*I423/H423,"0")</f>
        <v>0</v>
      </c>
      <c r="BN423" s="78">
        <f>IFERROR(Y423*I423/H423,"0")</f>
        <v>0</v>
      </c>
      <c r="BO423" s="78">
        <f>IFERROR(1/J423*(X423/H423),"0")</f>
        <v>0</v>
      </c>
      <c r="BP423" s="78">
        <f>IFERROR(1/J423*(Y423/H423),"0")</f>
        <v>0</v>
      </c>
    </row>
    <row r="424" spans="1:68" hidden="1" x14ac:dyDescent="0.2">
      <c r="A424" s="741"/>
      <c r="B424" s="741"/>
      <c r="C424" s="741"/>
      <c r="D424" s="741"/>
      <c r="E424" s="741"/>
      <c r="F424" s="741"/>
      <c r="G424" s="741"/>
      <c r="H424" s="741"/>
      <c r="I424" s="741"/>
      <c r="J424" s="741"/>
      <c r="K424" s="741"/>
      <c r="L424" s="741"/>
      <c r="M424" s="741"/>
      <c r="N424" s="741"/>
      <c r="O424" s="742"/>
      <c r="P424" s="738" t="s">
        <v>40</v>
      </c>
      <c r="Q424" s="739"/>
      <c r="R424" s="739"/>
      <c r="S424" s="739"/>
      <c r="T424" s="739"/>
      <c r="U424" s="739"/>
      <c r="V424" s="740"/>
      <c r="W424" s="42" t="s">
        <v>39</v>
      </c>
      <c r="X424" s="43">
        <f>IFERROR(X422/H422,"0")+IFERROR(X423/H423,"0")</f>
        <v>0</v>
      </c>
      <c r="Y424" s="43">
        <f>IFERROR(Y422/H422,"0")+IFERROR(Y423/H423,"0")</f>
        <v>0</v>
      </c>
      <c r="Z424" s="43">
        <f>IFERROR(IF(Z422="",0,Z422),"0")+IFERROR(IF(Z423="",0,Z423),"0")</f>
        <v>0</v>
      </c>
      <c r="AA424" s="67"/>
      <c r="AB424" s="67"/>
      <c r="AC424" s="67"/>
    </row>
    <row r="425" spans="1:68" hidden="1" x14ac:dyDescent="0.2">
      <c r="A425" s="741"/>
      <c r="B425" s="741"/>
      <c r="C425" s="741"/>
      <c r="D425" s="741"/>
      <c r="E425" s="741"/>
      <c r="F425" s="741"/>
      <c r="G425" s="741"/>
      <c r="H425" s="741"/>
      <c r="I425" s="741"/>
      <c r="J425" s="741"/>
      <c r="K425" s="741"/>
      <c r="L425" s="741"/>
      <c r="M425" s="741"/>
      <c r="N425" s="741"/>
      <c r="O425" s="742"/>
      <c r="P425" s="738" t="s">
        <v>40</v>
      </c>
      <c r="Q425" s="739"/>
      <c r="R425" s="739"/>
      <c r="S425" s="739"/>
      <c r="T425" s="739"/>
      <c r="U425" s="739"/>
      <c r="V425" s="740"/>
      <c r="W425" s="42" t="s">
        <v>0</v>
      </c>
      <c r="X425" s="43">
        <f>IFERROR(SUM(X422:X423),"0")</f>
        <v>0</v>
      </c>
      <c r="Y425" s="43">
        <f>IFERROR(SUM(Y422:Y423),"0")</f>
        <v>0</v>
      </c>
      <c r="Z425" s="42"/>
      <c r="AA425" s="67"/>
      <c r="AB425" s="67"/>
      <c r="AC425" s="67"/>
    </row>
    <row r="426" spans="1:68" ht="16.5" hidden="1" customHeight="1" x14ac:dyDescent="0.25">
      <c r="A426" s="731" t="s">
        <v>706</v>
      </c>
      <c r="B426" s="731"/>
      <c r="C426" s="731"/>
      <c r="D426" s="731"/>
      <c r="E426" s="731"/>
      <c r="F426" s="731"/>
      <c r="G426" s="731"/>
      <c r="H426" s="731"/>
      <c r="I426" s="731"/>
      <c r="J426" s="731"/>
      <c r="K426" s="731"/>
      <c r="L426" s="731"/>
      <c r="M426" s="731"/>
      <c r="N426" s="731"/>
      <c r="O426" s="731"/>
      <c r="P426" s="731"/>
      <c r="Q426" s="731"/>
      <c r="R426" s="731"/>
      <c r="S426" s="731"/>
      <c r="T426" s="731"/>
      <c r="U426" s="731"/>
      <c r="V426" s="731"/>
      <c r="W426" s="731"/>
      <c r="X426" s="731"/>
      <c r="Y426" s="731"/>
      <c r="Z426" s="731"/>
      <c r="AA426" s="65"/>
      <c r="AB426" s="65"/>
      <c r="AC426" s="79"/>
    </row>
    <row r="427" spans="1:68" ht="14.25" hidden="1" customHeight="1" x14ac:dyDescent="0.25">
      <c r="A427" s="732" t="s">
        <v>86</v>
      </c>
      <c r="B427" s="732"/>
      <c r="C427" s="732"/>
      <c r="D427" s="732"/>
      <c r="E427" s="732"/>
      <c r="F427" s="732"/>
      <c r="G427" s="732"/>
      <c r="H427" s="732"/>
      <c r="I427" s="732"/>
      <c r="J427" s="732"/>
      <c r="K427" s="732"/>
      <c r="L427" s="732"/>
      <c r="M427" s="732"/>
      <c r="N427" s="732"/>
      <c r="O427" s="732"/>
      <c r="P427" s="732"/>
      <c r="Q427" s="732"/>
      <c r="R427" s="732"/>
      <c r="S427" s="732"/>
      <c r="T427" s="732"/>
      <c r="U427" s="732"/>
      <c r="V427" s="732"/>
      <c r="W427" s="732"/>
      <c r="X427" s="732"/>
      <c r="Y427" s="732"/>
      <c r="Z427" s="732"/>
      <c r="AA427" s="66"/>
      <c r="AB427" s="66"/>
      <c r="AC427" s="80"/>
    </row>
    <row r="428" spans="1:68" ht="27" hidden="1" customHeight="1" x14ac:dyDescent="0.25">
      <c r="A428" s="63" t="s">
        <v>707</v>
      </c>
      <c r="B428" s="63" t="s">
        <v>708</v>
      </c>
      <c r="C428" s="36">
        <v>4301051489</v>
      </c>
      <c r="D428" s="733">
        <v>4607091387919</v>
      </c>
      <c r="E428" s="733"/>
      <c r="F428" s="62">
        <v>1.35</v>
      </c>
      <c r="G428" s="37">
        <v>6</v>
      </c>
      <c r="H428" s="62">
        <v>8.1</v>
      </c>
      <c r="I428" s="62">
        <v>8.5939999999999994</v>
      </c>
      <c r="J428" s="37">
        <v>64</v>
      </c>
      <c r="K428" s="37" t="s">
        <v>127</v>
      </c>
      <c r="L428" s="37" t="s">
        <v>46</v>
      </c>
      <c r="M428" s="38" t="s">
        <v>97</v>
      </c>
      <c r="N428" s="38"/>
      <c r="O428" s="37">
        <v>45</v>
      </c>
      <c r="P428" s="96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8" s="735"/>
      <c r="R428" s="735"/>
      <c r="S428" s="735"/>
      <c r="T428" s="736"/>
      <c r="U428" s="39" t="s">
        <v>46</v>
      </c>
      <c r="V428" s="39" t="s">
        <v>46</v>
      </c>
      <c r="W428" s="40" t="s">
        <v>0</v>
      </c>
      <c r="X428" s="58">
        <v>0</v>
      </c>
      <c r="Y428" s="55">
        <f>IFERROR(IF(X428="",0,CEILING((X428/$H428),1)*$H428),"")</f>
        <v>0</v>
      </c>
      <c r="Z428" s="41" t="str">
        <f>IFERROR(IF(Y428=0,"",ROUNDUP(Y428/H428,0)*0.01898),"")</f>
        <v/>
      </c>
      <c r="AA428" s="68" t="s">
        <v>46</v>
      </c>
      <c r="AB428" s="69" t="s">
        <v>46</v>
      </c>
      <c r="AC428" s="536" t="s">
        <v>709</v>
      </c>
      <c r="AG428" s="78"/>
      <c r="AJ428" s="84" t="s">
        <v>46</v>
      </c>
      <c r="AK428" s="84">
        <v>0</v>
      </c>
      <c r="BB428" s="537" t="s">
        <v>67</v>
      </c>
      <c r="BM428" s="78">
        <f>IFERROR(X428*I428/H428,"0")</f>
        <v>0</v>
      </c>
      <c r="BN428" s="78">
        <f>IFERROR(Y428*I428/H428,"0")</f>
        <v>0</v>
      </c>
      <c r="BO428" s="78">
        <f>IFERROR(1/J428*(X428/H428),"0")</f>
        <v>0</v>
      </c>
      <c r="BP428" s="78">
        <f>IFERROR(1/J428*(Y428/H428),"0")</f>
        <v>0</v>
      </c>
    </row>
    <row r="429" spans="1:68" ht="27" customHeight="1" x14ac:dyDescent="0.25">
      <c r="A429" s="63" t="s">
        <v>710</v>
      </c>
      <c r="B429" s="63" t="s">
        <v>711</v>
      </c>
      <c r="C429" s="36">
        <v>4301051461</v>
      </c>
      <c r="D429" s="733">
        <v>4680115883604</v>
      </c>
      <c r="E429" s="733"/>
      <c r="F429" s="62">
        <v>0.35</v>
      </c>
      <c r="G429" s="37">
        <v>6</v>
      </c>
      <c r="H429" s="62">
        <v>2.1</v>
      </c>
      <c r="I429" s="62">
        <v>2.3519999999999999</v>
      </c>
      <c r="J429" s="37">
        <v>182</v>
      </c>
      <c r="K429" s="37" t="s">
        <v>91</v>
      </c>
      <c r="L429" s="37" t="s">
        <v>46</v>
      </c>
      <c r="M429" s="38" t="s">
        <v>90</v>
      </c>
      <c r="N429" s="38"/>
      <c r="O429" s="37">
        <v>45</v>
      </c>
      <c r="P429" s="967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9" s="735"/>
      <c r="R429" s="735"/>
      <c r="S429" s="735"/>
      <c r="T429" s="736"/>
      <c r="U429" s="39" t="s">
        <v>46</v>
      </c>
      <c r="V429" s="39" t="s">
        <v>46</v>
      </c>
      <c r="W429" s="40" t="s">
        <v>0</v>
      </c>
      <c r="X429" s="58">
        <v>420</v>
      </c>
      <c r="Y429" s="55">
        <f>IFERROR(IF(X429="",0,CEILING((X429/$H429),1)*$H429),"")</f>
        <v>420</v>
      </c>
      <c r="Z429" s="41">
        <f>IFERROR(IF(Y429=0,"",ROUNDUP(Y429/H429,0)*0.00651),"")</f>
        <v>1.302</v>
      </c>
      <c r="AA429" s="68" t="s">
        <v>46</v>
      </c>
      <c r="AB429" s="69" t="s">
        <v>46</v>
      </c>
      <c r="AC429" s="538" t="s">
        <v>712</v>
      </c>
      <c r="AG429" s="78"/>
      <c r="AJ429" s="84" t="s">
        <v>46</v>
      </c>
      <c r="AK429" s="84">
        <v>0</v>
      </c>
      <c r="BB429" s="539" t="s">
        <v>67</v>
      </c>
      <c r="BM429" s="78">
        <f>IFERROR(X429*I429/H429,"0")</f>
        <v>470.39999999999992</v>
      </c>
      <c r="BN429" s="78">
        <f>IFERROR(Y429*I429/H429,"0")</f>
        <v>470.39999999999992</v>
      </c>
      <c r="BO429" s="78">
        <f>IFERROR(1/J429*(X429/H429),"0")</f>
        <v>1.098901098901099</v>
      </c>
      <c r="BP429" s="78">
        <f>IFERROR(1/J429*(Y429/H429),"0")</f>
        <v>1.098901098901099</v>
      </c>
    </row>
    <row r="430" spans="1:68" ht="27" customHeight="1" x14ac:dyDescent="0.25">
      <c r="A430" s="63" t="s">
        <v>713</v>
      </c>
      <c r="B430" s="63" t="s">
        <v>714</v>
      </c>
      <c r="C430" s="36">
        <v>4301051864</v>
      </c>
      <c r="D430" s="733">
        <v>4680115883567</v>
      </c>
      <c r="E430" s="733"/>
      <c r="F430" s="62">
        <v>0.35</v>
      </c>
      <c r="G430" s="37">
        <v>6</v>
      </c>
      <c r="H430" s="62">
        <v>2.1</v>
      </c>
      <c r="I430" s="62">
        <v>2.34</v>
      </c>
      <c r="J430" s="37">
        <v>182</v>
      </c>
      <c r="K430" s="37" t="s">
        <v>91</v>
      </c>
      <c r="L430" s="37" t="s">
        <v>46</v>
      </c>
      <c r="M430" s="38" t="s">
        <v>97</v>
      </c>
      <c r="N430" s="38"/>
      <c r="O430" s="37">
        <v>40</v>
      </c>
      <c r="P430" s="968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30" s="735"/>
      <c r="R430" s="735"/>
      <c r="S430" s="735"/>
      <c r="T430" s="736"/>
      <c r="U430" s="39" t="s">
        <v>46</v>
      </c>
      <c r="V430" s="39" t="s">
        <v>46</v>
      </c>
      <c r="W430" s="40" t="s">
        <v>0</v>
      </c>
      <c r="X430" s="58">
        <v>595</v>
      </c>
      <c r="Y430" s="55">
        <f>IFERROR(IF(X430="",0,CEILING((X430/$H430),1)*$H430),"")</f>
        <v>596.4</v>
      </c>
      <c r="Z430" s="41">
        <f>IFERROR(IF(Y430=0,"",ROUNDUP(Y430/H430,0)*0.00651),"")</f>
        <v>1.84884</v>
      </c>
      <c r="AA430" s="68" t="s">
        <v>46</v>
      </c>
      <c r="AB430" s="69" t="s">
        <v>46</v>
      </c>
      <c r="AC430" s="540" t="s">
        <v>715</v>
      </c>
      <c r="AG430" s="78"/>
      <c r="AJ430" s="84" t="s">
        <v>46</v>
      </c>
      <c r="AK430" s="84">
        <v>0</v>
      </c>
      <c r="BB430" s="541" t="s">
        <v>67</v>
      </c>
      <c r="BM430" s="78">
        <f>IFERROR(X430*I430/H430,"0")</f>
        <v>663</v>
      </c>
      <c r="BN430" s="78">
        <f>IFERROR(Y430*I430/H430,"0")</f>
        <v>664.55999999999983</v>
      </c>
      <c r="BO430" s="78">
        <f>IFERROR(1/J430*(X430/H430),"0")</f>
        <v>1.5567765567765568</v>
      </c>
      <c r="BP430" s="78">
        <f>IFERROR(1/J430*(Y430/H430),"0")</f>
        <v>1.5604395604395607</v>
      </c>
    </row>
    <row r="431" spans="1:68" x14ac:dyDescent="0.2">
      <c r="A431" s="741"/>
      <c r="B431" s="741"/>
      <c r="C431" s="741"/>
      <c r="D431" s="741"/>
      <c r="E431" s="741"/>
      <c r="F431" s="741"/>
      <c r="G431" s="741"/>
      <c r="H431" s="741"/>
      <c r="I431" s="741"/>
      <c r="J431" s="741"/>
      <c r="K431" s="741"/>
      <c r="L431" s="741"/>
      <c r="M431" s="741"/>
      <c r="N431" s="741"/>
      <c r="O431" s="742"/>
      <c r="P431" s="738" t="s">
        <v>40</v>
      </c>
      <c r="Q431" s="739"/>
      <c r="R431" s="739"/>
      <c r="S431" s="739"/>
      <c r="T431" s="739"/>
      <c r="U431" s="739"/>
      <c r="V431" s="740"/>
      <c r="W431" s="42" t="s">
        <v>39</v>
      </c>
      <c r="X431" s="43">
        <f>IFERROR(X428/H428,"0")+IFERROR(X429/H429,"0")+IFERROR(X430/H430,"0")</f>
        <v>483.33333333333331</v>
      </c>
      <c r="Y431" s="43">
        <f>IFERROR(Y428/H428,"0")+IFERROR(Y429/H429,"0")+IFERROR(Y430/H430,"0")</f>
        <v>484</v>
      </c>
      <c r="Z431" s="43">
        <f>IFERROR(IF(Z428="",0,Z428),"0")+IFERROR(IF(Z429="",0,Z429),"0")+IFERROR(IF(Z430="",0,Z430),"0")</f>
        <v>3.1508400000000001</v>
      </c>
      <c r="AA431" s="67"/>
      <c r="AB431" s="67"/>
      <c r="AC431" s="67"/>
    </row>
    <row r="432" spans="1:68" x14ac:dyDescent="0.2">
      <c r="A432" s="741"/>
      <c r="B432" s="741"/>
      <c r="C432" s="741"/>
      <c r="D432" s="741"/>
      <c r="E432" s="741"/>
      <c r="F432" s="741"/>
      <c r="G432" s="741"/>
      <c r="H432" s="741"/>
      <c r="I432" s="741"/>
      <c r="J432" s="741"/>
      <c r="K432" s="741"/>
      <c r="L432" s="741"/>
      <c r="M432" s="741"/>
      <c r="N432" s="741"/>
      <c r="O432" s="742"/>
      <c r="P432" s="738" t="s">
        <v>40</v>
      </c>
      <c r="Q432" s="739"/>
      <c r="R432" s="739"/>
      <c r="S432" s="739"/>
      <c r="T432" s="739"/>
      <c r="U432" s="739"/>
      <c r="V432" s="740"/>
      <c r="W432" s="42" t="s">
        <v>0</v>
      </c>
      <c r="X432" s="43">
        <f>IFERROR(SUM(X428:X430),"0")</f>
        <v>1015</v>
      </c>
      <c r="Y432" s="43">
        <f>IFERROR(SUM(Y428:Y430),"0")</f>
        <v>1016.4</v>
      </c>
      <c r="Z432" s="42"/>
      <c r="AA432" s="67"/>
      <c r="AB432" s="67"/>
      <c r="AC432" s="67"/>
    </row>
    <row r="433" spans="1:68" ht="27.75" hidden="1" customHeight="1" x14ac:dyDescent="0.2">
      <c r="A433" s="730" t="s">
        <v>716</v>
      </c>
      <c r="B433" s="730"/>
      <c r="C433" s="730"/>
      <c r="D433" s="730"/>
      <c r="E433" s="730"/>
      <c r="F433" s="730"/>
      <c r="G433" s="730"/>
      <c r="H433" s="730"/>
      <c r="I433" s="730"/>
      <c r="J433" s="730"/>
      <c r="K433" s="730"/>
      <c r="L433" s="730"/>
      <c r="M433" s="730"/>
      <c r="N433" s="730"/>
      <c r="O433" s="730"/>
      <c r="P433" s="730"/>
      <c r="Q433" s="730"/>
      <c r="R433" s="730"/>
      <c r="S433" s="730"/>
      <c r="T433" s="730"/>
      <c r="U433" s="730"/>
      <c r="V433" s="730"/>
      <c r="W433" s="730"/>
      <c r="X433" s="730"/>
      <c r="Y433" s="730"/>
      <c r="Z433" s="730"/>
      <c r="AA433" s="54"/>
      <c r="AB433" s="54"/>
      <c r="AC433" s="54"/>
    </row>
    <row r="434" spans="1:68" ht="16.5" hidden="1" customHeight="1" x14ac:dyDescent="0.25">
      <c r="A434" s="731" t="s">
        <v>717</v>
      </c>
      <c r="B434" s="731"/>
      <c r="C434" s="731"/>
      <c r="D434" s="731"/>
      <c r="E434" s="731"/>
      <c r="F434" s="731"/>
      <c r="G434" s="731"/>
      <c r="H434" s="731"/>
      <c r="I434" s="731"/>
      <c r="J434" s="731"/>
      <c r="K434" s="731"/>
      <c r="L434" s="731"/>
      <c r="M434" s="731"/>
      <c r="N434" s="731"/>
      <c r="O434" s="731"/>
      <c r="P434" s="731"/>
      <c r="Q434" s="731"/>
      <c r="R434" s="731"/>
      <c r="S434" s="731"/>
      <c r="T434" s="731"/>
      <c r="U434" s="731"/>
      <c r="V434" s="731"/>
      <c r="W434" s="731"/>
      <c r="X434" s="731"/>
      <c r="Y434" s="731"/>
      <c r="Z434" s="731"/>
      <c r="AA434" s="65"/>
      <c r="AB434" s="65"/>
      <c r="AC434" s="79"/>
    </row>
    <row r="435" spans="1:68" ht="14.25" hidden="1" customHeight="1" x14ac:dyDescent="0.25">
      <c r="A435" s="732" t="s">
        <v>122</v>
      </c>
      <c r="B435" s="732"/>
      <c r="C435" s="732"/>
      <c r="D435" s="732"/>
      <c r="E435" s="732"/>
      <c r="F435" s="732"/>
      <c r="G435" s="732"/>
      <c r="H435" s="732"/>
      <c r="I435" s="732"/>
      <c r="J435" s="732"/>
      <c r="K435" s="732"/>
      <c r="L435" s="732"/>
      <c r="M435" s="732"/>
      <c r="N435" s="732"/>
      <c r="O435" s="732"/>
      <c r="P435" s="732"/>
      <c r="Q435" s="732"/>
      <c r="R435" s="732"/>
      <c r="S435" s="732"/>
      <c r="T435" s="732"/>
      <c r="U435" s="732"/>
      <c r="V435" s="732"/>
      <c r="W435" s="732"/>
      <c r="X435" s="732"/>
      <c r="Y435" s="732"/>
      <c r="Z435" s="732"/>
      <c r="AA435" s="66"/>
      <c r="AB435" s="66"/>
      <c r="AC435" s="80"/>
    </row>
    <row r="436" spans="1:68" ht="27" customHeight="1" x14ac:dyDescent="0.25">
      <c r="A436" s="63" t="s">
        <v>718</v>
      </c>
      <c r="B436" s="63" t="s">
        <v>719</v>
      </c>
      <c r="C436" s="36">
        <v>4301012332</v>
      </c>
      <c r="D436" s="733">
        <v>4680115888401</v>
      </c>
      <c r="E436" s="733"/>
      <c r="F436" s="62">
        <v>2.5</v>
      </c>
      <c r="G436" s="37">
        <v>6</v>
      </c>
      <c r="H436" s="62">
        <v>15</v>
      </c>
      <c r="I436" s="62">
        <v>15.47</v>
      </c>
      <c r="J436" s="37">
        <v>48</v>
      </c>
      <c r="K436" s="37" t="s">
        <v>127</v>
      </c>
      <c r="L436" s="37" t="s">
        <v>46</v>
      </c>
      <c r="M436" s="38" t="s">
        <v>97</v>
      </c>
      <c r="N436" s="38"/>
      <c r="O436" s="37">
        <v>60</v>
      </c>
      <c r="P436" s="969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6" s="735"/>
      <c r="R436" s="735"/>
      <c r="S436" s="735"/>
      <c r="T436" s="736"/>
      <c r="U436" s="39" t="s">
        <v>46</v>
      </c>
      <c r="V436" s="39" t="s">
        <v>46</v>
      </c>
      <c r="W436" s="40" t="s">
        <v>0</v>
      </c>
      <c r="X436" s="58">
        <v>100</v>
      </c>
      <c r="Y436" s="55">
        <f t="shared" ref="Y436:Y443" si="70">IFERROR(IF(X436="",0,CEILING((X436/$H436),1)*$H436),"")</f>
        <v>105</v>
      </c>
      <c r="Z436" s="41">
        <f>IFERROR(IF(Y436=0,"",ROUNDUP(Y436/H436,0)*0.02175),"")</f>
        <v>0.15225</v>
      </c>
      <c r="AA436" s="68" t="s">
        <v>46</v>
      </c>
      <c r="AB436" s="69" t="s">
        <v>46</v>
      </c>
      <c r="AC436" s="542" t="s">
        <v>720</v>
      </c>
      <c r="AG436" s="78"/>
      <c r="AJ436" s="84" t="s">
        <v>46</v>
      </c>
      <c r="AK436" s="84">
        <v>0</v>
      </c>
      <c r="BB436" s="543" t="s">
        <v>67</v>
      </c>
      <c r="BM436" s="78">
        <f t="shared" ref="BM436:BM443" si="71">IFERROR(X436*I436/H436,"0")</f>
        <v>103.13333333333334</v>
      </c>
      <c r="BN436" s="78">
        <f t="shared" ref="BN436:BN443" si="72">IFERROR(Y436*I436/H436,"0")</f>
        <v>108.29</v>
      </c>
      <c r="BO436" s="78">
        <f t="shared" ref="BO436:BO443" si="73">IFERROR(1/J436*(X436/H436),"0")</f>
        <v>0.1388888888888889</v>
      </c>
      <c r="BP436" s="78">
        <f t="shared" ref="BP436:BP443" si="74">IFERROR(1/J436*(Y436/H436),"0")</f>
        <v>0.14583333333333331</v>
      </c>
    </row>
    <row r="437" spans="1:68" ht="37.5" customHeight="1" x14ac:dyDescent="0.25">
      <c r="A437" s="63" t="s">
        <v>721</v>
      </c>
      <c r="B437" s="63" t="s">
        <v>722</v>
      </c>
      <c r="C437" s="36">
        <v>4301011869</v>
      </c>
      <c r="D437" s="733">
        <v>4680115884847</v>
      </c>
      <c r="E437" s="733"/>
      <c r="F437" s="62">
        <v>2.5</v>
      </c>
      <c r="G437" s="37">
        <v>6</v>
      </c>
      <c r="H437" s="62">
        <v>15</v>
      </c>
      <c r="I437" s="62">
        <v>15.47</v>
      </c>
      <c r="J437" s="37">
        <v>48</v>
      </c>
      <c r="K437" s="37" t="s">
        <v>127</v>
      </c>
      <c r="L437" s="37" t="s">
        <v>46</v>
      </c>
      <c r="M437" s="38" t="s">
        <v>81</v>
      </c>
      <c r="N437" s="38"/>
      <c r="O437" s="37">
        <v>60</v>
      </c>
      <c r="P437" s="970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7" s="735"/>
      <c r="R437" s="735"/>
      <c r="S437" s="735"/>
      <c r="T437" s="736"/>
      <c r="U437" s="39" t="s">
        <v>46</v>
      </c>
      <c r="V437" s="39" t="s">
        <v>46</v>
      </c>
      <c r="W437" s="40" t="s">
        <v>0</v>
      </c>
      <c r="X437" s="58">
        <v>1200</v>
      </c>
      <c r="Y437" s="55">
        <f t="shared" si="70"/>
        <v>1200</v>
      </c>
      <c r="Z437" s="41">
        <f>IFERROR(IF(Y437=0,"",ROUNDUP(Y437/H437,0)*0.02175),"")</f>
        <v>1.7399999999999998</v>
      </c>
      <c r="AA437" s="68" t="s">
        <v>46</v>
      </c>
      <c r="AB437" s="69" t="s">
        <v>46</v>
      </c>
      <c r="AC437" s="544" t="s">
        <v>723</v>
      </c>
      <c r="AG437" s="78"/>
      <c r="AJ437" s="84" t="s">
        <v>46</v>
      </c>
      <c r="AK437" s="84">
        <v>0</v>
      </c>
      <c r="BB437" s="545" t="s">
        <v>67</v>
      </c>
      <c r="BM437" s="78">
        <f t="shared" si="71"/>
        <v>1237.5999999999999</v>
      </c>
      <c r="BN437" s="78">
        <f t="shared" si="72"/>
        <v>1237.5999999999999</v>
      </c>
      <c r="BO437" s="78">
        <f t="shared" si="73"/>
        <v>1.6666666666666665</v>
      </c>
      <c r="BP437" s="78">
        <f t="shared" si="74"/>
        <v>1.6666666666666665</v>
      </c>
    </row>
    <row r="438" spans="1:68" ht="27" customHeight="1" x14ac:dyDescent="0.25">
      <c r="A438" s="63" t="s">
        <v>724</v>
      </c>
      <c r="B438" s="63" t="s">
        <v>725</v>
      </c>
      <c r="C438" s="36">
        <v>4301012083</v>
      </c>
      <c r="D438" s="733">
        <v>4680115884854</v>
      </c>
      <c r="E438" s="733"/>
      <c r="F438" s="62">
        <v>2.5</v>
      </c>
      <c r="G438" s="37">
        <v>6</v>
      </c>
      <c r="H438" s="62">
        <v>15</v>
      </c>
      <c r="I438" s="62">
        <v>15.47</v>
      </c>
      <c r="J438" s="37">
        <v>48</v>
      </c>
      <c r="K438" s="37" t="s">
        <v>127</v>
      </c>
      <c r="L438" s="37" t="s">
        <v>46</v>
      </c>
      <c r="M438" s="38" t="s">
        <v>126</v>
      </c>
      <c r="N438" s="38"/>
      <c r="O438" s="37">
        <v>60</v>
      </c>
      <c r="P438" s="971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8" s="735"/>
      <c r="R438" s="735"/>
      <c r="S438" s="735"/>
      <c r="T438" s="736"/>
      <c r="U438" s="39" t="s">
        <v>46</v>
      </c>
      <c r="V438" s="39" t="s">
        <v>46</v>
      </c>
      <c r="W438" s="40" t="s">
        <v>0</v>
      </c>
      <c r="X438" s="58">
        <v>700</v>
      </c>
      <c r="Y438" s="55">
        <f t="shared" si="70"/>
        <v>705</v>
      </c>
      <c r="Z438" s="41">
        <f>IFERROR(IF(Y438=0,"",ROUNDUP(Y438/H438,0)*0.02175),"")</f>
        <v>1.0222499999999999</v>
      </c>
      <c r="AA438" s="68" t="s">
        <v>46</v>
      </c>
      <c r="AB438" s="69" t="s">
        <v>46</v>
      </c>
      <c r="AC438" s="546" t="s">
        <v>726</v>
      </c>
      <c r="AG438" s="78"/>
      <c r="AJ438" s="84" t="s">
        <v>46</v>
      </c>
      <c r="AK438" s="84">
        <v>0</v>
      </c>
      <c r="BB438" s="547" t="s">
        <v>67</v>
      </c>
      <c r="BM438" s="78">
        <f t="shared" si="71"/>
        <v>721.93333333333328</v>
      </c>
      <c r="BN438" s="78">
        <f t="shared" si="72"/>
        <v>727.09</v>
      </c>
      <c r="BO438" s="78">
        <f t="shared" si="73"/>
        <v>0.9722222222222221</v>
      </c>
      <c r="BP438" s="78">
        <f t="shared" si="74"/>
        <v>0.97916666666666663</v>
      </c>
    </row>
    <row r="439" spans="1:68" ht="27" customHeight="1" x14ac:dyDescent="0.25">
      <c r="A439" s="63" t="s">
        <v>727</v>
      </c>
      <c r="B439" s="63" t="s">
        <v>728</v>
      </c>
      <c r="C439" s="36">
        <v>4301011867</v>
      </c>
      <c r="D439" s="733">
        <v>4680115884830</v>
      </c>
      <c r="E439" s="733"/>
      <c r="F439" s="62">
        <v>2.5</v>
      </c>
      <c r="G439" s="37">
        <v>6</v>
      </c>
      <c r="H439" s="62">
        <v>15</v>
      </c>
      <c r="I439" s="62">
        <v>15.47</v>
      </c>
      <c r="J439" s="37">
        <v>48</v>
      </c>
      <c r="K439" s="37" t="s">
        <v>127</v>
      </c>
      <c r="L439" s="37" t="s">
        <v>46</v>
      </c>
      <c r="M439" s="38" t="s">
        <v>81</v>
      </c>
      <c r="N439" s="38"/>
      <c r="O439" s="37">
        <v>60</v>
      </c>
      <c r="P439" s="97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9" s="735"/>
      <c r="R439" s="735"/>
      <c r="S439" s="735"/>
      <c r="T439" s="736"/>
      <c r="U439" s="39" t="s">
        <v>46</v>
      </c>
      <c r="V439" s="39" t="s">
        <v>46</v>
      </c>
      <c r="W439" s="40" t="s">
        <v>0</v>
      </c>
      <c r="X439" s="58">
        <v>800</v>
      </c>
      <c r="Y439" s="55">
        <f t="shared" si="70"/>
        <v>810</v>
      </c>
      <c r="Z439" s="41">
        <f>IFERROR(IF(Y439=0,"",ROUNDUP(Y439/H439,0)*0.02175),"")</f>
        <v>1.1744999999999999</v>
      </c>
      <c r="AA439" s="68" t="s">
        <v>46</v>
      </c>
      <c r="AB439" s="69" t="s">
        <v>46</v>
      </c>
      <c r="AC439" s="548" t="s">
        <v>729</v>
      </c>
      <c r="AG439" s="78"/>
      <c r="AJ439" s="84" t="s">
        <v>46</v>
      </c>
      <c r="AK439" s="84">
        <v>0</v>
      </c>
      <c r="BB439" s="549" t="s">
        <v>67</v>
      </c>
      <c r="BM439" s="78">
        <f t="shared" si="71"/>
        <v>825.06666666666672</v>
      </c>
      <c r="BN439" s="78">
        <f t="shared" si="72"/>
        <v>835.38</v>
      </c>
      <c r="BO439" s="78">
        <f t="shared" si="73"/>
        <v>1.1111111111111112</v>
      </c>
      <c r="BP439" s="78">
        <f t="shared" si="74"/>
        <v>1.125</v>
      </c>
    </row>
    <row r="440" spans="1:68" ht="27" customHeight="1" x14ac:dyDescent="0.25">
      <c r="A440" s="63" t="s">
        <v>730</v>
      </c>
      <c r="B440" s="63" t="s">
        <v>731</v>
      </c>
      <c r="C440" s="36">
        <v>4301012356</v>
      </c>
      <c r="D440" s="733">
        <v>4680115889231</v>
      </c>
      <c r="E440" s="733"/>
      <c r="F440" s="62">
        <v>2.5</v>
      </c>
      <c r="G440" s="37">
        <v>6</v>
      </c>
      <c r="H440" s="62">
        <v>15</v>
      </c>
      <c r="I440" s="62">
        <v>15.47</v>
      </c>
      <c r="J440" s="37">
        <v>48</v>
      </c>
      <c r="K440" s="37" t="s">
        <v>127</v>
      </c>
      <c r="L440" s="37" t="s">
        <v>46</v>
      </c>
      <c r="M440" s="38" t="s">
        <v>97</v>
      </c>
      <c r="N440" s="38"/>
      <c r="O440" s="37">
        <v>60</v>
      </c>
      <c r="P440" s="973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40" s="735"/>
      <c r="R440" s="735"/>
      <c r="S440" s="735"/>
      <c r="T440" s="736"/>
      <c r="U440" s="39" t="s">
        <v>46</v>
      </c>
      <c r="V440" s="39" t="s">
        <v>46</v>
      </c>
      <c r="W440" s="40" t="s">
        <v>0</v>
      </c>
      <c r="X440" s="58">
        <v>300</v>
      </c>
      <c r="Y440" s="55">
        <f t="shared" si="70"/>
        <v>300</v>
      </c>
      <c r="Z440" s="41">
        <f>IFERROR(IF(Y440=0,"",ROUNDUP(Y440/H440,0)*0.02175),"")</f>
        <v>0.43499999999999994</v>
      </c>
      <c r="AA440" s="68" t="s">
        <v>46</v>
      </c>
      <c r="AB440" s="69" t="s">
        <v>46</v>
      </c>
      <c r="AC440" s="550" t="s">
        <v>732</v>
      </c>
      <c r="AG440" s="78"/>
      <c r="AJ440" s="84" t="s">
        <v>46</v>
      </c>
      <c r="AK440" s="84">
        <v>0</v>
      </c>
      <c r="BB440" s="551" t="s">
        <v>67</v>
      </c>
      <c r="BM440" s="78">
        <f t="shared" si="71"/>
        <v>309.39999999999998</v>
      </c>
      <c r="BN440" s="78">
        <f t="shared" si="72"/>
        <v>309.39999999999998</v>
      </c>
      <c r="BO440" s="78">
        <f t="shared" si="73"/>
        <v>0.41666666666666663</v>
      </c>
      <c r="BP440" s="78">
        <f t="shared" si="74"/>
        <v>0.41666666666666663</v>
      </c>
    </row>
    <row r="441" spans="1:68" ht="27" hidden="1" customHeight="1" x14ac:dyDescent="0.25">
      <c r="A441" s="63" t="s">
        <v>733</v>
      </c>
      <c r="B441" s="63" t="s">
        <v>734</v>
      </c>
      <c r="C441" s="36">
        <v>4301011433</v>
      </c>
      <c r="D441" s="733">
        <v>4680115882638</v>
      </c>
      <c r="E441" s="733"/>
      <c r="F441" s="62">
        <v>0.4</v>
      </c>
      <c r="G441" s="37">
        <v>10</v>
      </c>
      <c r="H441" s="62">
        <v>4</v>
      </c>
      <c r="I441" s="62">
        <v>4.1900000000000004</v>
      </c>
      <c r="J441" s="37">
        <v>132</v>
      </c>
      <c r="K441" s="37" t="s">
        <v>134</v>
      </c>
      <c r="L441" s="37" t="s">
        <v>46</v>
      </c>
      <c r="M441" s="38" t="s">
        <v>126</v>
      </c>
      <c r="N441" s="38"/>
      <c r="O441" s="37">
        <v>90</v>
      </c>
      <c r="P441" s="97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41" s="735"/>
      <c r="R441" s="735"/>
      <c r="S441" s="735"/>
      <c r="T441" s="736"/>
      <c r="U441" s="39" t="s">
        <v>46</v>
      </c>
      <c r="V441" s="39" t="s">
        <v>46</v>
      </c>
      <c r="W441" s="40" t="s">
        <v>0</v>
      </c>
      <c r="X441" s="58">
        <v>0</v>
      </c>
      <c r="Y441" s="55">
        <f t="shared" si="70"/>
        <v>0</v>
      </c>
      <c r="Z441" s="41" t="str">
        <f>IFERROR(IF(Y441=0,"",ROUNDUP(Y441/H441,0)*0.00902),"")</f>
        <v/>
      </c>
      <c r="AA441" s="68" t="s">
        <v>46</v>
      </c>
      <c r="AB441" s="69" t="s">
        <v>46</v>
      </c>
      <c r="AC441" s="552" t="s">
        <v>735</v>
      </c>
      <c r="AG441" s="78"/>
      <c r="AJ441" s="84" t="s">
        <v>46</v>
      </c>
      <c r="AK441" s="84">
        <v>0</v>
      </c>
      <c r="BB441" s="553" t="s">
        <v>67</v>
      </c>
      <c r="BM441" s="78">
        <f t="shared" si="71"/>
        <v>0</v>
      </c>
      <c r="BN441" s="78">
        <f t="shared" si="72"/>
        <v>0</v>
      </c>
      <c r="BO441" s="78">
        <f t="shared" si="73"/>
        <v>0</v>
      </c>
      <c r="BP441" s="78">
        <f t="shared" si="74"/>
        <v>0</v>
      </c>
    </row>
    <row r="442" spans="1:68" ht="27" hidden="1" customHeight="1" x14ac:dyDescent="0.25">
      <c r="A442" s="63" t="s">
        <v>736</v>
      </c>
      <c r="B442" s="63" t="s">
        <v>737</v>
      </c>
      <c r="C442" s="36">
        <v>4301011952</v>
      </c>
      <c r="D442" s="733">
        <v>4680115884922</v>
      </c>
      <c r="E442" s="733"/>
      <c r="F442" s="62">
        <v>0.5</v>
      </c>
      <c r="G442" s="37">
        <v>10</v>
      </c>
      <c r="H442" s="62">
        <v>5</v>
      </c>
      <c r="I442" s="62">
        <v>5.19</v>
      </c>
      <c r="J442" s="37">
        <v>132</v>
      </c>
      <c r="K442" s="37" t="s">
        <v>134</v>
      </c>
      <c r="L442" s="37" t="s">
        <v>46</v>
      </c>
      <c r="M442" s="38" t="s">
        <v>81</v>
      </c>
      <c r="N442" s="38"/>
      <c r="O442" s="37">
        <v>60</v>
      </c>
      <c r="P442" s="975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42" s="735"/>
      <c r="R442" s="735"/>
      <c r="S442" s="735"/>
      <c r="T442" s="736"/>
      <c r="U442" s="39" t="s">
        <v>46</v>
      </c>
      <c r="V442" s="39" t="s">
        <v>46</v>
      </c>
      <c r="W442" s="40" t="s">
        <v>0</v>
      </c>
      <c r="X442" s="58">
        <v>0</v>
      </c>
      <c r="Y442" s="55">
        <f t="shared" si="70"/>
        <v>0</v>
      </c>
      <c r="Z442" s="41" t="str">
        <f>IFERROR(IF(Y442=0,"",ROUNDUP(Y442/H442,0)*0.00902),"")</f>
        <v/>
      </c>
      <c r="AA442" s="68" t="s">
        <v>46</v>
      </c>
      <c r="AB442" s="69" t="s">
        <v>46</v>
      </c>
      <c r="AC442" s="554" t="s">
        <v>738</v>
      </c>
      <c r="AG442" s="78"/>
      <c r="AJ442" s="84" t="s">
        <v>46</v>
      </c>
      <c r="AK442" s="84">
        <v>0</v>
      </c>
      <c r="BB442" s="555" t="s">
        <v>67</v>
      </c>
      <c r="BM442" s="78">
        <f t="shared" si="71"/>
        <v>0</v>
      </c>
      <c r="BN442" s="78">
        <f t="shared" si="72"/>
        <v>0</v>
      </c>
      <c r="BO442" s="78">
        <f t="shared" si="73"/>
        <v>0</v>
      </c>
      <c r="BP442" s="78">
        <f t="shared" si="74"/>
        <v>0</v>
      </c>
    </row>
    <row r="443" spans="1:68" ht="37.5" hidden="1" customHeight="1" x14ac:dyDescent="0.25">
      <c r="A443" s="63" t="s">
        <v>739</v>
      </c>
      <c r="B443" s="63" t="s">
        <v>740</v>
      </c>
      <c r="C443" s="36">
        <v>4301011868</v>
      </c>
      <c r="D443" s="733">
        <v>4680115884861</v>
      </c>
      <c r="E443" s="733"/>
      <c r="F443" s="62">
        <v>0.5</v>
      </c>
      <c r="G443" s="37">
        <v>10</v>
      </c>
      <c r="H443" s="62">
        <v>5</v>
      </c>
      <c r="I443" s="62">
        <v>5.19</v>
      </c>
      <c r="J443" s="37">
        <v>132</v>
      </c>
      <c r="K443" s="37" t="s">
        <v>134</v>
      </c>
      <c r="L443" s="37" t="s">
        <v>46</v>
      </c>
      <c r="M443" s="38" t="s">
        <v>81</v>
      </c>
      <c r="N443" s="38"/>
      <c r="O443" s="37">
        <v>60</v>
      </c>
      <c r="P443" s="976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3" s="735"/>
      <c r="R443" s="735"/>
      <c r="S443" s="735"/>
      <c r="T443" s="736"/>
      <c r="U443" s="39" t="s">
        <v>46</v>
      </c>
      <c r="V443" s="39" t="s">
        <v>46</v>
      </c>
      <c r="W443" s="40" t="s">
        <v>0</v>
      </c>
      <c r="X443" s="58">
        <v>0</v>
      </c>
      <c r="Y443" s="55">
        <f t="shared" si="70"/>
        <v>0</v>
      </c>
      <c r="Z443" s="41" t="str">
        <f>IFERROR(IF(Y443=0,"",ROUNDUP(Y443/H443,0)*0.00902),"")</f>
        <v/>
      </c>
      <c r="AA443" s="68" t="s">
        <v>46</v>
      </c>
      <c r="AB443" s="69" t="s">
        <v>46</v>
      </c>
      <c r="AC443" s="556" t="s">
        <v>741</v>
      </c>
      <c r="AG443" s="78"/>
      <c r="AJ443" s="84" t="s">
        <v>46</v>
      </c>
      <c r="AK443" s="84">
        <v>0</v>
      </c>
      <c r="BB443" s="557" t="s">
        <v>67</v>
      </c>
      <c r="BM443" s="78">
        <f t="shared" si="71"/>
        <v>0</v>
      </c>
      <c r="BN443" s="78">
        <f t="shared" si="72"/>
        <v>0</v>
      </c>
      <c r="BO443" s="78">
        <f t="shared" si="73"/>
        <v>0</v>
      </c>
      <c r="BP443" s="78">
        <f t="shared" si="74"/>
        <v>0</v>
      </c>
    </row>
    <row r="444" spans="1:68" x14ac:dyDescent="0.2">
      <c r="A444" s="741"/>
      <c r="B444" s="741"/>
      <c r="C444" s="741"/>
      <c r="D444" s="741"/>
      <c r="E444" s="741"/>
      <c r="F444" s="741"/>
      <c r="G444" s="741"/>
      <c r="H444" s="741"/>
      <c r="I444" s="741"/>
      <c r="J444" s="741"/>
      <c r="K444" s="741"/>
      <c r="L444" s="741"/>
      <c r="M444" s="741"/>
      <c r="N444" s="741"/>
      <c r="O444" s="742"/>
      <c r="P444" s="738" t="s">
        <v>40</v>
      </c>
      <c r="Q444" s="739"/>
      <c r="R444" s="739"/>
      <c r="S444" s="739"/>
      <c r="T444" s="739"/>
      <c r="U444" s="739"/>
      <c r="V444" s="740"/>
      <c r="W444" s="42" t="s">
        <v>39</v>
      </c>
      <c r="X444" s="43">
        <f>IFERROR(X436/H436,"0")+IFERROR(X437/H437,"0")+IFERROR(X438/H438,"0")+IFERROR(X439/H439,"0")+IFERROR(X440/H440,"0")+IFERROR(X441/H441,"0")+IFERROR(X442/H442,"0")+IFERROR(X443/H443,"0")</f>
        <v>206.66666666666669</v>
      </c>
      <c r="Y444" s="43">
        <f>IFERROR(Y436/H436,"0")+IFERROR(Y437/H437,"0")+IFERROR(Y438/H438,"0")+IFERROR(Y439/H439,"0")+IFERROR(Y440/H440,"0")+IFERROR(Y441/H441,"0")+IFERROR(Y442/H442,"0")+IFERROR(Y443/H443,"0")</f>
        <v>208</v>
      </c>
      <c r="Z444" s="43">
        <f>IFERROR(IF(Z436="",0,Z436),"0")+IFERROR(IF(Z437="",0,Z437),"0")+IFERROR(IF(Z438="",0,Z438),"0")+IFERROR(IF(Z439="",0,Z439),"0")+IFERROR(IF(Z440="",0,Z440),"0")+IFERROR(IF(Z441="",0,Z441),"0")+IFERROR(IF(Z442="",0,Z442),"0")+IFERROR(IF(Z443="",0,Z443),"0")</f>
        <v>4.5239999999999991</v>
      </c>
      <c r="AA444" s="67"/>
      <c r="AB444" s="67"/>
      <c r="AC444" s="67"/>
    </row>
    <row r="445" spans="1:68" x14ac:dyDescent="0.2">
      <c r="A445" s="741"/>
      <c r="B445" s="741"/>
      <c r="C445" s="741"/>
      <c r="D445" s="741"/>
      <c r="E445" s="741"/>
      <c r="F445" s="741"/>
      <c r="G445" s="741"/>
      <c r="H445" s="741"/>
      <c r="I445" s="741"/>
      <c r="J445" s="741"/>
      <c r="K445" s="741"/>
      <c r="L445" s="741"/>
      <c r="M445" s="741"/>
      <c r="N445" s="741"/>
      <c r="O445" s="742"/>
      <c r="P445" s="738" t="s">
        <v>40</v>
      </c>
      <c r="Q445" s="739"/>
      <c r="R445" s="739"/>
      <c r="S445" s="739"/>
      <c r="T445" s="739"/>
      <c r="U445" s="739"/>
      <c r="V445" s="740"/>
      <c r="W445" s="42" t="s">
        <v>0</v>
      </c>
      <c r="X445" s="43">
        <f>IFERROR(SUM(X436:X443),"0")</f>
        <v>3100</v>
      </c>
      <c r="Y445" s="43">
        <f>IFERROR(SUM(Y436:Y443),"0")</f>
        <v>3120</v>
      </c>
      <c r="Z445" s="42"/>
      <c r="AA445" s="67"/>
      <c r="AB445" s="67"/>
      <c r="AC445" s="67"/>
    </row>
    <row r="446" spans="1:68" ht="14.25" hidden="1" customHeight="1" x14ac:dyDescent="0.25">
      <c r="A446" s="732" t="s">
        <v>155</v>
      </c>
      <c r="B446" s="732"/>
      <c r="C446" s="732"/>
      <c r="D446" s="732"/>
      <c r="E446" s="732"/>
      <c r="F446" s="732"/>
      <c r="G446" s="732"/>
      <c r="H446" s="732"/>
      <c r="I446" s="732"/>
      <c r="J446" s="732"/>
      <c r="K446" s="732"/>
      <c r="L446" s="732"/>
      <c r="M446" s="732"/>
      <c r="N446" s="732"/>
      <c r="O446" s="732"/>
      <c r="P446" s="732"/>
      <c r="Q446" s="732"/>
      <c r="R446" s="732"/>
      <c r="S446" s="732"/>
      <c r="T446" s="732"/>
      <c r="U446" s="732"/>
      <c r="V446" s="732"/>
      <c r="W446" s="732"/>
      <c r="X446" s="732"/>
      <c r="Y446" s="732"/>
      <c r="Z446" s="732"/>
      <c r="AA446" s="66"/>
      <c r="AB446" s="66"/>
      <c r="AC446" s="80"/>
    </row>
    <row r="447" spans="1:68" ht="27" customHeight="1" x14ac:dyDescent="0.25">
      <c r="A447" s="63" t="s">
        <v>742</v>
      </c>
      <c r="B447" s="63" t="s">
        <v>743</v>
      </c>
      <c r="C447" s="36">
        <v>4301020178</v>
      </c>
      <c r="D447" s="733">
        <v>4607091383980</v>
      </c>
      <c r="E447" s="733"/>
      <c r="F447" s="62">
        <v>2.5</v>
      </c>
      <c r="G447" s="37">
        <v>6</v>
      </c>
      <c r="H447" s="62">
        <v>15</v>
      </c>
      <c r="I447" s="62">
        <v>15.47</v>
      </c>
      <c r="J447" s="37">
        <v>48</v>
      </c>
      <c r="K447" s="37" t="s">
        <v>127</v>
      </c>
      <c r="L447" s="37" t="s">
        <v>46</v>
      </c>
      <c r="M447" s="38" t="s">
        <v>126</v>
      </c>
      <c r="N447" s="38"/>
      <c r="O447" s="37">
        <v>50</v>
      </c>
      <c r="P447" s="97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7" s="735"/>
      <c r="R447" s="735"/>
      <c r="S447" s="735"/>
      <c r="T447" s="736"/>
      <c r="U447" s="39" t="s">
        <v>46</v>
      </c>
      <c r="V447" s="39" t="s">
        <v>46</v>
      </c>
      <c r="W447" s="40" t="s">
        <v>0</v>
      </c>
      <c r="X447" s="58">
        <v>500</v>
      </c>
      <c r="Y447" s="55">
        <f>IFERROR(IF(X447="",0,CEILING((X447/$H447),1)*$H447),"")</f>
        <v>510</v>
      </c>
      <c r="Z447" s="41">
        <f>IFERROR(IF(Y447=0,"",ROUNDUP(Y447/H447,0)*0.02175),"")</f>
        <v>0.73949999999999994</v>
      </c>
      <c r="AA447" s="68" t="s">
        <v>46</v>
      </c>
      <c r="AB447" s="69" t="s">
        <v>46</v>
      </c>
      <c r="AC447" s="558" t="s">
        <v>744</v>
      </c>
      <c r="AG447" s="78"/>
      <c r="AJ447" s="84" t="s">
        <v>46</v>
      </c>
      <c r="AK447" s="84">
        <v>0</v>
      </c>
      <c r="BB447" s="559" t="s">
        <v>67</v>
      </c>
      <c r="BM447" s="78">
        <f>IFERROR(X447*I447/H447,"0")</f>
        <v>515.66666666666663</v>
      </c>
      <c r="BN447" s="78">
        <f>IFERROR(Y447*I447/H447,"0")</f>
        <v>525.98</v>
      </c>
      <c r="BO447" s="78">
        <f>IFERROR(1/J447*(X447/H447),"0")</f>
        <v>0.69444444444444442</v>
      </c>
      <c r="BP447" s="78">
        <f>IFERROR(1/J447*(Y447/H447),"0")</f>
        <v>0.70833333333333326</v>
      </c>
    </row>
    <row r="448" spans="1:68" ht="27" customHeight="1" x14ac:dyDescent="0.25">
      <c r="A448" s="63" t="s">
        <v>745</v>
      </c>
      <c r="B448" s="63" t="s">
        <v>746</v>
      </c>
      <c r="C448" s="36">
        <v>4301020355</v>
      </c>
      <c r="D448" s="733">
        <v>4680115888425</v>
      </c>
      <c r="E448" s="733"/>
      <c r="F448" s="62">
        <v>2.5</v>
      </c>
      <c r="G448" s="37">
        <v>6</v>
      </c>
      <c r="H448" s="62">
        <v>15</v>
      </c>
      <c r="I448" s="62">
        <v>15.47</v>
      </c>
      <c r="J448" s="37">
        <v>48</v>
      </c>
      <c r="K448" s="37" t="s">
        <v>127</v>
      </c>
      <c r="L448" s="37" t="s">
        <v>46</v>
      </c>
      <c r="M448" s="38" t="s">
        <v>126</v>
      </c>
      <c r="N448" s="38"/>
      <c r="O448" s="37">
        <v>50</v>
      </c>
      <c r="P448" s="978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8" s="735"/>
      <c r="R448" s="735"/>
      <c r="S448" s="735"/>
      <c r="T448" s="736"/>
      <c r="U448" s="39" t="s">
        <v>46</v>
      </c>
      <c r="V448" s="39" t="s">
        <v>46</v>
      </c>
      <c r="W448" s="40" t="s">
        <v>0</v>
      </c>
      <c r="X448" s="58">
        <v>100</v>
      </c>
      <c r="Y448" s="55">
        <f>IFERROR(IF(X448="",0,CEILING((X448/$H448),1)*$H448),"")</f>
        <v>105</v>
      </c>
      <c r="Z448" s="41">
        <f>IFERROR(IF(Y448=0,"",ROUNDUP(Y448/H448,0)*0.02175),"")</f>
        <v>0.15225</v>
      </c>
      <c r="AA448" s="68" t="s">
        <v>46</v>
      </c>
      <c r="AB448" s="69" t="s">
        <v>46</v>
      </c>
      <c r="AC448" s="560" t="s">
        <v>747</v>
      </c>
      <c r="AG448" s="78"/>
      <c r="AJ448" s="84" t="s">
        <v>46</v>
      </c>
      <c r="AK448" s="84">
        <v>0</v>
      </c>
      <c r="BB448" s="561" t="s">
        <v>67</v>
      </c>
      <c r="BM448" s="78">
        <f>IFERROR(X448*I448/H448,"0")</f>
        <v>103.13333333333334</v>
      </c>
      <c r="BN448" s="78">
        <f>IFERROR(Y448*I448/H448,"0")</f>
        <v>108.29</v>
      </c>
      <c r="BO448" s="78">
        <f>IFERROR(1/J448*(X448/H448),"0")</f>
        <v>0.1388888888888889</v>
      </c>
      <c r="BP448" s="78">
        <f>IFERROR(1/J448*(Y448/H448),"0")</f>
        <v>0.14583333333333331</v>
      </c>
    </row>
    <row r="449" spans="1:68" ht="27" hidden="1" customHeight="1" x14ac:dyDescent="0.25">
      <c r="A449" s="63" t="s">
        <v>748</v>
      </c>
      <c r="B449" s="63" t="s">
        <v>749</v>
      </c>
      <c r="C449" s="36">
        <v>4301020179</v>
      </c>
      <c r="D449" s="733">
        <v>4607091384178</v>
      </c>
      <c r="E449" s="733"/>
      <c r="F449" s="62">
        <v>0.4</v>
      </c>
      <c r="G449" s="37">
        <v>10</v>
      </c>
      <c r="H449" s="62">
        <v>4</v>
      </c>
      <c r="I449" s="62">
        <v>4.1900000000000004</v>
      </c>
      <c r="J449" s="37">
        <v>132</v>
      </c>
      <c r="K449" s="37" t="s">
        <v>134</v>
      </c>
      <c r="L449" s="37" t="s">
        <v>46</v>
      </c>
      <c r="M449" s="38" t="s">
        <v>126</v>
      </c>
      <c r="N449" s="38"/>
      <c r="O449" s="37">
        <v>50</v>
      </c>
      <c r="P449" s="97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9" s="735"/>
      <c r="R449" s="735"/>
      <c r="S449" s="735"/>
      <c r="T449" s="736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IFERROR(IF(Y449=0,"",ROUNDUP(Y449/H449,0)*0.00902),"")</f>
        <v/>
      </c>
      <c r="AA449" s="68" t="s">
        <v>46</v>
      </c>
      <c r="AB449" s="69" t="s">
        <v>46</v>
      </c>
      <c r="AC449" s="562" t="s">
        <v>750</v>
      </c>
      <c r="AG449" s="78"/>
      <c r="AJ449" s="84" t="s">
        <v>46</v>
      </c>
      <c r="AK449" s="84">
        <v>0</v>
      </c>
      <c r="BB449" s="563" t="s">
        <v>67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x14ac:dyDescent="0.2">
      <c r="A450" s="741"/>
      <c r="B450" s="741"/>
      <c r="C450" s="741"/>
      <c r="D450" s="741"/>
      <c r="E450" s="741"/>
      <c r="F450" s="741"/>
      <c r="G450" s="741"/>
      <c r="H450" s="741"/>
      <c r="I450" s="741"/>
      <c r="J450" s="741"/>
      <c r="K450" s="741"/>
      <c r="L450" s="741"/>
      <c r="M450" s="741"/>
      <c r="N450" s="741"/>
      <c r="O450" s="742"/>
      <c r="P450" s="738" t="s">
        <v>40</v>
      </c>
      <c r="Q450" s="739"/>
      <c r="R450" s="739"/>
      <c r="S450" s="739"/>
      <c r="T450" s="739"/>
      <c r="U450" s="739"/>
      <c r="V450" s="740"/>
      <c r="W450" s="42" t="s">
        <v>39</v>
      </c>
      <c r="X450" s="43">
        <f>IFERROR(X447/H447,"0")+IFERROR(X448/H448,"0")+IFERROR(X449/H449,"0")</f>
        <v>40</v>
      </c>
      <c r="Y450" s="43">
        <f>IFERROR(Y447/H447,"0")+IFERROR(Y448/H448,"0")+IFERROR(Y449/H449,"0")</f>
        <v>41</v>
      </c>
      <c r="Z450" s="43">
        <f>IFERROR(IF(Z447="",0,Z447),"0")+IFERROR(IF(Z448="",0,Z448),"0")+IFERROR(IF(Z449="",0,Z449),"0")</f>
        <v>0.89174999999999993</v>
      </c>
      <c r="AA450" s="67"/>
      <c r="AB450" s="67"/>
      <c r="AC450" s="67"/>
    </row>
    <row r="451" spans="1:68" x14ac:dyDescent="0.2">
      <c r="A451" s="741"/>
      <c r="B451" s="741"/>
      <c r="C451" s="741"/>
      <c r="D451" s="741"/>
      <c r="E451" s="741"/>
      <c r="F451" s="741"/>
      <c r="G451" s="741"/>
      <c r="H451" s="741"/>
      <c r="I451" s="741"/>
      <c r="J451" s="741"/>
      <c r="K451" s="741"/>
      <c r="L451" s="741"/>
      <c r="M451" s="741"/>
      <c r="N451" s="741"/>
      <c r="O451" s="742"/>
      <c r="P451" s="738" t="s">
        <v>40</v>
      </c>
      <c r="Q451" s="739"/>
      <c r="R451" s="739"/>
      <c r="S451" s="739"/>
      <c r="T451" s="739"/>
      <c r="U451" s="739"/>
      <c r="V451" s="740"/>
      <c r="W451" s="42" t="s">
        <v>0</v>
      </c>
      <c r="X451" s="43">
        <f>IFERROR(SUM(X447:X449),"0")</f>
        <v>600</v>
      </c>
      <c r="Y451" s="43">
        <f>IFERROR(SUM(Y447:Y449),"0")</f>
        <v>615</v>
      </c>
      <c r="Z451" s="42"/>
      <c r="AA451" s="67"/>
      <c r="AB451" s="67"/>
      <c r="AC451" s="67"/>
    </row>
    <row r="452" spans="1:68" ht="14.25" hidden="1" customHeight="1" x14ac:dyDescent="0.25">
      <c r="A452" s="732" t="s">
        <v>86</v>
      </c>
      <c r="B452" s="732"/>
      <c r="C452" s="732"/>
      <c r="D452" s="732"/>
      <c r="E452" s="732"/>
      <c r="F452" s="732"/>
      <c r="G452" s="732"/>
      <c r="H452" s="732"/>
      <c r="I452" s="732"/>
      <c r="J452" s="732"/>
      <c r="K452" s="732"/>
      <c r="L452" s="732"/>
      <c r="M452" s="732"/>
      <c r="N452" s="732"/>
      <c r="O452" s="732"/>
      <c r="P452" s="732"/>
      <c r="Q452" s="732"/>
      <c r="R452" s="732"/>
      <c r="S452" s="732"/>
      <c r="T452" s="732"/>
      <c r="U452" s="732"/>
      <c r="V452" s="732"/>
      <c r="W452" s="732"/>
      <c r="X452" s="732"/>
      <c r="Y452" s="732"/>
      <c r="Z452" s="732"/>
      <c r="AA452" s="66"/>
      <c r="AB452" s="66"/>
      <c r="AC452" s="80"/>
    </row>
    <row r="453" spans="1:68" ht="27" hidden="1" customHeight="1" x14ac:dyDescent="0.25">
      <c r="A453" s="63" t="s">
        <v>751</v>
      </c>
      <c r="B453" s="63" t="s">
        <v>752</v>
      </c>
      <c r="C453" s="36">
        <v>4301051903</v>
      </c>
      <c r="D453" s="733">
        <v>4607091383928</v>
      </c>
      <c r="E453" s="733"/>
      <c r="F453" s="62">
        <v>1.5</v>
      </c>
      <c r="G453" s="37">
        <v>6</v>
      </c>
      <c r="H453" s="62">
        <v>9</v>
      </c>
      <c r="I453" s="62">
        <v>9.5</v>
      </c>
      <c r="J453" s="37">
        <v>64</v>
      </c>
      <c r="K453" s="37" t="s">
        <v>127</v>
      </c>
      <c r="L453" s="37" t="s">
        <v>46</v>
      </c>
      <c r="M453" s="38" t="s">
        <v>90</v>
      </c>
      <c r="N453" s="38"/>
      <c r="O453" s="37">
        <v>40</v>
      </c>
      <c r="P453" s="980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3" s="735"/>
      <c r="R453" s="735"/>
      <c r="S453" s="735"/>
      <c r="T453" s="736"/>
      <c r="U453" s="39" t="s">
        <v>46</v>
      </c>
      <c r="V453" s="39" t="s">
        <v>46</v>
      </c>
      <c r="W453" s="40" t="s">
        <v>0</v>
      </c>
      <c r="X453" s="58">
        <v>0</v>
      </c>
      <c r="Y453" s="55">
        <f>IFERROR(IF(X453="",0,CEILING((X453/$H453),1)*$H453),"")</f>
        <v>0</v>
      </c>
      <c r="Z453" s="41" t="str">
        <f>IFERROR(IF(Y453=0,"",ROUNDUP(Y453/H453,0)*0.01898),"")</f>
        <v/>
      </c>
      <c r="AA453" s="68" t="s">
        <v>46</v>
      </c>
      <c r="AB453" s="69" t="s">
        <v>46</v>
      </c>
      <c r="AC453" s="564" t="s">
        <v>753</v>
      </c>
      <c r="AG453" s="78"/>
      <c r="AJ453" s="84" t="s">
        <v>46</v>
      </c>
      <c r="AK453" s="84">
        <v>0</v>
      </c>
      <c r="BB453" s="565" t="s">
        <v>67</v>
      </c>
      <c r="BM453" s="78">
        <f>IFERROR(X453*I453/H453,"0")</f>
        <v>0</v>
      </c>
      <c r="BN453" s="78">
        <f>IFERROR(Y453*I453/H453,"0")</f>
        <v>0</v>
      </c>
      <c r="BO453" s="78">
        <f>IFERROR(1/J453*(X453/H453),"0")</f>
        <v>0</v>
      </c>
      <c r="BP453" s="78">
        <f>IFERROR(1/J453*(Y453/H453),"0")</f>
        <v>0</v>
      </c>
    </row>
    <row r="454" spans="1:68" ht="27" customHeight="1" x14ac:dyDescent="0.25">
      <c r="A454" s="63" t="s">
        <v>754</v>
      </c>
      <c r="B454" s="63" t="s">
        <v>755</v>
      </c>
      <c r="C454" s="36">
        <v>4301051897</v>
      </c>
      <c r="D454" s="733">
        <v>4607091384260</v>
      </c>
      <c r="E454" s="733"/>
      <c r="F454" s="62">
        <v>1.5</v>
      </c>
      <c r="G454" s="37">
        <v>6</v>
      </c>
      <c r="H454" s="62">
        <v>9</v>
      </c>
      <c r="I454" s="62">
        <v>9.4939999999999998</v>
      </c>
      <c r="J454" s="37">
        <v>64</v>
      </c>
      <c r="K454" s="37" t="s">
        <v>127</v>
      </c>
      <c r="L454" s="37" t="s">
        <v>46</v>
      </c>
      <c r="M454" s="38" t="s">
        <v>90</v>
      </c>
      <c r="N454" s="38"/>
      <c r="O454" s="37">
        <v>40</v>
      </c>
      <c r="P454" s="981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4" s="735"/>
      <c r="R454" s="735"/>
      <c r="S454" s="735"/>
      <c r="T454" s="736"/>
      <c r="U454" s="39" t="s">
        <v>46</v>
      </c>
      <c r="V454" s="39" t="s">
        <v>46</v>
      </c>
      <c r="W454" s="40" t="s">
        <v>0</v>
      </c>
      <c r="X454" s="58">
        <v>50</v>
      </c>
      <c r="Y454" s="55">
        <f>IFERROR(IF(X454="",0,CEILING((X454/$H454),1)*$H454),"")</f>
        <v>54</v>
      </c>
      <c r="Z454" s="41">
        <f>IFERROR(IF(Y454=0,"",ROUNDUP(Y454/H454,0)*0.01898),"")</f>
        <v>0.11388000000000001</v>
      </c>
      <c r="AA454" s="68" t="s">
        <v>46</v>
      </c>
      <c r="AB454" s="69" t="s">
        <v>46</v>
      </c>
      <c r="AC454" s="566" t="s">
        <v>756</v>
      </c>
      <c r="AG454" s="78"/>
      <c r="AJ454" s="84" t="s">
        <v>46</v>
      </c>
      <c r="AK454" s="84">
        <v>0</v>
      </c>
      <c r="BB454" s="567" t="s">
        <v>67</v>
      </c>
      <c r="BM454" s="78">
        <f>IFERROR(X454*I454/H454,"0")</f>
        <v>52.74444444444444</v>
      </c>
      <c r="BN454" s="78">
        <f>IFERROR(Y454*I454/H454,"0")</f>
        <v>56.963999999999992</v>
      </c>
      <c r="BO454" s="78">
        <f>IFERROR(1/J454*(X454/H454),"0")</f>
        <v>8.6805555555555552E-2</v>
      </c>
      <c r="BP454" s="78">
        <f>IFERROR(1/J454*(Y454/H454),"0")</f>
        <v>9.375E-2</v>
      </c>
    </row>
    <row r="455" spans="1:68" ht="27" hidden="1" customHeight="1" x14ac:dyDescent="0.25">
      <c r="A455" s="63" t="s">
        <v>757</v>
      </c>
      <c r="B455" s="63" t="s">
        <v>758</v>
      </c>
      <c r="C455" s="36">
        <v>4301052220</v>
      </c>
      <c r="D455" s="733">
        <v>4680115889538</v>
      </c>
      <c r="E455" s="733"/>
      <c r="F455" s="62">
        <v>0.8</v>
      </c>
      <c r="G455" s="37">
        <v>6</v>
      </c>
      <c r="H455" s="62">
        <v>4.8</v>
      </c>
      <c r="I455" s="62">
        <v>5.2160000000000002</v>
      </c>
      <c r="J455" s="37">
        <v>104</v>
      </c>
      <c r="K455" s="37" t="s">
        <v>127</v>
      </c>
      <c r="L455" s="37" t="s">
        <v>46</v>
      </c>
      <c r="M455" s="38" t="s">
        <v>90</v>
      </c>
      <c r="N455" s="38"/>
      <c r="O455" s="37">
        <v>45</v>
      </c>
      <c r="P455" s="982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5" s="735"/>
      <c r="R455" s="735"/>
      <c r="S455" s="735"/>
      <c r="T455" s="736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IFERROR(IF(Y455=0,"",ROUNDUP(Y455/H455,0)*0.01196),"")</f>
        <v/>
      </c>
      <c r="AA455" s="68" t="s">
        <v>46</v>
      </c>
      <c r="AB455" s="69" t="s">
        <v>46</v>
      </c>
      <c r="AC455" s="568" t="s">
        <v>759</v>
      </c>
      <c r="AG455" s="78"/>
      <c r="AJ455" s="84" t="s">
        <v>46</v>
      </c>
      <c r="AK455" s="84">
        <v>0</v>
      </c>
      <c r="BB455" s="569" t="s">
        <v>67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x14ac:dyDescent="0.2">
      <c r="A456" s="741"/>
      <c r="B456" s="741"/>
      <c r="C456" s="741"/>
      <c r="D456" s="741"/>
      <c r="E456" s="741"/>
      <c r="F456" s="741"/>
      <c r="G456" s="741"/>
      <c r="H456" s="741"/>
      <c r="I456" s="741"/>
      <c r="J456" s="741"/>
      <c r="K456" s="741"/>
      <c r="L456" s="741"/>
      <c r="M456" s="741"/>
      <c r="N456" s="741"/>
      <c r="O456" s="742"/>
      <c r="P456" s="738" t="s">
        <v>40</v>
      </c>
      <c r="Q456" s="739"/>
      <c r="R456" s="739"/>
      <c r="S456" s="739"/>
      <c r="T456" s="739"/>
      <c r="U456" s="739"/>
      <c r="V456" s="740"/>
      <c r="W456" s="42" t="s">
        <v>39</v>
      </c>
      <c r="X456" s="43">
        <f>IFERROR(X453/H453,"0")+IFERROR(X454/H454,"0")+IFERROR(X455/H455,"0")</f>
        <v>5.5555555555555554</v>
      </c>
      <c r="Y456" s="43">
        <f>IFERROR(Y453/H453,"0")+IFERROR(Y454/H454,"0")+IFERROR(Y455/H455,"0")</f>
        <v>6</v>
      </c>
      <c r="Z456" s="43">
        <f>IFERROR(IF(Z453="",0,Z453),"0")+IFERROR(IF(Z454="",0,Z454),"0")+IFERROR(IF(Z455="",0,Z455),"0")</f>
        <v>0.11388000000000001</v>
      </c>
      <c r="AA456" s="67"/>
      <c r="AB456" s="67"/>
      <c r="AC456" s="67"/>
    </row>
    <row r="457" spans="1:68" x14ac:dyDescent="0.2">
      <c r="A457" s="741"/>
      <c r="B457" s="741"/>
      <c r="C457" s="741"/>
      <c r="D457" s="741"/>
      <c r="E457" s="741"/>
      <c r="F457" s="741"/>
      <c r="G457" s="741"/>
      <c r="H457" s="741"/>
      <c r="I457" s="741"/>
      <c r="J457" s="741"/>
      <c r="K457" s="741"/>
      <c r="L457" s="741"/>
      <c r="M457" s="741"/>
      <c r="N457" s="741"/>
      <c r="O457" s="742"/>
      <c r="P457" s="738" t="s">
        <v>40</v>
      </c>
      <c r="Q457" s="739"/>
      <c r="R457" s="739"/>
      <c r="S457" s="739"/>
      <c r="T457" s="739"/>
      <c r="U457" s="739"/>
      <c r="V457" s="740"/>
      <c r="W457" s="42" t="s">
        <v>0</v>
      </c>
      <c r="X457" s="43">
        <f>IFERROR(SUM(X453:X455),"0")</f>
        <v>50</v>
      </c>
      <c r="Y457" s="43">
        <f>IFERROR(SUM(Y453:Y455),"0")</f>
        <v>54</v>
      </c>
      <c r="Z457" s="42"/>
      <c r="AA457" s="67"/>
      <c r="AB457" s="67"/>
      <c r="AC457" s="67"/>
    </row>
    <row r="458" spans="1:68" ht="14.25" hidden="1" customHeight="1" x14ac:dyDescent="0.25">
      <c r="A458" s="732" t="s">
        <v>173</v>
      </c>
      <c r="B458" s="732"/>
      <c r="C458" s="732"/>
      <c r="D458" s="732"/>
      <c r="E458" s="732"/>
      <c r="F458" s="732"/>
      <c r="G458" s="732"/>
      <c r="H458" s="732"/>
      <c r="I458" s="732"/>
      <c r="J458" s="732"/>
      <c r="K458" s="732"/>
      <c r="L458" s="732"/>
      <c r="M458" s="732"/>
      <c r="N458" s="732"/>
      <c r="O458" s="732"/>
      <c r="P458" s="732"/>
      <c r="Q458" s="732"/>
      <c r="R458" s="732"/>
      <c r="S458" s="732"/>
      <c r="T458" s="732"/>
      <c r="U458" s="732"/>
      <c r="V458" s="732"/>
      <c r="W458" s="732"/>
      <c r="X458" s="732"/>
      <c r="Y458" s="732"/>
      <c r="Z458" s="732"/>
      <c r="AA458" s="66"/>
      <c r="AB458" s="66"/>
      <c r="AC458" s="80"/>
    </row>
    <row r="459" spans="1:68" ht="27" hidden="1" customHeight="1" x14ac:dyDescent="0.25">
      <c r="A459" s="63" t="s">
        <v>760</v>
      </c>
      <c r="B459" s="63" t="s">
        <v>761</v>
      </c>
      <c r="C459" s="36">
        <v>4301060537</v>
      </c>
      <c r="D459" s="733">
        <v>4680115889545</v>
      </c>
      <c r="E459" s="733"/>
      <c r="F459" s="62">
        <v>0.7</v>
      </c>
      <c r="G459" s="37">
        <v>6</v>
      </c>
      <c r="H459" s="62">
        <v>4.2</v>
      </c>
      <c r="I459" s="62">
        <v>4.6159999999999997</v>
      </c>
      <c r="J459" s="37">
        <v>104</v>
      </c>
      <c r="K459" s="37" t="s">
        <v>127</v>
      </c>
      <c r="L459" s="37" t="s">
        <v>46</v>
      </c>
      <c r="M459" s="38" t="s">
        <v>90</v>
      </c>
      <c r="N459" s="38"/>
      <c r="O459" s="37">
        <v>30</v>
      </c>
      <c r="P459" s="983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9" s="735"/>
      <c r="R459" s="735"/>
      <c r="S459" s="735"/>
      <c r="T459" s="736"/>
      <c r="U459" s="39" t="s">
        <v>46</v>
      </c>
      <c r="V459" s="39" t="s">
        <v>46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IFERROR(IF(Y459=0,"",ROUNDUP(Y459/H459,0)*0.01196),"")</f>
        <v/>
      </c>
      <c r="AA459" s="68" t="s">
        <v>46</v>
      </c>
      <c r="AB459" s="69" t="s">
        <v>46</v>
      </c>
      <c r="AC459" s="570" t="s">
        <v>762</v>
      </c>
      <c r="AG459" s="78"/>
      <c r="AJ459" s="84" t="s">
        <v>46</v>
      </c>
      <c r="AK459" s="84">
        <v>0</v>
      </c>
      <c r="BB459" s="571" t="s">
        <v>67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ht="16.5" customHeight="1" x14ac:dyDescent="0.25">
      <c r="A460" s="63" t="s">
        <v>763</v>
      </c>
      <c r="B460" s="63" t="s">
        <v>764</v>
      </c>
      <c r="C460" s="36">
        <v>4301060524</v>
      </c>
      <c r="D460" s="733">
        <v>4607091384673</v>
      </c>
      <c r="E460" s="733"/>
      <c r="F460" s="62">
        <v>1.5</v>
      </c>
      <c r="G460" s="37">
        <v>6</v>
      </c>
      <c r="H460" s="62">
        <v>9</v>
      </c>
      <c r="I460" s="62">
        <v>9.4939999999999998</v>
      </c>
      <c r="J460" s="37">
        <v>64</v>
      </c>
      <c r="K460" s="37" t="s">
        <v>127</v>
      </c>
      <c r="L460" s="37" t="s">
        <v>46</v>
      </c>
      <c r="M460" s="38" t="s">
        <v>90</v>
      </c>
      <c r="N460" s="38"/>
      <c r="O460" s="37">
        <v>40</v>
      </c>
      <c r="P460" s="98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60" s="735"/>
      <c r="R460" s="735"/>
      <c r="S460" s="735"/>
      <c r="T460" s="736"/>
      <c r="U460" s="39" t="s">
        <v>46</v>
      </c>
      <c r="V460" s="39" t="s">
        <v>46</v>
      </c>
      <c r="W460" s="40" t="s">
        <v>0</v>
      </c>
      <c r="X460" s="58">
        <v>50</v>
      </c>
      <c r="Y460" s="55">
        <f>IFERROR(IF(X460="",0,CEILING((X460/$H460),1)*$H460),"")</f>
        <v>54</v>
      </c>
      <c r="Z460" s="41">
        <f>IFERROR(IF(Y460=0,"",ROUNDUP(Y460/H460,0)*0.01898),"")</f>
        <v>0.11388000000000001</v>
      </c>
      <c r="AA460" s="68" t="s">
        <v>46</v>
      </c>
      <c r="AB460" s="69" t="s">
        <v>46</v>
      </c>
      <c r="AC460" s="572" t="s">
        <v>765</v>
      </c>
      <c r="AG460" s="78"/>
      <c r="AJ460" s="84" t="s">
        <v>46</v>
      </c>
      <c r="AK460" s="84">
        <v>0</v>
      </c>
      <c r="BB460" s="573" t="s">
        <v>67</v>
      </c>
      <c r="BM460" s="78">
        <f>IFERROR(X460*I460/H460,"0")</f>
        <v>52.74444444444444</v>
      </c>
      <c r="BN460" s="78">
        <f>IFERROR(Y460*I460/H460,"0")</f>
        <v>56.963999999999992</v>
      </c>
      <c r="BO460" s="78">
        <f>IFERROR(1/J460*(X460/H460),"0")</f>
        <v>8.6805555555555552E-2</v>
      </c>
      <c r="BP460" s="78">
        <f>IFERROR(1/J460*(Y460/H460),"0")</f>
        <v>9.375E-2</v>
      </c>
    </row>
    <row r="461" spans="1:68" x14ac:dyDescent="0.2">
      <c r="A461" s="741"/>
      <c r="B461" s="741"/>
      <c r="C461" s="741"/>
      <c r="D461" s="741"/>
      <c r="E461" s="741"/>
      <c r="F461" s="741"/>
      <c r="G461" s="741"/>
      <c r="H461" s="741"/>
      <c r="I461" s="741"/>
      <c r="J461" s="741"/>
      <c r="K461" s="741"/>
      <c r="L461" s="741"/>
      <c r="M461" s="741"/>
      <c r="N461" s="741"/>
      <c r="O461" s="742"/>
      <c r="P461" s="738" t="s">
        <v>40</v>
      </c>
      <c r="Q461" s="739"/>
      <c r="R461" s="739"/>
      <c r="S461" s="739"/>
      <c r="T461" s="739"/>
      <c r="U461" s="739"/>
      <c r="V461" s="740"/>
      <c r="W461" s="42" t="s">
        <v>39</v>
      </c>
      <c r="X461" s="43">
        <f>IFERROR(X459/H459,"0")+IFERROR(X460/H460,"0")</f>
        <v>5.5555555555555554</v>
      </c>
      <c r="Y461" s="43">
        <f>IFERROR(Y459/H459,"0")+IFERROR(Y460/H460,"0")</f>
        <v>6</v>
      </c>
      <c r="Z461" s="43">
        <f>IFERROR(IF(Z459="",0,Z459),"0")+IFERROR(IF(Z460="",0,Z460),"0")</f>
        <v>0.11388000000000001</v>
      </c>
      <c r="AA461" s="67"/>
      <c r="AB461" s="67"/>
      <c r="AC461" s="67"/>
    </row>
    <row r="462" spans="1:68" x14ac:dyDescent="0.2">
      <c r="A462" s="741"/>
      <c r="B462" s="741"/>
      <c r="C462" s="741"/>
      <c r="D462" s="741"/>
      <c r="E462" s="741"/>
      <c r="F462" s="741"/>
      <c r="G462" s="741"/>
      <c r="H462" s="741"/>
      <c r="I462" s="741"/>
      <c r="J462" s="741"/>
      <c r="K462" s="741"/>
      <c r="L462" s="741"/>
      <c r="M462" s="741"/>
      <c r="N462" s="741"/>
      <c r="O462" s="742"/>
      <c r="P462" s="738" t="s">
        <v>40</v>
      </c>
      <c r="Q462" s="739"/>
      <c r="R462" s="739"/>
      <c r="S462" s="739"/>
      <c r="T462" s="739"/>
      <c r="U462" s="739"/>
      <c r="V462" s="740"/>
      <c r="W462" s="42" t="s">
        <v>0</v>
      </c>
      <c r="X462" s="43">
        <f>IFERROR(SUM(X459:X460),"0")</f>
        <v>50</v>
      </c>
      <c r="Y462" s="43">
        <f>IFERROR(SUM(Y459:Y460),"0")</f>
        <v>54</v>
      </c>
      <c r="Z462" s="42"/>
      <c r="AA462" s="67"/>
      <c r="AB462" s="67"/>
      <c r="AC462" s="67"/>
    </row>
    <row r="463" spans="1:68" ht="16.5" hidden="1" customHeight="1" x14ac:dyDescent="0.25">
      <c r="A463" s="731" t="s">
        <v>766</v>
      </c>
      <c r="B463" s="731"/>
      <c r="C463" s="731"/>
      <c r="D463" s="731"/>
      <c r="E463" s="731"/>
      <c r="F463" s="731"/>
      <c r="G463" s="731"/>
      <c r="H463" s="731"/>
      <c r="I463" s="731"/>
      <c r="J463" s="731"/>
      <c r="K463" s="731"/>
      <c r="L463" s="731"/>
      <c r="M463" s="731"/>
      <c r="N463" s="731"/>
      <c r="O463" s="731"/>
      <c r="P463" s="731"/>
      <c r="Q463" s="731"/>
      <c r="R463" s="731"/>
      <c r="S463" s="731"/>
      <c r="T463" s="731"/>
      <c r="U463" s="731"/>
      <c r="V463" s="731"/>
      <c r="W463" s="731"/>
      <c r="X463" s="731"/>
      <c r="Y463" s="731"/>
      <c r="Z463" s="731"/>
      <c r="AA463" s="65"/>
      <c r="AB463" s="65"/>
      <c r="AC463" s="79"/>
    </row>
    <row r="464" spans="1:68" ht="14.25" hidden="1" customHeight="1" x14ac:dyDescent="0.25">
      <c r="A464" s="732" t="s">
        <v>122</v>
      </c>
      <c r="B464" s="732"/>
      <c r="C464" s="732"/>
      <c r="D464" s="732"/>
      <c r="E464" s="732"/>
      <c r="F464" s="732"/>
      <c r="G464" s="732"/>
      <c r="H464" s="732"/>
      <c r="I464" s="732"/>
      <c r="J464" s="732"/>
      <c r="K464" s="732"/>
      <c r="L464" s="732"/>
      <c r="M464" s="732"/>
      <c r="N464" s="732"/>
      <c r="O464" s="732"/>
      <c r="P464" s="732"/>
      <c r="Q464" s="732"/>
      <c r="R464" s="732"/>
      <c r="S464" s="732"/>
      <c r="T464" s="732"/>
      <c r="U464" s="732"/>
      <c r="V464" s="732"/>
      <c r="W464" s="732"/>
      <c r="X464" s="732"/>
      <c r="Y464" s="732"/>
      <c r="Z464" s="732"/>
      <c r="AA464" s="66"/>
      <c r="AB464" s="66"/>
      <c r="AC464" s="80"/>
    </row>
    <row r="465" spans="1:68" ht="27" hidden="1" customHeight="1" x14ac:dyDescent="0.25">
      <c r="A465" s="63" t="s">
        <v>767</v>
      </c>
      <c r="B465" s="63" t="s">
        <v>768</v>
      </c>
      <c r="C465" s="36">
        <v>4301011875</v>
      </c>
      <c r="D465" s="733">
        <v>4680115884885</v>
      </c>
      <c r="E465" s="733"/>
      <c r="F465" s="62">
        <v>0.8</v>
      </c>
      <c r="G465" s="37">
        <v>15</v>
      </c>
      <c r="H465" s="62">
        <v>12</v>
      </c>
      <c r="I465" s="62">
        <v>12.41</v>
      </c>
      <c r="J465" s="37">
        <v>64</v>
      </c>
      <c r="K465" s="37" t="s">
        <v>127</v>
      </c>
      <c r="L465" s="37" t="s">
        <v>46</v>
      </c>
      <c r="M465" s="38" t="s">
        <v>81</v>
      </c>
      <c r="N465" s="38"/>
      <c r="O465" s="37">
        <v>60</v>
      </c>
      <c r="P465" s="98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5" s="735"/>
      <c r="R465" s="735"/>
      <c r="S465" s="735"/>
      <c r="T465" s="736"/>
      <c r="U465" s="39" t="s">
        <v>46</v>
      </c>
      <c r="V465" s="39" t="s">
        <v>46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IFERROR(IF(Y465=0,"",ROUNDUP(Y465/H465,0)*0.01898),"")</f>
        <v/>
      </c>
      <c r="AA465" s="68" t="s">
        <v>46</v>
      </c>
      <c r="AB465" s="69" t="s">
        <v>46</v>
      </c>
      <c r="AC465" s="574" t="s">
        <v>769</v>
      </c>
      <c r="AG465" s="78"/>
      <c r="AJ465" s="84" t="s">
        <v>46</v>
      </c>
      <c r="AK465" s="84">
        <v>0</v>
      </c>
      <c r="BB465" s="575" t="s">
        <v>67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t="37.5" hidden="1" customHeight="1" x14ac:dyDescent="0.25">
      <c r="A466" s="63" t="s">
        <v>770</v>
      </c>
      <c r="B466" s="63" t="s">
        <v>771</v>
      </c>
      <c r="C466" s="36">
        <v>4301011871</v>
      </c>
      <c r="D466" s="733">
        <v>4680115884908</v>
      </c>
      <c r="E466" s="733"/>
      <c r="F466" s="62">
        <v>0.4</v>
      </c>
      <c r="G466" s="37">
        <v>10</v>
      </c>
      <c r="H466" s="62">
        <v>4</v>
      </c>
      <c r="I466" s="62">
        <v>4.1900000000000004</v>
      </c>
      <c r="J466" s="37">
        <v>132</v>
      </c>
      <c r="K466" s="37" t="s">
        <v>134</v>
      </c>
      <c r="L466" s="37" t="s">
        <v>46</v>
      </c>
      <c r="M466" s="38" t="s">
        <v>81</v>
      </c>
      <c r="N466" s="38"/>
      <c r="O466" s="37">
        <v>60</v>
      </c>
      <c r="P466" s="98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6" s="735"/>
      <c r="R466" s="735"/>
      <c r="S466" s="735"/>
      <c r="T466" s="736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IFERROR(IF(Y466=0,"",ROUNDUP(Y466/H466,0)*0.00902),"")</f>
        <v/>
      </c>
      <c r="AA466" s="68" t="s">
        <v>46</v>
      </c>
      <c r="AB466" s="69" t="s">
        <v>46</v>
      </c>
      <c r="AC466" s="576" t="s">
        <v>769</v>
      </c>
      <c r="AG466" s="78"/>
      <c r="AJ466" s="84" t="s">
        <v>46</v>
      </c>
      <c r="AK466" s="84">
        <v>0</v>
      </c>
      <c r="BB466" s="577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idden="1" x14ac:dyDescent="0.2">
      <c r="A467" s="741"/>
      <c r="B467" s="741"/>
      <c r="C467" s="741"/>
      <c r="D467" s="741"/>
      <c r="E467" s="741"/>
      <c r="F467" s="741"/>
      <c r="G467" s="741"/>
      <c r="H467" s="741"/>
      <c r="I467" s="741"/>
      <c r="J467" s="741"/>
      <c r="K467" s="741"/>
      <c r="L467" s="741"/>
      <c r="M467" s="741"/>
      <c r="N467" s="741"/>
      <c r="O467" s="742"/>
      <c r="P467" s="738" t="s">
        <v>40</v>
      </c>
      <c r="Q467" s="739"/>
      <c r="R467" s="739"/>
      <c r="S467" s="739"/>
      <c r="T467" s="739"/>
      <c r="U467" s="739"/>
      <c r="V467" s="740"/>
      <c r="W467" s="42" t="s">
        <v>39</v>
      </c>
      <c r="X467" s="43">
        <f>IFERROR(X465/H465,"0")+IFERROR(X466/H466,"0")</f>
        <v>0</v>
      </c>
      <c r="Y467" s="43">
        <f>IFERROR(Y465/H465,"0")+IFERROR(Y466/H466,"0")</f>
        <v>0</v>
      </c>
      <c r="Z467" s="43">
        <f>IFERROR(IF(Z465="",0,Z465),"0")+IFERROR(IF(Z466="",0,Z466),"0")</f>
        <v>0</v>
      </c>
      <c r="AA467" s="67"/>
      <c r="AB467" s="67"/>
      <c r="AC467" s="67"/>
    </row>
    <row r="468" spans="1:68" hidden="1" x14ac:dyDescent="0.2">
      <c r="A468" s="741"/>
      <c r="B468" s="741"/>
      <c r="C468" s="741"/>
      <c r="D468" s="741"/>
      <c r="E468" s="741"/>
      <c r="F468" s="741"/>
      <c r="G468" s="741"/>
      <c r="H468" s="741"/>
      <c r="I468" s="741"/>
      <c r="J468" s="741"/>
      <c r="K468" s="741"/>
      <c r="L468" s="741"/>
      <c r="M468" s="741"/>
      <c r="N468" s="741"/>
      <c r="O468" s="742"/>
      <c r="P468" s="738" t="s">
        <v>40</v>
      </c>
      <c r="Q468" s="739"/>
      <c r="R468" s="739"/>
      <c r="S468" s="739"/>
      <c r="T468" s="739"/>
      <c r="U468" s="739"/>
      <c r="V468" s="740"/>
      <c r="W468" s="42" t="s">
        <v>0</v>
      </c>
      <c r="X468" s="43">
        <f>IFERROR(SUM(X465:X466),"0")</f>
        <v>0</v>
      </c>
      <c r="Y468" s="43">
        <f>IFERROR(SUM(Y465:Y466),"0")</f>
        <v>0</v>
      </c>
      <c r="Z468" s="42"/>
      <c r="AA468" s="67"/>
      <c r="AB468" s="67"/>
      <c r="AC468" s="67"/>
    </row>
    <row r="469" spans="1:68" ht="14.25" hidden="1" customHeight="1" x14ac:dyDescent="0.25">
      <c r="A469" s="732" t="s">
        <v>77</v>
      </c>
      <c r="B469" s="732"/>
      <c r="C469" s="732"/>
      <c r="D469" s="732"/>
      <c r="E469" s="732"/>
      <c r="F469" s="732"/>
      <c r="G469" s="732"/>
      <c r="H469" s="732"/>
      <c r="I469" s="732"/>
      <c r="J469" s="732"/>
      <c r="K469" s="732"/>
      <c r="L469" s="732"/>
      <c r="M469" s="732"/>
      <c r="N469" s="732"/>
      <c r="O469" s="732"/>
      <c r="P469" s="732"/>
      <c r="Q469" s="732"/>
      <c r="R469" s="732"/>
      <c r="S469" s="732"/>
      <c r="T469" s="732"/>
      <c r="U469" s="732"/>
      <c r="V469" s="732"/>
      <c r="W469" s="732"/>
      <c r="X469" s="732"/>
      <c r="Y469" s="732"/>
      <c r="Z469" s="732"/>
      <c r="AA469" s="66"/>
      <c r="AB469" s="66"/>
      <c r="AC469" s="80"/>
    </row>
    <row r="470" spans="1:68" ht="27" hidden="1" customHeight="1" x14ac:dyDescent="0.25">
      <c r="A470" s="63" t="s">
        <v>772</v>
      </c>
      <c r="B470" s="63" t="s">
        <v>773</v>
      </c>
      <c r="C470" s="36">
        <v>4301031457</v>
      </c>
      <c r="D470" s="733">
        <v>4607091384802</v>
      </c>
      <c r="E470" s="733"/>
      <c r="F470" s="62">
        <v>0.7</v>
      </c>
      <c r="G470" s="37">
        <v>6</v>
      </c>
      <c r="H470" s="62">
        <v>4.2</v>
      </c>
      <c r="I470" s="62">
        <v>4.45</v>
      </c>
      <c r="J470" s="37">
        <v>132</v>
      </c>
      <c r="K470" s="37" t="s">
        <v>134</v>
      </c>
      <c r="L470" s="37" t="s">
        <v>46</v>
      </c>
      <c r="M470" s="38" t="s">
        <v>81</v>
      </c>
      <c r="N470" s="38"/>
      <c r="O470" s="37">
        <v>50</v>
      </c>
      <c r="P470" s="987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70" s="735"/>
      <c r="R470" s="735"/>
      <c r="S470" s="735"/>
      <c r="T470" s="736"/>
      <c r="U470" s="39" t="s">
        <v>46</v>
      </c>
      <c r="V470" s="39" t="s">
        <v>46</v>
      </c>
      <c r="W470" s="40" t="s">
        <v>0</v>
      </c>
      <c r="X470" s="58">
        <v>0</v>
      </c>
      <c r="Y470" s="55">
        <f>IFERROR(IF(X470="",0,CEILING((X470/$H470),1)*$H470),"")</f>
        <v>0</v>
      </c>
      <c r="Z470" s="41" t="str">
        <f>IFERROR(IF(Y470=0,"",ROUNDUP(Y470/H470,0)*0.00902),"")</f>
        <v/>
      </c>
      <c r="AA470" s="68" t="s">
        <v>46</v>
      </c>
      <c r="AB470" s="69" t="s">
        <v>46</v>
      </c>
      <c r="AC470" s="578" t="s">
        <v>774</v>
      </c>
      <c r="AG470" s="78"/>
      <c r="AJ470" s="84" t="s">
        <v>46</v>
      </c>
      <c r="AK470" s="84">
        <v>0</v>
      </c>
      <c r="BB470" s="579" t="s">
        <v>67</v>
      </c>
      <c r="BM470" s="78">
        <f>IFERROR(X470*I470/H470,"0")</f>
        <v>0</v>
      </c>
      <c r="BN470" s="78">
        <f>IFERROR(Y470*I470/H470,"0")</f>
        <v>0</v>
      </c>
      <c r="BO470" s="78">
        <f>IFERROR(1/J470*(X470/H470),"0")</f>
        <v>0</v>
      </c>
      <c r="BP470" s="78">
        <f>IFERROR(1/J470*(Y470/H470),"0")</f>
        <v>0</v>
      </c>
    </row>
    <row r="471" spans="1:68" hidden="1" x14ac:dyDescent="0.2">
      <c r="A471" s="741"/>
      <c r="B471" s="741"/>
      <c r="C471" s="741"/>
      <c r="D471" s="741"/>
      <c r="E471" s="741"/>
      <c r="F471" s="741"/>
      <c r="G471" s="741"/>
      <c r="H471" s="741"/>
      <c r="I471" s="741"/>
      <c r="J471" s="741"/>
      <c r="K471" s="741"/>
      <c r="L471" s="741"/>
      <c r="M471" s="741"/>
      <c r="N471" s="741"/>
      <c r="O471" s="742"/>
      <c r="P471" s="738" t="s">
        <v>40</v>
      </c>
      <c r="Q471" s="739"/>
      <c r="R471" s="739"/>
      <c r="S471" s="739"/>
      <c r="T471" s="739"/>
      <c r="U471" s="739"/>
      <c r="V471" s="740"/>
      <c r="W471" s="42" t="s">
        <v>39</v>
      </c>
      <c r="X471" s="43">
        <f>IFERROR(X470/H470,"0")</f>
        <v>0</v>
      </c>
      <c r="Y471" s="43">
        <f>IFERROR(Y470/H470,"0")</f>
        <v>0</v>
      </c>
      <c r="Z471" s="43">
        <f>IFERROR(IF(Z470="",0,Z470),"0")</f>
        <v>0</v>
      </c>
      <c r="AA471" s="67"/>
      <c r="AB471" s="67"/>
      <c r="AC471" s="67"/>
    </row>
    <row r="472" spans="1:68" hidden="1" x14ac:dyDescent="0.2">
      <c r="A472" s="741"/>
      <c r="B472" s="741"/>
      <c r="C472" s="741"/>
      <c r="D472" s="741"/>
      <c r="E472" s="741"/>
      <c r="F472" s="741"/>
      <c r="G472" s="741"/>
      <c r="H472" s="741"/>
      <c r="I472" s="741"/>
      <c r="J472" s="741"/>
      <c r="K472" s="741"/>
      <c r="L472" s="741"/>
      <c r="M472" s="741"/>
      <c r="N472" s="741"/>
      <c r="O472" s="742"/>
      <c r="P472" s="738" t="s">
        <v>40</v>
      </c>
      <c r="Q472" s="739"/>
      <c r="R472" s="739"/>
      <c r="S472" s="739"/>
      <c r="T472" s="739"/>
      <c r="U472" s="739"/>
      <c r="V472" s="740"/>
      <c r="W472" s="42" t="s">
        <v>0</v>
      </c>
      <c r="X472" s="43">
        <f>IFERROR(SUM(X470:X470),"0")</f>
        <v>0</v>
      </c>
      <c r="Y472" s="43">
        <f>IFERROR(SUM(Y470:Y470),"0")</f>
        <v>0</v>
      </c>
      <c r="Z472" s="42"/>
      <c r="AA472" s="67"/>
      <c r="AB472" s="67"/>
      <c r="AC472" s="67"/>
    </row>
    <row r="473" spans="1:68" ht="14.25" hidden="1" customHeight="1" x14ac:dyDescent="0.25">
      <c r="A473" s="732" t="s">
        <v>86</v>
      </c>
      <c r="B473" s="732"/>
      <c r="C473" s="732"/>
      <c r="D473" s="732"/>
      <c r="E473" s="732"/>
      <c r="F473" s="732"/>
      <c r="G473" s="732"/>
      <c r="H473" s="732"/>
      <c r="I473" s="732"/>
      <c r="J473" s="732"/>
      <c r="K473" s="732"/>
      <c r="L473" s="732"/>
      <c r="M473" s="732"/>
      <c r="N473" s="732"/>
      <c r="O473" s="732"/>
      <c r="P473" s="732"/>
      <c r="Q473" s="732"/>
      <c r="R473" s="732"/>
      <c r="S473" s="732"/>
      <c r="T473" s="732"/>
      <c r="U473" s="732"/>
      <c r="V473" s="732"/>
      <c r="W473" s="732"/>
      <c r="X473" s="732"/>
      <c r="Y473" s="732"/>
      <c r="Z473" s="732"/>
      <c r="AA473" s="66"/>
      <c r="AB473" s="66"/>
      <c r="AC473" s="80"/>
    </row>
    <row r="474" spans="1:68" ht="27" customHeight="1" x14ac:dyDescent="0.25">
      <c r="A474" s="63" t="s">
        <v>775</v>
      </c>
      <c r="B474" s="63" t="s">
        <v>776</v>
      </c>
      <c r="C474" s="36">
        <v>4301051899</v>
      </c>
      <c r="D474" s="733">
        <v>4607091384246</v>
      </c>
      <c r="E474" s="733"/>
      <c r="F474" s="62">
        <v>1.5</v>
      </c>
      <c r="G474" s="37">
        <v>6</v>
      </c>
      <c r="H474" s="62">
        <v>9</v>
      </c>
      <c r="I474" s="62">
        <v>9.4939999999999998</v>
      </c>
      <c r="J474" s="37">
        <v>64</v>
      </c>
      <c r="K474" s="37" t="s">
        <v>127</v>
      </c>
      <c r="L474" s="37" t="s">
        <v>46</v>
      </c>
      <c r="M474" s="38" t="s">
        <v>90</v>
      </c>
      <c r="N474" s="38"/>
      <c r="O474" s="37">
        <v>40</v>
      </c>
      <c r="P474" s="988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4" s="735"/>
      <c r="R474" s="735"/>
      <c r="S474" s="735"/>
      <c r="T474" s="736"/>
      <c r="U474" s="39" t="s">
        <v>46</v>
      </c>
      <c r="V474" s="39" t="s">
        <v>46</v>
      </c>
      <c r="W474" s="40" t="s">
        <v>0</v>
      </c>
      <c r="X474" s="58">
        <v>50</v>
      </c>
      <c r="Y474" s="55">
        <f>IFERROR(IF(X474="",0,CEILING((X474/$H474),1)*$H474),"")</f>
        <v>54</v>
      </c>
      <c r="Z474" s="41">
        <f>IFERROR(IF(Y474=0,"",ROUNDUP(Y474/H474,0)*0.01898),"")</f>
        <v>0.11388000000000001</v>
      </c>
      <c r="AA474" s="68" t="s">
        <v>46</v>
      </c>
      <c r="AB474" s="69" t="s">
        <v>46</v>
      </c>
      <c r="AC474" s="580" t="s">
        <v>777</v>
      </c>
      <c r="AG474" s="78"/>
      <c r="AJ474" s="84" t="s">
        <v>46</v>
      </c>
      <c r="AK474" s="84">
        <v>0</v>
      </c>
      <c r="BB474" s="581" t="s">
        <v>67</v>
      </c>
      <c r="BM474" s="78">
        <f>IFERROR(X474*I474/H474,"0")</f>
        <v>52.74444444444444</v>
      </c>
      <c r="BN474" s="78">
        <f>IFERROR(Y474*I474/H474,"0")</f>
        <v>56.963999999999992</v>
      </c>
      <c r="BO474" s="78">
        <f>IFERROR(1/J474*(X474/H474),"0")</f>
        <v>8.6805555555555552E-2</v>
      </c>
      <c r="BP474" s="78">
        <f>IFERROR(1/J474*(Y474/H474),"0")</f>
        <v>9.375E-2</v>
      </c>
    </row>
    <row r="475" spans="1:68" ht="27" hidden="1" customHeight="1" x14ac:dyDescent="0.25">
      <c r="A475" s="63" t="s">
        <v>778</v>
      </c>
      <c r="B475" s="63" t="s">
        <v>779</v>
      </c>
      <c r="C475" s="36">
        <v>4301051660</v>
      </c>
      <c r="D475" s="733">
        <v>4607091384253</v>
      </c>
      <c r="E475" s="733"/>
      <c r="F475" s="62">
        <v>0.4</v>
      </c>
      <c r="G475" s="37">
        <v>6</v>
      </c>
      <c r="H475" s="62">
        <v>2.4</v>
      </c>
      <c r="I475" s="62">
        <v>2.6640000000000001</v>
      </c>
      <c r="J475" s="37">
        <v>182</v>
      </c>
      <c r="K475" s="37" t="s">
        <v>91</v>
      </c>
      <c r="L475" s="37" t="s">
        <v>46</v>
      </c>
      <c r="M475" s="38" t="s">
        <v>90</v>
      </c>
      <c r="N475" s="38"/>
      <c r="O475" s="37">
        <v>40</v>
      </c>
      <c r="P475" s="98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5" s="735"/>
      <c r="R475" s="735"/>
      <c r="S475" s="735"/>
      <c r="T475" s="736"/>
      <c r="U475" s="39" t="s">
        <v>46</v>
      </c>
      <c r="V475" s="39" t="s">
        <v>46</v>
      </c>
      <c r="W475" s="40" t="s">
        <v>0</v>
      </c>
      <c r="X475" s="58">
        <v>0</v>
      </c>
      <c r="Y475" s="55">
        <f>IFERROR(IF(X475="",0,CEILING((X475/$H475),1)*$H475),"")</f>
        <v>0</v>
      </c>
      <c r="Z475" s="41" t="str">
        <f>IFERROR(IF(Y475=0,"",ROUNDUP(Y475/H475,0)*0.00651),"")</f>
        <v/>
      </c>
      <c r="AA475" s="68" t="s">
        <v>46</v>
      </c>
      <c r="AB475" s="69" t="s">
        <v>46</v>
      </c>
      <c r="AC475" s="582" t="s">
        <v>777</v>
      </c>
      <c r="AG475" s="78"/>
      <c r="AJ475" s="84" t="s">
        <v>46</v>
      </c>
      <c r="AK475" s="84">
        <v>0</v>
      </c>
      <c r="BB475" s="583" t="s">
        <v>67</v>
      </c>
      <c r="BM475" s="78">
        <f>IFERROR(X475*I475/H475,"0")</f>
        <v>0</v>
      </c>
      <c r="BN475" s="78">
        <f>IFERROR(Y475*I475/H475,"0")</f>
        <v>0</v>
      </c>
      <c r="BO475" s="78">
        <f>IFERROR(1/J475*(X475/H475),"0")</f>
        <v>0</v>
      </c>
      <c r="BP475" s="78">
        <f>IFERROR(1/J475*(Y475/H475),"0")</f>
        <v>0</v>
      </c>
    </row>
    <row r="476" spans="1:68" ht="27" hidden="1" customHeight="1" x14ac:dyDescent="0.25">
      <c r="A476" s="63" t="s">
        <v>778</v>
      </c>
      <c r="B476" s="63" t="s">
        <v>780</v>
      </c>
      <c r="C476" s="36">
        <v>4301052069</v>
      </c>
      <c r="D476" s="733">
        <v>4607091384253</v>
      </c>
      <c r="E476" s="733"/>
      <c r="F476" s="62">
        <v>0.4</v>
      </c>
      <c r="G476" s="37">
        <v>6</v>
      </c>
      <c r="H476" s="62">
        <v>2.4</v>
      </c>
      <c r="I476" s="62">
        <v>2.6640000000000001</v>
      </c>
      <c r="J476" s="37">
        <v>182</v>
      </c>
      <c r="K476" s="37" t="s">
        <v>91</v>
      </c>
      <c r="L476" s="37" t="s">
        <v>46</v>
      </c>
      <c r="M476" s="38" t="s">
        <v>90</v>
      </c>
      <c r="N476" s="38"/>
      <c r="O476" s="37">
        <v>40</v>
      </c>
      <c r="P476" s="990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6" s="735"/>
      <c r="R476" s="735"/>
      <c r="S476" s="735"/>
      <c r="T476" s="736"/>
      <c r="U476" s="39" t="s">
        <v>46</v>
      </c>
      <c r="V476" s="39" t="s">
        <v>46</v>
      </c>
      <c r="W476" s="40" t="s">
        <v>0</v>
      </c>
      <c r="X476" s="58">
        <v>0</v>
      </c>
      <c r="Y476" s="55">
        <f>IFERROR(IF(X476="",0,CEILING((X476/$H476),1)*$H476),"")</f>
        <v>0</v>
      </c>
      <c r="Z476" s="41" t="str">
        <f>IFERROR(IF(Y476=0,"",ROUNDUP(Y476/H476,0)*0.00651),"")</f>
        <v/>
      </c>
      <c r="AA476" s="68" t="s">
        <v>46</v>
      </c>
      <c r="AB476" s="69" t="s">
        <v>46</v>
      </c>
      <c r="AC476" s="584" t="s">
        <v>781</v>
      </c>
      <c r="AG476" s="78"/>
      <c r="AJ476" s="84" t="s">
        <v>46</v>
      </c>
      <c r="AK476" s="84">
        <v>0</v>
      </c>
      <c r="BB476" s="585" t="s">
        <v>67</v>
      </c>
      <c r="BM476" s="78">
        <f>IFERROR(X476*I476/H476,"0")</f>
        <v>0</v>
      </c>
      <c r="BN476" s="78">
        <f>IFERROR(Y476*I476/H476,"0")</f>
        <v>0</v>
      </c>
      <c r="BO476" s="78">
        <f>IFERROR(1/J476*(X476/H476),"0")</f>
        <v>0</v>
      </c>
      <c r="BP476" s="78">
        <f>IFERROR(1/J476*(Y476/H476),"0")</f>
        <v>0</v>
      </c>
    </row>
    <row r="477" spans="1:68" x14ac:dyDescent="0.2">
      <c r="A477" s="741"/>
      <c r="B477" s="741"/>
      <c r="C477" s="741"/>
      <c r="D477" s="741"/>
      <c r="E477" s="741"/>
      <c r="F477" s="741"/>
      <c r="G477" s="741"/>
      <c r="H477" s="741"/>
      <c r="I477" s="741"/>
      <c r="J477" s="741"/>
      <c r="K477" s="741"/>
      <c r="L477" s="741"/>
      <c r="M477" s="741"/>
      <c r="N477" s="741"/>
      <c r="O477" s="742"/>
      <c r="P477" s="738" t="s">
        <v>40</v>
      </c>
      <c r="Q477" s="739"/>
      <c r="R477" s="739"/>
      <c r="S477" s="739"/>
      <c r="T477" s="739"/>
      <c r="U477" s="739"/>
      <c r="V477" s="740"/>
      <c r="W477" s="42" t="s">
        <v>39</v>
      </c>
      <c r="X477" s="43">
        <f>IFERROR(X474/H474,"0")+IFERROR(X475/H475,"0")+IFERROR(X476/H476,"0")</f>
        <v>5.5555555555555554</v>
      </c>
      <c r="Y477" s="43">
        <f>IFERROR(Y474/H474,"0")+IFERROR(Y475/H475,"0")+IFERROR(Y476/H476,"0")</f>
        <v>6</v>
      </c>
      <c r="Z477" s="43">
        <f>IFERROR(IF(Z474="",0,Z474),"0")+IFERROR(IF(Z475="",0,Z475),"0")+IFERROR(IF(Z476="",0,Z476),"0")</f>
        <v>0.11388000000000001</v>
      </c>
      <c r="AA477" s="67"/>
      <c r="AB477" s="67"/>
      <c r="AC477" s="67"/>
    </row>
    <row r="478" spans="1:68" x14ac:dyDescent="0.2">
      <c r="A478" s="741"/>
      <c r="B478" s="741"/>
      <c r="C478" s="741"/>
      <c r="D478" s="741"/>
      <c r="E478" s="741"/>
      <c r="F478" s="741"/>
      <c r="G478" s="741"/>
      <c r="H478" s="741"/>
      <c r="I478" s="741"/>
      <c r="J478" s="741"/>
      <c r="K478" s="741"/>
      <c r="L478" s="741"/>
      <c r="M478" s="741"/>
      <c r="N478" s="741"/>
      <c r="O478" s="742"/>
      <c r="P478" s="738" t="s">
        <v>40</v>
      </c>
      <c r="Q478" s="739"/>
      <c r="R478" s="739"/>
      <c r="S478" s="739"/>
      <c r="T478" s="739"/>
      <c r="U478" s="739"/>
      <c r="V478" s="740"/>
      <c r="W478" s="42" t="s">
        <v>0</v>
      </c>
      <c r="X478" s="43">
        <f>IFERROR(SUM(X474:X476),"0")</f>
        <v>50</v>
      </c>
      <c r="Y478" s="43">
        <f>IFERROR(SUM(Y474:Y476),"0")</f>
        <v>54</v>
      </c>
      <c r="Z478" s="42"/>
      <c r="AA478" s="67"/>
      <c r="AB478" s="67"/>
      <c r="AC478" s="67"/>
    </row>
    <row r="479" spans="1:68" ht="27.75" hidden="1" customHeight="1" x14ac:dyDescent="0.2">
      <c r="A479" s="730" t="s">
        <v>782</v>
      </c>
      <c r="B479" s="730"/>
      <c r="C479" s="730"/>
      <c r="D479" s="730"/>
      <c r="E479" s="730"/>
      <c r="F479" s="730"/>
      <c r="G479" s="730"/>
      <c r="H479" s="730"/>
      <c r="I479" s="730"/>
      <c r="J479" s="730"/>
      <c r="K479" s="730"/>
      <c r="L479" s="730"/>
      <c r="M479" s="730"/>
      <c r="N479" s="730"/>
      <c r="O479" s="730"/>
      <c r="P479" s="730"/>
      <c r="Q479" s="730"/>
      <c r="R479" s="730"/>
      <c r="S479" s="730"/>
      <c r="T479" s="730"/>
      <c r="U479" s="730"/>
      <c r="V479" s="730"/>
      <c r="W479" s="730"/>
      <c r="X479" s="730"/>
      <c r="Y479" s="730"/>
      <c r="Z479" s="730"/>
      <c r="AA479" s="54"/>
      <c r="AB479" s="54"/>
      <c r="AC479" s="54"/>
    </row>
    <row r="480" spans="1:68" ht="16.5" hidden="1" customHeight="1" x14ac:dyDescent="0.25">
      <c r="A480" s="731" t="s">
        <v>783</v>
      </c>
      <c r="B480" s="731"/>
      <c r="C480" s="731"/>
      <c r="D480" s="731"/>
      <c r="E480" s="731"/>
      <c r="F480" s="731"/>
      <c r="G480" s="731"/>
      <c r="H480" s="731"/>
      <c r="I480" s="731"/>
      <c r="J480" s="731"/>
      <c r="K480" s="731"/>
      <c r="L480" s="731"/>
      <c r="M480" s="731"/>
      <c r="N480" s="731"/>
      <c r="O480" s="731"/>
      <c r="P480" s="731"/>
      <c r="Q480" s="731"/>
      <c r="R480" s="731"/>
      <c r="S480" s="731"/>
      <c r="T480" s="731"/>
      <c r="U480" s="731"/>
      <c r="V480" s="731"/>
      <c r="W480" s="731"/>
      <c r="X480" s="731"/>
      <c r="Y480" s="731"/>
      <c r="Z480" s="731"/>
      <c r="AA480" s="65"/>
      <c r="AB480" s="65"/>
      <c r="AC480" s="79"/>
    </row>
    <row r="481" spans="1:68" ht="14.25" hidden="1" customHeight="1" x14ac:dyDescent="0.25">
      <c r="A481" s="732" t="s">
        <v>77</v>
      </c>
      <c r="B481" s="732"/>
      <c r="C481" s="732"/>
      <c r="D481" s="732"/>
      <c r="E481" s="732"/>
      <c r="F481" s="732"/>
      <c r="G481" s="732"/>
      <c r="H481" s="732"/>
      <c r="I481" s="732"/>
      <c r="J481" s="732"/>
      <c r="K481" s="732"/>
      <c r="L481" s="732"/>
      <c r="M481" s="732"/>
      <c r="N481" s="732"/>
      <c r="O481" s="732"/>
      <c r="P481" s="732"/>
      <c r="Q481" s="732"/>
      <c r="R481" s="732"/>
      <c r="S481" s="732"/>
      <c r="T481" s="732"/>
      <c r="U481" s="732"/>
      <c r="V481" s="732"/>
      <c r="W481" s="732"/>
      <c r="X481" s="732"/>
      <c r="Y481" s="732"/>
      <c r="Z481" s="732"/>
      <c r="AA481" s="66"/>
      <c r="AB481" s="66"/>
      <c r="AC481" s="80"/>
    </row>
    <row r="482" spans="1:68" ht="27" hidden="1" customHeight="1" x14ac:dyDescent="0.25">
      <c r="A482" s="63" t="s">
        <v>784</v>
      </c>
      <c r="B482" s="63" t="s">
        <v>785</v>
      </c>
      <c r="C482" s="36">
        <v>4301031405</v>
      </c>
      <c r="D482" s="733">
        <v>4680115886100</v>
      </c>
      <c r="E482" s="733"/>
      <c r="F482" s="62">
        <v>0.9</v>
      </c>
      <c r="G482" s="37">
        <v>6</v>
      </c>
      <c r="H482" s="62">
        <v>5.4</v>
      </c>
      <c r="I482" s="62">
        <v>5.59</v>
      </c>
      <c r="J482" s="37">
        <v>132</v>
      </c>
      <c r="K482" s="37" t="s">
        <v>134</v>
      </c>
      <c r="L482" s="37" t="s">
        <v>46</v>
      </c>
      <c r="M482" s="38" t="s">
        <v>81</v>
      </c>
      <c r="N482" s="38"/>
      <c r="O482" s="37">
        <v>50</v>
      </c>
      <c r="P482" s="99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82" s="735"/>
      <c r="R482" s="735"/>
      <c r="S482" s="735"/>
      <c r="T482" s="736"/>
      <c r="U482" s="39" t="s">
        <v>46</v>
      </c>
      <c r="V482" s="39" t="s">
        <v>46</v>
      </c>
      <c r="W482" s="40" t="s">
        <v>0</v>
      </c>
      <c r="X482" s="58">
        <v>0</v>
      </c>
      <c r="Y482" s="55">
        <f t="shared" ref="Y482:Y487" si="75">IFERROR(IF(X482="",0,CEILING((X482/$H482),1)*$H482),"")</f>
        <v>0</v>
      </c>
      <c r="Z482" s="41" t="str">
        <f>IFERROR(IF(Y482=0,"",ROUNDUP(Y482/H482,0)*0.00902),"")</f>
        <v/>
      </c>
      <c r="AA482" s="68" t="s">
        <v>46</v>
      </c>
      <c r="AB482" s="69" t="s">
        <v>46</v>
      </c>
      <c r="AC482" s="586" t="s">
        <v>786</v>
      </c>
      <c r="AG482" s="78"/>
      <c r="AJ482" s="84" t="s">
        <v>46</v>
      </c>
      <c r="AK482" s="84">
        <v>0</v>
      </c>
      <c r="BB482" s="587" t="s">
        <v>67</v>
      </c>
      <c r="BM482" s="78">
        <f t="shared" ref="BM482:BM487" si="76">IFERROR(X482*I482/H482,"0")</f>
        <v>0</v>
      </c>
      <c r="BN482" s="78">
        <f t="shared" ref="BN482:BN487" si="77">IFERROR(Y482*I482/H482,"0")</f>
        <v>0</v>
      </c>
      <c r="BO482" s="78">
        <f t="shared" ref="BO482:BO487" si="78">IFERROR(1/J482*(X482/H482),"0")</f>
        <v>0</v>
      </c>
      <c r="BP482" s="78">
        <f t="shared" ref="BP482:BP487" si="79">IFERROR(1/J482*(Y482/H482),"0")</f>
        <v>0</v>
      </c>
    </row>
    <row r="483" spans="1:68" ht="27" hidden="1" customHeight="1" x14ac:dyDescent="0.25">
      <c r="A483" s="63" t="s">
        <v>787</v>
      </c>
      <c r="B483" s="63" t="s">
        <v>788</v>
      </c>
      <c r="C483" s="36">
        <v>4301031402</v>
      </c>
      <c r="D483" s="733">
        <v>4680115886124</v>
      </c>
      <c r="E483" s="733"/>
      <c r="F483" s="62">
        <v>0.9</v>
      </c>
      <c r="G483" s="37">
        <v>6</v>
      </c>
      <c r="H483" s="62">
        <v>5.4</v>
      </c>
      <c r="I483" s="62">
        <v>5.59</v>
      </c>
      <c r="J483" s="37">
        <v>132</v>
      </c>
      <c r="K483" s="37" t="s">
        <v>134</v>
      </c>
      <c r="L483" s="37" t="s">
        <v>46</v>
      </c>
      <c r="M483" s="38" t="s">
        <v>81</v>
      </c>
      <c r="N483" s="38"/>
      <c r="O483" s="37">
        <v>50</v>
      </c>
      <c r="P483" s="99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3" s="735"/>
      <c r="R483" s="735"/>
      <c r="S483" s="735"/>
      <c r="T483" s="736"/>
      <c r="U483" s="39" t="s">
        <v>46</v>
      </c>
      <c r="V483" s="39" t="s">
        <v>46</v>
      </c>
      <c r="W483" s="40" t="s">
        <v>0</v>
      </c>
      <c r="X483" s="58">
        <v>0</v>
      </c>
      <c r="Y483" s="55">
        <f t="shared" si="75"/>
        <v>0</v>
      </c>
      <c r="Z483" s="41" t="str">
        <f>IFERROR(IF(Y483=0,"",ROUNDUP(Y483/H483,0)*0.00902),"")</f>
        <v/>
      </c>
      <c r="AA483" s="68" t="s">
        <v>46</v>
      </c>
      <c r="AB483" s="69" t="s">
        <v>46</v>
      </c>
      <c r="AC483" s="588" t="s">
        <v>789</v>
      </c>
      <c r="AG483" s="78"/>
      <c r="AJ483" s="84" t="s">
        <v>46</v>
      </c>
      <c r="AK483" s="84">
        <v>0</v>
      </c>
      <c r="BB483" s="589" t="s">
        <v>67</v>
      </c>
      <c r="BM483" s="78">
        <f t="shared" si="76"/>
        <v>0</v>
      </c>
      <c r="BN483" s="78">
        <f t="shared" si="77"/>
        <v>0</v>
      </c>
      <c r="BO483" s="78">
        <f t="shared" si="78"/>
        <v>0</v>
      </c>
      <c r="BP483" s="78">
        <f t="shared" si="79"/>
        <v>0</v>
      </c>
    </row>
    <row r="484" spans="1:68" ht="27" hidden="1" customHeight="1" x14ac:dyDescent="0.25">
      <c r="A484" s="63" t="s">
        <v>790</v>
      </c>
      <c r="B484" s="63" t="s">
        <v>791</v>
      </c>
      <c r="C484" s="36">
        <v>4301031362</v>
      </c>
      <c r="D484" s="733">
        <v>4607091384338</v>
      </c>
      <c r="E484" s="733"/>
      <c r="F484" s="62">
        <v>0.35</v>
      </c>
      <c r="G484" s="37">
        <v>6</v>
      </c>
      <c r="H484" s="62">
        <v>2.1</v>
      </c>
      <c r="I484" s="62">
        <v>2.23</v>
      </c>
      <c r="J484" s="37">
        <v>234</v>
      </c>
      <c r="K484" s="37" t="s">
        <v>82</v>
      </c>
      <c r="L484" s="37" t="s">
        <v>46</v>
      </c>
      <c r="M484" s="38" t="s">
        <v>81</v>
      </c>
      <c r="N484" s="38"/>
      <c r="O484" s="37">
        <v>50</v>
      </c>
      <c r="P484" s="99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4" s="735"/>
      <c r="R484" s="735"/>
      <c r="S484" s="735"/>
      <c r="T484" s="736"/>
      <c r="U484" s="39" t="s">
        <v>46</v>
      </c>
      <c r="V484" s="39" t="s">
        <v>46</v>
      </c>
      <c r="W484" s="40" t="s">
        <v>0</v>
      </c>
      <c r="X484" s="58">
        <v>0</v>
      </c>
      <c r="Y484" s="55">
        <f t="shared" si="75"/>
        <v>0</v>
      </c>
      <c r="Z484" s="41" t="str">
        <f>IFERROR(IF(Y484=0,"",ROUNDUP(Y484/H484,0)*0.00502),"")</f>
        <v/>
      </c>
      <c r="AA484" s="68" t="s">
        <v>46</v>
      </c>
      <c r="AB484" s="69" t="s">
        <v>46</v>
      </c>
      <c r="AC484" s="590" t="s">
        <v>786</v>
      </c>
      <c r="AG484" s="78"/>
      <c r="AJ484" s="84" t="s">
        <v>46</v>
      </c>
      <c r="AK484" s="84">
        <v>0</v>
      </c>
      <c r="BB484" s="591" t="s">
        <v>67</v>
      </c>
      <c r="BM484" s="78">
        <f t="shared" si="76"/>
        <v>0</v>
      </c>
      <c r="BN484" s="78">
        <f t="shared" si="77"/>
        <v>0</v>
      </c>
      <c r="BO484" s="78">
        <f t="shared" si="78"/>
        <v>0</v>
      </c>
      <c r="BP484" s="78">
        <f t="shared" si="79"/>
        <v>0</v>
      </c>
    </row>
    <row r="485" spans="1:68" ht="27" hidden="1" customHeight="1" x14ac:dyDescent="0.25">
      <c r="A485" s="63" t="s">
        <v>792</v>
      </c>
      <c r="B485" s="63" t="s">
        <v>793</v>
      </c>
      <c r="C485" s="36">
        <v>4301031364</v>
      </c>
      <c r="D485" s="733">
        <v>4680115883161</v>
      </c>
      <c r="E485" s="733"/>
      <c r="F485" s="62">
        <v>0.28000000000000003</v>
      </c>
      <c r="G485" s="37">
        <v>6</v>
      </c>
      <c r="H485" s="62">
        <v>1.68</v>
      </c>
      <c r="I485" s="62">
        <v>1.81</v>
      </c>
      <c r="J485" s="37">
        <v>234</v>
      </c>
      <c r="K485" s="37" t="s">
        <v>82</v>
      </c>
      <c r="L485" s="37" t="s">
        <v>46</v>
      </c>
      <c r="M485" s="38" t="s">
        <v>81</v>
      </c>
      <c r="N485" s="38"/>
      <c r="O485" s="37">
        <v>50</v>
      </c>
      <c r="P485" s="99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5" s="735"/>
      <c r="R485" s="735"/>
      <c r="S485" s="735"/>
      <c r="T485" s="736"/>
      <c r="U485" s="39" t="s">
        <v>46</v>
      </c>
      <c r="V485" s="39" t="s">
        <v>46</v>
      </c>
      <c r="W485" s="40" t="s">
        <v>0</v>
      </c>
      <c r="X485" s="58">
        <v>0</v>
      </c>
      <c r="Y485" s="55">
        <f t="shared" si="75"/>
        <v>0</v>
      </c>
      <c r="Z485" s="41" t="str">
        <f>IFERROR(IF(Y485=0,"",ROUNDUP(Y485/H485,0)*0.00502),"")</f>
        <v/>
      </c>
      <c r="AA485" s="68" t="s">
        <v>46</v>
      </c>
      <c r="AB485" s="69" t="s">
        <v>46</v>
      </c>
      <c r="AC485" s="592" t="s">
        <v>794</v>
      </c>
      <c r="AG485" s="78"/>
      <c r="AJ485" s="84" t="s">
        <v>46</v>
      </c>
      <c r="AK485" s="84">
        <v>0</v>
      </c>
      <c r="BB485" s="593" t="s">
        <v>67</v>
      </c>
      <c r="BM485" s="78">
        <f t="shared" si="76"/>
        <v>0</v>
      </c>
      <c r="BN485" s="78">
        <f t="shared" si="77"/>
        <v>0</v>
      </c>
      <c r="BO485" s="78">
        <f t="shared" si="78"/>
        <v>0</v>
      </c>
      <c r="BP485" s="78">
        <f t="shared" si="79"/>
        <v>0</v>
      </c>
    </row>
    <row r="486" spans="1:68" ht="27" hidden="1" customHeight="1" x14ac:dyDescent="0.25">
      <c r="A486" s="63" t="s">
        <v>795</v>
      </c>
      <c r="B486" s="63" t="s">
        <v>796</v>
      </c>
      <c r="C486" s="36">
        <v>4301031358</v>
      </c>
      <c r="D486" s="733">
        <v>4607091389531</v>
      </c>
      <c r="E486" s="733"/>
      <c r="F486" s="62">
        <v>0.35</v>
      </c>
      <c r="G486" s="37">
        <v>6</v>
      </c>
      <c r="H486" s="62">
        <v>2.1</v>
      </c>
      <c r="I486" s="62">
        <v>2.23</v>
      </c>
      <c r="J486" s="37">
        <v>234</v>
      </c>
      <c r="K486" s="37" t="s">
        <v>82</v>
      </c>
      <c r="L486" s="37" t="s">
        <v>46</v>
      </c>
      <c r="M486" s="38" t="s">
        <v>81</v>
      </c>
      <c r="N486" s="38"/>
      <c r="O486" s="37">
        <v>50</v>
      </c>
      <c r="P486" s="99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6" s="735"/>
      <c r="R486" s="735"/>
      <c r="S486" s="735"/>
      <c r="T486" s="736"/>
      <c r="U486" s="39" t="s">
        <v>46</v>
      </c>
      <c r="V486" s="39" t="s">
        <v>46</v>
      </c>
      <c r="W486" s="40" t="s">
        <v>0</v>
      </c>
      <c r="X486" s="58">
        <v>0</v>
      </c>
      <c r="Y486" s="55">
        <f t="shared" si="75"/>
        <v>0</v>
      </c>
      <c r="Z486" s="41" t="str">
        <f>IFERROR(IF(Y486=0,"",ROUNDUP(Y486/H486,0)*0.00502),"")</f>
        <v/>
      </c>
      <c r="AA486" s="68" t="s">
        <v>46</v>
      </c>
      <c r="AB486" s="69" t="s">
        <v>46</v>
      </c>
      <c r="AC486" s="594" t="s">
        <v>797</v>
      </c>
      <c r="AG486" s="78"/>
      <c r="AJ486" s="84" t="s">
        <v>46</v>
      </c>
      <c r="AK486" s="84">
        <v>0</v>
      </c>
      <c r="BB486" s="595" t="s">
        <v>67</v>
      </c>
      <c r="BM486" s="78">
        <f t="shared" si="76"/>
        <v>0</v>
      </c>
      <c r="BN486" s="78">
        <f t="shared" si="77"/>
        <v>0</v>
      </c>
      <c r="BO486" s="78">
        <f t="shared" si="78"/>
        <v>0</v>
      </c>
      <c r="BP486" s="78">
        <f t="shared" si="79"/>
        <v>0</v>
      </c>
    </row>
    <row r="487" spans="1:68" ht="37.5" hidden="1" customHeight="1" x14ac:dyDescent="0.25">
      <c r="A487" s="63" t="s">
        <v>798</v>
      </c>
      <c r="B487" s="63" t="s">
        <v>799</v>
      </c>
      <c r="C487" s="36">
        <v>4301031360</v>
      </c>
      <c r="D487" s="733">
        <v>4607091384345</v>
      </c>
      <c r="E487" s="733"/>
      <c r="F487" s="62">
        <v>0.35</v>
      </c>
      <c r="G487" s="37">
        <v>6</v>
      </c>
      <c r="H487" s="62">
        <v>2.1</v>
      </c>
      <c r="I487" s="62">
        <v>2.23</v>
      </c>
      <c r="J487" s="37">
        <v>234</v>
      </c>
      <c r="K487" s="37" t="s">
        <v>82</v>
      </c>
      <c r="L487" s="37" t="s">
        <v>46</v>
      </c>
      <c r="M487" s="38" t="s">
        <v>81</v>
      </c>
      <c r="N487" s="38"/>
      <c r="O487" s="37">
        <v>50</v>
      </c>
      <c r="P487" s="996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7" s="735"/>
      <c r="R487" s="735"/>
      <c r="S487" s="735"/>
      <c r="T487" s="736"/>
      <c r="U487" s="39" t="s">
        <v>46</v>
      </c>
      <c r="V487" s="39" t="s">
        <v>46</v>
      </c>
      <c r="W487" s="40" t="s">
        <v>0</v>
      </c>
      <c r="X487" s="58">
        <v>0</v>
      </c>
      <c r="Y487" s="55">
        <f t="shared" si="75"/>
        <v>0</v>
      </c>
      <c r="Z487" s="41" t="str">
        <f>IFERROR(IF(Y487=0,"",ROUNDUP(Y487/H487,0)*0.00502),"")</f>
        <v/>
      </c>
      <c r="AA487" s="68" t="s">
        <v>46</v>
      </c>
      <c r="AB487" s="69" t="s">
        <v>46</v>
      </c>
      <c r="AC487" s="596" t="s">
        <v>794</v>
      </c>
      <c r="AG487" s="78"/>
      <c r="AJ487" s="84" t="s">
        <v>46</v>
      </c>
      <c r="AK487" s="84">
        <v>0</v>
      </c>
      <c r="BB487" s="597" t="s">
        <v>67</v>
      </c>
      <c r="BM487" s="78">
        <f t="shared" si="76"/>
        <v>0</v>
      </c>
      <c r="BN487" s="78">
        <f t="shared" si="77"/>
        <v>0</v>
      </c>
      <c r="BO487" s="78">
        <f t="shared" si="78"/>
        <v>0</v>
      </c>
      <c r="BP487" s="78">
        <f t="shared" si="79"/>
        <v>0</v>
      </c>
    </row>
    <row r="488" spans="1:68" hidden="1" x14ac:dyDescent="0.2">
      <c r="A488" s="741"/>
      <c r="B488" s="741"/>
      <c r="C488" s="741"/>
      <c r="D488" s="741"/>
      <c r="E488" s="741"/>
      <c r="F488" s="741"/>
      <c r="G488" s="741"/>
      <c r="H488" s="741"/>
      <c r="I488" s="741"/>
      <c r="J488" s="741"/>
      <c r="K488" s="741"/>
      <c r="L488" s="741"/>
      <c r="M488" s="741"/>
      <c r="N488" s="741"/>
      <c r="O488" s="742"/>
      <c r="P488" s="738" t="s">
        <v>40</v>
      </c>
      <c r="Q488" s="739"/>
      <c r="R488" s="739"/>
      <c r="S488" s="739"/>
      <c r="T488" s="739"/>
      <c r="U488" s="739"/>
      <c r="V488" s="740"/>
      <c r="W488" s="42" t="s">
        <v>39</v>
      </c>
      <c r="X488" s="43">
        <f>IFERROR(X482/H482,"0")+IFERROR(X483/H483,"0")+IFERROR(X484/H484,"0")+IFERROR(X485/H485,"0")+IFERROR(X486/H486,"0")+IFERROR(X487/H487,"0")</f>
        <v>0</v>
      </c>
      <c r="Y488" s="43">
        <f>IFERROR(Y482/H482,"0")+IFERROR(Y483/H483,"0")+IFERROR(Y484/H484,"0")+IFERROR(Y485/H485,"0")+IFERROR(Y486/H486,"0")+IFERROR(Y487/H487,"0")</f>
        <v>0</v>
      </c>
      <c r="Z488" s="43">
        <f>IFERROR(IF(Z482="",0,Z482),"0")+IFERROR(IF(Z483="",0,Z483),"0")+IFERROR(IF(Z484="",0,Z484),"0")+IFERROR(IF(Z485="",0,Z485),"0")+IFERROR(IF(Z486="",0,Z486),"0")+IFERROR(IF(Z487="",0,Z487),"0")</f>
        <v>0</v>
      </c>
      <c r="AA488" s="67"/>
      <c r="AB488" s="67"/>
      <c r="AC488" s="67"/>
    </row>
    <row r="489" spans="1:68" hidden="1" x14ac:dyDescent="0.2">
      <c r="A489" s="741"/>
      <c r="B489" s="741"/>
      <c r="C489" s="741"/>
      <c r="D489" s="741"/>
      <c r="E489" s="741"/>
      <c r="F489" s="741"/>
      <c r="G489" s="741"/>
      <c r="H489" s="741"/>
      <c r="I489" s="741"/>
      <c r="J489" s="741"/>
      <c r="K489" s="741"/>
      <c r="L489" s="741"/>
      <c r="M489" s="741"/>
      <c r="N489" s="741"/>
      <c r="O489" s="742"/>
      <c r="P489" s="738" t="s">
        <v>40</v>
      </c>
      <c r="Q489" s="739"/>
      <c r="R489" s="739"/>
      <c r="S489" s="739"/>
      <c r="T489" s="739"/>
      <c r="U489" s="739"/>
      <c r="V489" s="740"/>
      <c r="W489" s="42" t="s">
        <v>0</v>
      </c>
      <c r="X489" s="43">
        <f>IFERROR(SUM(X482:X487),"0")</f>
        <v>0</v>
      </c>
      <c r="Y489" s="43">
        <f>IFERROR(SUM(Y482:Y487),"0")</f>
        <v>0</v>
      </c>
      <c r="Z489" s="42"/>
      <c r="AA489" s="67"/>
      <c r="AB489" s="67"/>
      <c r="AC489" s="67"/>
    </row>
    <row r="490" spans="1:68" ht="14.25" hidden="1" customHeight="1" x14ac:dyDescent="0.25">
      <c r="A490" s="732" t="s">
        <v>86</v>
      </c>
      <c r="B490" s="732"/>
      <c r="C490" s="732"/>
      <c r="D490" s="732"/>
      <c r="E490" s="732"/>
      <c r="F490" s="732"/>
      <c r="G490" s="732"/>
      <c r="H490" s="732"/>
      <c r="I490" s="732"/>
      <c r="J490" s="732"/>
      <c r="K490" s="732"/>
      <c r="L490" s="732"/>
      <c r="M490" s="732"/>
      <c r="N490" s="732"/>
      <c r="O490" s="732"/>
      <c r="P490" s="732"/>
      <c r="Q490" s="732"/>
      <c r="R490" s="732"/>
      <c r="S490" s="732"/>
      <c r="T490" s="732"/>
      <c r="U490" s="732"/>
      <c r="V490" s="732"/>
      <c r="W490" s="732"/>
      <c r="X490" s="732"/>
      <c r="Y490" s="732"/>
      <c r="Z490" s="732"/>
      <c r="AA490" s="66"/>
      <c r="AB490" s="66"/>
      <c r="AC490" s="80"/>
    </row>
    <row r="491" spans="1:68" ht="27" hidden="1" customHeight="1" x14ac:dyDescent="0.25">
      <c r="A491" s="63" t="s">
        <v>800</v>
      </c>
      <c r="B491" s="63" t="s">
        <v>801</v>
      </c>
      <c r="C491" s="36">
        <v>4301051284</v>
      </c>
      <c r="D491" s="733">
        <v>4607091384352</v>
      </c>
      <c r="E491" s="733"/>
      <c r="F491" s="62">
        <v>0.6</v>
      </c>
      <c r="G491" s="37">
        <v>4</v>
      </c>
      <c r="H491" s="62">
        <v>2.4</v>
      </c>
      <c r="I491" s="62">
        <v>2.6259999999999999</v>
      </c>
      <c r="J491" s="37">
        <v>132</v>
      </c>
      <c r="K491" s="37" t="s">
        <v>134</v>
      </c>
      <c r="L491" s="37" t="s">
        <v>46</v>
      </c>
      <c r="M491" s="38" t="s">
        <v>90</v>
      </c>
      <c r="N491" s="38"/>
      <c r="O491" s="37">
        <v>45</v>
      </c>
      <c r="P491" s="99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91" s="735"/>
      <c r="R491" s="735"/>
      <c r="S491" s="735"/>
      <c r="T491" s="736"/>
      <c r="U491" s="39" t="s">
        <v>46</v>
      </c>
      <c r="V491" s="39" t="s">
        <v>46</v>
      </c>
      <c r="W491" s="40" t="s">
        <v>0</v>
      </c>
      <c r="X491" s="58">
        <v>0</v>
      </c>
      <c r="Y491" s="55">
        <f>IFERROR(IF(X491="",0,CEILING((X491/$H491),1)*$H491),"")</f>
        <v>0</v>
      </c>
      <c r="Z491" s="41" t="str">
        <f>IFERROR(IF(Y491=0,"",ROUNDUP(Y491/H491,0)*0.00902),"")</f>
        <v/>
      </c>
      <c r="AA491" s="68" t="s">
        <v>46</v>
      </c>
      <c r="AB491" s="69" t="s">
        <v>46</v>
      </c>
      <c r="AC491" s="598" t="s">
        <v>802</v>
      </c>
      <c r="AG491" s="78"/>
      <c r="AJ491" s="84" t="s">
        <v>46</v>
      </c>
      <c r="AK491" s="84">
        <v>0</v>
      </c>
      <c r="BB491" s="599" t="s">
        <v>67</v>
      </c>
      <c r="BM491" s="78">
        <f>IFERROR(X491*I491/H491,"0")</f>
        <v>0</v>
      </c>
      <c r="BN491" s="78">
        <f>IFERROR(Y491*I491/H491,"0")</f>
        <v>0</v>
      </c>
      <c r="BO491" s="78">
        <f>IFERROR(1/J491*(X491/H491),"0")</f>
        <v>0</v>
      </c>
      <c r="BP491" s="78">
        <f>IFERROR(1/J491*(Y491/H491),"0")</f>
        <v>0</v>
      </c>
    </row>
    <row r="492" spans="1:68" ht="27" hidden="1" customHeight="1" x14ac:dyDescent="0.25">
      <c r="A492" s="63" t="s">
        <v>803</v>
      </c>
      <c r="B492" s="63" t="s">
        <v>804</v>
      </c>
      <c r="C492" s="36">
        <v>4301051431</v>
      </c>
      <c r="D492" s="733">
        <v>4607091389654</v>
      </c>
      <c r="E492" s="733"/>
      <c r="F492" s="62">
        <v>0.33</v>
      </c>
      <c r="G492" s="37">
        <v>6</v>
      </c>
      <c r="H492" s="62">
        <v>1.98</v>
      </c>
      <c r="I492" s="62">
        <v>2.238</v>
      </c>
      <c r="J492" s="37">
        <v>182</v>
      </c>
      <c r="K492" s="37" t="s">
        <v>91</v>
      </c>
      <c r="L492" s="37" t="s">
        <v>46</v>
      </c>
      <c r="M492" s="38" t="s">
        <v>90</v>
      </c>
      <c r="N492" s="38"/>
      <c r="O492" s="37">
        <v>45</v>
      </c>
      <c r="P492" s="99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92" s="735"/>
      <c r="R492" s="735"/>
      <c r="S492" s="735"/>
      <c r="T492" s="736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IFERROR(IF(Y492=0,"",ROUNDUP(Y492/H492,0)*0.00651),"")</f>
        <v/>
      </c>
      <c r="AA492" s="68" t="s">
        <v>46</v>
      </c>
      <c r="AB492" s="69" t="s">
        <v>46</v>
      </c>
      <c r="AC492" s="600" t="s">
        <v>805</v>
      </c>
      <c r="AG492" s="78"/>
      <c r="AJ492" s="84" t="s">
        <v>46</v>
      </c>
      <c r="AK492" s="84">
        <v>0</v>
      </c>
      <c r="BB492" s="601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hidden="1" x14ac:dyDescent="0.2">
      <c r="A493" s="741"/>
      <c r="B493" s="741"/>
      <c r="C493" s="741"/>
      <c r="D493" s="741"/>
      <c r="E493" s="741"/>
      <c r="F493" s="741"/>
      <c r="G493" s="741"/>
      <c r="H493" s="741"/>
      <c r="I493" s="741"/>
      <c r="J493" s="741"/>
      <c r="K493" s="741"/>
      <c r="L493" s="741"/>
      <c r="M493" s="741"/>
      <c r="N493" s="741"/>
      <c r="O493" s="742"/>
      <c r="P493" s="738" t="s">
        <v>40</v>
      </c>
      <c r="Q493" s="739"/>
      <c r="R493" s="739"/>
      <c r="S493" s="739"/>
      <c r="T493" s="739"/>
      <c r="U493" s="739"/>
      <c r="V493" s="740"/>
      <c r="W493" s="42" t="s">
        <v>39</v>
      </c>
      <c r="X493" s="43">
        <f>IFERROR(X491/H491,"0")+IFERROR(X492/H492,"0")</f>
        <v>0</v>
      </c>
      <c r="Y493" s="43">
        <f>IFERROR(Y491/H491,"0")+IFERROR(Y492/H492,"0")</f>
        <v>0</v>
      </c>
      <c r="Z493" s="43">
        <f>IFERROR(IF(Z491="",0,Z491),"0")+IFERROR(IF(Z492="",0,Z492),"0")</f>
        <v>0</v>
      </c>
      <c r="AA493" s="67"/>
      <c r="AB493" s="67"/>
      <c r="AC493" s="67"/>
    </row>
    <row r="494" spans="1:68" hidden="1" x14ac:dyDescent="0.2">
      <c r="A494" s="741"/>
      <c r="B494" s="741"/>
      <c r="C494" s="741"/>
      <c r="D494" s="741"/>
      <c r="E494" s="741"/>
      <c r="F494" s="741"/>
      <c r="G494" s="741"/>
      <c r="H494" s="741"/>
      <c r="I494" s="741"/>
      <c r="J494" s="741"/>
      <c r="K494" s="741"/>
      <c r="L494" s="741"/>
      <c r="M494" s="741"/>
      <c r="N494" s="741"/>
      <c r="O494" s="742"/>
      <c r="P494" s="738" t="s">
        <v>40</v>
      </c>
      <c r="Q494" s="739"/>
      <c r="R494" s="739"/>
      <c r="S494" s="739"/>
      <c r="T494" s="739"/>
      <c r="U494" s="739"/>
      <c r="V494" s="740"/>
      <c r="W494" s="42" t="s">
        <v>0</v>
      </c>
      <c r="X494" s="43">
        <f>IFERROR(SUM(X491:X492),"0")</f>
        <v>0</v>
      </c>
      <c r="Y494" s="43">
        <f>IFERROR(SUM(Y491:Y492),"0")</f>
        <v>0</v>
      </c>
      <c r="Z494" s="42"/>
      <c r="AA494" s="67"/>
      <c r="AB494" s="67"/>
      <c r="AC494" s="67"/>
    </row>
    <row r="495" spans="1:68" ht="16.5" hidden="1" customHeight="1" x14ac:dyDescent="0.25">
      <c r="A495" s="731" t="s">
        <v>806</v>
      </c>
      <c r="B495" s="731"/>
      <c r="C495" s="731"/>
      <c r="D495" s="731"/>
      <c r="E495" s="731"/>
      <c r="F495" s="731"/>
      <c r="G495" s="731"/>
      <c r="H495" s="731"/>
      <c r="I495" s="731"/>
      <c r="J495" s="731"/>
      <c r="K495" s="731"/>
      <c r="L495" s="731"/>
      <c r="M495" s="731"/>
      <c r="N495" s="731"/>
      <c r="O495" s="731"/>
      <c r="P495" s="731"/>
      <c r="Q495" s="731"/>
      <c r="R495" s="731"/>
      <c r="S495" s="731"/>
      <c r="T495" s="731"/>
      <c r="U495" s="731"/>
      <c r="V495" s="731"/>
      <c r="W495" s="731"/>
      <c r="X495" s="731"/>
      <c r="Y495" s="731"/>
      <c r="Z495" s="731"/>
      <c r="AA495" s="65"/>
      <c r="AB495" s="65"/>
      <c r="AC495" s="79"/>
    </row>
    <row r="496" spans="1:68" ht="14.25" hidden="1" customHeight="1" x14ac:dyDescent="0.25">
      <c r="A496" s="732" t="s">
        <v>155</v>
      </c>
      <c r="B496" s="732"/>
      <c r="C496" s="732"/>
      <c r="D496" s="732"/>
      <c r="E496" s="732"/>
      <c r="F496" s="732"/>
      <c r="G496" s="732"/>
      <c r="H496" s="732"/>
      <c r="I496" s="732"/>
      <c r="J496" s="732"/>
      <c r="K496" s="732"/>
      <c r="L496" s="732"/>
      <c r="M496" s="732"/>
      <c r="N496" s="732"/>
      <c r="O496" s="732"/>
      <c r="P496" s="732"/>
      <c r="Q496" s="732"/>
      <c r="R496" s="732"/>
      <c r="S496" s="732"/>
      <c r="T496" s="732"/>
      <c r="U496" s="732"/>
      <c r="V496" s="732"/>
      <c r="W496" s="732"/>
      <c r="X496" s="732"/>
      <c r="Y496" s="732"/>
      <c r="Z496" s="732"/>
      <c r="AA496" s="66"/>
      <c r="AB496" s="66"/>
      <c r="AC496" s="80"/>
    </row>
    <row r="497" spans="1:68" ht="27" hidden="1" customHeight="1" x14ac:dyDescent="0.25">
      <c r="A497" s="63" t="s">
        <v>807</v>
      </c>
      <c r="B497" s="63" t="s">
        <v>808</v>
      </c>
      <c r="C497" s="36">
        <v>4301020416</v>
      </c>
      <c r="D497" s="733">
        <v>4680115885240</v>
      </c>
      <c r="E497" s="733"/>
      <c r="F497" s="62">
        <v>0.35</v>
      </c>
      <c r="G497" s="37">
        <v>6</v>
      </c>
      <c r="H497" s="62">
        <v>2.1</v>
      </c>
      <c r="I497" s="62">
        <v>2.31</v>
      </c>
      <c r="J497" s="37">
        <v>182</v>
      </c>
      <c r="K497" s="37" t="s">
        <v>91</v>
      </c>
      <c r="L497" s="37" t="s">
        <v>46</v>
      </c>
      <c r="M497" s="38" t="s">
        <v>81</v>
      </c>
      <c r="N497" s="38"/>
      <c r="O497" s="37">
        <v>40</v>
      </c>
      <c r="P497" s="999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7" s="735"/>
      <c r="R497" s="735"/>
      <c r="S497" s="735"/>
      <c r="T497" s="736"/>
      <c r="U497" s="39" t="s">
        <v>46</v>
      </c>
      <c r="V497" s="39" t="s">
        <v>46</v>
      </c>
      <c r="W497" s="40" t="s">
        <v>0</v>
      </c>
      <c r="X497" s="58">
        <v>0</v>
      </c>
      <c r="Y497" s="55">
        <f>IFERROR(IF(X497="",0,CEILING((X497/$H497),1)*$H497),"")</f>
        <v>0</v>
      </c>
      <c r="Z497" s="41" t="str">
        <f>IFERROR(IF(Y497=0,"",ROUNDUP(Y497/H497,0)*0.00651),"")</f>
        <v/>
      </c>
      <c r="AA497" s="68" t="s">
        <v>46</v>
      </c>
      <c r="AB497" s="69" t="s">
        <v>46</v>
      </c>
      <c r="AC497" s="602" t="s">
        <v>809</v>
      </c>
      <c r="AG497" s="78"/>
      <c r="AJ497" s="84" t="s">
        <v>46</v>
      </c>
      <c r="AK497" s="84">
        <v>0</v>
      </c>
      <c r="BB497" s="603" t="s">
        <v>67</v>
      </c>
      <c r="BM497" s="78">
        <f>IFERROR(X497*I497/H497,"0")</f>
        <v>0</v>
      </c>
      <c r="BN497" s="78">
        <f>IFERROR(Y497*I497/H497,"0")</f>
        <v>0</v>
      </c>
      <c r="BO497" s="78">
        <f>IFERROR(1/J497*(X497/H497),"0")</f>
        <v>0</v>
      </c>
      <c r="BP497" s="78">
        <f>IFERROR(1/J497*(Y497/H497),"0")</f>
        <v>0</v>
      </c>
    </row>
    <row r="498" spans="1:68" hidden="1" x14ac:dyDescent="0.2">
      <c r="A498" s="741"/>
      <c r="B498" s="741"/>
      <c r="C498" s="741"/>
      <c r="D498" s="741"/>
      <c r="E498" s="741"/>
      <c r="F498" s="741"/>
      <c r="G498" s="741"/>
      <c r="H498" s="741"/>
      <c r="I498" s="741"/>
      <c r="J498" s="741"/>
      <c r="K498" s="741"/>
      <c r="L498" s="741"/>
      <c r="M498" s="741"/>
      <c r="N498" s="741"/>
      <c r="O498" s="742"/>
      <c r="P498" s="738" t="s">
        <v>40</v>
      </c>
      <c r="Q498" s="739"/>
      <c r="R498" s="739"/>
      <c r="S498" s="739"/>
      <c r="T498" s="739"/>
      <c r="U498" s="739"/>
      <c r="V498" s="740"/>
      <c r="W498" s="42" t="s">
        <v>39</v>
      </c>
      <c r="X498" s="43">
        <f>IFERROR(X497/H497,"0")</f>
        <v>0</v>
      </c>
      <c r="Y498" s="43">
        <f>IFERROR(Y497/H497,"0")</f>
        <v>0</v>
      </c>
      <c r="Z498" s="43">
        <f>IFERROR(IF(Z497="",0,Z497),"0")</f>
        <v>0</v>
      </c>
      <c r="AA498" s="67"/>
      <c r="AB498" s="67"/>
      <c r="AC498" s="67"/>
    </row>
    <row r="499" spans="1:68" hidden="1" x14ac:dyDescent="0.2">
      <c r="A499" s="741"/>
      <c r="B499" s="741"/>
      <c r="C499" s="741"/>
      <c r="D499" s="741"/>
      <c r="E499" s="741"/>
      <c r="F499" s="741"/>
      <c r="G499" s="741"/>
      <c r="H499" s="741"/>
      <c r="I499" s="741"/>
      <c r="J499" s="741"/>
      <c r="K499" s="741"/>
      <c r="L499" s="741"/>
      <c r="M499" s="741"/>
      <c r="N499" s="741"/>
      <c r="O499" s="742"/>
      <c r="P499" s="738" t="s">
        <v>40</v>
      </c>
      <c r="Q499" s="739"/>
      <c r="R499" s="739"/>
      <c r="S499" s="739"/>
      <c r="T499" s="739"/>
      <c r="U499" s="739"/>
      <c r="V499" s="740"/>
      <c r="W499" s="42" t="s">
        <v>0</v>
      </c>
      <c r="X499" s="43">
        <f>IFERROR(SUM(X497:X497),"0")</f>
        <v>0</v>
      </c>
      <c r="Y499" s="43">
        <f>IFERROR(SUM(Y497:Y497),"0")</f>
        <v>0</v>
      </c>
      <c r="Z499" s="42"/>
      <c r="AA499" s="67"/>
      <c r="AB499" s="67"/>
      <c r="AC499" s="67"/>
    </row>
    <row r="500" spans="1:68" ht="14.25" hidden="1" customHeight="1" x14ac:dyDescent="0.25">
      <c r="A500" s="732" t="s">
        <v>77</v>
      </c>
      <c r="B500" s="732"/>
      <c r="C500" s="732"/>
      <c r="D500" s="732"/>
      <c r="E500" s="732"/>
      <c r="F500" s="732"/>
      <c r="G500" s="732"/>
      <c r="H500" s="732"/>
      <c r="I500" s="732"/>
      <c r="J500" s="732"/>
      <c r="K500" s="732"/>
      <c r="L500" s="732"/>
      <c r="M500" s="732"/>
      <c r="N500" s="732"/>
      <c r="O500" s="732"/>
      <c r="P500" s="732"/>
      <c r="Q500" s="732"/>
      <c r="R500" s="732"/>
      <c r="S500" s="732"/>
      <c r="T500" s="732"/>
      <c r="U500" s="732"/>
      <c r="V500" s="732"/>
      <c r="W500" s="732"/>
      <c r="X500" s="732"/>
      <c r="Y500" s="732"/>
      <c r="Z500" s="732"/>
      <c r="AA500" s="66"/>
      <c r="AB500" s="66"/>
      <c r="AC500" s="80"/>
    </row>
    <row r="501" spans="1:68" ht="27" hidden="1" customHeight="1" x14ac:dyDescent="0.25">
      <c r="A501" s="63" t="s">
        <v>810</v>
      </c>
      <c r="B501" s="63" t="s">
        <v>811</v>
      </c>
      <c r="C501" s="36">
        <v>4301031407</v>
      </c>
      <c r="D501" s="733">
        <v>4680115886094</v>
      </c>
      <c r="E501" s="733"/>
      <c r="F501" s="62">
        <v>0.9</v>
      </c>
      <c r="G501" s="37">
        <v>6</v>
      </c>
      <c r="H501" s="62">
        <v>5.4</v>
      </c>
      <c r="I501" s="62">
        <v>5.59</v>
      </c>
      <c r="J501" s="37">
        <v>132</v>
      </c>
      <c r="K501" s="37" t="s">
        <v>134</v>
      </c>
      <c r="L501" s="37" t="s">
        <v>46</v>
      </c>
      <c r="M501" s="38" t="s">
        <v>81</v>
      </c>
      <c r="N501" s="38"/>
      <c r="O501" s="37">
        <v>50</v>
      </c>
      <c r="P501" s="1000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501" s="735"/>
      <c r="R501" s="735"/>
      <c r="S501" s="735"/>
      <c r="T501" s="736"/>
      <c r="U501" s="39" t="s">
        <v>46</v>
      </c>
      <c r="V501" s="39" t="s">
        <v>46</v>
      </c>
      <c r="W501" s="40" t="s">
        <v>0</v>
      </c>
      <c r="X501" s="58">
        <v>0</v>
      </c>
      <c r="Y501" s="55">
        <f>IFERROR(IF(X501="",0,CEILING((X501/$H501),1)*$H501),"")</f>
        <v>0</v>
      </c>
      <c r="Z501" s="41" t="str">
        <f>IFERROR(IF(Y501=0,"",ROUNDUP(Y501/H501,0)*0.00902),"")</f>
        <v/>
      </c>
      <c r="AA501" s="68" t="s">
        <v>46</v>
      </c>
      <c r="AB501" s="69" t="s">
        <v>46</v>
      </c>
      <c r="AC501" s="604" t="s">
        <v>812</v>
      </c>
      <c r="AG501" s="78"/>
      <c r="AJ501" s="84" t="s">
        <v>46</v>
      </c>
      <c r="AK501" s="84">
        <v>0</v>
      </c>
      <c r="BB501" s="605" t="s">
        <v>67</v>
      </c>
      <c r="BM501" s="78">
        <f>IFERROR(X501*I501/H501,"0")</f>
        <v>0</v>
      </c>
      <c r="BN501" s="78">
        <f>IFERROR(Y501*I501/H501,"0")</f>
        <v>0</v>
      </c>
      <c r="BO501" s="78">
        <f>IFERROR(1/J501*(X501/H501),"0")</f>
        <v>0</v>
      </c>
      <c r="BP501" s="78">
        <f>IFERROR(1/J501*(Y501/H501),"0")</f>
        <v>0</v>
      </c>
    </row>
    <row r="502" spans="1:68" ht="27" hidden="1" customHeight="1" x14ac:dyDescent="0.25">
      <c r="A502" s="63" t="s">
        <v>813</v>
      </c>
      <c r="B502" s="63" t="s">
        <v>814</v>
      </c>
      <c r="C502" s="36">
        <v>4301031373</v>
      </c>
      <c r="D502" s="733">
        <v>4680115880771</v>
      </c>
      <c r="E502" s="733"/>
      <c r="F502" s="62">
        <v>0.28000000000000003</v>
      </c>
      <c r="G502" s="37">
        <v>6</v>
      </c>
      <c r="H502" s="62">
        <v>1.68</v>
      </c>
      <c r="I502" s="62">
        <v>1.81</v>
      </c>
      <c r="J502" s="37">
        <v>234</v>
      </c>
      <c r="K502" s="37" t="s">
        <v>82</v>
      </c>
      <c r="L502" s="37" t="s">
        <v>46</v>
      </c>
      <c r="M502" s="38" t="s">
        <v>81</v>
      </c>
      <c r="N502" s="38"/>
      <c r="O502" s="37">
        <v>50</v>
      </c>
      <c r="P502" s="1001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502" s="735"/>
      <c r="R502" s="735"/>
      <c r="S502" s="735"/>
      <c r="T502" s="736"/>
      <c r="U502" s="39" t="s">
        <v>46</v>
      </c>
      <c r="V502" s="39" t="s">
        <v>46</v>
      </c>
      <c r="W502" s="40" t="s">
        <v>0</v>
      </c>
      <c r="X502" s="58">
        <v>0</v>
      </c>
      <c r="Y502" s="55">
        <f>IFERROR(IF(X502="",0,CEILING((X502/$H502),1)*$H502),"")</f>
        <v>0</v>
      </c>
      <c r="Z502" s="41" t="str">
        <f>IFERROR(IF(Y502=0,"",ROUNDUP(Y502/H502,0)*0.00502),"")</f>
        <v/>
      </c>
      <c r="AA502" s="68" t="s">
        <v>46</v>
      </c>
      <c r="AB502" s="69" t="s">
        <v>46</v>
      </c>
      <c r="AC502" s="606" t="s">
        <v>815</v>
      </c>
      <c r="AG502" s="78"/>
      <c r="AJ502" s="84" t="s">
        <v>46</v>
      </c>
      <c r="AK502" s="84">
        <v>0</v>
      </c>
      <c r="BB502" s="607" t="s">
        <v>67</v>
      </c>
      <c r="BM502" s="78">
        <f>IFERROR(X502*I502/H502,"0")</f>
        <v>0</v>
      </c>
      <c r="BN502" s="78">
        <f>IFERROR(Y502*I502/H502,"0")</f>
        <v>0</v>
      </c>
      <c r="BO502" s="78">
        <f>IFERROR(1/J502*(X502/H502),"0")</f>
        <v>0</v>
      </c>
      <c r="BP502" s="78">
        <f>IFERROR(1/J502*(Y502/H502),"0")</f>
        <v>0</v>
      </c>
    </row>
    <row r="503" spans="1:68" ht="27" hidden="1" customHeight="1" x14ac:dyDescent="0.25">
      <c r="A503" s="63" t="s">
        <v>816</v>
      </c>
      <c r="B503" s="63" t="s">
        <v>817</v>
      </c>
      <c r="C503" s="36">
        <v>4301031359</v>
      </c>
      <c r="D503" s="733">
        <v>4607091389500</v>
      </c>
      <c r="E503" s="733"/>
      <c r="F503" s="62">
        <v>0.35</v>
      </c>
      <c r="G503" s="37">
        <v>6</v>
      </c>
      <c r="H503" s="62">
        <v>2.1</v>
      </c>
      <c r="I503" s="62">
        <v>2.23</v>
      </c>
      <c r="J503" s="37">
        <v>234</v>
      </c>
      <c r="K503" s="37" t="s">
        <v>82</v>
      </c>
      <c r="L503" s="37" t="s">
        <v>46</v>
      </c>
      <c r="M503" s="38" t="s">
        <v>81</v>
      </c>
      <c r="N503" s="38"/>
      <c r="O503" s="37">
        <v>50</v>
      </c>
      <c r="P503" s="1002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3" s="735"/>
      <c r="R503" s="735"/>
      <c r="S503" s="735"/>
      <c r="T503" s="736"/>
      <c r="U503" s="39" t="s">
        <v>46</v>
      </c>
      <c r="V503" s="39" t="s">
        <v>46</v>
      </c>
      <c r="W503" s="40" t="s">
        <v>0</v>
      </c>
      <c r="X503" s="58">
        <v>0</v>
      </c>
      <c r="Y503" s="55">
        <f>IFERROR(IF(X503="",0,CEILING((X503/$H503),1)*$H503),"")</f>
        <v>0</v>
      </c>
      <c r="Z503" s="41" t="str">
        <f>IFERROR(IF(Y503=0,"",ROUNDUP(Y503/H503,0)*0.00502),"")</f>
        <v/>
      </c>
      <c r="AA503" s="68" t="s">
        <v>46</v>
      </c>
      <c r="AB503" s="69" t="s">
        <v>46</v>
      </c>
      <c r="AC503" s="608" t="s">
        <v>815</v>
      </c>
      <c r="AG503" s="78"/>
      <c r="AJ503" s="84" t="s">
        <v>46</v>
      </c>
      <c r="AK503" s="84">
        <v>0</v>
      </c>
      <c r="BB503" s="609" t="s">
        <v>67</v>
      </c>
      <c r="BM503" s="78">
        <f>IFERROR(X503*I503/H503,"0")</f>
        <v>0</v>
      </c>
      <c r="BN503" s="78">
        <f>IFERROR(Y503*I503/H503,"0")</f>
        <v>0</v>
      </c>
      <c r="BO503" s="78">
        <f>IFERROR(1/J503*(X503/H503),"0")</f>
        <v>0</v>
      </c>
      <c r="BP503" s="78">
        <f>IFERROR(1/J503*(Y503/H503),"0")</f>
        <v>0</v>
      </c>
    </row>
    <row r="504" spans="1:68" hidden="1" x14ac:dyDescent="0.2">
      <c r="A504" s="741"/>
      <c r="B504" s="741"/>
      <c r="C504" s="741"/>
      <c r="D504" s="741"/>
      <c r="E504" s="741"/>
      <c r="F504" s="741"/>
      <c r="G504" s="741"/>
      <c r="H504" s="741"/>
      <c r="I504" s="741"/>
      <c r="J504" s="741"/>
      <c r="K504" s="741"/>
      <c r="L504" s="741"/>
      <c r="M504" s="741"/>
      <c r="N504" s="741"/>
      <c r="O504" s="742"/>
      <c r="P504" s="738" t="s">
        <v>40</v>
      </c>
      <c r="Q504" s="739"/>
      <c r="R504" s="739"/>
      <c r="S504" s="739"/>
      <c r="T504" s="739"/>
      <c r="U504" s="739"/>
      <c r="V504" s="740"/>
      <c r="W504" s="42" t="s">
        <v>39</v>
      </c>
      <c r="X504" s="43">
        <f>IFERROR(X501/H501,"0")+IFERROR(X502/H502,"0")+IFERROR(X503/H503,"0")</f>
        <v>0</v>
      </c>
      <c r="Y504" s="43">
        <f>IFERROR(Y501/H501,"0")+IFERROR(Y502/H502,"0")+IFERROR(Y503/H503,"0")</f>
        <v>0</v>
      </c>
      <c r="Z504" s="43">
        <f>IFERROR(IF(Z501="",0,Z501),"0")+IFERROR(IF(Z502="",0,Z502),"0")+IFERROR(IF(Z503="",0,Z503),"0")</f>
        <v>0</v>
      </c>
      <c r="AA504" s="67"/>
      <c r="AB504" s="67"/>
      <c r="AC504" s="67"/>
    </row>
    <row r="505" spans="1:68" hidden="1" x14ac:dyDescent="0.2">
      <c r="A505" s="741"/>
      <c r="B505" s="741"/>
      <c r="C505" s="741"/>
      <c r="D505" s="741"/>
      <c r="E505" s="741"/>
      <c r="F505" s="741"/>
      <c r="G505" s="741"/>
      <c r="H505" s="741"/>
      <c r="I505" s="741"/>
      <c r="J505" s="741"/>
      <c r="K505" s="741"/>
      <c r="L505" s="741"/>
      <c r="M505" s="741"/>
      <c r="N505" s="741"/>
      <c r="O505" s="742"/>
      <c r="P505" s="738" t="s">
        <v>40</v>
      </c>
      <c r="Q505" s="739"/>
      <c r="R505" s="739"/>
      <c r="S505" s="739"/>
      <c r="T505" s="739"/>
      <c r="U505" s="739"/>
      <c r="V505" s="740"/>
      <c r="W505" s="42" t="s">
        <v>0</v>
      </c>
      <c r="X505" s="43">
        <f>IFERROR(SUM(X501:X503),"0")</f>
        <v>0</v>
      </c>
      <c r="Y505" s="43">
        <f>IFERROR(SUM(Y501:Y503),"0")</f>
        <v>0</v>
      </c>
      <c r="Z505" s="42"/>
      <c r="AA505" s="67"/>
      <c r="AB505" s="67"/>
      <c r="AC505" s="67"/>
    </row>
    <row r="506" spans="1:68" ht="27.75" hidden="1" customHeight="1" x14ac:dyDescent="0.2">
      <c r="A506" s="730" t="s">
        <v>818</v>
      </c>
      <c r="B506" s="730"/>
      <c r="C506" s="730"/>
      <c r="D506" s="730"/>
      <c r="E506" s="730"/>
      <c r="F506" s="730"/>
      <c r="G506" s="730"/>
      <c r="H506" s="730"/>
      <c r="I506" s="730"/>
      <c r="J506" s="730"/>
      <c r="K506" s="730"/>
      <c r="L506" s="730"/>
      <c r="M506" s="730"/>
      <c r="N506" s="730"/>
      <c r="O506" s="730"/>
      <c r="P506" s="730"/>
      <c r="Q506" s="730"/>
      <c r="R506" s="730"/>
      <c r="S506" s="730"/>
      <c r="T506" s="730"/>
      <c r="U506" s="730"/>
      <c r="V506" s="730"/>
      <c r="W506" s="730"/>
      <c r="X506" s="730"/>
      <c r="Y506" s="730"/>
      <c r="Z506" s="730"/>
      <c r="AA506" s="54"/>
      <c r="AB506" s="54"/>
      <c r="AC506" s="54"/>
    </row>
    <row r="507" spans="1:68" ht="16.5" hidden="1" customHeight="1" x14ac:dyDescent="0.25">
      <c r="A507" s="731" t="s">
        <v>818</v>
      </c>
      <c r="B507" s="731"/>
      <c r="C507" s="731"/>
      <c r="D507" s="731"/>
      <c r="E507" s="731"/>
      <c r="F507" s="731"/>
      <c r="G507" s="731"/>
      <c r="H507" s="731"/>
      <c r="I507" s="731"/>
      <c r="J507" s="731"/>
      <c r="K507" s="731"/>
      <c r="L507" s="731"/>
      <c r="M507" s="731"/>
      <c r="N507" s="731"/>
      <c r="O507" s="731"/>
      <c r="P507" s="731"/>
      <c r="Q507" s="731"/>
      <c r="R507" s="731"/>
      <c r="S507" s="731"/>
      <c r="T507" s="731"/>
      <c r="U507" s="731"/>
      <c r="V507" s="731"/>
      <c r="W507" s="731"/>
      <c r="X507" s="731"/>
      <c r="Y507" s="731"/>
      <c r="Z507" s="731"/>
      <c r="AA507" s="65"/>
      <c r="AB507" s="65"/>
      <c r="AC507" s="79"/>
    </row>
    <row r="508" spans="1:68" ht="14.25" hidden="1" customHeight="1" x14ac:dyDescent="0.25">
      <c r="A508" s="732" t="s">
        <v>122</v>
      </c>
      <c r="B508" s="732"/>
      <c r="C508" s="732"/>
      <c r="D508" s="732"/>
      <c r="E508" s="732"/>
      <c r="F508" s="732"/>
      <c r="G508" s="732"/>
      <c r="H508" s="732"/>
      <c r="I508" s="732"/>
      <c r="J508" s="732"/>
      <c r="K508" s="732"/>
      <c r="L508" s="732"/>
      <c r="M508" s="732"/>
      <c r="N508" s="732"/>
      <c r="O508" s="732"/>
      <c r="P508" s="732"/>
      <c r="Q508" s="732"/>
      <c r="R508" s="732"/>
      <c r="S508" s="732"/>
      <c r="T508" s="732"/>
      <c r="U508" s="732"/>
      <c r="V508" s="732"/>
      <c r="W508" s="732"/>
      <c r="X508" s="732"/>
      <c r="Y508" s="732"/>
      <c r="Z508" s="732"/>
      <c r="AA508" s="66"/>
      <c r="AB508" s="66"/>
      <c r="AC508" s="80"/>
    </row>
    <row r="509" spans="1:68" ht="27" hidden="1" customHeight="1" x14ac:dyDescent="0.25">
      <c r="A509" s="63" t="s">
        <v>819</v>
      </c>
      <c r="B509" s="63" t="s">
        <v>820</v>
      </c>
      <c r="C509" s="36">
        <v>4301011769</v>
      </c>
      <c r="D509" s="733">
        <v>4607091389067</v>
      </c>
      <c r="E509" s="733"/>
      <c r="F509" s="62">
        <v>0.88</v>
      </c>
      <c r="G509" s="37">
        <v>6</v>
      </c>
      <c r="H509" s="62">
        <v>5.28</v>
      </c>
      <c r="I509" s="62">
        <v>5.63</v>
      </c>
      <c r="J509" s="37">
        <v>104</v>
      </c>
      <c r="K509" s="37" t="s">
        <v>127</v>
      </c>
      <c r="L509" s="37" t="s">
        <v>46</v>
      </c>
      <c r="M509" s="38" t="s">
        <v>90</v>
      </c>
      <c r="N509" s="38"/>
      <c r="O509" s="37">
        <v>60</v>
      </c>
      <c r="P509" s="100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9" s="735"/>
      <c r="R509" s="735"/>
      <c r="S509" s="735"/>
      <c r="T509" s="736"/>
      <c r="U509" s="39" t="s">
        <v>46</v>
      </c>
      <c r="V509" s="39" t="s">
        <v>46</v>
      </c>
      <c r="W509" s="40" t="s">
        <v>0</v>
      </c>
      <c r="X509" s="58">
        <v>0</v>
      </c>
      <c r="Y509" s="55">
        <f t="shared" ref="Y509:Y517" si="80">IFERROR(IF(X509="",0,CEILING((X509/$H509),1)*$H509),"")</f>
        <v>0</v>
      </c>
      <c r="Z509" s="41" t="str">
        <f t="shared" ref="Z509:Z514" si="81">IFERROR(IF(Y509=0,"",ROUNDUP(Y509/H509,0)*0.01196),"")</f>
        <v/>
      </c>
      <c r="AA509" s="68" t="s">
        <v>46</v>
      </c>
      <c r="AB509" s="69" t="s">
        <v>46</v>
      </c>
      <c r="AC509" s="610" t="s">
        <v>125</v>
      </c>
      <c r="AG509" s="78"/>
      <c r="AJ509" s="84" t="s">
        <v>46</v>
      </c>
      <c r="AK509" s="84">
        <v>0</v>
      </c>
      <c r="BB509" s="611" t="s">
        <v>67</v>
      </c>
      <c r="BM509" s="78">
        <f t="shared" ref="BM509:BM517" si="82">IFERROR(X509*I509/H509,"0")</f>
        <v>0</v>
      </c>
      <c r="BN509" s="78">
        <f t="shared" ref="BN509:BN517" si="83">IFERROR(Y509*I509/H509,"0")</f>
        <v>0</v>
      </c>
      <c r="BO509" s="78">
        <f t="shared" ref="BO509:BO517" si="84">IFERROR(1/J509*(X509/H509),"0")</f>
        <v>0</v>
      </c>
      <c r="BP509" s="78">
        <f t="shared" ref="BP509:BP517" si="85">IFERROR(1/J509*(Y509/H509),"0")</f>
        <v>0</v>
      </c>
    </row>
    <row r="510" spans="1:68" ht="16.5" hidden="1" customHeight="1" x14ac:dyDescent="0.25">
      <c r="A510" s="63" t="s">
        <v>821</v>
      </c>
      <c r="B510" s="63" t="s">
        <v>822</v>
      </c>
      <c r="C510" s="36">
        <v>4301012380</v>
      </c>
      <c r="D510" s="733">
        <v>4680115889576</v>
      </c>
      <c r="E510" s="733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127</v>
      </c>
      <c r="L510" s="37" t="s">
        <v>46</v>
      </c>
      <c r="M510" s="38" t="s">
        <v>126</v>
      </c>
      <c r="N510" s="38"/>
      <c r="O510" s="37">
        <v>60</v>
      </c>
      <c r="P510" s="1004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10" s="735"/>
      <c r="R510" s="735"/>
      <c r="S510" s="735"/>
      <c r="T510" s="736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80"/>
        <v>0</v>
      </c>
      <c r="Z510" s="41" t="str">
        <f t="shared" si="81"/>
        <v/>
      </c>
      <c r="AA510" s="68" t="s">
        <v>46</v>
      </c>
      <c r="AB510" s="69" t="s">
        <v>46</v>
      </c>
      <c r="AC510" s="612" t="s">
        <v>823</v>
      </c>
      <c r="AG510" s="78"/>
      <c r="AJ510" s="84" t="s">
        <v>46</v>
      </c>
      <c r="AK510" s="84">
        <v>0</v>
      </c>
      <c r="BB510" s="613" t="s">
        <v>67</v>
      </c>
      <c r="BM510" s="78">
        <f t="shared" si="82"/>
        <v>0</v>
      </c>
      <c r="BN510" s="78">
        <f t="shared" si="83"/>
        <v>0</v>
      </c>
      <c r="BO510" s="78">
        <f t="shared" si="84"/>
        <v>0</v>
      </c>
      <c r="BP510" s="78">
        <f t="shared" si="85"/>
        <v>0</v>
      </c>
    </row>
    <row r="511" spans="1:68" ht="27" hidden="1" customHeight="1" x14ac:dyDescent="0.25">
      <c r="A511" s="63" t="s">
        <v>824</v>
      </c>
      <c r="B511" s="63" t="s">
        <v>825</v>
      </c>
      <c r="C511" s="36">
        <v>4301011961</v>
      </c>
      <c r="D511" s="733">
        <v>4680115885271</v>
      </c>
      <c r="E511" s="733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127</v>
      </c>
      <c r="L511" s="37" t="s">
        <v>46</v>
      </c>
      <c r="M511" s="38" t="s">
        <v>126</v>
      </c>
      <c r="N511" s="38"/>
      <c r="O511" s="37">
        <v>60</v>
      </c>
      <c r="P511" s="1005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11" s="735"/>
      <c r="R511" s="735"/>
      <c r="S511" s="735"/>
      <c r="T511" s="736"/>
      <c r="U511" s="39" t="s">
        <v>46</v>
      </c>
      <c r="V511" s="39" t="s">
        <v>46</v>
      </c>
      <c r="W511" s="40" t="s">
        <v>0</v>
      </c>
      <c r="X511" s="58">
        <v>0</v>
      </c>
      <c r="Y511" s="55">
        <f t="shared" si="80"/>
        <v>0</v>
      </c>
      <c r="Z511" s="41" t="str">
        <f t="shared" si="81"/>
        <v/>
      </c>
      <c r="AA511" s="68" t="s">
        <v>46</v>
      </c>
      <c r="AB511" s="69" t="s">
        <v>46</v>
      </c>
      <c r="AC511" s="614" t="s">
        <v>826</v>
      </c>
      <c r="AG511" s="78"/>
      <c r="AJ511" s="84" t="s">
        <v>46</v>
      </c>
      <c r="AK511" s="84">
        <v>0</v>
      </c>
      <c r="BB511" s="615" t="s">
        <v>67</v>
      </c>
      <c r="BM511" s="78">
        <f t="shared" si="82"/>
        <v>0</v>
      </c>
      <c r="BN511" s="78">
        <f t="shared" si="83"/>
        <v>0</v>
      </c>
      <c r="BO511" s="78">
        <f t="shared" si="84"/>
        <v>0</v>
      </c>
      <c r="BP511" s="78">
        <f t="shared" si="85"/>
        <v>0</v>
      </c>
    </row>
    <row r="512" spans="1:68" ht="27" hidden="1" customHeight="1" x14ac:dyDescent="0.25">
      <c r="A512" s="63" t="s">
        <v>827</v>
      </c>
      <c r="B512" s="63" t="s">
        <v>828</v>
      </c>
      <c r="C512" s="36">
        <v>4301011369</v>
      </c>
      <c r="D512" s="733">
        <v>4680115885226</v>
      </c>
      <c r="E512" s="733"/>
      <c r="F512" s="62">
        <v>0.88</v>
      </c>
      <c r="G512" s="37">
        <v>6</v>
      </c>
      <c r="H512" s="62">
        <v>5.28</v>
      </c>
      <c r="I512" s="62">
        <v>5.63</v>
      </c>
      <c r="J512" s="37">
        <v>104</v>
      </c>
      <c r="K512" s="37" t="s">
        <v>127</v>
      </c>
      <c r="L512" s="37" t="s">
        <v>46</v>
      </c>
      <c r="M512" s="38" t="s">
        <v>126</v>
      </c>
      <c r="N512" s="38"/>
      <c r="O512" s="37">
        <v>60</v>
      </c>
      <c r="P512" s="1006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12" s="735"/>
      <c r="R512" s="735"/>
      <c r="S512" s="735"/>
      <c r="T512" s="736"/>
      <c r="U512" s="39" t="s">
        <v>46</v>
      </c>
      <c r="V512" s="39" t="s">
        <v>46</v>
      </c>
      <c r="W512" s="40" t="s">
        <v>0</v>
      </c>
      <c r="X512" s="58">
        <v>0</v>
      </c>
      <c r="Y512" s="55">
        <f t="shared" si="80"/>
        <v>0</v>
      </c>
      <c r="Z512" s="41" t="str">
        <f t="shared" si="81"/>
        <v/>
      </c>
      <c r="AA512" s="68" t="s">
        <v>46</v>
      </c>
      <c r="AB512" s="69" t="s">
        <v>46</v>
      </c>
      <c r="AC512" s="616" t="s">
        <v>829</v>
      </c>
      <c r="AG512" s="78"/>
      <c r="AJ512" s="84" t="s">
        <v>46</v>
      </c>
      <c r="AK512" s="84">
        <v>0</v>
      </c>
      <c r="BB512" s="617" t="s">
        <v>67</v>
      </c>
      <c r="BM512" s="78">
        <f t="shared" si="82"/>
        <v>0</v>
      </c>
      <c r="BN512" s="78">
        <f t="shared" si="83"/>
        <v>0</v>
      </c>
      <c r="BO512" s="78">
        <f t="shared" si="84"/>
        <v>0</v>
      </c>
      <c r="BP512" s="78">
        <f t="shared" si="85"/>
        <v>0</v>
      </c>
    </row>
    <row r="513" spans="1:68" ht="16.5" hidden="1" customHeight="1" x14ac:dyDescent="0.25">
      <c r="A513" s="63" t="s">
        <v>830</v>
      </c>
      <c r="B513" s="63" t="s">
        <v>831</v>
      </c>
      <c r="C513" s="36">
        <v>4301011797</v>
      </c>
      <c r="D513" s="733">
        <v>4680115884502</v>
      </c>
      <c r="E513" s="733"/>
      <c r="F513" s="62">
        <v>0.88</v>
      </c>
      <c r="G513" s="37">
        <v>6</v>
      </c>
      <c r="H513" s="62">
        <v>5.28</v>
      </c>
      <c r="I513" s="62">
        <v>5.63</v>
      </c>
      <c r="J513" s="37">
        <v>104</v>
      </c>
      <c r="K513" s="37" t="s">
        <v>127</v>
      </c>
      <c r="L513" s="37" t="s">
        <v>46</v>
      </c>
      <c r="M513" s="38" t="s">
        <v>90</v>
      </c>
      <c r="N513" s="38"/>
      <c r="O513" s="37">
        <v>60</v>
      </c>
      <c r="P513" s="1007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13" s="735"/>
      <c r="R513" s="735"/>
      <c r="S513" s="735"/>
      <c r="T513" s="736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si="80"/>
        <v>0</v>
      </c>
      <c r="Z513" s="41" t="str">
        <f t="shared" si="81"/>
        <v/>
      </c>
      <c r="AA513" s="68" t="s">
        <v>46</v>
      </c>
      <c r="AB513" s="69" t="s">
        <v>46</v>
      </c>
      <c r="AC513" s="618" t="s">
        <v>832</v>
      </c>
      <c r="AG513" s="78"/>
      <c r="AJ513" s="84" t="s">
        <v>46</v>
      </c>
      <c r="AK513" s="84">
        <v>0</v>
      </c>
      <c r="BB513" s="619" t="s">
        <v>67</v>
      </c>
      <c r="BM513" s="78">
        <f t="shared" si="82"/>
        <v>0</v>
      </c>
      <c r="BN513" s="78">
        <f t="shared" si="83"/>
        <v>0</v>
      </c>
      <c r="BO513" s="78">
        <f t="shared" si="84"/>
        <v>0</v>
      </c>
      <c r="BP513" s="78">
        <f t="shared" si="85"/>
        <v>0</v>
      </c>
    </row>
    <row r="514" spans="1:68" ht="27" customHeight="1" x14ac:dyDescent="0.25">
      <c r="A514" s="63" t="s">
        <v>833</v>
      </c>
      <c r="B514" s="63" t="s">
        <v>834</v>
      </c>
      <c r="C514" s="36">
        <v>4301011771</v>
      </c>
      <c r="D514" s="733">
        <v>4607091389104</v>
      </c>
      <c r="E514" s="733"/>
      <c r="F514" s="62">
        <v>0.88</v>
      </c>
      <c r="G514" s="37">
        <v>6</v>
      </c>
      <c r="H514" s="62">
        <v>5.28</v>
      </c>
      <c r="I514" s="62">
        <v>5.63</v>
      </c>
      <c r="J514" s="37">
        <v>104</v>
      </c>
      <c r="K514" s="37" t="s">
        <v>127</v>
      </c>
      <c r="L514" s="37" t="s">
        <v>46</v>
      </c>
      <c r="M514" s="38" t="s">
        <v>126</v>
      </c>
      <c r="N514" s="38"/>
      <c r="O514" s="37">
        <v>60</v>
      </c>
      <c r="P514" s="1008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4" s="735"/>
      <c r="R514" s="735"/>
      <c r="S514" s="735"/>
      <c r="T514" s="736"/>
      <c r="U514" s="39" t="s">
        <v>46</v>
      </c>
      <c r="V514" s="39" t="s">
        <v>46</v>
      </c>
      <c r="W514" s="40" t="s">
        <v>0</v>
      </c>
      <c r="X514" s="58">
        <v>300</v>
      </c>
      <c r="Y514" s="55">
        <f t="shared" si="80"/>
        <v>300.96000000000004</v>
      </c>
      <c r="Z514" s="41">
        <f t="shared" si="81"/>
        <v>0.68171999999999999</v>
      </c>
      <c r="AA514" s="68" t="s">
        <v>46</v>
      </c>
      <c r="AB514" s="69" t="s">
        <v>46</v>
      </c>
      <c r="AC514" s="620" t="s">
        <v>835</v>
      </c>
      <c r="AG514" s="78"/>
      <c r="AJ514" s="84" t="s">
        <v>46</v>
      </c>
      <c r="AK514" s="84">
        <v>0</v>
      </c>
      <c r="BB514" s="621" t="s">
        <v>67</v>
      </c>
      <c r="BM514" s="78">
        <f t="shared" si="82"/>
        <v>319.88636363636363</v>
      </c>
      <c r="BN514" s="78">
        <f t="shared" si="83"/>
        <v>320.91000000000003</v>
      </c>
      <c r="BO514" s="78">
        <f t="shared" si="84"/>
        <v>0.54632867132867136</v>
      </c>
      <c r="BP514" s="78">
        <f t="shared" si="85"/>
        <v>0.54807692307692313</v>
      </c>
    </row>
    <row r="515" spans="1:68" ht="27" hidden="1" customHeight="1" x14ac:dyDescent="0.25">
      <c r="A515" s="63" t="s">
        <v>836</v>
      </c>
      <c r="B515" s="63" t="s">
        <v>837</v>
      </c>
      <c r="C515" s="36">
        <v>4301012125</v>
      </c>
      <c r="D515" s="733">
        <v>4680115886391</v>
      </c>
      <c r="E515" s="733"/>
      <c r="F515" s="62">
        <v>0.4</v>
      </c>
      <c r="G515" s="37">
        <v>6</v>
      </c>
      <c r="H515" s="62">
        <v>2.4</v>
      </c>
      <c r="I515" s="62">
        <v>2.58</v>
      </c>
      <c r="J515" s="37">
        <v>182</v>
      </c>
      <c r="K515" s="37" t="s">
        <v>91</v>
      </c>
      <c r="L515" s="37" t="s">
        <v>46</v>
      </c>
      <c r="M515" s="38" t="s">
        <v>90</v>
      </c>
      <c r="N515" s="38"/>
      <c r="O515" s="37">
        <v>60</v>
      </c>
      <c r="P515" s="1009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5" s="735"/>
      <c r="R515" s="735"/>
      <c r="S515" s="735"/>
      <c r="T515" s="736"/>
      <c r="U515" s="39" t="s">
        <v>46</v>
      </c>
      <c r="V515" s="39" t="s">
        <v>46</v>
      </c>
      <c r="W515" s="40" t="s">
        <v>0</v>
      </c>
      <c r="X515" s="58">
        <v>0</v>
      </c>
      <c r="Y515" s="55">
        <f t="shared" si="80"/>
        <v>0</v>
      </c>
      <c r="Z515" s="41" t="str">
        <f>IFERROR(IF(Y515=0,"",ROUNDUP(Y515/H515,0)*0.00651),"")</f>
        <v/>
      </c>
      <c r="AA515" s="68" t="s">
        <v>46</v>
      </c>
      <c r="AB515" s="69" t="s">
        <v>46</v>
      </c>
      <c r="AC515" s="622" t="s">
        <v>125</v>
      </c>
      <c r="AG515" s="78"/>
      <c r="AJ515" s="84" t="s">
        <v>46</v>
      </c>
      <c r="AK515" s="84">
        <v>0</v>
      </c>
      <c r="BB515" s="623" t="s">
        <v>67</v>
      </c>
      <c r="BM515" s="78">
        <f t="shared" si="82"/>
        <v>0</v>
      </c>
      <c r="BN515" s="78">
        <f t="shared" si="83"/>
        <v>0</v>
      </c>
      <c r="BO515" s="78">
        <f t="shared" si="84"/>
        <v>0</v>
      </c>
      <c r="BP515" s="78">
        <f t="shared" si="85"/>
        <v>0</v>
      </c>
    </row>
    <row r="516" spans="1:68" ht="27" hidden="1" customHeight="1" x14ac:dyDescent="0.25">
      <c r="A516" s="63" t="s">
        <v>838</v>
      </c>
      <c r="B516" s="63" t="s">
        <v>839</v>
      </c>
      <c r="C516" s="36">
        <v>4301012048</v>
      </c>
      <c r="D516" s="733">
        <v>4680115880603</v>
      </c>
      <c r="E516" s="733"/>
      <c r="F516" s="62">
        <v>0.6</v>
      </c>
      <c r="G516" s="37">
        <v>8</v>
      </c>
      <c r="H516" s="62">
        <v>4.8</v>
      </c>
      <c r="I516" s="62">
        <v>6.91</v>
      </c>
      <c r="J516" s="37">
        <v>132</v>
      </c>
      <c r="K516" s="37" t="s">
        <v>134</v>
      </c>
      <c r="L516" s="37" t="s">
        <v>46</v>
      </c>
      <c r="M516" s="38" t="s">
        <v>90</v>
      </c>
      <c r="N516" s="38"/>
      <c r="O516" s="37">
        <v>60</v>
      </c>
      <c r="P516" s="1010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6" s="735"/>
      <c r="R516" s="735"/>
      <c r="S516" s="735"/>
      <c r="T516" s="736"/>
      <c r="U516" s="39" t="s">
        <v>46</v>
      </c>
      <c r="V516" s="39" t="s">
        <v>46</v>
      </c>
      <c r="W516" s="40" t="s">
        <v>0</v>
      </c>
      <c r="X516" s="58">
        <v>0</v>
      </c>
      <c r="Y516" s="55">
        <f t="shared" si="80"/>
        <v>0</v>
      </c>
      <c r="Z516" s="41" t="str">
        <f>IFERROR(IF(Y516=0,"",ROUNDUP(Y516/H516,0)*0.00902),"")</f>
        <v/>
      </c>
      <c r="AA516" s="68" t="s">
        <v>46</v>
      </c>
      <c r="AB516" s="69" t="s">
        <v>46</v>
      </c>
      <c r="AC516" s="624" t="s">
        <v>125</v>
      </c>
      <c r="AG516" s="78"/>
      <c r="AJ516" s="84" t="s">
        <v>46</v>
      </c>
      <c r="AK516" s="84">
        <v>0</v>
      </c>
      <c r="BB516" s="625" t="s">
        <v>67</v>
      </c>
      <c r="BM516" s="78">
        <f t="shared" si="82"/>
        <v>0</v>
      </c>
      <c r="BN516" s="78">
        <f t="shared" si="83"/>
        <v>0</v>
      </c>
      <c r="BO516" s="78">
        <f t="shared" si="84"/>
        <v>0</v>
      </c>
      <c r="BP516" s="78">
        <f t="shared" si="85"/>
        <v>0</v>
      </c>
    </row>
    <row r="517" spans="1:68" ht="27" hidden="1" customHeight="1" x14ac:dyDescent="0.25">
      <c r="A517" s="63" t="s">
        <v>840</v>
      </c>
      <c r="B517" s="63" t="s">
        <v>841</v>
      </c>
      <c r="C517" s="36">
        <v>4301012034</v>
      </c>
      <c r="D517" s="733">
        <v>4607091389982</v>
      </c>
      <c r="E517" s="733"/>
      <c r="F517" s="62">
        <v>0.6</v>
      </c>
      <c r="G517" s="37">
        <v>8</v>
      </c>
      <c r="H517" s="62">
        <v>4.8</v>
      </c>
      <c r="I517" s="62">
        <v>6.91</v>
      </c>
      <c r="J517" s="37">
        <v>132</v>
      </c>
      <c r="K517" s="37" t="s">
        <v>134</v>
      </c>
      <c r="L517" s="37" t="s">
        <v>46</v>
      </c>
      <c r="M517" s="38" t="s">
        <v>126</v>
      </c>
      <c r="N517" s="38"/>
      <c r="O517" s="37">
        <v>60</v>
      </c>
      <c r="P517" s="1011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7" s="735"/>
      <c r="R517" s="735"/>
      <c r="S517" s="735"/>
      <c r="T517" s="736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si="80"/>
        <v>0</v>
      </c>
      <c r="Z517" s="41" t="str">
        <f>IFERROR(IF(Y517=0,"",ROUNDUP(Y517/H517,0)*0.00902),"")</f>
        <v/>
      </c>
      <c r="AA517" s="68" t="s">
        <v>46</v>
      </c>
      <c r="AB517" s="69" t="s">
        <v>46</v>
      </c>
      <c r="AC517" s="626" t="s">
        <v>835</v>
      </c>
      <c r="AG517" s="78"/>
      <c r="AJ517" s="84" t="s">
        <v>46</v>
      </c>
      <c r="AK517" s="84">
        <v>0</v>
      </c>
      <c r="BB517" s="627" t="s">
        <v>67</v>
      </c>
      <c r="BM517" s="78">
        <f t="shared" si="82"/>
        <v>0</v>
      </c>
      <c r="BN517" s="78">
        <f t="shared" si="83"/>
        <v>0</v>
      </c>
      <c r="BO517" s="78">
        <f t="shared" si="84"/>
        <v>0</v>
      </c>
      <c r="BP517" s="78">
        <f t="shared" si="85"/>
        <v>0</v>
      </c>
    </row>
    <row r="518" spans="1:68" x14ac:dyDescent="0.2">
      <c r="A518" s="741"/>
      <c r="B518" s="741"/>
      <c r="C518" s="741"/>
      <c r="D518" s="741"/>
      <c r="E518" s="741"/>
      <c r="F518" s="741"/>
      <c r="G518" s="741"/>
      <c r="H518" s="741"/>
      <c r="I518" s="741"/>
      <c r="J518" s="741"/>
      <c r="K518" s="741"/>
      <c r="L518" s="741"/>
      <c r="M518" s="741"/>
      <c r="N518" s="741"/>
      <c r="O518" s="742"/>
      <c r="P518" s="738" t="s">
        <v>40</v>
      </c>
      <c r="Q518" s="739"/>
      <c r="R518" s="739"/>
      <c r="S518" s="739"/>
      <c r="T518" s="739"/>
      <c r="U518" s="739"/>
      <c r="V518" s="740"/>
      <c r="W518" s="42" t="s">
        <v>39</v>
      </c>
      <c r="X518" s="43">
        <f>IFERROR(X509/H509,"0")+IFERROR(X510/H510,"0")+IFERROR(X511/H511,"0")+IFERROR(X512/H512,"0")+IFERROR(X513/H513,"0")+IFERROR(X514/H514,"0")+IFERROR(X515/H515,"0")+IFERROR(X516/H516,"0")+IFERROR(X517/H517,"0")</f>
        <v>56.818181818181813</v>
      </c>
      <c r="Y518" s="43">
        <f>IFERROR(Y509/H509,"0")+IFERROR(Y510/H510,"0")+IFERROR(Y511/H511,"0")+IFERROR(Y512/H512,"0")+IFERROR(Y513/H513,"0")+IFERROR(Y514/H514,"0")+IFERROR(Y515/H515,"0")+IFERROR(Y516/H516,"0")+IFERROR(Y517/H517,"0")</f>
        <v>57.000000000000007</v>
      </c>
      <c r="Z518" s="43">
        <f>IFERROR(IF(Z509="",0,Z509),"0")+IFERROR(IF(Z510="",0,Z510),"0")+IFERROR(IF(Z511="",0,Z511),"0")+IFERROR(IF(Z512="",0,Z512),"0")+IFERROR(IF(Z513="",0,Z513),"0")+IFERROR(IF(Z514="",0,Z514),"0")+IFERROR(IF(Z515="",0,Z515),"0")+IFERROR(IF(Z516="",0,Z516),"0")+IFERROR(IF(Z517="",0,Z517),"0")</f>
        <v>0.68171999999999999</v>
      </c>
      <c r="AA518" s="67"/>
      <c r="AB518" s="67"/>
      <c r="AC518" s="67"/>
    </row>
    <row r="519" spans="1:68" x14ac:dyDescent="0.2">
      <c r="A519" s="741"/>
      <c r="B519" s="741"/>
      <c r="C519" s="741"/>
      <c r="D519" s="741"/>
      <c r="E519" s="741"/>
      <c r="F519" s="741"/>
      <c r="G519" s="741"/>
      <c r="H519" s="741"/>
      <c r="I519" s="741"/>
      <c r="J519" s="741"/>
      <c r="K519" s="741"/>
      <c r="L519" s="741"/>
      <c r="M519" s="741"/>
      <c r="N519" s="741"/>
      <c r="O519" s="742"/>
      <c r="P519" s="738" t="s">
        <v>40</v>
      </c>
      <c r="Q519" s="739"/>
      <c r="R519" s="739"/>
      <c r="S519" s="739"/>
      <c r="T519" s="739"/>
      <c r="U519" s="739"/>
      <c r="V519" s="740"/>
      <c r="W519" s="42" t="s">
        <v>0</v>
      </c>
      <c r="X519" s="43">
        <f>IFERROR(SUM(X509:X517),"0")</f>
        <v>300</v>
      </c>
      <c r="Y519" s="43">
        <f>IFERROR(SUM(Y509:Y517),"0")</f>
        <v>300.96000000000004</v>
      </c>
      <c r="Z519" s="42"/>
      <c r="AA519" s="67"/>
      <c r="AB519" s="67"/>
      <c r="AC519" s="67"/>
    </row>
    <row r="520" spans="1:68" ht="14.25" hidden="1" customHeight="1" x14ac:dyDescent="0.25">
      <c r="A520" s="732" t="s">
        <v>155</v>
      </c>
      <c r="B520" s="732"/>
      <c r="C520" s="732"/>
      <c r="D520" s="732"/>
      <c r="E520" s="732"/>
      <c r="F520" s="732"/>
      <c r="G520" s="732"/>
      <c r="H520" s="732"/>
      <c r="I520" s="732"/>
      <c r="J520" s="732"/>
      <c r="K520" s="732"/>
      <c r="L520" s="732"/>
      <c r="M520" s="732"/>
      <c r="N520" s="732"/>
      <c r="O520" s="732"/>
      <c r="P520" s="732"/>
      <c r="Q520" s="732"/>
      <c r="R520" s="732"/>
      <c r="S520" s="732"/>
      <c r="T520" s="732"/>
      <c r="U520" s="732"/>
      <c r="V520" s="732"/>
      <c r="W520" s="732"/>
      <c r="X520" s="732"/>
      <c r="Y520" s="732"/>
      <c r="Z520" s="732"/>
      <c r="AA520" s="66"/>
      <c r="AB520" s="66"/>
      <c r="AC520" s="80"/>
    </row>
    <row r="521" spans="1:68" ht="16.5" customHeight="1" x14ac:dyDescent="0.25">
      <c r="A521" s="63" t="s">
        <v>842</v>
      </c>
      <c r="B521" s="63" t="s">
        <v>843</v>
      </c>
      <c r="C521" s="36">
        <v>4301020334</v>
      </c>
      <c r="D521" s="733">
        <v>4607091388930</v>
      </c>
      <c r="E521" s="733"/>
      <c r="F521" s="62">
        <v>0.88</v>
      </c>
      <c r="G521" s="37">
        <v>6</v>
      </c>
      <c r="H521" s="62">
        <v>5.28</v>
      </c>
      <c r="I521" s="62">
        <v>5.63</v>
      </c>
      <c r="J521" s="37">
        <v>104</v>
      </c>
      <c r="K521" s="37" t="s">
        <v>127</v>
      </c>
      <c r="L521" s="37" t="s">
        <v>46</v>
      </c>
      <c r="M521" s="38" t="s">
        <v>90</v>
      </c>
      <c r="N521" s="38"/>
      <c r="O521" s="37">
        <v>70</v>
      </c>
      <c r="P521" s="1012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21" s="735"/>
      <c r="R521" s="735"/>
      <c r="S521" s="735"/>
      <c r="T521" s="736"/>
      <c r="U521" s="39" t="s">
        <v>46</v>
      </c>
      <c r="V521" s="39" t="s">
        <v>46</v>
      </c>
      <c r="W521" s="40" t="s">
        <v>0</v>
      </c>
      <c r="X521" s="58">
        <v>350</v>
      </c>
      <c r="Y521" s="55">
        <f>IFERROR(IF(X521="",0,CEILING((X521/$H521),1)*$H521),"")</f>
        <v>353.76</v>
      </c>
      <c r="Z521" s="41">
        <f>IFERROR(IF(Y521=0,"",ROUNDUP(Y521/H521,0)*0.01196),"")</f>
        <v>0.80132000000000003</v>
      </c>
      <c r="AA521" s="68" t="s">
        <v>46</v>
      </c>
      <c r="AB521" s="69" t="s">
        <v>46</v>
      </c>
      <c r="AC521" s="628" t="s">
        <v>844</v>
      </c>
      <c r="AG521" s="78"/>
      <c r="AJ521" s="84" t="s">
        <v>46</v>
      </c>
      <c r="AK521" s="84">
        <v>0</v>
      </c>
      <c r="BB521" s="629" t="s">
        <v>67</v>
      </c>
      <c r="BM521" s="78">
        <f>IFERROR(X521*I521/H521,"0")</f>
        <v>373.20075757575756</v>
      </c>
      <c r="BN521" s="78">
        <f>IFERROR(Y521*I521/H521,"0")</f>
        <v>377.21</v>
      </c>
      <c r="BO521" s="78">
        <f>IFERROR(1/J521*(X521/H521),"0")</f>
        <v>0.63738344988344986</v>
      </c>
      <c r="BP521" s="78">
        <f>IFERROR(1/J521*(Y521/H521),"0")</f>
        <v>0.64423076923076927</v>
      </c>
    </row>
    <row r="522" spans="1:68" ht="16.5" hidden="1" customHeight="1" x14ac:dyDescent="0.25">
      <c r="A522" s="63" t="s">
        <v>845</v>
      </c>
      <c r="B522" s="63" t="s">
        <v>846</v>
      </c>
      <c r="C522" s="36">
        <v>4301020374</v>
      </c>
      <c r="D522" s="733">
        <v>4680115886407</v>
      </c>
      <c r="E522" s="733"/>
      <c r="F522" s="62">
        <v>0.4</v>
      </c>
      <c r="G522" s="37">
        <v>6</v>
      </c>
      <c r="H522" s="62">
        <v>2.4</v>
      </c>
      <c r="I522" s="62">
        <v>2.58</v>
      </c>
      <c r="J522" s="37">
        <v>182</v>
      </c>
      <c r="K522" s="37" t="s">
        <v>91</v>
      </c>
      <c r="L522" s="37" t="s">
        <v>46</v>
      </c>
      <c r="M522" s="38" t="s">
        <v>126</v>
      </c>
      <c r="N522" s="38"/>
      <c r="O522" s="37">
        <v>70</v>
      </c>
      <c r="P522" s="1013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22" s="735"/>
      <c r="R522" s="735"/>
      <c r="S522" s="735"/>
      <c r="T522" s="736"/>
      <c r="U522" s="39" t="s">
        <v>46</v>
      </c>
      <c r="V522" s="39" t="s">
        <v>46</v>
      </c>
      <c r="W522" s="40" t="s">
        <v>0</v>
      </c>
      <c r="X522" s="58">
        <v>0</v>
      </c>
      <c r="Y522" s="55">
        <f>IFERROR(IF(X522="",0,CEILING((X522/$H522),1)*$H522),"")</f>
        <v>0</v>
      </c>
      <c r="Z522" s="41" t="str">
        <f>IFERROR(IF(Y522=0,"",ROUNDUP(Y522/H522,0)*0.00651),"")</f>
        <v/>
      </c>
      <c r="AA522" s="68" t="s">
        <v>46</v>
      </c>
      <c r="AB522" s="69" t="s">
        <v>46</v>
      </c>
      <c r="AC522" s="630" t="s">
        <v>844</v>
      </c>
      <c r="AG522" s="78"/>
      <c r="AJ522" s="84" t="s">
        <v>46</v>
      </c>
      <c r="AK522" s="84">
        <v>0</v>
      </c>
      <c r="BB522" s="631" t="s">
        <v>67</v>
      </c>
      <c r="BM522" s="78">
        <f>IFERROR(X522*I522/H522,"0")</f>
        <v>0</v>
      </c>
      <c r="BN522" s="78">
        <f>IFERROR(Y522*I522/H522,"0")</f>
        <v>0</v>
      </c>
      <c r="BO522" s="78">
        <f>IFERROR(1/J522*(X522/H522),"0")</f>
        <v>0</v>
      </c>
      <c r="BP522" s="78">
        <f>IFERROR(1/J522*(Y522/H522),"0")</f>
        <v>0</v>
      </c>
    </row>
    <row r="523" spans="1:68" ht="16.5" hidden="1" customHeight="1" x14ac:dyDescent="0.25">
      <c r="A523" s="63" t="s">
        <v>847</v>
      </c>
      <c r="B523" s="63" t="s">
        <v>848</v>
      </c>
      <c r="C523" s="36">
        <v>4301020385</v>
      </c>
      <c r="D523" s="733">
        <v>4680115880054</v>
      </c>
      <c r="E523" s="733"/>
      <c r="F523" s="62">
        <v>0.6</v>
      </c>
      <c r="G523" s="37">
        <v>8</v>
      </c>
      <c r="H523" s="62">
        <v>4.8</v>
      </c>
      <c r="I523" s="62">
        <v>6.91</v>
      </c>
      <c r="J523" s="37">
        <v>132</v>
      </c>
      <c r="K523" s="37" t="s">
        <v>134</v>
      </c>
      <c r="L523" s="37" t="s">
        <v>46</v>
      </c>
      <c r="M523" s="38" t="s">
        <v>126</v>
      </c>
      <c r="N523" s="38"/>
      <c r="O523" s="37">
        <v>70</v>
      </c>
      <c r="P523" s="1014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3" s="735"/>
      <c r="R523" s="735"/>
      <c r="S523" s="735"/>
      <c r="T523" s="736"/>
      <c r="U523" s="39" t="s">
        <v>46</v>
      </c>
      <c r="V523" s="39" t="s">
        <v>46</v>
      </c>
      <c r="W523" s="40" t="s">
        <v>0</v>
      </c>
      <c r="X523" s="58">
        <v>0</v>
      </c>
      <c r="Y523" s="55">
        <f>IFERROR(IF(X523="",0,CEILING((X523/$H523),1)*$H523),"")</f>
        <v>0</v>
      </c>
      <c r="Z523" s="41" t="str">
        <f>IFERROR(IF(Y523=0,"",ROUNDUP(Y523/H523,0)*0.00902),"")</f>
        <v/>
      </c>
      <c r="AA523" s="68" t="s">
        <v>46</v>
      </c>
      <c r="AB523" s="69" t="s">
        <v>46</v>
      </c>
      <c r="AC523" s="632" t="s">
        <v>844</v>
      </c>
      <c r="AG523" s="78"/>
      <c r="AJ523" s="84" t="s">
        <v>46</v>
      </c>
      <c r="AK523" s="84">
        <v>0</v>
      </c>
      <c r="BB523" s="633" t="s">
        <v>67</v>
      </c>
      <c r="BM523" s="78">
        <f>IFERROR(X523*I523/H523,"0")</f>
        <v>0</v>
      </c>
      <c r="BN523" s="78">
        <f>IFERROR(Y523*I523/H523,"0")</f>
        <v>0</v>
      </c>
      <c r="BO523" s="78">
        <f>IFERROR(1/J523*(X523/H523),"0")</f>
        <v>0</v>
      </c>
      <c r="BP523" s="78">
        <f>IFERROR(1/J523*(Y523/H523),"0")</f>
        <v>0</v>
      </c>
    </row>
    <row r="524" spans="1:68" x14ac:dyDescent="0.2">
      <c r="A524" s="741"/>
      <c r="B524" s="741"/>
      <c r="C524" s="741"/>
      <c r="D524" s="741"/>
      <c r="E524" s="741"/>
      <c r="F524" s="741"/>
      <c r="G524" s="741"/>
      <c r="H524" s="741"/>
      <c r="I524" s="741"/>
      <c r="J524" s="741"/>
      <c r="K524" s="741"/>
      <c r="L524" s="741"/>
      <c r="M524" s="741"/>
      <c r="N524" s="741"/>
      <c r="O524" s="742"/>
      <c r="P524" s="738" t="s">
        <v>40</v>
      </c>
      <c r="Q524" s="739"/>
      <c r="R524" s="739"/>
      <c r="S524" s="739"/>
      <c r="T524" s="739"/>
      <c r="U524" s="739"/>
      <c r="V524" s="740"/>
      <c r="W524" s="42" t="s">
        <v>39</v>
      </c>
      <c r="X524" s="43">
        <f>IFERROR(X521/H521,"0")+IFERROR(X522/H522,"0")+IFERROR(X523/H523,"0")</f>
        <v>66.287878787878782</v>
      </c>
      <c r="Y524" s="43">
        <f>IFERROR(Y521/H521,"0")+IFERROR(Y522/H522,"0")+IFERROR(Y523/H523,"0")</f>
        <v>67</v>
      </c>
      <c r="Z524" s="43">
        <f>IFERROR(IF(Z521="",0,Z521),"0")+IFERROR(IF(Z522="",0,Z522),"0")+IFERROR(IF(Z523="",0,Z523),"0")</f>
        <v>0.80132000000000003</v>
      </c>
      <c r="AA524" s="67"/>
      <c r="AB524" s="67"/>
      <c r="AC524" s="67"/>
    </row>
    <row r="525" spans="1:68" x14ac:dyDescent="0.2">
      <c r="A525" s="741"/>
      <c r="B525" s="741"/>
      <c r="C525" s="741"/>
      <c r="D525" s="741"/>
      <c r="E525" s="741"/>
      <c r="F525" s="741"/>
      <c r="G525" s="741"/>
      <c r="H525" s="741"/>
      <c r="I525" s="741"/>
      <c r="J525" s="741"/>
      <c r="K525" s="741"/>
      <c r="L525" s="741"/>
      <c r="M525" s="741"/>
      <c r="N525" s="741"/>
      <c r="O525" s="742"/>
      <c r="P525" s="738" t="s">
        <v>40</v>
      </c>
      <c r="Q525" s="739"/>
      <c r="R525" s="739"/>
      <c r="S525" s="739"/>
      <c r="T525" s="739"/>
      <c r="U525" s="739"/>
      <c r="V525" s="740"/>
      <c r="W525" s="42" t="s">
        <v>0</v>
      </c>
      <c r="X525" s="43">
        <f>IFERROR(SUM(X521:X523),"0")</f>
        <v>350</v>
      </c>
      <c r="Y525" s="43">
        <f>IFERROR(SUM(Y521:Y523),"0")</f>
        <v>353.76</v>
      </c>
      <c r="Z525" s="42"/>
      <c r="AA525" s="67"/>
      <c r="AB525" s="67"/>
      <c r="AC525" s="67"/>
    </row>
    <row r="526" spans="1:68" ht="14.25" hidden="1" customHeight="1" x14ac:dyDescent="0.25">
      <c r="A526" s="732" t="s">
        <v>77</v>
      </c>
      <c r="B526" s="732"/>
      <c r="C526" s="732"/>
      <c r="D526" s="732"/>
      <c r="E526" s="732"/>
      <c r="F526" s="732"/>
      <c r="G526" s="732"/>
      <c r="H526" s="732"/>
      <c r="I526" s="732"/>
      <c r="J526" s="732"/>
      <c r="K526" s="732"/>
      <c r="L526" s="732"/>
      <c r="M526" s="732"/>
      <c r="N526" s="732"/>
      <c r="O526" s="732"/>
      <c r="P526" s="732"/>
      <c r="Q526" s="732"/>
      <c r="R526" s="732"/>
      <c r="S526" s="732"/>
      <c r="T526" s="732"/>
      <c r="U526" s="732"/>
      <c r="V526" s="732"/>
      <c r="W526" s="732"/>
      <c r="X526" s="732"/>
      <c r="Y526" s="732"/>
      <c r="Z526" s="732"/>
      <c r="AA526" s="66"/>
      <c r="AB526" s="66"/>
      <c r="AC526" s="80"/>
    </row>
    <row r="527" spans="1:68" ht="27" customHeight="1" x14ac:dyDescent="0.25">
      <c r="A527" s="63" t="s">
        <v>849</v>
      </c>
      <c r="B527" s="63" t="s">
        <v>850</v>
      </c>
      <c r="C527" s="36">
        <v>4301031349</v>
      </c>
      <c r="D527" s="733">
        <v>4680115883116</v>
      </c>
      <c r="E527" s="733"/>
      <c r="F527" s="62">
        <v>0.88</v>
      </c>
      <c r="G527" s="37">
        <v>6</v>
      </c>
      <c r="H527" s="62">
        <v>5.28</v>
      </c>
      <c r="I527" s="62">
        <v>5.63</v>
      </c>
      <c r="J527" s="37">
        <v>104</v>
      </c>
      <c r="K527" s="37" t="s">
        <v>127</v>
      </c>
      <c r="L527" s="37" t="s">
        <v>46</v>
      </c>
      <c r="M527" s="38" t="s">
        <v>126</v>
      </c>
      <c r="N527" s="38"/>
      <c r="O527" s="37">
        <v>70</v>
      </c>
      <c r="P527" s="1015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7" s="735"/>
      <c r="R527" s="735"/>
      <c r="S527" s="735"/>
      <c r="T527" s="736"/>
      <c r="U527" s="39" t="s">
        <v>46</v>
      </c>
      <c r="V527" s="39" t="s">
        <v>46</v>
      </c>
      <c r="W527" s="40" t="s">
        <v>0</v>
      </c>
      <c r="X527" s="58">
        <v>100</v>
      </c>
      <c r="Y527" s="55">
        <f t="shared" ref="Y527:Y533" si="86">IFERROR(IF(X527="",0,CEILING((X527/$H527),1)*$H527),"")</f>
        <v>100.32000000000001</v>
      </c>
      <c r="Z527" s="41">
        <f>IFERROR(IF(Y527=0,"",ROUNDUP(Y527/H527,0)*0.01196),"")</f>
        <v>0.22724</v>
      </c>
      <c r="AA527" s="68" t="s">
        <v>46</v>
      </c>
      <c r="AB527" s="69" t="s">
        <v>46</v>
      </c>
      <c r="AC527" s="634" t="s">
        <v>851</v>
      </c>
      <c r="AG527" s="78"/>
      <c r="AJ527" s="84" t="s">
        <v>46</v>
      </c>
      <c r="AK527" s="84">
        <v>0</v>
      </c>
      <c r="BB527" s="635" t="s">
        <v>67</v>
      </c>
      <c r="BM527" s="78">
        <f t="shared" ref="BM527:BM533" si="87">IFERROR(X527*I527/H527,"0")</f>
        <v>106.62878787878788</v>
      </c>
      <c r="BN527" s="78">
        <f t="shared" ref="BN527:BN533" si="88">IFERROR(Y527*I527/H527,"0")</f>
        <v>106.97</v>
      </c>
      <c r="BO527" s="78">
        <f t="shared" ref="BO527:BO533" si="89">IFERROR(1/J527*(X527/H527),"0")</f>
        <v>0.18210955710955709</v>
      </c>
      <c r="BP527" s="78">
        <f t="shared" ref="BP527:BP533" si="90">IFERROR(1/J527*(Y527/H527),"0")</f>
        <v>0.18269230769230771</v>
      </c>
    </row>
    <row r="528" spans="1:68" ht="27" customHeight="1" x14ac:dyDescent="0.25">
      <c r="A528" s="63" t="s">
        <v>852</v>
      </c>
      <c r="B528" s="63" t="s">
        <v>853</v>
      </c>
      <c r="C528" s="36">
        <v>4301031350</v>
      </c>
      <c r="D528" s="733">
        <v>4680115883093</v>
      </c>
      <c r="E528" s="733"/>
      <c r="F528" s="62">
        <v>0.88</v>
      </c>
      <c r="G528" s="37">
        <v>6</v>
      </c>
      <c r="H528" s="62">
        <v>5.28</v>
      </c>
      <c r="I528" s="62">
        <v>5.63</v>
      </c>
      <c r="J528" s="37">
        <v>104</v>
      </c>
      <c r="K528" s="37" t="s">
        <v>127</v>
      </c>
      <c r="L528" s="37" t="s">
        <v>46</v>
      </c>
      <c r="M528" s="38" t="s">
        <v>81</v>
      </c>
      <c r="N528" s="38"/>
      <c r="O528" s="37">
        <v>70</v>
      </c>
      <c r="P528" s="1016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8" s="735"/>
      <c r="R528" s="735"/>
      <c r="S528" s="735"/>
      <c r="T528" s="736"/>
      <c r="U528" s="39" t="s">
        <v>46</v>
      </c>
      <c r="V528" s="39" t="s">
        <v>46</v>
      </c>
      <c r="W528" s="40" t="s">
        <v>0</v>
      </c>
      <c r="X528" s="58">
        <v>60</v>
      </c>
      <c r="Y528" s="55">
        <f t="shared" si="86"/>
        <v>63.36</v>
      </c>
      <c r="Z528" s="41">
        <f>IFERROR(IF(Y528=0,"",ROUNDUP(Y528/H528,0)*0.01196),"")</f>
        <v>0.14352000000000001</v>
      </c>
      <c r="AA528" s="68" t="s">
        <v>46</v>
      </c>
      <c r="AB528" s="69" t="s">
        <v>46</v>
      </c>
      <c r="AC528" s="636" t="s">
        <v>854</v>
      </c>
      <c r="AG528" s="78"/>
      <c r="AJ528" s="84" t="s">
        <v>46</v>
      </c>
      <c r="AK528" s="84">
        <v>0</v>
      </c>
      <c r="BB528" s="637" t="s">
        <v>67</v>
      </c>
      <c r="BM528" s="78">
        <f t="shared" si="87"/>
        <v>63.977272727272727</v>
      </c>
      <c r="BN528" s="78">
        <f t="shared" si="88"/>
        <v>67.559999999999988</v>
      </c>
      <c r="BO528" s="78">
        <f t="shared" si="89"/>
        <v>0.10926573426573427</v>
      </c>
      <c r="BP528" s="78">
        <f t="shared" si="90"/>
        <v>0.11538461538461539</v>
      </c>
    </row>
    <row r="529" spans="1:68" ht="27" customHeight="1" x14ac:dyDescent="0.25">
      <c r="A529" s="63" t="s">
        <v>855</v>
      </c>
      <c r="B529" s="63" t="s">
        <v>856</v>
      </c>
      <c r="C529" s="36">
        <v>4301031353</v>
      </c>
      <c r="D529" s="733">
        <v>4680115883109</v>
      </c>
      <c r="E529" s="733"/>
      <c r="F529" s="62">
        <v>0.88</v>
      </c>
      <c r="G529" s="37">
        <v>6</v>
      </c>
      <c r="H529" s="62">
        <v>5.28</v>
      </c>
      <c r="I529" s="62">
        <v>5.63</v>
      </c>
      <c r="J529" s="37">
        <v>104</v>
      </c>
      <c r="K529" s="37" t="s">
        <v>127</v>
      </c>
      <c r="L529" s="37" t="s">
        <v>46</v>
      </c>
      <c r="M529" s="38" t="s">
        <v>81</v>
      </c>
      <c r="N529" s="38"/>
      <c r="O529" s="37">
        <v>70</v>
      </c>
      <c r="P529" s="1017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9" s="735"/>
      <c r="R529" s="735"/>
      <c r="S529" s="735"/>
      <c r="T529" s="736"/>
      <c r="U529" s="39" t="s">
        <v>46</v>
      </c>
      <c r="V529" s="39" t="s">
        <v>46</v>
      </c>
      <c r="W529" s="40" t="s">
        <v>0</v>
      </c>
      <c r="X529" s="58">
        <v>150</v>
      </c>
      <c r="Y529" s="55">
        <f t="shared" si="86"/>
        <v>153.12</v>
      </c>
      <c r="Z529" s="41">
        <f>IFERROR(IF(Y529=0,"",ROUNDUP(Y529/H529,0)*0.01196),"")</f>
        <v>0.34683999999999998</v>
      </c>
      <c r="AA529" s="68" t="s">
        <v>46</v>
      </c>
      <c r="AB529" s="69" t="s">
        <v>46</v>
      </c>
      <c r="AC529" s="638" t="s">
        <v>857</v>
      </c>
      <c r="AG529" s="78"/>
      <c r="AJ529" s="84" t="s">
        <v>46</v>
      </c>
      <c r="AK529" s="84">
        <v>0</v>
      </c>
      <c r="BB529" s="639" t="s">
        <v>67</v>
      </c>
      <c r="BM529" s="78">
        <f t="shared" si="87"/>
        <v>159.94318181818181</v>
      </c>
      <c r="BN529" s="78">
        <f t="shared" si="88"/>
        <v>163.26999999999998</v>
      </c>
      <c r="BO529" s="78">
        <f t="shared" si="89"/>
        <v>0.27316433566433568</v>
      </c>
      <c r="BP529" s="78">
        <f t="shared" si="90"/>
        <v>0.27884615384615385</v>
      </c>
    </row>
    <row r="530" spans="1:68" ht="27" hidden="1" customHeight="1" x14ac:dyDescent="0.25">
      <c r="A530" s="63" t="s">
        <v>858</v>
      </c>
      <c r="B530" s="63" t="s">
        <v>859</v>
      </c>
      <c r="C530" s="36">
        <v>4301031419</v>
      </c>
      <c r="D530" s="733">
        <v>4680115882072</v>
      </c>
      <c r="E530" s="733"/>
      <c r="F530" s="62">
        <v>0.6</v>
      </c>
      <c r="G530" s="37">
        <v>8</v>
      </c>
      <c r="H530" s="62">
        <v>4.8</v>
      </c>
      <c r="I530" s="62">
        <v>6.91</v>
      </c>
      <c r="J530" s="37">
        <v>132</v>
      </c>
      <c r="K530" s="37" t="s">
        <v>134</v>
      </c>
      <c r="L530" s="37" t="s">
        <v>46</v>
      </c>
      <c r="M530" s="38" t="s">
        <v>126</v>
      </c>
      <c r="N530" s="38"/>
      <c r="O530" s="37">
        <v>70</v>
      </c>
      <c r="P530" s="1018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30" s="735"/>
      <c r="R530" s="735"/>
      <c r="S530" s="735"/>
      <c r="T530" s="736"/>
      <c r="U530" s="39" t="s">
        <v>46</v>
      </c>
      <c r="V530" s="39" t="s">
        <v>46</v>
      </c>
      <c r="W530" s="40" t="s">
        <v>0</v>
      </c>
      <c r="X530" s="58">
        <v>0</v>
      </c>
      <c r="Y530" s="55">
        <f t="shared" si="86"/>
        <v>0</v>
      </c>
      <c r="Z530" s="41" t="str">
        <f>IFERROR(IF(Y530=0,"",ROUNDUP(Y530/H530,0)*0.00902),"")</f>
        <v/>
      </c>
      <c r="AA530" s="68" t="s">
        <v>46</v>
      </c>
      <c r="AB530" s="69" t="s">
        <v>46</v>
      </c>
      <c r="AC530" s="640" t="s">
        <v>851</v>
      </c>
      <c r="AG530" s="78"/>
      <c r="AJ530" s="84" t="s">
        <v>46</v>
      </c>
      <c r="AK530" s="84">
        <v>0</v>
      </c>
      <c r="BB530" s="641" t="s">
        <v>67</v>
      </c>
      <c r="BM530" s="78">
        <f t="shared" si="87"/>
        <v>0</v>
      </c>
      <c r="BN530" s="78">
        <f t="shared" si="88"/>
        <v>0</v>
      </c>
      <c r="BO530" s="78">
        <f t="shared" si="89"/>
        <v>0</v>
      </c>
      <c r="BP530" s="78">
        <f t="shared" si="90"/>
        <v>0</v>
      </c>
    </row>
    <row r="531" spans="1:68" ht="27" hidden="1" customHeight="1" x14ac:dyDescent="0.25">
      <c r="A531" s="63" t="s">
        <v>860</v>
      </c>
      <c r="B531" s="63" t="s">
        <v>861</v>
      </c>
      <c r="C531" s="36">
        <v>4301031352</v>
      </c>
      <c r="D531" s="733">
        <v>4680115882102</v>
      </c>
      <c r="E531" s="733"/>
      <c r="F531" s="62">
        <v>0.6</v>
      </c>
      <c r="G531" s="37">
        <v>6</v>
      </c>
      <c r="H531" s="62">
        <v>3.6</v>
      </c>
      <c r="I531" s="62">
        <v>3.79</v>
      </c>
      <c r="J531" s="37">
        <v>132</v>
      </c>
      <c r="K531" s="37" t="s">
        <v>134</v>
      </c>
      <c r="L531" s="37" t="s">
        <v>46</v>
      </c>
      <c r="M531" s="38" t="s">
        <v>81</v>
      </c>
      <c r="N531" s="38"/>
      <c r="O531" s="37">
        <v>70</v>
      </c>
      <c r="P531" s="1019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31" s="735"/>
      <c r="R531" s="735"/>
      <c r="S531" s="735"/>
      <c r="T531" s="736"/>
      <c r="U531" s="39" t="s">
        <v>46</v>
      </c>
      <c r="V531" s="39" t="s">
        <v>46</v>
      </c>
      <c r="W531" s="40" t="s">
        <v>0</v>
      </c>
      <c r="X531" s="58">
        <v>0</v>
      </c>
      <c r="Y531" s="55">
        <f t="shared" si="86"/>
        <v>0</v>
      </c>
      <c r="Z531" s="41" t="str">
        <f>IFERROR(IF(Y531=0,"",ROUNDUP(Y531/H531,0)*0.00902),"")</f>
        <v/>
      </c>
      <c r="AA531" s="68" t="s">
        <v>46</v>
      </c>
      <c r="AB531" s="69" t="s">
        <v>46</v>
      </c>
      <c r="AC531" s="642" t="s">
        <v>854</v>
      </c>
      <c r="AG531" s="78"/>
      <c r="AJ531" s="84" t="s">
        <v>46</v>
      </c>
      <c r="AK531" s="84">
        <v>0</v>
      </c>
      <c r="BB531" s="643" t="s">
        <v>67</v>
      </c>
      <c r="BM531" s="78">
        <f t="shared" si="87"/>
        <v>0</v>
      </c>
      <c r="BN531" s="78">
        <f t="shared" si="88"/>
        <v>0</v>
      </c>
      <c r="BO531" s="78">
        <f t="shared" si="89"/>
        <v>0</v>
      </c>
      <c r="BP531" s="78">
        <f t="shared" si="90"/>
        <v>0</v>
      </c>
    </row>
    <row r="532" spans="1:68" ht="27" hidden="1" customHeight="1" x14ac:dyDescent="0.25">
      <c r="A532" s="63" t="s">
        <v>860</v>
      </c>
      <c r="B532" s="63" t="s">
        <v>862</v>
      </c>
      <c r="C532" s="36">
        <v>4301031418</v>
      </c>
      <c r="D532" s="733">
        <v>4680115882102</v>
      </c>
      <c r="E532" s="733"/>
      <c r="F532" s="62">
        <v>0.6</v>
      </c>
      <c r="G532" s="37">
        <v>8</v>
      </c>
      <c r="H532" s="62">
        <v>4.8</v>
      </c>
      <c r="I532" s="62">
        <v>6.67</v>
      </c>
      <c r="J532" s="37">
        <v>132</v>
      </c>
      <c r="K532" s="37" t="s">
        <v>134</v>
      </c>
      <c r="L532" s="37" t="s">
        <v>46</v>
      </c>
      <c r="M532" s="38" t="s">
        <v>81</v>
      </c>
      <c r="N532" s="38"/>
      <c r="O532" s="37">
        <v>70</v>
      </c>
      <c r="P532" s="1020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32" s="735"/>
      <c r="R532" s="735"/>
      <c r="S532" s="735"/>
      <c r="T532" s="736"/>
      <c r="U532" s="39" t="s">
        <v>46</v>
      </c>
      <c r="V532" s="39" t="s">
        <v>46</v>
      </c>
      <c r="W532" s="40" t="s">
        <v>0</v>
      </c>
      <c r="X532" s="58">
        <v>0</v>
      </c>
      <c r="Y532" s="55">
        <f t="shared" si="86"/>
        <v>0</v>
      </c>
      <c r="Z532" s="41" t="str">
        <f>IFERROR(IF(Y532=0,"",ROUNDUP(Y532/H532,0)*0.00902),"")</f>
        <v/>
      </c>
      <c r="AA532" s="68" t="s">
        <v>46</v>
      </c>
      <c r="AB532" s="69" t="s">
        <v>46</v>
      </c>
      <c r="AC532" s="644" t="s">
        <v>854</v>
      </c>
      <c r="AG532" s="78"/>
      <c r="AJ532" s="84" t="s">
        <v>46</v>
      </c>
      <c r="AK532" s="84">
        <v>0</v>
      </c>
      <c r="BB532" s="645" t="s">
        <v>67</v>
      </c>
      <c r="BM532" s="78">
        <f t="shared" si="87"/>
        <v>0</v>
      </c>
      <c r="BN532" s="78">
        <f t="shared" si="88"/>
        <v>0</v>
      </c>
      <c r="BO532" s="78">
        <f t="shared" si="89"/>
        <v>0</v>
      </c>
      <c r="BP532" s="78">
        <f t="shared" si="90"/>
        <v>0</v>
      </c>
    </row>
    <row r="533" spans="1:68" ht="27" hidden="1" customHeight="1" x14ac:dyDescent="0.25">
      <c r="A533" s="63" t="s">
        <v>863</v>
      </c>
      <c r="B533" s="63" t="s">
        <v>864</v>
      </c>
      <c r="C533" s="36">
        <v>4301031417</v>
      </c>
      <c r="D533" s="733">
        <v>4680115882096</v>
      </c>
      <c r="E533" s="733"/>
      <c r="F533" s="62">
        <v>0.6</v>
      </c>
      <c r="G533" s="37">
        <v>8</v>
      </c>
      <c r="H533" s="62">
        <v>4.8</v>
      </c>
      <c r="I533" s="62">
        <v>6.67</v>
      </c>
      <c r="J533" s="37">
        <v>132</v>
      </c>
      <c r="K533" s="37" t="s">
        <v>134</v>
      </c>
      <c r="L533" s="37" t="s">
        <v>46</v>
      </c>
      <c r="M533" s="38" t="s">
        <v>81</v>
      </c>
      <c r="N533" s="38"/>
      <c r="O533" s="37">
        <v>70</v>
      </c>
      <c r="P533" s="1021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3" s="735"/>
      <c r="R533" s="735"/>
      <c r="S533" s="735"/>
      <c r="T533" s="736"/>
      <c r="U533" s="39" t="s">
        <v>46</v>
      </c>
      <c r="V533" s="39" t="s">
        <v>46</v>
      </c>
      <c r="W533" s="40" t="s">
        <v>0</v>
      </c>
      <c r="X533" s="58">
        <v>0</v>
      </c>
      <c r="Y533" s="55">
        <f t="shared" si="86"/>
        <v>0</v>
      </c>
      <c r="Z533" s="41" t="str">
        <f>IFERROR(IF(Y533=0,"",ROUNDUP(Y533/H533,0)*0.00902),"")</f>
        <v/>
      </c>
      <c r="AA533" s="68" t="s">
        <v>46</v>
      </c>
      <c r="AB533" s="69" t="s">
        <v>46</v>
      </c>
      <c r="AC533" s="646" t="s">
        <v>857</v>
      </c>
      <c r="AG533" s="78"/>
      <c r="AJ533" s="84" t="s">
        <v>46</v>
      </c>
      <c r="AK533" s="84">
        <v>0</v>
      </c>
      <c r="BB533" s="647" t="s">
        <v>67</v>
      </c>
      <c r="BM533" s="78">
        <f t="shared" si="87"/>
        <v>0</v>
      </c>
      <c r="BN533" s="78">
        <f t="shared" si="88"/>
        <v>0</v>
      </c>
      <c r="BO533" s="78">
        <f t="shared" si="89"/>
        <v>0</v>
      </c>
      <c r="BP533" s="78">
        <f t="shared" si="90"/>
        <v>0</v>
      </c>
    </row>
    <row r="534" spans="1:68" x14ac:dyDescent="0.2">
      <c r="A534" s="741"/>
      <c r="B534" s="741"/>
      <c r="C534" s="741"/>
      <c r="D534" s="741"/>
      <c r="E534" s="741"/>
      <c r="F534" s="741"/>
      <c r="G534" s="741"/>
      <c r="H534" s="741"/>
      <c r="I534" s="741"/>
      <c r="J534" s="741"/>
      <c r="K534" s="741"/>
      <c r="L534" s="741"/>
      <c r="M534" s="741"/>
      <c r="N534" s="741"/>
      <c r="O534" s="742"/>
      <c r="P534" s="738" t="s">
        <v>40</v>
      </c>
      <c r="Q534" s="739"/>
      <c r="R534" s="739"/>
      <c r="S534" s="739"/>
      <c r="T534" s="739"/>
      <c r="U534" s="739"/>
      <c r="V534" s="740"/>
      <c r="W534" s="42" t="s">
        <v>39</v>
      </c>
      <c r="X534" s="43">
        <f>IFERROR(X527/H527,"0")+IFERROR(X528/H528,"0")+IFERROR(X529/H529,"0")+IFERROR(X530/H530,"0")+IFERROR(X531/H531,"0")+IFERROR(X532/H532,"0")+IFERROR(X533/H533,"0")</f>
        <v>58.712121212121204</v>
      </c>
      <c r="Y534" s="43">
        <f>IFERROR(Y527/H527,"0")+IFERROR(Y528/H528,"0")+IFERROR(Y529/H529,"0")+IFERROR(Y530/H530,"0")+IFERROR(Y531/H531,"0")+IFERROR(Y532/H532,"0")+IFERROR(Y533/H533,"0")</f>
        <v>60</v>
      </c>
      <c r="Z534" s="43">
        <f>IFERROR(IF(Z527="",0,Z527),"0")+IFERROR(IF(Z528="",0,Z528),"0")+IFERROR(IF(Z529="",0,Z529),"0")+IFERROR(IF(Z530="",0,Z530),"0")+IFERROR(IF(Z531="",0,Z531),"0")+IFERROR(IF(Z532="",0,Z532),"0")+IFERROR(IF(Z533="",0,Z533),"0")</f>
        <v>0.71760000000000002</v>
      </c>
      <c r="AA534" s="67"/>
      <c r="AB534" s="67"/>
      <c r="AC534" s="67"/>
    </row>
    <row r="535" spans="1:68" x14ac:dyDescent="0.2">
      <c r="A535" s="741"/>
      <c r="B535" s="741"/>
      <c r="C535" s="741"/>
      <c r="D535" s="741"/>
      <c r="E535" s="741"/>
      <c r="F535" s="741"/>
      <c r="G535" s="741"/>
      <c r="H535" s="741"/>
      <c r="I535" s="741"/>
      <c r="J535" s="741"/>
      <c r="K535" s="741"/>
      <c r="L535" s="741"/>
      <c r="M535" s="741"/>
      <c r="N535" s="741"/>
      <c r="O535" s="742"/>
      <c r="P535" s="738" t="s">
        <v>40</v>
      </c>
      <c r="Q535" s="739"/>
      <c r="R535" s="739"/>
      <c r="S535" s="739"/>
      <c r="T535" s="739"/>
      <c r="U535" s="739"/>
      <c r="V535" s="740"/>
      <c r="W535" s="42" t="s">
        <v>0</v>
      </c>
      <c r="X535" s="43">
        <f>IFERROR(SUM(X527:X533),"0")</f>
        <v>310</v>
      </c>
      <c r="Y535" s="43">
        <f>IFERROR(SUM(Y527:Y533),"0")</f>
        <v>316.8</v>
      </c>
      <c r="Z535" s="42"/>
      <c r="AA535" s="67"/>
      <c r="AB535" s="67"/>
      <c r="AC535" s="67"/>
    </row>
    <row r="536" spans="1:68" ht="27.75" hidden="1" customHeight="1" x14ac:dyDescent="0.2">
      <c r="A536" s="730" t="s">
        <v>865</v>
      </c>
      <c r="B536" s="730"/>
      <c r="C536" s="730"/>
      <c r="D536" s="730"/>
      <c r="E536" s="730"/>
      <c r="F536" s="730"/>
      <c r="G536" s="730"/>
      <c r="H536" s="730"/>
      <c r="I536" s="730"/>
      <c r="J536" s="730"/>
      <c r="K536" s="730"/>
      <c r="L536" s="730"/>
      <c r="M536" s="730"/>
      <c r="N536" s="730"/>
      <c r="O536" s="730"/>
      <c r="P536" s="730"/>
      <c r="Q536" s="730"/>
      <c r="R536" s="730"/>
      <c r="S536" s="730"/>
      <c r="T536" s="730"/>
      <c r="U536" s="730"/>
      <c r="V536" s="730"/>
      <c r="W536" s="730"/>
      <c r="X536" s="730"/>
      <c r="Y536" s="730"/>
      <c r="Z536" s="730"/>
      <c r="AA536" s="54"/>
      <c r="AB536" s="54"/>
      <c r="AC536" s="54"/>
    </row>
    <row r="537" spans="1:68" ht="16.5" hidden="1" customHeight="1" x14ac:dyDescent="0.25">
      <c r="A537" s="731" t="s">
        <v>865</v>
      </c>
      <c r="B537" s="731"/>
      <c r="C537" s="731"/>
      <c r="D537" s="731"/>
      <c r="E537" s="731"/>
      <c r="F537" s="731"/>
      <c r="G537" s="731"/>
      <c r="H537" s="731"/>
      <c r="I537" s="731"/>
      <c r="J537" s="731"/>
      <c r="K537" s="731"/>
      <c r="L537" s="731"/>
      <c r="M537" s="731"/>
      <c r="N537" s="731"/>
      <c r="O537" s="731"/>
      <c r="P537" s="731"/>
      <c r="Q537" s="731"/>
      <c r="R537" s="731"/>
      <c r="S537" s="731"/>
      <c r="T537" s="731"/>
      <c r="U537" s="731"/>
      <c r="V537" s="731"/>
      <c r="W537" s="731"/>
      <c r="X537" s="731"/>
      <c r="Y537" s="731"/>
      <c r="Z537" s="731"/>
      <c r="AA537" s="65"/>
      <c r="AB537" s="65"/>
      <c r="AC537" s="79"/>
    </row>
    <row r="538" spans="1:68" ht="14.25" hidden="1" customHeight="1" x14ac:dyDescent="0.25">
      <c r="A538" s="732" t="s">
        <v>122</v>
      </c>
      <c r="B538" s="732"/>
      <c r="C538" s="732"/>
      <c r="D538" s="732"/>
      <c r="E538" s="732"/>
      <c r="F538" s="732"/>
      <c r="G538" s="732"/>
      <c r="H538" s="732"/>
      <c r="I538" s="732"/>
      <c r="J538" s="732"/>
      <c r="K538" s="732"/>
      <c r="L538" s="732"/>
      <c r="M538" s="732"/>
      <c r="N538" s="732"/>
      <c r="O538" s="732"/>
      <c r="P538" s="732"/>
      <c r="Q538" s="732"/>
      <c r="R538" s="732"/>
      <c r="S538" s="732"/>
      <c r="T538" s="732"/>
      <c r="U538" s="732"/>
      <c r="V538" s="732"/>
      <c r="W538" s="732"/>
      <c r="X538" s="732"/>
      <c r="Y538" s="732"/>
      <c r="Z538" s="732"/>
      <c r="AA538" s="66"/>
      <c r="AB538" s="66"/>
      <c r="AC538" s="80"/>
    </row>
    <row r="539" spans="1:68" ht="27" customHeight="1" x14ac:dyDescent="0.25">
      <c r="A539" s="63" t="s">
        <v>866</v>
      </c>
      <c r="B539" s="63" t="s">
        <v>867</v>
      </c>
      <c r="C539" s="36">
        <v>4301011584</v>
      </c>
      <c r="D539" s="733">
        <v>4640242180564</v>
      </c>
      <c r="E539" s="733"/>
      <c r="F539" s="62">
        <v>1.5</v>
      </c>
      <c r="G539" s="37">
        <v>8</v>
      </c>
      <c r="H539" s="62">
        <v>12</v>
      </c>
      <c r="I539" s="62">
        <v>12.41</v>
      </c>
      <c r="J539" s="37">
        <v>64</v>
      </c>
      <c r="K539" s="37" t="s">
        <v>127</v>
      </c>
      <c r="L539" s="37" t="s">
        <v>46</v>
      </c>
      <c r="M539" s="38" t="s">
        <v>126</v>
      </c>
      <c r="N539" s="38"/>
      <c r="O539" s="37">
        <v>50</v>
      </c>
      <c r="P539" s="1022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9" s="735"/>
      <c r="R539" s="735"/>
      <c r="S539" s="735"/>
      <c r="T539" s="736"/>
      <c r="U539" s="39" t="s">
        <v>46</v>
      </c>
      <c r="V539" s="39" t="s">
        <v>46</v>
      </c>
      <c r="W539" s="40" t="s">
        <v>0</v>
      </c>
      <c r="X539" s="58">
        <v>99.590599999999995</v>
      </c>
      <c r="Y539" s="55">
        <f>IFERROR(IF(X539="",0,CEILING((X539/$H539),1)*$H539),"")</f>
        <v>108</v>
      </c>
      <c r="Z539" s="41">
        <f>IFERROR(IF(Y539=0,"",ROUNDUP(Y539/H539,0)*0.01898),"")</f>
        <v>0.17082</v>
      </c>
      <c r="AA539" s="68" t="s">
        <v>46</v>
      </c>
      <c r="AB539" s="69" t="s">
        <v>46</v>
      </c>
      <c r="AC539" s="648" t="s">
        <v>868</v>
      </c>
      <c r="AG539" s="78"/>
      <c r="AJ539" s="84" t="s">
        <v>46</v>
      </c>
      <c r="AK539" s="84">
        <v>0</v>
      </c>
      <c r="BB539" s="649" t="s">
        <v>67</v>
      </c>
      <c r="BM539" s="78">
        <f>IFERROR(X539*I539/H539,"0")</f>
        <v>102.99327883333332</v>
      </c>
      <c r="BN539" s="78">
        <f>IFERROR(Y539*I539/H539,"0")</f>
        <v>111.69</v>
      </c>
      <c r="BO539" s="78">
        <f>IFERROR(1/J539*(X539/H539),"0")</f>
        <v>0.12967526041666666</v>
      </c>
      <c r="BP539" s="78">
        <f>IFERROR(1/J539*(Y539/H539),"0")</f>
        <v>0.140625</v>
      </c>
    </row>
    <row r="540" spans="1:68" x14ac:dyDescent="0.2">
      <c r="A540" s="741"/>
      <c r="B540" s="741"/>
      <c r="C540" s="741"/>
      <c r="D540" s="741"/>
      <c r="E540" s="741"/>
      <c r="F540" s="741"/>
      <c r="G540" s="741"/>
      <c r="H540" s="741"/>
      <c r="I540" s="741"/>
      <c r="J540" s="741"/>
      <c r="K540" s="741"/>
      <c r="L540" s="741"/>
      <c r="M540" s="741"/>
      <c r="N540" s="741"/>
      <c r="O540" s="742"/>
      <c r="P540" s="738" t="s">
        <v>40</v>
      </c>
      <c r="Q540" s="739"/>
      <c r="R540" s="739"/>
      <c r="S540" s="739"/>
      <c r="T540" s="739"/>
      <c r="U540" s="739"/>
      <c r="V540" s="740"/>
      <c r="W540" s="42" t="s">
        <v>39</v>
      </c>
      <c r="X540" s="43">
        <f>IFERROR(X539/H539,"0")</f>
        <v>8.2992166666666662</v>
      </c>
      <c r="Y540" s="43">
        <f>IFERROR(Y539/H539,"0")</f>
        <v>9</v>
      </c>
      <c r="Z540" s="43">
        <f>IFERROR(IF(Z539="",0,Z539),"0")</f>
        <v>0.17082</v>
      </c>
      <c r="AA540" s="67"/>
      <c r="AB540" s="67"/>
      <c r="AC540" s="67"/>
    </row>
    <row r="541" spans="1:68" x14ac:dyDescent="0.2">
      <c r="A541" s="741"/>
      <c r="B541" s="741"/>
      <c r="C541" s="741"/>
      <c r="D541" s="741"/>
      <c r="E541" s="741"/>
      <c r="F541" s="741"/>
      <c r="G541" s="741"/>
      <c r="H541" s="741"/>
      <c r="I541" s="741"/>
      <c r="J541" s="741"/>
      <c r="K541" s="741"/>
      <c r="L541" s="741"/>
      <c r="M541" s="741"/>
      <c r="N541" s="741"/>
      <c r="O541" s="742"/>
      <c r="P541" s="738" t="s">
        <v>40</v>
      </c>
      <c r="Q541" s="739"/>
      <c r="R541" s="739"/>
      <c r="S541" s="739"/>
      <c r="T541" s="739"/>
      <c r="U541" s="739"/>
      <c r="V541" s="740"/>
      <c r="W541" s="42" t="s">
        <v>0</v>
      </c>
      <c r="X541" s="43">
        <f>IFERROR(SUM(X539:X539),"0")</f>
        <v>99.590599999999995</v>
      </c>
      <c r="Y541" s="43">
        <f>IFERROR(SUM(Y539:Y539),"0")</f>
        <v>108</v>
      </c>
      <c r="Z541" s="42"/>
      <c r="AA541" s="67"/>
      <c r="AB541" s="67"/>
      <c r="AC541" s="67"/>
    </row>
    <row r="542" spans="1:68" ht="14.25" hidden="1" customHeight="1" x14ac:dyDescent="0.25">
      <c r="A542" s="732" t="s">
        <v>155</v>
      </c>
      <c r="B542" s="732"/>
      <c r="C542" s="732"/>
      <c r="D542" s="732"/>
      <c r="E542" s="732"/>
      <c r="F542" s="732"/>
      <c r="G542" s="732"/>
      <c r="H542" s="732"/>
      <c r="I542" s="732"/>
      <c r="J542" s="732"/>
      <c r="K542" s="732"/>
      <c r="L542" s="732"/>
      <c r="M542" s="732"/>
      <c r="N542" s="732"/>
      <c r="O542" s="732"/>
      <c r="P542" s="732"/>
      <c r="Q542" s="732"/>
      <c r="R542" s="732"/>
      <c r="S542" s="732"/>
      <c r="T542" s="732"/>
      <c r="U542" s="732"/>
      <c r="V542" s="732"/>
      <c r="W542" s="732"/>
      <c r="X542" s="732"/>
      <c r="Y542" s="732"/>
      <c r="Z542" s="732"/>
      <c r="AA542" s="66"/>
      <c r="AB542" s="66"/>
      <c r="AC542" s="80"/>
    </row>
    <row r="543" spans="1:68" ht="27" hidden="1" customHeight="1" x14ac:dyDescent="0.25">
      <c r="A543" s="63" t="s">
        <v>869</v>
      </c>
      <c r="B543" s="63" t="s">
        <v>870</v>
      </c>
      <c r="C543" s="36">
        <v>4301020400</v>
      </c>
      <c r="D543" s="733">
        <v>4640242180519</v>
      </c>
      <c r="E543" s="733"/>
      <c r="F543" s="62">
        <v>1.5</v>
      </c>
      <c r="G543" s="37">
        <v>8</v>
      </c>
      <c r="H543" s="62">
        <v>12</v>
      </c>
      <c r="I543" s="62">
        <v>12.41</v>
      </c>
      <c r="J543" s="37">
        <v>64</v>
      </c>
      <c r="K543" s="37" t="s">
        <v>127</v>
      </c>
      <c r="L543" s="37" t="s">
        <v>46</v>
      </c>
      <c r="M543" s="38" t="s">
        <v>126</v>
      </c>
      <c r="N543" s="38"/>
      <c r="O543" s="37">
        <v>50</v>
      </c>
      <c r="P543" s="102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43" s="735"/>
      <c r="R543" s="735"/>
      <c r="S543" s="735"/>
      <c r="T543" s="736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IFERROR(IF(Y543=0,"",ROUNDUP(Y543/H543,0)*0.01898),"")</f>
        <v/>
      </c>
      <c r="AA543" s="68" t="s">
        <v>46</v>
      </c>
      <c r="AB543" s="69" t="s">
        <v>46</v>
      </c>
      <c r="AC543" s="650" t="s">
        <v>871</v>
      </c>
      <c r="AG543" s="78"/>
      <c r="AJ543" s="84" t="s">
        <v>46</v>
      </c>
      <c r="AK543" s="84">
        <v>0</v>
      </c>
      <c r="BB543" s="651" t="s">
        <v>67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hidden="1" x14ac:dyDescent="0.2">
      <c r="A544" s="741"/>
      <c r="B544" s="741"/>
      <c r="C544" s="741"/>
      <c r="D544" s="741"/>
      <c r="E544" s="741"/>
      <c r="F544" s="741"/>
      <c r="G544" s="741"/>
      <c r="H544" s="741"/>
      <c r="I544" s="741"/>
      <c r="J544" s="741"/>
      <c r="K544" s="741"/>
      <c r="L544" s="741"/>
      <c r="M544" s="741"/>
      <c r="N544" s="741"/>
      <c r="O544" s="742"/>
      <c r="P544" s="738" t="s">
        <v>40</v>
      </c>
      <c r="Q544" s="739"/>
      <c r="R544" s="739"/>
      <c r="S544" s="739"/>
      <c r="T544" s="739"/>
      <c r="U544" s="739"/>
      <c r="V544" s="740"/>
      <c r="W544" s="42" t="s">
        <v>39</v>
      </c>
      <c r="X544" s="43">
        <f>IFERROR(X543/H543,"0")</f>
        <v>0</v>
      </c>
      <c r="Y544" s="43">
        <f>IFERROR(Y543/H543,"0")</f>
        <v>0</v>
      </c>
      <c r="Z544" s="43">
        <f>IFERROR(IF(Z543="",0,Z543),"0")</f>
        <v>0</v>
      </c>
      <c r="AA544" s="67"/>
      <c r="AB544" s="67"/>
      <c r="AC544" s="67"/>
    </row>
    <row r="545" spans="1:68" hidden="1" x14ac:dyDescent="0.2">
      <c r="A545" s="741"/>
      <c r="B545" s="741"/>
      <c r="C545" s="741"/>
      <c r="D545" s="741"/>
      <c r="E545" s="741"/>
      <c r="F545" s="741"/>
      <c r="G545" s="741"/>
      <c r="H545" s="741"/>
      <c r="I545" s="741"/>
      <c r="J545" s="741"/>
      <c r="K545" s="741"/>
      <c r="L545" s="741"/>
      <c r="M545" s="741"/>
      <c r="N545" s="741"/>
      <c r="O545" s="742"/>
      <c r="P545" s="738" t="s">
        <v>40</v>
      </c>
      <c r="Q545" s="739"/>
      <c r="R545" s="739"/>
      <c r="S545" s="739"/>
      <c r="T545" s="739"/>
      <c r="U545" s="739"/>
      <c r="V545" s="740"/>
      <c r="W545" s="42" t="s">
        <v>0</v>
      </c>
      <c r="X545" s="43">
        <f>IFERROR(SUM(X543:X543),"0")</f>
        <v>0</v>
      </c>
      <c r="Y545" s="43">
        <f>IFERROR(SUM(Y543:Y543),"0")</f>
        <v>0</v>
      </c>
      <c r="Z545" s="42"/>
      <c r="AA545" s="67"/>
      <c r="AB545" s="67"/>
      <c r="AC545" s="67"/>
    </row>
    <row r="546" spans="1:68" ht="14.25" hidden="1" customHeight="1" x14ac:dyDescent="0.25">
      <c r="A546" s="732" t="s">
        <v>77</v>
      </c>
      <c r="B546" s="732"/>
      <c r="C546" s="732"/>
      <c r="D546" s="732"/>
      <c r="E546" s="732"/>
      <c r="F546" s="732"/>
      <c r="G546" s="732"/>
      <c r="H546" s="732"/>
      <c r="I546" s="732"/>
      <c r="J546" s="732"/>
      <c r="K546" s="732"/>
      <c r="L546" s="732"/>
      <c r="M546" s="732"/>
      <c r="N546" s="732"/>
      <c r="O546" s="732"/>
      <c r="P546" s="732"/>
      <c r="Q546" s="732"/>
      <c r="R546" s="732"/>
      <c r="S546" s="732"/>
      <c r="T546" s="732"/>
      <c r="U546" s="732"/>
      <c r="V546" s="732"/>
      <c r="W546" s="732"/>
      <c r="X546" s="732"/>
      <c r="Y546" s="732"/>
      <c r="Z546" s="732"/>
      <c r="AA546" s="66"/>
      <c r="AB546" s="66"/>
      <c r="AC546" s="80"/>
    </row>
    <row r="547" spans="1:68" ht="27" hidden="1" customHeight="1" x14ac:dyDescent="0.25">
      <c r="A547" s="63" t="s">
        <v>872</v>
      </c>
      <c r="B547" s="63" t="s">
        <v>873</v>
      </c>
      <c r="C547" s="36">
        <v>4301031500</v>
      </c>
      <c r="D547" s="733">
        <v>4640242180595</v>
      </c>
      <c r="E547" s="733"/>
      <c r="F547" s="62">
        <v>0.7</v>
      </c>
      <c r="G547" s="37">
        <v>6</v>
      </c>
      <c r="H547" s="62">
        <v>4.2</v>
      </c>
      <c r="I547" s="62">
        <v>4.45</v>
      </c>
      <c r="J547" s="37">
        <v>132</v>
      </c>
      <c r="K547" s="37" t="s">
        <v>134</v>
      </c>
      <c r="L547" s="37" t="s">
        <v>46</v>
      </c>
      <c r="M547" s="38" t="s">
        <v>81</v>
      </c>
      <c r="N547" s="38"/>
      <c r="O547" s="37">
        <v>40</v>
      </c>
      <c r="P547" s="1024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7" s="735"/>
      <c r="R547" s="735"/>
      <c r="S547" s="735"/>
      <c r="T547" s="736"/>
      <c r="U547" s="39" t="s">
        <v>46</v>
      </c>
      <c r="V547" s="39" t="s">
        <v>46</v>
      </c>
      <c r="W547" s="40" t="s">
        <v>0</v>
      </c>
      <c r="X547" s="58">
        <v>0</v>
      </c>
      <c r="Y547" s="55">
        <f>IFERROR(IF(X547="",0,CEILING((X547/$H547),1)*$H547),"")</f>
        <v>0</v>
      </c>
      <c r="Z547" s="41" t="str">
        <f>IFERROR(IF(Y547=0,"",ROUNDUP(Y547/H547,0)*0.00902),"")</f>
        <v/>
      </c>
      <c r="AA547" s="68" t="s">
        <v>46</v>
      </c>
      <c r="AB547" s="69" t="s">
        <v>46</v>
      </c>
      <c r="AC547" s="652" t="s">
        <v>874</v>
      </c>
      <c r="AG547" s="78"/>
      <c r="AJ547" s="84" t="s">
        <v>46</v>
      </c>
      <c r="AK547" s="84">
        <v>0</v>
      </c>
      <c r="BB547" s="653" t="s">
        <v>67</v>
      </c>
      <c r="BM547" s="78">
        <f>IFERROR(X547*I547/H547,"0")</f>
        <v>0</v>
      </c>
      <c r="BN547" s="78">
        <f>IFERROR(Y547*I547/H547,"0")</f>
        <v>0</v>
      </c>
      <c r="BO547" s="78">
        <f>IFERROR(1/J547*(X547/H547),"0")</f>
        <v>0</v>
      </c>
      <c r="BP547" s="78">
        <f>IFERROR(1/J547*(Y547/H547),"0")</f>
        <v>0</v>
      </c>
    </row>
    <row r="548" spans="1:68" hidden="1" x14ac:dyDescent="0.2">
      <c r="A548" s="741"/>
      <c r="B548" s="741"/>
      <c r="C548" s="741"/>
      <c r="D548" s="741"/>
      <c r="E548" s="741"/>
      <c r="F548" s="741"/>
      <c r="G548" s="741"/>
      <c r="H548" s="741"/>
      <c r="I548" s="741"/>
      <c r="J548" s="741"/>
      <c r="K548" s="741"/>
      <c r="L548" s="741"/>
      <c r="M548" s="741"/>
      <c r="N548" s="741"/>
      <c r="O548" s="742"/>
      <c r="P548" s="738" t="s">
        <v>40</v>
      </c>
      <c r="Q548" s="739"/>
      <c r="R548" s="739"/>
      <c r="S548" s="739"/>
      <c r="T548" s="739"/>
      <c r="U548" s="739"/>
      <c r="V548" s="740"/>
      <c r="W548" s="42" t="s">
        <v>39</v>
      </c>
      <c r="X548" s="43">
        <f>IFERROR(X547/H547,"0")</f>
        <v>0</v>
      </c>
      <c r="Y548" s="43">
        <f>IFERROR(Y547/H547,"0")</f>
        <v>0</v>
      </c>
      <c r="Z548" s="43">
        <f>IFERROR(IF(Z547="",0,Z547),"0")</f>
        <v>0</v>
      </c>
      <c r="AA548" s="67"/>
      <c r="AB548" s="67"/>
      <c r="AC548" s="67"/>
    </row>
    <row r="549" spans="1:68" hidden="1" x14ac:dyDescent="0.2">
      <c r="A549" s="741"/>
      <c r="B549" s="741"/>
      <c r="C549" s="741"/>
      <c r="D549" s="741"/>
      <c r="E549" s="741"/>
      <c r="F549" s="741"/>
      <c r="G549" s="741"/>
      <c r="H549" s="741"/>
      <c r="I549" s="741"/>
      <c r="J549" s="741"/>
      <c r="K549" s="741"/>
      <c r="L549" s="741"/>
      <c r="M549" s="741"/>
      <c r="N549" s="741"/>
      <c r="O549" s="742"/>
      <c r="P549" s="738" t="s">
        <v>40</v>
      </c>
      <c r="Q549" s="739"/>
      <c r="R549" s="739"/>
      <c r="S549" s="739"/>
      <c r="T549" s="739"/>
      <c r="U549" s="739"/>
      <c r="V549" s="740"/>
      <c r="W549" s="42" t="s">
        <v>0</v>
      </c>
      <c r="X549" s="43">
        <f>IFERROR(SUM(X547:X547),"0")</f>
        <v>0</v>
      </c>
      <c r="Y549" s="43">
        <f>IFERROR(SUM(Y547:Y547),"0")</f>
        <v>0</v>
      </c>
      <c r="Z549" s="42"/>
      <c r="AA549" s="67"/>
      <c r="AB549" s="67"/>
      <c r="AC549" s="67"/>
    </row>
    <row r="550" spans="1:68" ht="14.25" hidden="1" customHeight="1" x14ac:dyDescent="0.25">
      <c r="A550" s="732" t="s">
        <v>86</v>
      </c>
      <c r="B550" s="732"/>
      <c r="C550" s="732"/>
      <c r="D550" s="732"/>
      <c r="E550" s="732"/>
      <c r="F550" s="732"/>
      <c r="G550" s="732"/>
      <c r="H550" s="732"/>
      <c r="I550" s="732"/>
      <c r="J550" s="732"/>
      <c r="K550" s="732"/>
      <c r="L550" s="732"/>
      <c r="M550" s="732"/>
      <c r="N550" s="732"/>
      <c r="O550" s="732"/>
      <c r="P550" s="732"/>
      <c r="Q550" s="732"/>
      <c r="R550" s="732"/>
      <c r="S550" s="732"/>
      <c r="T550" s="732"/>
      <c r="U550" s="732"/>
      <c r="V550" s="732"/>
      <c r="W550" s="732"/>
      <c r="X550" s="732"/>
      <c r="Y550" s="732"/>
      <c r="Z550" s="732"/>
      <c r="AA550" s="66"/>
      <c r="AB550" s="66"/>
      <c r="AC550" s="80"/>
    </row>
    <row r="551" spans="1:68" ht="27" customHeight="1" x14ac:dyDescent="0.25">
      <c r="A551" s="63" t="s">
        <v>875</v>
      </c>
      <c r="B551" s="63" t="s">
        <v>876</v>
      </c>
      <c r="C551" s="36">
        <v>4301052043</v>
      </c>
      <c r="D551" s="733">
        <v>4640242180533</v>
      </c>
      <c r="E551" s="733"/>
      <c r="F551" s="62">
        <v>1.5</v>
      </c>
      <c r="G551" s="37">
        <v>6</v>
      </c>
      <c r="H551" s="62">
        <v>9</v>
      </c>
      <c r="I551" s="62">
        <v>9.4939999999999998</v>
      </c>
      <c r="J551" s="37">
        <v>64</v>
      </c>
      <c r="K551" s="37" t="s">
        <v>127</v>
      </c>
      <c r="L551" s="37" t="s">
        <v>46</v>
      </c>
      <c r="M551" s="38" t="s">
        <v>90</v>
      </c>
      <c r="N551" s="38"/>
      <c r="O551" s="37">
        <v>45</v>
      </c>
      <c r="P551" s="1025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51" s="735"/>
      <c r="R551" s="735"/>
      <c r="S551" s="735"/>
      <c r="T551" s="736"/>
      <c r="U551" s="39" t="s">
        <v>46</v>
      </c>
      <c r="V551" s="39" t="s">
        <v>46</v>
      </c>
      <c r="W551" s="40" t="s">
        <v>0</v>
      </c>
      <c r="X551" s="58">
        <v>800</v>
      </c>
      <c r="Y551" s="55">
        <f>IFERROR(IF(X551="",0,CEILING((X551/$H551),1)*$H551),"")</f>
        <v>801</v>
      </c>
      <c r="Z551" s="41">
        <f>IFERROR(IF(Y551=0,"",ROUNDUP(Y551/H551,0)*0.01898),"")</f>
        <v>1.6892199999999999</v>
      </c>
      <c r="AA551" s="68" t="s">
        <v>46</v>
      </c>
      <c r="AB551" s="69" t="s">
        <v>46</v>
      </c>
      <c r="AC551" s="654" t="s">
        <v>877</v>
      </c>
      <c r="AG551" s="78"/>
      <c r="AJ551" s="84" t="s">
        <v>46</v>
      </c>
      <c r="AK551" s="84">
        <v>0</v>
      </c>
      <c r="BB551" s="655" t="s">
        <v>67</v>
      </c>
      <c r="BM551" s="78">
        <f>IFERROR(X551*I551/H551,"0")</f>
        <v>843.91111111111104</v>
      </c>
      <c r="BN551" s="78">
        <f>IFERROR(Y551*I551/H551,"0")</f>
        <v>844.96599999999989</v>
      </c>
      <c r="BO551" s="78">
        <f>IFERROR(1/J551*(X551/H551),"0")</f>
        <v>1.3888888888888888</v>
      </c>
      <c r="BP551" s="78">
        <f>IFERROR(1/J551*(Y551/H551),"0")</f>
        <v>1.390625</v>
      </c>
    </row>
    <row r="552" spans="1:68" x14ac:dyDescent="0.2">
      <c r="A552" s="741"/>
      <c r="B552" s="741"/>
      <c r="C552" s="741"/>
      <c r="D552" s="741"/>
      <c r="E552" s="741"/>
      <c r="F552" s="741"/>
      <c r="G552" s="741"/>
      <c r="H552" s="741"/>
      <c r="I552" s="741"/>
      <c r="J552" s="741"/>
      <c r="K552" s="741"/>
      <c r="L552" s="741"/>
      <c r="M552" s="741"/>
      <c r="N552" s="741"/>
      <c r="O552" s="742"/>
      <c r="P552" s="738" t="s">
        <v>40</v>
      </c>
      <c r="Q552" s="739"/>
      <c r="R552" s="739"/>
      <c r="S552" s="739"/>
      <c r="T552" s="739"/>
      <c r="U552" s="739"/>
      <c r="V552" s="740"/>
      <c r="W552" s="42" t="s">
        <v>39</v>
      </c>
      <c r="X552" s="43">
        <f>IFERROR(X551/H551,"0")</f>
        <v>88.888888888888886</v>
      </c>
      <c r="Y552" s="43">
        <f>IFERROR(Y551/H551,"0")</f>
        <v>89</v>
      </c>
      <c r="Z552" s="43">
        <f>IFERROR(IF(Z551="",0,Z551),"0")</f>
        <v>1.6892199999999999</v>
      </c>
      <c r="AA552" s="67"/>
      <c r="AB552" s="67"/>
      <c r="AC552" s="67"/>
    </row>
    <row r="553" spans="1:68" x14ac:dyDescent="0.2">
      <c r="A553" s="741"/>
      <c r="B553" s="741"/>
      <c r="C553" s="741"/>
      <c r="D553" s="741"/>
      <c r="E553" s="741"/>
      <c r="F553" s="741"/>
      <c r="G553" s="741"/>
      <c r="H553" s="741"/>
      <c r="I553" s="741"/>
      <c r="J553" s="741"/>
      <c r="K553" s="741"/>
      <c r="L553" s="741"/>
      <c r="M553" s="741"/>
      <c r="N553" s="741"/>
      <c r="O553" s="742"/>
      <c r="P553" s="738" t="s">
        <v>40</v>
      </c>
      <c r="Q553" s="739"/>
      <c r="R553" s="739"/>
      <c r="S553" s="739"/>
      <c r="T553" s="739"/>
      <c r="U553" s="739"/>
      <c r="V553" s="740"/>
      <c r="W553" s="42" t="s">
        <v>0</v>
      </c>
      <c r="X553" s="43">
        <f>IFERROR(SUM(X551:X551),"0")</f>
        <v>800</v>
      </c>
      <c r="Y553" s="43">
        <f>IFERROR(SUM(Y551:Y551),"0")</f>
        <v>801</v>
      </c>
      <c r="Z553" s="42"/>
      <c r="AA553" s="67"/>
      <c r="AB553" s="67"/>
      <c r="AC553" s="67"/>
    </row>
    <row r="554" spans="1:68" ht="14.25" hidden="1" customHeight="1" x14ac:dyDescent="0.25">
      <c r="A554" s="732" t="s">
        <v>173</v>
      </c>
      <c r="B554" s="732"/>
      <c r="C554" s="732"/>
      <c r="D554" s="732"/>
      <c r="E554" s="732"/>
      <c r="F554" s="732"/>
      <c r="G554" s="732"/>
      <c r="H554" s="732"/>
      <c r="I554" s="732"/>
      <c r="J554" s="732"/>
      <c r="K554" s="732"/>
      <c r="L554" s="732"/>
      <c r="M554" s="732"/>
      <c r="N554" s="732"/>
      <c r="O554" s="732"/>
      <c r="P554" s="732"/>
      <c r="Q554" s="732"/>
      <c r="R554" s="732"/>
      <c r="S554" s="732"/>
      <c r="T554" s="732"/>
      <c r="U554" s="732"/>
      <c r="V554" s="732"/>
      <c r="W554" s="732"/>
      <c r="X554" s="732"/>
      <c r="Y554" s="732"/>
      <c r="Z554" s="732"/>
      <c r="AA554" s="66"/>
      <c r="AB554" s="66"/>
      <c r="AC554" s="80"/>
    </row>
    <row r="555" spans="1:68" ht="27" hidden="1" customHeight="1" x14ac:dyDescent="0.25">
      <c r="A555" s="63" t="s">
        <v>878</v>
      </c>
      <c r="B555" s="63" t="s">
        <v>879</v>
      </c>
      <c r="C555" s="36">
        <v>4301060535</v>
      </c>
      <c r="D555" s="733">
        <v>4640242180120</v>
      </c>
      <c r="E555" s="733"/>
      <c r="F555" s="62">
        <v>1.5</v>
      </c>
      <c r="G555" s="37">
        <v>6</v>
      </c>
      <c r="H555" s="62">
        <v>9</v>
      </c>
      <c r="I555" s="62">
        <v>9.41</v>
      </c>
      <c r="J555" s="37">
        <v>64</v>
      </c>
      <c r="K555" s="37" t="s">
        <v>127</v>
      </c>
      <c r="L555" s="37" t="s">
        <v>46</v>
      </c>
      <c r="M555" s="38" t="s">
        <v>90</v>
      </c>
      <c r="N555" s="38"/>
      <c r="O555" s="37">
        <v>40</v>
      </c>
      <c r="P555" s="1026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5" s="735"/>
      <c r="R555" s="735"/>
      <c r="S555" s="735"/>
      <c r="T555" s="736"/>
      <c r="U555" s="39" t="s">
        <v>46</v>
      </c>
      <c r="V555" s="39" t="s">
        <v>46</v>
      </c>
      <c r="W555" s="40" t="s">
        <v>0</v>
      </c>
      <c r="X555" s="58">
        <v>0</v>
      </c>
      <c r="Y555" s="55">
        <f>IFERROR(IF(X555="",0,CEILING((X555/$H555),1)*$H555),"")</f>
        <v>0</v>
      </c>
      <c r="Z555" s="41" t="str">
        <f>IFERROR(IF(Y555=0,"",ROUNDUP(Y555/H555,0)*0.01898),"")</f>
        <v/>
      </c>
      <c r="AA555" s="68" t="s">
        <v>46</v>
      </c>
      <c r="AB555" s="69" t="s">
        <v>46</v>
      </c>
      <c r="AC555" s="656" t="s">
        <v>880</v>
      </c>
      <c r="AG555" s="78"/>
      <c r="AJ555" s="84" t="s">
        <v>46</v>
      </c>
      <c r="AK555" s="84">
        <v>0</v>
      </c>
      <c r="BB555" s="657" t="s">
        <v>67</v>
      </c>
      <c r="BM555" s="78">
        <f>IFERROR(X555*I555/H555,"0")</f>
        <v>0</v>
      </c>
      <c r="BN555" s="78">
        <f>IFERROR(Y555*I555/H555,"0")</f>
        <v>0</v>
      </c>
      <c r="BO555" s="78">
        <f>IFERROR(1/J555*(X555/H555),"0")</f>
        <v>0</v>
      </c>
      <c r="BP555" s="78">
        <f>IFERROR(1/J555*(Y555/H555),"0")</f>
        <v>0</v>
      </c>
    </row>
    <row r="556" spans="1:68" ht="27" hidden="1" customHeight="1" x14ac:dyDescent="0.25">
      <c r="A556" s="63" t="s">
        <v>881</v>
      </c>
      <c r="B556" s="63" t="s">
        <v>882</v>
      </c>
      <c r="C556" s="36">
        <v>4301060536</v>
      </c>
      <c r="D556" s="733">
        <v>4640242180137</v>
      </c>
      <c r="E556" s="733"/>
      <c r="F556" s="62">
        <v>1.5</v>
      </c>
      <c r="G556" s="37">
        <v>6</v>
      </c>
      <c r="H556" s="62">
        <v>9</v>
      </c>
      <c r="I556" s="62">
        <v>9.41</v>
      </c>
      <c r="J556" s="37">
        <v>64</v>
      </c>
      <c r="K556" s="37" t="s">
        <v>127</v>
      </c>
      <c r="L556" s="37" t="s">
        <v>46</v>
      </c>
      <c r="M556" s="38" t="s">
        <v>90</v>
      </c>
      <c r="N556" s="38"/>
      <c r="O556" s="37">
        <v>40</v>
      </c>
      <c r="P556" s="1027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6" s="735"/>
      <c r="R556" s="735"/>
      <c r="S556" s="735"/>
      <c r="T556" s="736"/>
      <c r="U556" s="39" t="s">
        <v>46</v>
      </c>
      <c r="V556" s="39" t="s">
        <v>46</v>
      </c>
      <c r="W556" s="40" t="s">
        <v>0</v>
      </c>
      <c r="X556" s="58">
        <v>0</v>
      </c>
      <c r="Y556" s="55">
        <f>IFERROR(IF(X556="",0,CEILING((X556/$H556),1)*$H556),"")</f>
        <v>0</v>
      </c>
      <c r="Z556" s="41" t="str">
        <f>IFERROR(IF(Y556=0,"",ROUNDUP(Y556/H556,0)*0.01898),"")</f>
        <v/>
      </c>
      <c r="AA556" s="68" t="s">
        <v>46</v>
      </c>
      <c r="AB556" s="69" t="s">
        <v>46</v>
      </c>
      <c r="AC556" s="658" t="s">
        <v>883</v>
      </c>
      <c r="AG556" s="78"/>
      <c r="AJ556" s="84" t="s">
        <v>46</v>
      </c>
      <c r="AK556" s="84">
        <v>0</v>
      </c>
      <c r="BB556" s="659" t="s">
        <v>67</v>
      </c>
      <c r="BM556" s="78">
        <f>IFERROR(X556*I556/H556,"0")</f>
        <v>0</v>
      </c>
      <c r="BN556" s="78">
        <f>IFERROR(Y556*I556/H556,"0")</f>
        <v>0</v>
      </c>
      <c r="BO556" s="78">
        <f>IFERROR(1/J556*(X556/H556),"0")</f>
        <v>0</v>
      </c>
      <c r="BP556" s="78">
        <f>IFERROR(1/J556*(Y556/H556),"0")</f>
        <v>0</v>
      </c>
    </row>
    <row r="557" spans="1:68" hidden="1" x14ac:dyDescent="0.2">
      <c r="A557" s="741"/>
      <c r="B557" s="741"/>
      <c r="C557" s="741"/>
      <c r="D557" s="741"/>
      <c r="E557" s="741"/>
      <c r="F557" s="741"/>
      <c r="G557" s="741"/>
      <c r="H557" s="741"/>
      <c r="I557" s="741"/>
      <c r="J557" s="741"/>
      <c r="K557" s="741"/>
      <c r="L557" s="741"/>
      <c r="M557" s="741"/>
      <c r="N557" s="741"/>
      <c r="O557" s="742"/>
      <c r="P557" s="738" t="s">
        <v>40</v>
      </c>
      <c r="Q557" s="739"/>
      <c r="R557" s="739"/>
      <c r="S557" s="739"/>
      <c r="T557" s="739"/>
      <c r="U557" s="739"/>
      <c r="V557" s="740"/>
      <c r="W557" s="42" t="s">
        <v>39</v>
      </c>
      <c r="X557" s="43">
        <f>IFERROR(X555/H555,"0")+IFERROR(X556/H556,"0")</f>
        <v>0</v>
      </c>
      <c r="Y557" s="43">
        <f>IFERROR(Y555/H555,"0")+IFERROR(Y556/H556,"0")</f>
        <v>0</v>
      </c>
      <c r="Z557" s="43">
        <f>IFERROR(IF(Z555="",0,Z555),"0")+IFERROR(IF(Z556="",0,Z556),"0")</f>
        <v>0</v>
      </c>
      <c r="AA557" s="67"/>
      <c r="AB557" s="67"/>
      <c r="AC557" s="67"/>
    </row>
    <row r="558" spans="1:68" hidden="1" x14ac:dyDescent="0.2">
      <c r="A558" s="741"/>
      <c r="B558" s="741"/>
      <c r="C558" s="741"/>
      <c r="D558" s="741"/>
      <c r="E558" s="741"/>
      <c r="F558" s="741"/>
      <c r="G558" s="741"/>
      <c r="H558" s="741"/>
      <c r="I558" s="741"/>
      <c r="J558" s="741"/>
      <c r="K558" s="741"/>
      <c r="L558" s="741"/>
      <c r="M558" s="741"/>
      <c r="N558" s="741"/>
      <c r="O558" s="742"/>
      <c r="P558" s="738" t="s">
        <v>40</v>
      </c>
      <c r="Q558" s="739"/>
      <c r="R558" s="739"/>
      <c r="S558" s="739"/>
      <c r="T558" s="739"/>
      <c r="U558" s="739"/>
      <c r="V558" s="740"/>
      <c r="W558" s="42" t="s">
        <v>0</v>
      </c>
      <c r="X558" s="43">
        <f>IFERROR(SUM(X555:X556),"0")</f>
        <v>0</v>
      </c>
      <c r="Y558" s="43">
        <f>IFERROR(SUM(Y555:Y556),"0")</f>
        <v>0</v>
      </c>
      <c r="Z558" s="42"/>
      <c r="AA558" s="67"/>
      <c r="AB558" s="67"/>
      <c r="AC558" s="67"/>
    </row>
    <row r="559" spans="1:68" ht="16.5" hidden="1" customHeight="1" x14ac:dyDescent="0.25">
      <c r="A559" s="731" t="s">
        <v>884</v>
      </c>
      <c r="B559" s="731"/>
      <c r="C559" s="731"/>
      <c r="D559" s="731"/>
      <c r="E559" s="731"/>
      <c r="F559" s="731"/>
      <c r="G559" s="731"/>
      <c r="H559" s="731"/>
      <c r="I559" s="731"/>
      <c r="J559" s="731"/>
      <c r="K559" s="731"/>
      <c r="L559" s="731"/>
      <c r="M559" s="731"/>
      <c r="N559" s="731"/>
      <c r="O559" s="731"/>
      <c r="P559" s="731"/>
      <c r="Q559" s="731"/>
      <c r="R559" s="731"/>
      <c r="S559" s="731"/>
      <c r="T559" s="731"/>
      <c r="U559" s="731"/>
      <c r="V559" s="731"/>
      <c r="W559" s="731"/>
      <c r="X559" s="731"/>
      <c r="Y559" s="731"/>
      <c r="Z559" s="731"/>
      <c r="AA559" s="65"/>
      <c r="AB559" s="65"/>
      <c r="AC559" s="79"/>
    </row>
    <row r="560" spans="1:68" ht="14.25" hidden="1" customHeight="1" x14ac:dyDescent="0.25">
      <c r="A560" s="732" t="s">
        <v>155</v>
      </c>
      <c r="B560" s="732"/>
      <c r="C560" s="732"/>
      <c r="D560" s="732"/>
      <c r="E560" s="732"/>
      <c r="F560" s="732"/>
      <c r="G560" s="732"/>
      <c r="H560" s="732"/>
      <c r="I560" s="732"/>
      <c r="J560" s="732"/>
      <c r="K560" s="732"/>
      <c r="L560" s="732"/>
      <c r="M560" s="732"/>
      <c r="N560" s="732"/>
      <c r="O560" s="732"/>
      <c r="P560" s="732"/>
      <c r="Q560" s="732"/>
      <c r="R560" s="732"/>
      <c r="S560" s="732"/>
      <c r="T560" s="732"/>
      <c r="U560" s="732"/>
      <c r="V560" s="732"/>
      <c r="W560" s="732"/>
      <c r="X560" s="732"/>
      <c r="Y560" s="732"/>
      <c r="Z560" s="732"/>
      <c r="AA560" s="66"/>
      <c r="AB560" s="66"/>
      <c r="AC560" s="80"/>
    </row>
    <row r="561" spans="1:68" ht="27" hidden="1" customHeight="1" x14ac:dyDescent="0.25">
      <c r="A561" s="63" t="s">
        <v>885</v>
      </c>
      <c r="B561" s="63" t="s">
        <v>886</v>
      </c>
      <c r="C561" s="36">
        <v>4301020428</v>
      </c>
      <c r="D561" s="733">
        <v>4640242180090</v>
      </c>
      <c r="E561" s="733"/>
      <c r="F561" s="62">
        <v>1.5</v>
      </c>
      <c r="G561" s="37">
        <v>8</v>
      </c>
      <c r="H561" s="62">
        <v>12</v>
      </c>
      <c r="I561" s="62">
        <v>12.41</v>
      </c>
      <c r="J561" s="37">
        <v>64</v>
      </c>
      <c r="K561" s="37" t="s">
        <v>127</v>
      </c>
      <c r="L561" s="37" t="s">
        <v>46</v>
      </c>
      <c r="M561" s="38" t="s">
        <v>126</v>
      </c>
      <c r="N561" s="38"/>
      <c r="O561" s="37">
        <v>50</v>
      </c>
      <c r="P561" s="1029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61" s="735"/>
      <c r="R561" s="735"/>
      <c r="S561" s="735"/>
      <c r="T561" s="736"/>
      <c r="U561" s="39" t="s">
        <v>46</v>
      </c>
      <c r="V561" s="39" t="s">
        <v>46</v>
      </c>
      <c r="W561" s="40" t="s">
        <v>0</v>
      </c>
      <c r="X561" s="58">
        <v>0</v>
      </c>
      <c r="Y561" s="55">
        <f>IFERROR(IF(X561="",0,CEILING((X561/$H561),1)*$H561),"")</f>
        <v>0</v>
      </c>
      <c r="Z561" s="41" t="str">
        <f>IFERROR(IF(Y561=0,"",ROUNDUP(Y561/H561,0)*0.01898),"")</f>
        <v/>
      </c>
      <c r="AA561" s="68" t="s">
        <v>46</v>
      </c>
      <c r="AB561" s="69" t="s">
        <v>46</v>
      </c>
      <c r="AC561" s="660" t="s">
        <v>887</v>
      </c>
      <c r="AG561" s="78"/>
      <c r="AJ561" s="84" t="s">
        <v>46</v>
      </c>
      <c r="AK561" s="84">
        <v>0</v>
      </c>
      <c r="BB561" s="661" t="s">
        <v>67</v>
      </c>
      <c r="BM561" s="78">
        <f>IFERROR(X561*I561/H561,"0")</f>
        <v>0</v>
      </c>
      <c r="BN561" s="78">
        <f>IFERROR(Y561*I561/H561,"0")</f>
        <v>0</v>
      </c>
      <c r="BO561" s="78">
        <f>IFERROR(1/J561*(X561/H561),"0")</f>
        <v>0</v>
      </c>
      <c r="BP561" s="78">
        <f>IFERROR(1/J561*(Y561/H561),"0")</f>
        <v>0</v>
      </c>
    </row>
    <row r="562" spans="1:68" hidden="1" x14ac:dyDescent="0.2">
      <c r="A562" s="741"/>
      <c r="B562" s="741"/>
      <c r="C562" s="741"/>
      <c r="D562" s="741"/>
      <c r="E562" s="741"/>
      <c r="F562" s="741"/>
      <c r="G562" s="741"/>
      <c r="H562" s="741"/>
      <c r="I562" s="741"/>
      <c r="J562" s="741"/>
      <c r="K562" s="741"/>
      <c r="L562" s="741"/>
      <c r="M562" s="741"/>
      <c r="N562" s="741"/>
      <c r="O562" s="742"/>
      <c r="P562" s="738" t="s">
        <v>40</v>
      </c>
      <c r="Q562" s="739"/>
      <c r="R562" s="739"/>
      <c r="S562" s="739"/>
      <c r="T562" s="739"/>
      <c r="U562" s="739"/>
      <c r="V562" s="740"/>
      <c r="W562" s="42" t="s">
        <v>39</v>
      </c>
      <c r="X562" s="43">
        <f>IFERROR(X561/H561,"0")</f>
        <v>0</v>
      </c>
      <c r="Y562" s="43">
        <f>IFERROR(Y561/H561,"0")</f>
        <v>0</v>
      </c>
      <c r="Z562" s="43">
        <f>IFERROR(IF(Z561="",0,Z561),"0")</f>
        <v>0</v>
      </c>
      <c r="AA562" s="67"/>
      <c r="AB562" s="67"/>
      <c r="AC562" s="67"/>
    </row>
    <row r="563" spans="1:68" hidden="1" x14ac:dyDescent="0.2">
      <c r="A563" s="741"/>
      <c r="B563" s="741"/>
      <c r="C563" s="741"/>
      <c r="D563" s="741"/>
      <c r="E563" s="741"/>
      <c r="F563" s="741"/>
      <c r="G563" s="741"/>
      <c r="H563" s="741"/>
      <c r="I563" s="741"/>
      <c r="J563" s="741"/>
      <c r="K563" s="741"/>
      <c r="L563" s="741"/>
      <c r="M563" s="741"/>
      <c r="N563" s="741"/>
      <c r="O563" s="742"/>
      <c r="P563" s="738" t="s">
        <v>40</v>
      </c>
      <c r="Q563" s="739"/>
      <c r="R563" s="739"/>
      <c r="S563" s="739"/>
      <c r="T563" s="739"/>
      <c r="U563" s="739"/>
      <c r="V563" s="740"/>
      <c r="W563" s="42" t="s">
        <v>0</v>
      </c>
      <c r="X563" s="43">
        <f>IFERROR(SUM(X561:X561),"0")</f>
        <v>0</v>
      </c>
      <c r="Y563" s="43">
        <f>IFERROR(SUM(Y561:Y561),"0")</f>
        <v>0</v>
      </c>
      <c r="Z563" s="42"/>
      <c r="AA563" s="67"/>
      <c r="AB563" s="67"/>
      <c r="AC563" s="67"/>
    </row>
    <row r="564" spans="1:68" ht="15" customHeight="1" x14ac:dyDescent="0.2">
      <c r="A564" s="741"/>
      <c r="B564" s="741"/>
      <c r="C564" s="741"/>
      <c r="D564" s="741"/>
      <c r="E564" s="741"/>
      <c r="F564" s="741"/>
      <c r="G564" s="741"/>
      <c r="H564" s="741"/>
      <c r="I564" s="741"/>
      <c r="J564" s="741"/>
      <c r="K564" s="741"/>
      <c r="L564" s="741"/>
      <c r="M564" s="741"/>
      <c r="N564" s="741"/>
      <c r="O564" s="1033"/>
      <c r="P564" s="1030" t="s">
        <v>33</v>
      </c>
      <c r="Q564" s="1031"/>
      <c r="R564" s="1031"/>
      <c r="S564" s="1031"/>
      <c r="T564" s="1031"/>
      <c r="U564" s="1031"/>
      <c r="V564" s="1032"/>
      <c r="W564" s="42" t="s">
        <v>0</v>
      </c>
      <c r="X564" s="43">
        <f>IFERROR(X25+X33+X43+X52+X62+X69+X75+X82+X91+X101+X113+X121+X132+X137+X143+X148+X153+X164+X168+X175+X180+X197+X203+X207+X211+X223+X228+X245+X253+X259+X263+X269+X274+X285+X300+X305+X316+X320+X324+X330+X339+X346+X355+X360+X367+X377+X387+X394+X400+X407+X413+X419+X425+X432+X445+X451+X457+X462+X468+X472+X478+X489+X494+X499+X505+X519+X525+X535+X541+X545+X549+X553+X558+X563,"0")</f>
        <v>15431.390599999999</v>
      </c>
      <c r="Y564" s="43">
        <f>IFERROR(Y25+Y33+Y43+Y52+Y62+Y69+Y75+Y82+Y91+Y101+Y113+Y121+Y132+Y137+Y143+Y148+Y153+Y164+Y168+Y175+Y180+Y197+Y203+Y207+Y211+Y223+Y228+Y245+Y253+Y259+Y263+Y269+Y274+Y285+Y300+Y305+Y316+Y320+Y324+Y330+Y339+Y346+Y355+Y360+Y367+Y377+Y387+Y394+Y400+Y407+Y413+Y419+Y425+Y432+Y445+Y451+Y457+Y462+Y468+Y472+Y478+Y489+Y494+Y499+Y505+Y519+Y525+Y535+Y541+Y545+Y549+Y553+Y558+Y563,"0")</f>
        <v>15567.38</v>
      </c>
      <c r="Z564" s="42"/>
      <c r="AA564" s="67"/>
      <c r="AB564" s="67"/>
      <c r="AC564" s="67"/>
    </row>
    <row r="565" spans="1:68" x14ac:dyDescent="0.2">
      <c r="A565" s="741"/>
      <c r="B565" s="741"/>
      <c r="C565" s="741"/>
      <c r="D565" s="741"/>
      <c r="E565" s="741"/>
      <c r="F565" s="741"/>
      <c r="G565" s="741"/>
      <c r="H565" s="741"/>
      <c r="I565" s="741"/>
      <c r="J565" s="741"/>
      <c r="K565" s="741"/>
      <c r="L565" s="741"/>
      <c r="M565" s="741"/>
      <c r="N565" s="741"/>
      <c r="O565" s="1033"/>
      <c r="P565" s="1030" t="s">
        <v>34</v>
      </c>
      <c r="Q565" s="1031"/>
      <c r="R565" s="1031"/>
      <c r="S565" s="1031"/>
      <c r="T565" s="1031"/>
      <c r="U565" s="1031"/>
      <c r="V565" s="1032"/>
      <c r="W565" s="42" t="s">
        <v>0</v>
      </c>
      <c r="X565" s="43">
        <f>IFERROR(SUM(BM22:BM561),"0")</f>
        <v>16381.8147880776</v>
      </c>
      <c r="Y565" s="43">
        <f>IFERROR(SUM(BN22:BN561),"0")</f>
        <v>16524.686000000002</v>
      </c>
      <c r="Z565" s="42"/>
      <c r="AA565" s="67"/>
      <c r="AB565" s="67"/>
      <c r="AC565" s="67"/>
    </row>
    <row r="566" spans="1:68" x14ac:dyDescent="0.2">
      <c r="A566" s="741"/>
      <c r="B566" s="741"/>
      <c r="C566" s="741"/>
      <c r="D566" s="741"/>
      <c r="E566" s="741"/>
      <c r="F566" s="741"/>
      <c r="G566" s="741"/>
      <c r="H566" s="741"/>
      <c r="I566" s="741"/>
      <c r="J566" s="741"/>
      <c r="K566" s="741"/>
      <c r="L566" s="741"/>
      <c r="M566" s="741"/>
      <c r="N566" s="741"/>
      <c r="O566" s="1033"/>
      <c r="P566" s="1030" t="s">
        <v>35</v>
      </c>
      <c r="Q566" s="1031"/>
      <c r="R566" s="1031"/>
      <c r="S566" s="1031"/>
      <c r="T566" s="1031"/>
      <c r="U566" s="1031"/>
      <c r="V566" s="1032"/>
      <c r="W566" s="42" t="s">
        <v>20</v>
      </c>
      <c r="X566" s="44">
        <f>ROUNDUP(SUM(BO22:BO561),0)</f>
        <v>30</v>
      </c>
      <c r="Y566" s="44">
        <f>ROUNDUP(SUM(BP22:BP561),0)</f>
        <v>30</v>
      </c>
      <c r="Z566" s="42"/>
      <c r="AA566" s="67"/>
      <c r="AB566" s="67"/>
      <c r="AC566" s="67"/>
    </row>
    <row r="567" spans="1:68" x14ac:dyDescent="0.2">
      <c r="A567" s="741"/>
      <c r="B567" s="741"/>
      <c r="C567" s="741"/>
      <c r="D567" s="741"/>
      <c r="E567" s="741"/>
      <c r="F567" s="741"/>
      <c r="G567" s="741"/>
      <c r="H567" s="741"/>
      <c r="I567" s="741"/>
      <c r="J567" s="741"/>
      <c r="K567" s="741"/>
      <c r="L567" s="741"/>
      <c r="M567" s="741"/>
      <c r="N567" s="741"/>
      <c r="O567" s="1033"/>
      <c r="P567" s="1030" t="s">
        <v>36</v>
      </c>
      <c r="Q567" s="1031"/>
      <c r="R567" s="1031"/>
      <c r="S567" s="1031"/>
      <c r="T567" s="1031"/>
      <c r="U567" s="1031"/>
      <c r="V567" s="1032"/>
      <c r="W567" s="42" t="s">
        <v>0</v>
      </c>
      <c r="X567" s="43">
        <f>GrossWeightTotal+PalletQtyTotal*25</f>
        <v>17131.814788077601</v>
      </c>
      <c r="Y567" s="43">
        <f>GrossWeightTotalR+PalletQtyTotalR*25</f>
        <v>17274.686000000002</v>
      </c>
      <c r="Z567" s="42"/>
      <c r="AA567" s="67"/>
      <c r="AB567" s="67"/>
      <c r="AC567" s="67"/>
    </row>
    <row r="568" spans="1:68" x14ac:dyDescent="0.2">
      <c r="A568" s="741"/>
      <c r="B568" s="741"/>
      <c r="C568" s="741"/>
      <c r="D568" s="741"/>
      <c r="E568" s="741"/>
      <c r="F568" s="741"/>
      <c r="G568" s="741"/>
      <c r="H568" s="741"/>
      <c r="I568" s="741"/>
      <c r="J568" s="741"/>
      <c r="K568" s="741"/>
      <c r="L568" s="741"/>
      <c r="M568" s="741"/>
      <c r="N568" s="741"/>
      <c r="O568" s="1033"/>
      <c r="P568" s="1030" t="s">
        <v>37</v>
      </c>
      <c r="Q568" s="1031"/>
      <c r="R568" s="1031"/>
      <c r="S568" s="1031"/>
      <c r="T568" s="1031"/>
      <c r="U568" s="1031"/>
      <c r="V568" s="1032"/>
      <c r="W568" s="42" t="s">
        <v>20</v>
      </c>
      <c r="X568" s="43">
        <f>IFERROR(X24+X32+X42+X51+X61+X68+X74+X81+X90+X100+X112+X120+X131+X136+X142+X147+X152+X163+X167+X174+X179+X196+X202+X206+X210+X222+X227+X244+X252+X258+X262+X268+X273+X284+X299+X304+X315+X319+X323+X329+X338+X345+X354+X359+X366+X376+X386+X393+X399+X406+X412+X418+X424+X431+X444+X450+X456+X461+X467+X471+X477+X488+X493+X498+X504+X518+X524+X534+X540+X544+X548+X552+X557+X562,"0")</f>
        <v>4000.52185864793</v>
      </c>
      <c r="Y568" s="43">
        <f>IFERROR(Y24+Y32+Y42+Y51+Y61+Y68+Y74+Y81+Y90+Y100+Y112+Y120+Y131+Y136+Y142+Y147+Y152+Y163+Y167+Y174+Y179+Y196+Y202+Y206+Y210+Y222+Y227+Y244+Y252+Y258+Y262+Y268+Y273+Y284+Y299+Y304+Y315+Y319+Y323+Y329+Y338+Y345+Y354+Y359+Y366+Y376+Y386+Y393+Y399+Y406+Y412+Y418+Y424+Y431+Y444+Y450+Y456+Y461+Y467+Y471+Y477+Y488+Y493+Y498+Y504+Y518+Y524+Y534+Y540+Y544+Y548+Y552+Y557+Y562,"0")</f>
        <v>4022</v>
      </c>
      <c r="Z568" s="42"/>
      <c r="AA568" s="67"/>
      <c r="AB568" s="67"/>
      <c r="AC568" s="67"/>
    </row>
    <row r="569" spans="1:68" ht="14.25" hidden="1" x14ac:dyDescent="0.2">
      <c r="A569" s="741"/>
      <c r="B569" s="741"/>
      <c r="C569" s="741"/>
      <c r="D569" s="741"/>
      <c r="E569" s="741"/>
      <c r="F569" s="741"/>
      <c r="G569" s="741"/>
      <c r="H569" s="741"/>
      <c r="I569" s="741"/>
      <c r="J569" s="741"/>
      <c r="K569" s="741"/>
      <c r="L569" s="741"/>
      <c r="M569" s="741"/>
      <c r="N569" s="741"/>
      <c r="O569" s="1033"/>
      <c r="P569" s="1030" t="s">
        <v>38</v>
      </c>
      <c r="Q569" s="1031"/>
      <c r="R569" s="1031"/>
      <c r="S569" s="1031"/>
      <c r="T569" s="1031"/>
      <c r="U569" s="1031"/>
      <c r="V569" s="1032"/>
      <c r="W569" s="45" t="s">
        <v>52</v>
      </c>
      <c r="X569" s="42"/>
      <c r="Y569" s="42"/>
      <c r="Z569" s="42">
        <f>IFERROR(Z24+Z32+Z42+Z51+Z61+Z68+Z74+Z81+Z90+Z100+Z112+Z120+Z131+Z136+Z142+Z147+Z152+Z163+Z167+Z174+Z179+Z196+Z202+Z206+Z210+Z222+Z227+Z244+Z252+Z258+Z262+Z268+Z273+Z284+Z299+Z304+Z315+Z319+Z323+Z329+Z338+Z345+Z354+Z359+Z366+Z376+Z386+Z393+Z399+Z406+Z412+Z418+Z424+Z431+Z444+Z450+Z456+Z461+Z467+Z471+Z477+Z488+Z493+Z498+Z504+Z518+Z524+Z534+Z540+Z544+Z548+Z552+Z557+Z562,"0")</f>
        <v>34.685949999999998</v>
      </c>
      <c r="AA569" s="67"/>
      <c r="AB569" s="67"/>
      <c r="AC569" s="67"/>
    </row>
    <row r="570" spans="1:68" ht="13.5" thickBot="1" x14ac:dyDescent="0.25"/>
    <row r="571" spans="1:68" ht="27" thickTop="1" thickBot="1" x14ac:dyDescent="0.25">
      <c r="A571" s="46" t="s">
        <v>9</v>
      </c>
      <c r="B571" s="85" t="s">
        <v>76</v>
      </c>
      <c r="C571" s="85" t="s">
        <v>45</v>
      </c>
      <c r="D571" s="1028" t="s">
        <v>120</v>
      </c>
      <c r="E571" s="1028" t="s">
        <v>120</v>
      </c>
      <c r="F571" s="1028" t="s">
        <v>120</v>
      </c>
      <c r="G571" s="1028" t="s">
        <v>120</v>
      </c>
      <c r="H571" s="1028" t="s">
        <v>120</v>
      </c>
      <c r="I571" s="1028" t="s">
        <v>120</v>
      </c>
      <c r="J571" s="1028" t="s">
        <v>120</v>
      </c>
      <c r="K571" s="1028" t="s">
        <v>370</v>
      </c>
      <c r="L571" s="1028" t="s">
        <v>370</v>
      </c>
      <c r="M571" s="1028" t="s">
        <v>370</v>
      </c>
      <c r="N571" s="1034"/>
      <c r="O571" s="1028" t="s">
        <v>370</v>
      </c>
      <c r="P571" s="1028" t="s">
        <v>370</v>
      </c>
      <c r="Q571" s="1028" t="s">
        <v>370</v>
      </c>
      <c r="R571" s="1028" t="s">
        <v>370</v>
      </c>
      <c r="S571" s="1028" t="s">
        <v>370</v>
      </c>
      <c r="T571" s="1028" t="s">
        <v>370</v>
      </c>
      <c r="U571" s="1028" t="s">
        <v>370</v>
      </c>
      <c r="V571" s="1028" t="s">
        <v>370</v>
      </c>
      <c r="W571" s="1028" t="s">
        <v>716</v>
      </c>
      <c r="X571" s="1028" t="s">
        <v>716</v>
      </c>
      <c r="Y571" s="1028" t="s">
        <v>782</v>
      </c>
      <c r="Z571" s="1028" t="s">
        <v>782</v>
      </c>
      <c r="AA571" s="85" t="s">
        <v>818</v>
      </c>
      <c r="AB571" s="1028" t="s">
        <v>865</v>
      </c>
      <c r="AC571" s="1028" t="s">
        <v>865</v>
      </c>
      <c r="AF571" s="1"/>
    </row>
    <row r="572" spans="1:68" ht="14.25" customHeight="1" thickTop="1" x14ac:dyDescent="0.2">
      <c r="A572" s="1035" t="s">
        <v>10</v>
      </c>
      <c r="B572" s="1028" t="s">
        <v>76</v>
      </c>
      <c r="C572" s="1028" t="s">
        <v>104</v>
      </c>
      <c r="D572" s="1028" t="s">
        <v>121</v>
      </c>
      <c r="E572" s="1028" t="s">
        <v>137</v>
      </c>
      <c r="F572" s="1028" t="s">
        <v>182</v>
      </c>
      <c r="G572" s="1028" t="s">
        <v>212</v>
      </c>
      <c r="H572" s="1028" t="s">
        <v>265</v>
      </c>
      <c r="I572" s="1028" t="s">
        <v>278</v>
      </c>
      <c r="J572" s="1028" t="s">
        <v>120</v>
      </c>
      <c r="K572" s="1028" t="s">
        <v>371</v>
      </c>
      <c r="L572" s="1028" t="s">
        <v>392</v>
      </c>
      <c r="M572" s="1028" t="s">
        <v>459</v>
      </c>
      <c r="N572" s="1"/>
      <c r="O572" s="1028" t="s">
        <v>527</v>
      </c>
      <c r="P572" s="1028" t="s">
        <v>560</v>
      </c>
      <c r="Q572" s="1028" t="s">
        <v>576</v>
      </c>
      <c r="R572" s="1028" t="s">
        <v>585</v>
      </c>
      <c r="S572" s="1028" t="s">
        <v>606</v>
      </c>
      <c r="T572" s="1028" t="s">
        <v>615</v>
      </c>
      <c r="U572" s="1028" t="s">
        <v>699</v>
      </c>
      <c r="V572" s="1028" t="s">
        <v>706</v>
      </c>
      <c r="W572" s="1028" t="s">
        <v>717</v>
      </c>
      <c r="X572" s="1028" t="s">
        <v>766</v>
      </c>
      <c r="Y572" s="1028" t="s">
        <v>783</v>
      </c>
      <c r="Z572" s="1028" t="s">
        <v>806</v>
      </c>
      <c r="AA572" s="1028" t="s">
        <v>818</v>
      </c>
      <c r="AB572" s="1028" t="s">
        <v>865</v>
      </c>
      <c r="AC572" s="1028" t="s">
        <v>884</v>
      </c>
      <c r="AF572" s="1"/>
    </row>
    <row r="573" spans="1:68" ht="13.5" thickBot="1" x14ac:dyDescent="0.25">
      <c r="A573" s="1036"/>
      <c r="B573" s="1028"/>
      <c r="C573" s="1028"/>
      <c r="D573" s="1028"/>
      <c r="E573" s="1028"/>
      <c r="F573" s="1028"/>
      <c r="G573" s="1028"/>
      <c r="H573" s="1028"/>
      <c r="I573" s="1028"/>
      <c r="J573" s="1028"/>
      <c r="K573" s="1028"/>
      <c r="L573" s="1028"/>
      <c r="M573" s="1028"/>
      <c r="N573" s="1"/>
      <c r="O573" s="1028"/>
      <c r="P573" s="1028"/>
      <c r="Q573" s="1028"/>
      <c r="R573" s="1028"/>
      <c r="S573" s="1028"/>
      <c r="T573" s="1028"/>
      <c r="U573" s="1028"/>
      <c r="V573" s="1028"/>
      <c r="W573" s="1028"/>
      <c r="X573" s="1028"/>
      <c r="Y573" s="1028"/>
      <c r="Z573" s="1028"/>
      <c r="AA573" s="1028"/>
      <c r="AB573" s="1028"/>
      <c r="AC573" s="1028"/>
      <c r="AF573" s="1"/>
    </row>
    <row r="574" spans="1:68" ht="18" thickTop="1" thickBot="1" x14ac:dyDescent="0.25">
      <c r="A574" s="46" t="s">
        <v>13</v>
      </c>
      <c r="B574" s="52">
        <f>IFERROR(Y22*1,"0")+IFERROR(Y23*1,"0")+IFERROR(Y27*1,"0")+IFERROR(Y28*1,"0")+IFERROR(Y29*1,"0")+IFERROR(Y30*1,"0")+IFERROR(Y31*1,"0")</f>
        <v>0</v>
      </c>
      <c r="C574" s="52">
        <f>IFERROR(Y37*1,"0")+IFERROR(Y38*1,"0")+IFERROR(Y39*1,"0")+IFERROR(Y40*1,"0")+IFERROR(Y41*1,"0")</f>
        <v>0</v>
      </c>
      <c r="D574" s="52">
        <f>IFERROR(Y47*1,"0")+IFERROR(Y48*1,"0")+IFERROR(Y49*1,"0")+IFERROR(Y50*1,"0")</f>
        <v>311.20000000000005</v>
      </c>
      <c r="E574" s="52">
        <f>IFERROR(Y55*1,"0")+IFERROR(Y56*1,"0")+IFERROR(Y57*1,"0")+IFERROR(Y58*1,"0")+IFERROR(Y59*1,"0")+IFERROR(Y60*1,"0")+IFERROR(Y64*1,"0")+IFERROR(Y65*1,"0")+IFERROR(Y66*1,"0")+IFERROR(Y67*1,"0")+IFERROR(Y71*1,"0")+IFERROR(Y72*1,"0")+IFERROR(Y73*1,"0")+IFERROR(Y77*1,"0")+IFERROR(Y78*1,"0")+IFERROR(Y79*1,"0")+IFERROR(Y80*1,"0")</f>
        <v>518.4</v>
      </c>
      <c r="F574" s="52">
        <f>IFERROR(Y85*1,"0")+IFERROR(Y86*1,"0")+IFERROR(Y87*1,"0")+IFERROR(Y88*1,"0")+IFERROR(Y89*1,"0")+IFERROR(Y93*1,"0")+IFERROR(Y94*1,"0")+IFERROR(Y95*1,"0")+IFERROR(Y96*1,"0")+IFERROR(Y97*1,"0")+IFERROR(Y98*1,"0")+IFERROR(Y99*1,"0")</f>
        <v>923.40000000000009</v>
      </c>
      <c r="G574" s="52">
        <f>IFERROR(Y104*1,"0")+IFERROR(Y105*1,"0")+IFERROR(Y106*1,"0")+IFERROR(Y107*1,"0")+IFERROR(Y108*1,"0")+IFERROR(Y109*1,"0")+IFERROR(Y110*1,"0")+IFERROR(Y111*1,"0")+IFERROR(Y115*1,"0")+IFERROR(Y116*1,"0")+IFERROR(Y117*1,"0")+IFERROR(Y118*1,"0")+IFERROR(Y119*1,"0")+IFERROR(Y123*1,"0")+IFERROR(Y124*1,"0")+IFERROR(Y125*1,"0")+IFERROR(Y126*1,"0")+IFERROR(Y127*1,"0")+IFERROR(Y128*1,"0")+IFERROR(Y129*1,"0")+IFERROR(Y130*1,"0")+IFERROR(Y134*1,"0")+IFERROR(Y135*1,"0")</f>
        <v>556.20000000000005</v>
      </c>
      <c r="H574" s="52">
        <f>IFERROR(Y140*1,"0")+IFERROR(Y141*1,"0")+IFERROR(Y145*1,"0")+IFERROR(Y146*1,"0")+IFERROR(Y150*1,"0")+IFERROR(Y151*1,"0")</f>
        <v>0</v>
      </c>
      <c r="I574" s="52">
        <f>IFERROR(Y156*1,"0")+IFERROR(Y157*1,"0")+IFERROR(Y158*1,"0")+IFERROR(Y159*1,"0")+IFERROR(Y160*1,"0")+IFERROR(Y161*1,"0")+IFERROR(Y162*1,"0")+IFERROR(Y166*1,"0")</f>
        <v>0</v>
      </c>
      <c r="J574" s="52">
        <f>IFERROR(Y171*1,"0")+IFERROR(Y172*1,"0")+IFERROR(Y173*1,"0")+IFERROR(Y177*1,"0")+IFERROR(Y178*1,"0")+IFERROR(Y182*1,"0")+IFERROR(Y183*1,"0")+IFERROR(Y184*1,"0")+IFERROR(Y185*1,"0")+IFERROR(Y186*1,"0")+IFERROR(Y187*1,"0")+IFERROR(Y188*1,"0")+IFERROR(Y189*1,"0")+IFERROR(Y190*1,"0")+IFERROR(Y191*1,"0")+IFERROR(Y192*1,"0")+IFERROR(Y193*1,"0")+IFERROR(Y194*1,"0")+IFERROR(Y195*1,"0")+IFERROR(Y199*1,"0")+IFERROR(Y200*1,"0")+IFERROR(Y201*1,"0")+IFERROR(Y205*1,"0")+IFERROR(Y209*1,"0")</f>
        <v>1243.6599999999999</v>
      </c>
      <c r="K574" s="52">
        <f>IFERROR(Y215*1,"0")+IFERROR(Y216*1,"0")+IFERROR(Y217*1,"0")+IFERROR(Y218*1,"0")+IFERROR(Y219*1,"0")+IFERROR(Y220*1,"0")+IFERROR(Y221*1,"0")</f>
        <v>108</v>
      </c>
      <c r="L574" s="52">
        <f>IFERROR(Y226*1,"0")+IFERROR(Y230*1,"0")+IFERROR(Y231*1,"0")+IFERROR(Y232*1,"0")+IFERROR(Y233*1,"0")+IFERROR(Y234*1,"0")+IFERROR(Y235*1,"0")+IFERROR(Y236*1,"0")+IFERROR(Y237*1,"0")+IFERROR(Y238*1,"0")+IFERROR(Y239*1,"0")+IFERROR(Y240*1,"0")+IFERROR(Y241*1,"0")+IFERROR(Y242*1,"0")+IFERROR(Y243*1,"0")+IFERROR(Y247*1,"0")+IFERROR(Y248*1,"0")+IFERROR(Y249*1,"0")+IFERROR(Y250*1,"0")+IFERROR(Y251*1,"0")+IFERROR(Y255*1,"0")+IFERROR(Y256*1,"0")+IFERROR(Y257*1,"0")+IFERROR(Y261*1,"0")</f>
        <v>814.8</v>
      </c>
      <c r="M574" s="52">
        <f>IFERROR(Y266*1,"0")+IFERROR(Y267*1,"0")+IFERROR(Y271*1,"0")+IFERROR(Y272*1,"0")+IFERROR(Y276*1,"0")+IFERROR(Y277*1,"0")+IFERROR(Y278*1,"0")+IFERROR(Y279*1,"0")+IFERROR(Y280*1,"0")+IFERROR(Y281*1,"0")+IFERROR(Y282*1,"0")+IFERROR(Y283*1,"0")+IFERROR(Y287*1,"0")+IFERROR(Y288*1,"0")+IFERROR(Y289*1,"0")+IFERROR(Y290*1,"0")+IFERROR(Y291*1,"0")+IFERROR(Y292*1,"0")+IFERROR(Y293*1,"0")+IFERROR(Y294*1,"0")+IFERROR(Y295*1,"0")+IFERROR(Y296*1,"0")+IFERROR(Y297*1,"0")+IFERROR(Y298*1,"0")+IFERROR(Y302*1,"0")+IFERROR(Y303*1,"0")</f>
        <v>2273.1000000000004</v>
      </c>
      <c r="N574" s="1"/>
      <c r="O574" s="52">
        <f>IFERROR(Y308*1,"0")+IFERROR(Y309*1,"0")+IFERROR(Y310*1,"0")+IFERROR(Y311*1,"0")+IFERROR(Y312*1,"0")+IFERROR(Y313*1,"0")+IFERROR(Y314*1,"0")+IFERROR(Y318*1,"0")+IFERROR(Y322*1,"0")+IFERROR(Y326*1,"0")+IFERROR(Y327*1,"0")+IFERROR(Y328*1,"0")</f>
        <v>0</v>
      </c>
      <c r="P574" s="52">
        <f>IFERROR(Y333*1,"0")+IFERROR(Y334*1,"0")+IFERROR(Y335*1,"0")+IFERROR(Y336*1,"0")+IFERROR(Y337*1,"0")</f>
        <v>0</v>
      </c>
      <c r="Q574" s="52">
        <f>IFERROR(Y342*1,"0")+IFERROR(Y343*1,"0")+IFERROR(Y344*1,"0")</f>
        <v>201.6</v>
      </c>
      <c r="R574" s="52">
        <f>IFERROR(Y349*1,"0")+IFERROR(Y350*1,"0")+IFERROR(Y351*1,"0")+IFERROR(Y352*1,"0")+IFERROR(Y353*1,"0")+IFERROR(Y357*1,"0")+IFERROR(Y358*1,"0")</f>
        <v>0</v>
      </c>
      <c r="S574" s="52">
        <f>IFERROR(Y363*1,"0")+IFERROR(Y364*1,"0")+IFERROR(Y365*1,"0")</f>
        <v>514.79999999999995</v>
      </c>
      <c r="T574" s="52">
        <f>IFERROR(Y370*1,"0")+IFERROR(Y371*1,"0")+IFERROR(Y372*1,"0")+IFERROR(Y373*1,"0")+IFERROR(Y374*1,"0")+IFERROR(Y375*1,"0")+IFERROR(Y379*1,"0")+IFERROR(Y380*1,"0")+IFERROR(Y381*1,"0")+IFERROR(Y382*1,"0")+IFERROR(Y383*1,"0")+IFERROR(Y384*1,"0")+IFERROR(Y385*1,"0")+IFERROR(Y389*1,"0")+IFERROR(Y390*1,"0")+IFERROR(Y391*1,"0")+IFERROR(Y392*1,"0")+IFERROR(Y396*1,"0")+IFERROR(Y397*1,"0")+IFERROR(Y398*1,"0")+IFERROR(Y402*1,"0")+IFERROR(Y403*1,"0")+IFERROR(Y404*1,"0")+IFERROR(Y405*1,"0")+IFERROR(Y409*1,"0")+IFERROR(Y410*1,"0")+IFERROR(Y411*1,"0")+IFERROR(Y415*1,"0")+IFERROR(Y416*1,"0")+IFERROR(Y417*1,"0")</f>
        <v>1308.3000000000002</v>
      </c>
      <c r="U574" s="52">
        <f>IFERROR(Y422*1,"0")+IFERROR(Y423*1,"0")</f>
        <v>0</v>
      </c>
      <c r="V574" s="52">
        <f>IFERROR(Y428*1,"0")+IFERROR(Y429*1,"0")+IFERROR(Y430*1,"0")</f>
        <v>1016.4</v>
      </c>
      <c r="W574" s="52">
        <f>IFERROR(Y436*1,"0")+IFERROR(Y437*1,"0")+IFERROR(Y438*1,"0")+IFERROR(Y439*1,"0")+IFERROR(Y440*1,"0")+IFERROR(Y441*1,"0")+IFERROR(Y442*1,"0")+IFERROR(Y443*1,"0")+IFERROR(Y447*1,"0")+IFERROR(Y448*1,"0")+IFERROR(Y449*1,"0")+IFERROR(Y453*1,"0")+IFERROR(Y454*1,"0")+IFERROR(Y455*1,"0")+IFERROR(Y459*1,"0")+IFERROR(Y460*1,"0")</f>
        <v>3843</v>
      </c>
      <c r="X574" s="52">
        <f>IFERROR(Y465*1,"0")+IFERROR(Y466*1,"0")+IFERROR(Y470*1,"0")+IFERROR(Y474*1,"0")+IFERROR(Y475*1,"0")+IFERROR(Y476*1,"0")</f>
        <v>54</v>
      </c>
      <c r="Y574" s="52">
        <f>IFERROR(Y482*1,"0")+IFERROR(Y483*1,"0")+IFERROR(Y484*1,"0")+IFERROR(Y485*1,"0")+IFERROR(Y486*1,"0")+IFERROR(Y487*1,"0")+IFERROR(Y491*1,"0")+IFERROR(Y492*1,"0")</f>
        <v>0</v>
      </c>
      <c r="Z574" s="52">
        <f>IFERROR(Y497*1,"0")+IFERROR(Y501*1,"0")+IFERROR(Y502*1,"0")+IFERROR(Y503*1,"0")</f>
        <v>0</v>
      </c>
      <c r="AA574" s="52">
        <f>IFERROR(Y509*1,"0")+IFERROR(Y510*1,"0")+IFERROR(Y511*1,"0")+IFERROR(Y512*1,"0")+IFERROR(Y513*1,"0")+IFERROR(Y514*1,"0")+IFERROR(Y515*1,"0")+IFERROR(Y516*1,"0")+IFERROR(Y517*1,"0")+IFERROR(Y521*1,"0")+IFERROR(Y522*1,"0")+IFERROR(Y523*1,"0")+IFERROR(Y527*1,"0")+IFERROR(Y528*1,"0")+IFERROR(Y529*1,"0")+IFERROR(Y530*1,"0")+IFERROR(Y531*1,"0")+IFERROR(Y532*1,"0")+IFERROR(Y533*1,"0")</f>
        <v>971.5200000000001</v>
      </c>
      <c r="AB574" s="52">
        <f>IFERROR(Y539*1,"0")+IFERROR(Y543*1,"0")+IFERROR(Y547*1,"0")+IFERROR(Y551*1,"0")+IFERROR(Y555*1,"0")+IFERROR(Y556*1,"0")</f>
        <v>909</v>
      </c>
      <c r="AC574" s="52">
        <f>IFERROR(Y561*1,"0")</f>
        <v>0</v>
      </c>
      <c r="AF574" s="1"/>
    </row>
  </sheetData>
  <sheetProtection algorithmName="SHA-512" hashValue="/la5K21b+9fb4XZsaNGDix5jdxJZGcjNIsRXmqbs+nw6apAh89DHkD/Z+CSLKMfD/iQsb4DfAyvud1NdMnWZKg==" saltValue="jPxKyQzBGA2UP59i2hjJWQ==" spinCount="100000" sheet="1" objects="1" scenarios="1" sort="0" autoFilter="0" pivotTables="0"/>
  <autoFilter ref="A18:AF56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15,00"/>
        <filter val="1 200,00"/>
        <filter val="1 222,70"/>
        <filter val="1 320,00"/>
        <filter val="100,00"/>
        <filter val="112,50"/>
        <filter val="12,60"/>
        <filter val="120,00"/>
        <filter val="140,00"/>
        <filter val="15 431,39"/>
        <filter val="150,00"/>
        <filter val="16 381,81"/>
        <filter val="160,00"/>
        <filter val="17 131,81"/>
        <filter val="175,00"/>
        <filter val="179,01"/>
        <filter val="180,00"/>
        <filter val="183,33"/>
        <filter val="191,36"/>
        <filter val="2,70"/>
        <filter val="2,78"/>
        <filter val="200,00"/>
        <filter val="204,00"/>
        <filter val="206,67"/>
        <filter val="210,00"/>
        <filter val="250,00"/>
        <filter val="270,00"/>
        <filter val="3 100,00"/>
        <filter val="30"/>
        <filter val="30,00"/>
        <filter val="300,00"/>
        <filter val="310,00"/>
        <filter val="350,00"/>
        <filter val="376,19"/>
        <filter val="380,00"/>
        <filter val="4 000,52"/>
        <filter val="40,00"/>
        <filter val="400,00"/>
        <filter val="405,00"/>
        <filter val="41,67"/>
        <filter val="416,67"/>
        <filter val="420,00"/>
        <filter val="450,00"/>
        <filter val="481,57"/>
        <filter val="483,33"/>
        <filter val="489,66"/>
        <filter val="5,00"/>
        <filter val="5,56"/>
        <filter val="50,00"/>
        <filter val="500,00"/>
        <filter val="525,00"/>
        <filter val="53,89"/>
        <filter val="550,00"/>
        <filter val="56,82"/>
        <filter val="58,71"/>
        <filter val="595,00"/>
        <filter val="60,00"/>
        <filter val="600,00"/>
        <filter val="64,10"/>
        <filter val="650,00"/>
        <filter val="66,29"/>
        <filter val="680,00"/>
        <filter val="70,00"/>
        <filter val="700,00"/>
        <filter val="750,00"/>
        <filter val="8,30"/>
        <filter val="80,00"/>
        <filter val="800,00"/>
        <filter val="810,00"/>
        <filter val="83,33"/>
        <filter val="83,70"/>
        <filter val="88,89"/>
        <filter val="9,26"/>
        <filter val="90,00"/>
        <filter val="99,59"/>
      </filters>
    </filterColumn>
    <filterColumn colId="29" showButton="0"/>
    <filterColumn colId="30" showButton="0"/>
  </autoFilter>
  <dataConsolidate/>
  <mergeCells count="1013">
    <mergeCell ref="AC572:AC573"/>
    <mergeCell ref="D571:J571"/>
    <mergeCell ref="K571:V571"/>
    <mergeCell ref="W571:X571"/>
    <mergeCell ref="Y571:Z571"/>
    <mergeCell ref="AB571:AC571"/>
    <mergeCell ref="A572:A573"/>
    <mergeCell ref="B572:B573"/>
    <mergeCell ref="C572:C573"/>
    <mergeCell ref="D572:D573"/>
    <mergeCell ref="E572:E573"/>
    <mergeCell ref="F572:F573"/>
    <mergeCell ref="G572:G573"/>
    <mergeCell ref="H572:H573"/>
    <mergeCell ref="I572:I573"/>
    <mergeCell ref="J572:J573"/>
    <mergeCell ref="K572:K573"/>
    <mergeCell ref="L572:L573"/>
    <mergeCell ref="M572:M573"/>
    <mergeCell ref="O572:O573"/>
    <mergeCell ref="P572:P573"/>
    <mergeCell ref="Q572:Q573"/>
    <mergeCell ref="R572:R573"/>
    <mergeCell ref="S572:S573"/>
    <mergeCell ref="T572:T573"/>
    <mergeCell ref="U572:U573"/>
    <mergeCell ref="V572:V573"/>
    <mergeCell ref="W572:W573"/>
    <mergeCell ref="X572:X573"/>
    <mergeCell ref="Y572:Y573"/>
    <mergeCell ref="Z572:Z573"/>
    <mergeCell ref="AA572:AA573"/>
    <mergeCell ref="AB572:AB573"/>
    <mergeCell ref="P557:V557"/>
    <mergeCell ref="A557:O558"/>
    <mergeCell ref="P558:V558"/>
    <mergeCell ref="A559:Z559"/>
    <mergeCell ref="A560:Z560"/>
    <mergeCell ref="D561:E561"/>
    <mergeCell ref="P561:T561"/>
    <mergeCell ref="P562:V562"/>
    <mergeCell ref="A562:O563"/>
    <mergeCell ref="P563:V563"/>
    <mergeCell ref="P564:V564"/>
    <mergeCell ref="A564:O569"/>
    <mergeCell ref="P565:V565"/>
    <mergeCell ref="P566:V566"/>
    <mergeCell ref="P567:V567"/>
    <mergeCell ref="P568:V568"/>
    <mergeCell ref="P569:V569"/>
    <mergeCell ref="A546:Z546"/>
    <mergeCell ref="D547:E547"/>
    <mergeCell ref="P547:T547"/>
    <mergeCell ref="P548:V548"/>
    <mergeCell ref="A548:O549"/>
    <mergeCell ref="P549:V549"/>
    <mergeCell ref="A550:Z550"/>
    <mergeCell ref="D551:E551"/>
    <mergeCell ref="P551:T551"/>
    <mergeCell ref="P552:V552"/>
    <mergeCell ref="A552:O553"/>
    <mergeCell ref="P553:V553"/>
    <mergeCell ref="A554:Z554"/>
    <mergeCell ref="D555:E555"/>
    <mergeCell ref="P555:T555"/>
    <mergeCell ref="D556:E556"/>
    <mergeCell ref="P556:T556"/>
    <mergeCell ref="D533:E533"/>
    <mergeCell ref="P533:T533"/>
    <mergeCell ref="P534:V534"/>
    <mergeCell ref="A534:O535"/>
    <mergeCell ref="P535:V535"/>
    <mergeCell ref="A536:Z536"/>
    <mergeCell ref="A537:Z537"/>
    <mergeCell ref="A538:Z538"/>
    <mergeCell ref="D539:E539"/>
    <mergeCell ref="P539:T539"/>
    <mergeCell ref="P540:V540"/>
    <mergeCell ref="A540:O541"/>
    <mergeCell ref="P541:V541"/>
    <mergeCell ref="A542:Z542"/>
    <mergeCell ref="D543:E543"/>
    <mergeCell ref="P543:T543"/>
    <mergeCell ref="P544:V544"/>
    <mergeCell ref="A544:O545"/>
    <mergeCell ref="P545:V545"/>
    <mergeCell ref="D523:E523"/>
    <mergeCell ref="P523:T523"/>
    <mergeCell ref="P524:V524"/>
    <mergeCell ref="A524:O525"/>
    <mergeCell ref="P525:V525"/>
    <mergeCell ref="A526:Z526"/>
    <mergeCell ref="D527:E527"/>
    <mergeCell ref="P527:T527"/>
    <mergeCell ref="D528:E528"/>
    <mergeCell ref="P528:T528"/>
    <mergeCell ref="D529:E529"/>
    <mergeCell ref="P529:T529"/>
    <mergeCell ref="D530:E530"/>
    <mergeCell ref="P530:T530"/>
    <mergeCell ref="D531:E531"/>
    <mergeCell ref="P531:T531"/>
    <mergeCell ref="D532:E532"/>
    <mergeCell ref="P532:T532"/>
    <mergeCell ref="D513:E513"/>
    <mergeCell ref="P513:T513"/>
    <mergeCell ref="D514:E514"/>
    <mergeCell ref="P514:T514"/>
    <mergeCell ref="D515:E515"/>
    <mergeCell ref="P515:T515"/>
    <mergeCell ref="D516:E516"/>
    <mergeCell ref="P516:T516"/>
    <mergeCell ref="D517:E517"/>
    <mergeCell ref="P517:T517"/>
    <mergeCell ref="P518:V518"/>
    <mergeCell ref="A518:O519"/>
    <mergeCell ref="P519:V519"/>
    <mergeCell ref="A520:Z520"/>
    <mergeCell ref="D521:E521"/>
    <mergeCell ref="P521:T521"/>
    <mergeCell ref="D522:E522"/>
    <mergeCell ref="P522:T522"/>
    <mergeCell ref="D502:E502"/>
    <mergeCell ref="P502:T502"/>
    <mergeCell ref="D503:E503"/>
    <mergeCell ref="P503:T503"/>
    <mergeCell ref="P504:V504"/>
    <mergeCell ref="A504:O505"/>
    <mergeCell ref="P505:V505"/>
    <mergeCell ref="A506:Z506"/>
    <mergeCell ref="A507:Z507"/>
    <mergeCell ref="A508:Z50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A490:Z490"/>
    <mergeCell ref="D491:E491"/>
    <mergeCell ref="P491:T491"/>
    <mergeCell ref="D492:E492"/>
    <mergeCell ref="P492:T492"/>
    <mergeCell ref="P493:V493"/>
    <mergeCell ref="A493:O494"/>
    <mergeCell ref="P494:V494"/>
    <mergeCell ref="A495:Z495"/>
    <mergeCell ref="A496:Z496"/>
    <mergeCell ref="D497:E497"/>
    <mergeCell ref="P497:T497"/>
    <mergeCell ref="P498:V498"/>
    <mergeCell ref="A498:O499"/>
    <mergeCell ref="P499:V499"/>
    <mergeCell ref="A500:Z500"/>
    <mergeCell ref="D501:E501"/>
    <mergeCell ref="P501:T501"/>
    <mergeCell ref="A480:Z480"/>
    <mergeCell ref="A481:Z481"/>
    <mergeCell ref="D482:E482"/>
    <mergeCell ref="P482:T482"/>
    <mergeCell ref="D483:E483"/>
    <mergeCell ref="P483:T483"/>
    <mergeCell ref="D484:E484"/>
    <mergeCell ref="P484:T484"/>
    <mergeCell ref="D485:E485"/>
    <mergeCell ref="P485:T485"/>
    <mergeCell ref="D486:E486"/>
    <mergeCell ref="P486:T486"/>
    <mergeCell ref="D487:E487"/>
    <mergeCell ref="P487:T487"/>
    <mergeCell ref="P488:V488"/>
    <mergeCell ref="A488:O489"/>
    <mergeCell ref="P489:V489"/>
    <mergeCell ref="A469:Z469"/>
    <mergeCell ref="D470:E470"/>
    <mergeCell ref="P470:T470"/>
    <mergeCell ref="P471:V471"/>
    <mergeCell ref="A471:O472"/>
    <mergeCell ref="P472:V472"/>
    <mergeCell ref="A473:Z473"/>
    <mergeCell ref="D474:E474"/>
    <mergeCell ref="P474:T474"/>
    <mergeCell ref="D475:E475"/>
    <mergeCell ref="P475:T475"/>
    <mergeCell ref="D476:E476"/>
    <mergeCell ref="P476:T476"/>
    <mergeCell ref="P477:V477"/>
    <mergeCell ref="A477:O478"/>
    <mergeCell ref="P478:V478"/>
    <mergeCell ref="A479:Z479"/>
    <mergeCell ref="A458:Z458"/>
    <mergeCell ref="D459:E459"/>
    <mergeCell ref="P459:T459"/>
    <mergeCell ref="D460:E460"/>
    <mergeCell ref="P460:T460"/>
    <mergeCell ref="P461:V461"/>
    <mergeCell ref="A461:O462"/>
    <mergeCell ref="P462:V462"/>
    <mergeCell ref="A463:Z463"/>
    <mergeCell ref="A464:Z464"/>
    <mergeCell ref="D465:E465"/>
    <mergeCell ref="P465:T465"/>
    <mergeCell ref="D466:E466"/>
    <mergeCell ref="P466:T466"/>
    <mergeCell ref="P467:V467"/>
    <mergeCell ref="A467:O468"/>
    <mergeCell ref="P468:V468"/>
    <mergeCell ref="D448:E448"/>
    <mergeCell ref="P448:T448"/>
    <mergeCell ref="D449:E449"/>
    <mergeCell ref="P449:T449"/>
    <mergeCell ref="P450:V450"/>
    <mergeCell ref="A450:O451"/>
    <mergeCell ref="P451:V451"/>
    <mergeCell ref="A452:Z452"/>
    <mergeCell ref="D453:E453"/>
    <mergeCell ref="P453:T453"/>
    <mergeCell ref="D454:E454"/>
    <mergeCell ref="P454:T454"/>
    <mergeCell ref="D455:E455"/>
    <mergeCell ref="P455:T455"/>
    <mergeCell ref="P456:V456"/>
    <mergeCell ref="A456:O457"/>
    <mergeCell ref="P457:V457"/>
    <mergeCell ref="D438:E438"/>
    <mergeCell ref="P438:T438"/>
    <mergeCell ref="D439:E439"/>
    <mergeCell ref="P439:T439"/>
    <mergeCell ref="D440:E440"/>
    <mergeCell ref="P440:T440"/>
    <mergeCell ref="D441:E441"/>
    <mergeCell ref="P441:T441"/>
    <mergeCell ref="D442:E442"/>
    <mergeCell ref="P442:T442"/>
    <mergeCell ref="D443:E443"/>
    <mergeCell ref="P443:T443"/>
    <mergeCell ref="P444:V444"/>
    <mergeCell ref="A444:O445"/>
    <mergeCell ref="P445:V445"/>
    <mergeCell ref="A446:Z446"/>
    <mergeCell ref="D447:E447"/>
    <mergeCell ref="P447:T447"/>
    <mergeCell ref="A426:Z426"/>
    <mergeCell ref="A427:Z427"/>
    <mergeCell ref="D428:E428"/>
    <mergeCell ref="P428:T428"/>
    <mergeCell ref="D429:E429"/>
    <mergeCell ref="P429:T429"/>
    <mergeCell ref="D430:E430"/>
    <mergeCell ref="P430:T430"/>
    <mergeCell ref="P431:V431"/>
    <mergeCell ref="A431:O432"/>
    <mergeCell ref="P432:V432"/>
    <mergeCell ref="A433:Z433"/>
    <mergeCell ref="A434:Z434"/>
    <mergeCell ref="A435:Z435"/>
    <mergeCell ref="D436:E436"/>
    <mergeCell ref="P436:T436"/>
    <mergeCell ref="D437:E437"/>
    <mergeCell ref="P437:T437"/>
    <mergeCell ref="A414:Z414"/>
    <mergeCell ref="D415:E415"/>
    <mergeCell ref="P415:T415"/>
    <mergeCell ref="D416:E416"/>
    <mergeCell ref="P416:T416"/>
    <mergeCell ref="D417:E417"/>
    <mergeCell ref="P417:T417"/>
    <mergeCell ref="P418:V418"/>
    <mergeCell ref="A418:O419"/>
    <mergeCell ref="P419:V419"/>
    <mergeCell ref="A420:Z420"/>
    <mergeCell ref="A421:Z421"/>
    <mergeCell ref="D422:E422"/>
    <mergeCell ref="P422:T422"/>
    <mergeCell ref="D423:E423"/>
    <mergeCell ref="P423:T423"/>
    <mergeCell ref="P424:V424"/>
    <mergeCell ref="A424:O425"/>
    <mergeCell ref="P425:V425"/>
    <mergeCell ref="D403:E403"/>
    <mergeCell ref="P403:T403"/>
    <mergeCell ref="D404:E404"/>
    <mergeCell ref="P404:T404"/>
    <mergeCell ref="D405:E405"/>
    <mergeCell ref="P405:T405"/>
    <mergeCell ref="P406:V406"/>
    <mergeCell ref="A406:O407"/>
    <mergeCell ref="P407:V407"/>
    <mergeCell ref="A408:Z408"/>
    <mergeCell ref="D409:E409"/>
    <mergeCell ref="P409:T409"/>
    <mergeCell ref="D410:E410"/>
    <mergeCell ref="P410:T410"/>
    <mergeCell ref="D411:E411"/>
    <mergeCell ref="P411:T411"/>
    <mergeCell ref="P412:V412"/>
    <mergeCell ref="A412:O413"/>
    <mergeCell ref="P413:V413"/>
    <mergeCell ref="D392:E392"/>
    <mergeCell ref="P392:T392"/>
    <mergeCell ref="P393:V393"/>
    <mergeCell ref="A393:O394"/>
    <mergeCell ref="P394:V394"/>
    <mergeCell ref="A395:Z395"/>
    <mergeCell ref="D396:E396"/>
    <mergeCell ref="P396:T396"/>
    <mergeCell ref="D397:E397"/>
    <mergeCell ref="P397:T397"/>
    <mergeCell ref="D398:E398"/>
    <mergeCell ref="P398:T398"/>
    <mergeCell ref="P399:V399"/>
    <mergeCell ref="A399:O400"/>
    <mergeCell ref="P400:V400"/>
    <mergeCell ref="A401:Z401"/>
    <mergeCell ref="D402:E402"/>
    <mergeCell ref="P402:T402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91:E391"/>
    <mergeCell ref="P391:T39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A361:Z361"/>
    <mergeCell ref="A362:Z362"/>
    <mergeCell ref="D363:E363"/>
    <mergeCell ref="P363:T363"/>
    <mergeCell ref="D364:E364"/>
    <mergeCell ref="P364:T364"/>
    <mergeCell ref="D365:E365"/>
    <mergeCell ref="P365:T365"/>
    <mergeCell ref="P366:V366"/>
    <mergeCell ref="A366:O367"/>
    <mergeCell ref="P367:V367"/>
    <mergeCell ref="A368:Z368"/>
    <mergeCell ref="A369:Z369"/>
    <mergeCell ref="D370:E370"/>
    <mergeCell ref="P370:T370"/>
    <mergeCell ref="D371:E371"/>
    <mergeCell ref="P371:T371"/>
    <mergeCell ref="D350:E350"/>
    <mergeCell ref="P350:T350"/>
    <mergeCell ref="D351:E351"/>
    <mergeCell ref="P351:T351"/>
    <mergeCell ref="D352:E352"/>
    <mergeCell ref="P352:T352"/>
    <mergeCell ref="D353:E353"/>
    <mergeCell ref="P353:T353"/>
    <mergeCell ref="P354:V354"/>
    <mergeCell ref="A354:O355"/>
    <mergeCell ref="P355:V355"/>
    <mergeCell ref="A356:Z356"/>
    <mergeCell ref="D357:E357"/>
    <mergeCell ref="P357:T357"/>
    <mergeCell ref="D358:E358"/>
    <mergeCell ref="P358:T358"/>
    <mergeCell ref="P359:V359"/>
    <mergeCell ref="A359:O360"/>
    <mergeCell ref="P360:V360"/>
    <mergeCell ref="P338:V338"/>
    <mergeCell ref="A338:O339"/>
    <mergeCell ref="P339:V339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P345:V345"/>
    <mergeCell ref="A345:O346"/>
    <mergeCell ref="P346:V346"/>
    <mergeCell ref="A347:Z347"/>
    <mergeCell ref="A348:Z348"/>
    <mergeCell ref="D349:E349"/>
    <mergeCell ref="P349:T349"/>
    <mergeCell ref="D328:E328"/>
    <mergeCell ref="P328:T328"/>
    <mergeCell ref="P329:V329"/>
    <mergeCell ref="A329:O330"/>
    <mergeCell ref="P330:V330"/>
    <mergeCell ref="A331:Z331"/>
    <mergeCell ref="A332:Z332"/>
    <mergeCell ref="D333:E333"/>
    <mergeCell ref="P333:T333"/>
    <mergeCell ref="D334:E334"/>
    <mergeCell ref="P334:T334"/>
    <mergeCell ref="D335:E335"/>
    <mergeCell ref="P335:T335"/>
    <mergeCell ref="D336:E336"/>
    <mergeCell ref="P336:T336"/>
    <mergeCell ref="D337:E337"/>
    <mergeCell ref="P337:T337"/>
    <mergeCell ref="A317:Z317"/>
    <mergeCell ref="D318:E318"/>
    <mergeCell ref="P318:T318"/>
    <mergeCell ref="P319:V319"/>
    <mergeCell ref="A319:O320"/>
    <mergeCell ref="P320:V320"/>
    <mergeCell ref="A321:Z321"/>
    <mergeCell ref="D322:E322"/>
    <mergeCell ref="P322:T322"/>
    <mergeCell ref="P323:V323"/>
    <mergeCell ref="A323:O324"/>
    <mergeCell ref="P324:V324"/>
    <mergeCell ref="A325:Z325"/>
    <mergeCell ref="D326:E326"/>
    <mergeCell ref="P326:T326"/>
    <mergeCell ref="D327:E327"/>
    <mergeCell ref="P327:T327"/>
    <mergeCell ref="A306:Z306"/>
    <mergeCell ref="A307:Z307"/>
    <mergeCell ref="D308:E308"/>
    <mergeCell ref="P308:T308"/>
    <mergeCell ref="D309:E309"/>
    <mergeCell ref="P309:T309"/>
    <mergeCell ref="D310:E310"/>
    <mergeCell ref="P310:T310"/>
    <mergeCell ref="D311:E311"/>
    <mergeCell ref="P311:T311"/>
    <mergeCell ref="D312:E312"/>
    <mergeCell ref="P312:T312"/>
    <mergeCell ref="D313:E313"/>
    <mergeCell ref="P313:T313"/>
    <mergeCell ref="D314:E314"/>
    <mergeCell ref="P314:T314"/>
    <mergeCell ref="P315:V315"/>
    <mergeCell ref="A315:O316"/>
    <mergeCell ref="P316:V316"/>
    <mergeCell ref="D295:E295"/>
    <mergeCell ref="P295:T295"/>
    <mergeCell ref="D296:E296"/>
    <mergeCell ref="P296:T296"/>
    <mergeCell ref="D297:E297"/>
    <mergeCell ref="P297:T297"/>
    <mergeCell ref="D298:E298"/>
    <mergeCell ref="P298:T298"/>
    <mergeCell ref="P299:V299"/>
    <mergeCell ref="A299:O300"/>
    <mergeCell ref="P300:V300"/>
    <mergeCell ref="A301:Z301"/>
    <mergeCell ref="D302:E302"/>
    <mergeCell ref="P302:T302"/>
    <mergeCell ref="D303:E303"/>
    <mergeCell ref="P303:T303"/>
    <mergeCell ref="P304:V304"/>
    <mergeCell ref="A304:O305"/>
    <mergeCell ref="P305:V305"/>
    <mergeCell ref="A286:Z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P284:V284"/>
    <mergeCell ref="A284:O285"/>
    <mergeCell ref="P285:V285"/>
    <mergeCell ref="A265:Z265"/>
    <mergeCell ref="D266:E266"/>
    <mergeCell ref="P266:T266"/>
    <mergeCell ref="D267:E267"/>
    <mergeCell ref="P267:T267"/>
    <mergeCell ref="P268:V268"/>
    <mergeCell ref="A268:O269"/>
    <mergeCell ref="P269:V269"/>
    <mergeCell ref="A270:Z270"/>
    <mergeCell ref="D271:E271"/>
    <mergeCell ref="P271:T271"/>
    <mergeCell ref="D272:E272"/>
    <mergeCell ref="P272:T272"/>
    <mergeCell ref="P273:V273"/>
    <mergeCell ref="A273:O274"/>
    <mergeCell ref="P274:V274"/>
    <mergeCell ref="A275:Z275"/>
    <mergeCell ref="A254:Z254"/>
    <mergeCell ref="D255:E255"/>
    <mergeCell ref="P255:T255"/>
    <mergeCell ref="D256:E256"/>
    <mergeCell ref="P256:T256"/>
    <mergeCell ref="D257:E257"/>
    <mergeCell ref="P257:T257"/>
    <mergeCell ref="P258:V258"/>
    <mergeCell ref="A258:O259"/>
    <mergeCell ref="P259:V259"/>
    <mergeCell ref="A260:Z260"/>
    <mergeCell ref="D261:E261"/>
    <mergeCell ref="P261:T261"/>
    <mergeCell ref="P262:V262"/>
    <mergeCell ref="A262:O263"/>
    <mergeCell ref="P263:V263"/>
    <mergeCell ref="A264:Z264"/>
    <mergeCell ref="P244:V244"/>
    <mergeCell ref="A244:O245"/>
    <mergeCell ref="P245:V245"/>
    <mergeCell ref="A246:Z246"/>
    <mergeCell ref="D247:E247"/>
    <mergeCell ref="P247:T247"/>
    <mergeCell ref="D248:E248"/>
    <mergeCell ref="P248:T248"/>
    <mergeCell ref="D249:E249"/>
    <mergeCell ref="P249:T249"/>
    <mergeCell ref="D250:E250"/>
    <mergeCell ref="P250:T250"/>
    <mergeCell ref="D251:E251"/>
    <mergeCell ref="P251:T251"/>
    <mergeCell ref="P252:V252"/>
    <mergeCell ref="A252:O253"/>
    <mergeCell ref="P253:V253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A224:Z224"/>
    <mergeCell ref="A225:Z225"/>
    <mergeCell ref="D226:E226"/>
    <mergeCell ref="P226:T226"/>
    <mergeCell ref="P227:V227"/>
    <mergeCell ref="A227:O228"/>
    <mergeCell ref="P228:V228"/>
    <mergeCell ref="A229:Z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A214:Z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P222:V222"/>
    <mergeCell ref="A222:O223"/>
    <mergeCell ref="P223:V223"/>
    <mergeCell ref="P202:V202"/>
    <mergeCell ref="A202:O203"/>
    <mergeCell ref="P203:V203"/>
    <mergeCell ref="A204:Z204"/>
    <mergeCell ref="D205:E205"/>
    <mergeCell ref="P205:T205"/>
    <mergeCell ref="P206:V206"/>
    <mergeCell ref="A206:O207"/>
    <mergeCell ref="P207:V207"/>
    <mergeCell ref="A208:Z208"/>
    <mergeCell ref="D209:E209"/>
    <mergeCell ref="P209:T209"/>
    <mergeCell ref="P210:V210"/>
    <mergeCell ref="A210:O211"/>
    <mergeCell ref="P211:V211"/>
    <mergeCell ref="A212:Z212"/>
    <mergeCell ref="A213:Z213"/>
    <mergeCell ref="D192:E192"/>
    <mergeCell ref="P192:T192"/>
    <mergeCell ref="D193:E193"/>
    <mergeCell ref="P193:T193"/>
    <mergeCell ref="D194:E194"/>
    <mergeCell ref="P194:T194"/>
    <mergeCell ref="D195:E195"/>
    <mergeCell ref="P195:T195"/>
    <mergeCell ref="P196:V196"/>
    <mergeCell ref="A196:O197"/>
    <mergeCell ref="P197:V197"/>
    <mergeCell ref="A198:Z198"/>
    <mergeCell ref="D199:E199"/>
    <mergeCell ref="P199:T199"/>
    <mergeCell ref="D200:E200"/>
    <mergeCell ref="P200:T200"/>
    <mergeCell ref="D201:E201"/>
    <mergeCell ref="P201:T201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D188:E188"/>
    <mergeCell ref="P188:T188"/>
    <mergeCell ref="D189:E189"/>
    <mergeCell ref="P189:T189"/>
    <mergeCell ref="D190:E190"/>
    <mergeCell ref="P190:T190"/>
    <mergeCell ref="D191:E191"/>
    <mergeCell ref="P191:T191"/>
    <mergeCell ref="D172:E172"/>
    <mergeCell ref="P172:T172"/>
    <mergeCell ref="D173:E173"/>
    <mergeCell ref="P173:T173"/>
    <mergeCell ref="P174:V174"/>
    <mergeCell ref="A174:O175"/>
    <mergeCell ref="P175:V175"/>
    <mergeCell ref="A176:Z176"/>
    <mergeCell ref="D177:E177"/>
    <mergeCell ref="P177:T177"/>
    <mergeCell ref="D178:E178"/>
    <mergeCell ref="P178:T178"/>
    <mergeCell ref="P179:V179"/>
    <mergeCell ref="A179:O180"/>
    <mergeCell ref="P180:V180"/>
    <mergeCell ref="A181:Z181"/>
    <mergeCell ref="D182:E182"/>
    <mergeCell ref="P182:T182"/>
    <mergeCell ref="D161:E161"/>
    <mergeCell ref="P161:T161"/>
    <mergeCell ref="D162:E162"/>
    <mergeCell ref="P162:T162"/>
    <mergeCell ref="P163:V163"/>
    <mergeCell ref="A163:O164"/>
    <mergeCell ref="P164:V164"/>
    <mergeCell ref="A165:Z165"/>
    <mergeCell ref="D166:E166"/>
    <mergeCell ref="P166:T166"/>
    <mergeCell ref="P167:V167"/>
    <mergeCell ref="A167:O168"/>
    <mergeCell ref="P168:V168"/>
    <mergeCell ref="A169:Z169"/>
    <mergeCell ref="A170:Z170"/>
    <mergeCell ref="D171:E171"/>
    <mergeCell ref="P171:T171"/>
    <mergeCell ref="D151:E151"/>
    <mergeCell ref="P151:T151"/>
    <mergeCell ref="P152:V152"/>
    <mergeCell ref="A152:O153"/>
    <mergeCell ref="P153:V153"/>
    <mergeCell ref="A154:Z154"/>
    <mergeCell ref="A155:Z155"/>
    <mergeCell ref="D156:E156"/>
    <mergeCell ref="P156:T156"/>
    <mergeCell ref="D157:E157"/>
    <mergeCell ref="P157:T157"/>
    <mergeCell ref="D158:E158"/>
    <mergeCell ref="P158:T158"/>
    <mergeCell ref="D159:E159"/>
    <mergeCell ref="P159:T159"/>
    <mergeCell ref="D160:E160"/>
    <mergeCell ref="P160:T160"/>
    <mergeCell ref="D140:E140"/>
    <mergeCell ref="P140:T140"/>
    <mergeCell ref="D141:E141"/>
    <mergeCell ref="P141:T141"/>
    <mergeCell ref="P142:V142"/>
    <mergeCell ref="A142:O143"/>
    <mergeCell ref="P143:V143"/>
    <mergeCell ref="A144:Z144"/>
    <mergeCell ref="D145:E145"/>
    <mergeCell ref="P145:T145"/>
    <mergeCell ref="D146:E146"/>
    <mergeCell ref="P146:T146"/>
    <mergeCell ref="P147:V147"/>
    <mergeCell ref="A147:O148"/>
    <mergeCell ref="P148:V148"/>
    <mergeCell ref="A149:Z149"/>
    <mergeCell ref="D150:E150"/>
    <mergeCell ref="P150:T150"/>
    <mergeCell ref="D129:E129"/>
    <mergeCell ref="P129:T129"/>
    <mergeCell ref="D130:E130"/>
    <mergeCell ref="P130:T130"/>
    <mergeCell ref="P131:V131"/>
    <mergeCell ref="A131:O132"/>
    <mergeCell ref="P132:V132"/>
    <mergeCell ref="A133:Z133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A139:Z139"/>
    <mergeCell ref="D119:E119"/>
    <mergeCell ref="P119:T119"/>
    <mergeCell ref="P120:V120"/>
    <mergeCell ref="A120:O121"/>
    <mergeCell ref="P121:V121"/>
    <mergeCell ref="A122:Z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D127:E127"/>
    <mergeCell ref="P127:T127"/>
    <mergeCell ref="D128:E128"/>
    <mergeCell ref="P128:T128"/>
    <mergeCell ref="D109:E109"/>
    <mergeCell ref="P109:T109"/>
    <mergeCell ref="D110:E110"/>
    <mergeCell ref="P110:T110"/>
    <mergeCell ref="D111:E111"/>
    <mergeCell ref="P111:T111"/>
    <mergeCell ref="P112:V112"/>
    <mergeCell ref="A112:O113"/>
    <mergeCell ref="P113:V113"/>
    <mergeCell ref="A114:Z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D99:E99"/>
    <mergeCell ref="P99:T99"/>
    <mergeCell ref="P100:V100"/>
    <mergeCell ref="A100:O101"/>
    <mergeCell ref="P101:V101"/>
    <mergeCell ref="A102:Z102"/>
    <mergeCell ref="A103:Z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P68:V68"/>
    <mergeCell ref="A68:O69"/>
    <mergeCell ref="P69:V69"/>
    <mergeCell ref="A70:Z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58:E58"/>
    <mergeCell ref="P58:T58"/>
    <mergeCell ref="D59:E59"/>
    <mergeCell ref="P59:T59"/>
    <mergeCell ref="D60:E60"/>
    <mergeCell ref="P60:T60"/>
    <mergeCell ref="P61:V61"/>
    <mergeCell ref="A61:O62"/>
    <mergeCell ref="P62:V62"/>
    <mergeCell ref="A63:Z63"/>
    <mergeCell ref="D64:E64"/>
    <mergeCell ref="P64:T64"/>
    <mergeCell ref="D65:E65"/>
    <mergeCell ref="P65:T65"/>
    <mergeCell ref="D66:E66"/>
    <mergeCell ref="P66:T66"/>
    <mergeCell ref="D67:E67"/>
    <mergeCell ref="P67:T6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888</v>
      </c>
      <c r="H1" s="9"/>
    </row>
    <row r="3" spans="2:8" x14ac:dyDescent="0.2">
      <c r="B3" s="53" t="s">
        <v>889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890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891</v>
      </c>
      <c r="C6" s="53" t="s">
        <v>892</v>
      </c>
      <c r="D6" s="53" t="s">
        <v>893</v>
      </c>
      <c r="E6" s="53" t="s">
        <v>46</v>
      </c>
    </row>
    <row r="7" spans="2:8" x14ac:dyDescent="0.2">
      <c r="B7" s="53" t="s">
        <v>894</v>
      </c>
      <c r="C7" s="53" t="s">
        <v>895</v>
      </c>
      <c r="D7" s="53" t="s">
        <v>896</v>
      </c>
      <c r="E7" s="53" t="s">
        <v>46</v>
      </c>
    </row>
    <row r="9" spans="2:8" x14ac:dyDescent="0.2">
      <c r="B9" s="53" t="s">
        <v>897</v>
      </c>
      <c r="C9" s="53" t="s">
        <v>892</v>
      </c>
      <c r="D9" s="53" t="s">
        <v>46</v>
      </c>
      <c r="E9" s="53" t="s">
        <v>46</v>
      </c>
    </row>
    <row r="11" spans="2:8" x14ac:dyDescent="0.2">
      <c r="B11" s="53" t="s">
        <v>897</v>
      </c>
      <c r="C11" s="53" t="s">
        <v>895</v>
      </c>
      <c r="D11" s="53" t="s">
        <v>46</v>
      </c>
      <c r="E11" s="53" t="s">
        <v>46</v>
      </c>
    </row>
    <row r="13" spans="2:8" x14ac:dyDescent="0.2">
      <c r="B13" s="53" t="s">
        <v>898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899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900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901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902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903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904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905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906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907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908</v>
      </c>
      <c r="C23" s="53" t="s">
        <v>46</v>
      </c>
      <c r="D23" s="53" t="s">
        <v>46</v>
      </c>
      <c r="E23" s="53" t="s">
        <v>46</v>
      </c>
    </row>
  </sheetData>
  <sheetProtection algorithmName="SHA-512" hashValue="5EDNTrVHJg7CEfJTVZOOlx73cI4LoQAjqCSvWOXhxyAHpSV9pg6hd86JPEflUAMu8ZdWDOOrgs/4NNLEHgfGig==" saltValue="GSpUlHhH+vgIvx9rKkO6yw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1195</vt:i4>
      </vt:variant>
    </vt:vector>
  </HeadingPairs>
  <TitlesOfParts>
    <vt:vector size="119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2026-09-10T11:42:39Z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