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E1BD34D-F9DE-40B6-B31C-7A9C4F4B282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Z230" i="2" l="1"/>
  <c r="Z373" i="2"/>
  <c r="BP40" i="2"/>
  <c r="Z250" i="2"/>
  <c r="Z297" i="2"/>
  <c r="BN297" i="2"/>
  <c r="Z86" i="2"/>
  <c r="BN86" i="2"/>
  <c r="Z93" i="2"/>
  <c r="Y137" i="2"/>
  <c r="BP161" i="2"/>
  <c r="Z191" i="2"/>
  <c r="BN191" i="2"/>
  <c r="Z195" i="2"/>
  <c r="BN195" i="2"/>
  <c r="Z205" i="2"/>
  <c r="Z206" i="2" s="1"/>
  <c r="BN250" i="2"/>
  <c r="Y61" i="2"/>
  <c r="Y227" i="2"/>
  <c r="Z27" i="2"/>
  <c r="Z64" i="2"/>
  <c r="Z104" i="2"/>
  <c r="BP184" i="2"/>
  <c r="Z185" i="2"/>
  <c r="BN185" i="2"/>
  <c r="Z233" i="2"/>
  <c r="BN233" i="2"/>
  <c r="Z267" i="2"/>
  <c r="BN267" i="2"/>
  <c r="Y367" i="2"/>
  <c r="Z383" i="2"/>
  <c r="BN383" i="2"/>
  <c r="Z403" i="2"/>
  <c r="BP410" i="2"/>
  <c r="Z454" i="2"/>
  <c r="Y493" i="2"/>
  <c r="Z497" i="2"/>
  <c r="Z498" i="2" s="1"/>
  <c r="BP77" i="2"/>
  <c r="BP105" i="2"/>
  <c r="BN123" i="2"/>
  <c r="BN160" i="2"/>
  <c r="BN231" i="2"/>
  <c r="BN234" i="2"/>
  <c r="BN249" i="2"/>
  <c r="BN256" i="2"/>
  <c r="BN282" i="2"/>
  <c r="BN287" i="2"/>
  <c r="BN293" i="2"/>
  <c r="BN314" i="2"/>
  <c r="BN326" i="2"/>
  <c r="BN343" i="2"/>
  <c r="BN352" i="2"/>
  <c r="BN389" i="2"/>
  <c r="Z396" i="2"/>
  <c r="Z397" i="2"/>
  <c r="Y400" i="2"/>
  <c r="Z405" i="2"/>
  <c r="BN405" i="2"/>
  <c r="Y413" i="2"/>
  <c r="BP409" i="2"/>
  <c r="Z411" i="2"/>
  <c r="Y412" i="2"/>
  <c r="BN422" i="2"/>
  <c r="Z429" i="2"/>
  <c r="BN429" i="2"/>
  <c r="BN430" i="2"/>
  <c r="Z439" i="2"/>
  <c r="Z441" i="2"/>
  <c r="BN441" i="2"/>
  <c r="BN442" i="2"/>
  <c r="Z449" i="2"/>
  <c r="Z455" i="2"/>
  <c r="Z465" i="2"/>
  <c r="Z466" i="2"/>
  <c r="BN466" i="2"/>
  <c r="BN492" i="2"/>
  <c r="BN510" i="2"/>
  <c r="BN515" i="2"/>
  <c r="BN530" i="2"/>
  <c r="BP539" i="2"/>
  <c r="BN556" i="2"/>
  <c r="BN99" i="2"/>
  <c r="BP106" i="2"/>
  <c r="BN107" i="2"/>
  <c r="BN115" i="2"/>
  <c r="BN128" i="2"/>
  <c r="Y202" i="2"/>
  <c r="BN215" i="2"/>
  <c r="B574" i="2"/>
  <c r="BN23" i="2"/>
  <c r="Z29" i="2"/>
  <c r="BN29" i="2"/>
  <c r="BN30" i="2"/>
  <c r="Z39" i="2"/>
  <c r="Z41" i="2"/>
  <c r="BN41" i="2"/>
  <c r="Z60" i="2"/>
  <c r="Z77" i="2"/>
  <c r="Z78" i="2"/>
  <c r="BN78" i="2"/>
  <c r="BN80" i="2"/>
  <c r="Z85" i="2"/>
  <c r="BP93" i="2"/>
  <c r="Z95" i="2"/>
  <c r="Z100" i="2" s="1"/>
  <c r="BN95" i="2"/>
  <c r="Z105" i="2"/>
  <c r="Z106" i="2"/>
  <c r="BN119" i="2"/>
  <c r="Z124" i="2"/>
  <c r="Z127" i="2"/>
  <c r="BN145" i="2"/>
  <c r="Z190" i="2"/>
  <c r="BN201" i="2"/>
  <c r="BN226" i="2"/>
  <c r="BN236" i="2"/>
  <c r="Y258" i="2"/>
  <c r="Z277" i="2"/>
  <c r="BN277" i="2"/>
  <c r="BN278" i="2"/>
  <c r="BN283" i="2"/>
  <c r="BN289" i="2"/>
  <c r="BP298" i="2"/>
  <c r="BN303" i="2"/>
  <c r="BN310" i="2"/>
  <c r="BN318" i="2"/>
  <c r="BN336" i="2"/>
  <c r="BN351" i="2"/>
  <c r="BN372" i="2"/>
  <c r="BN379" i="2"/>
  <c r="BP396" i="2"/>
  <c r="BN415" i="2"/>
  <c r="BP455" i="2"/>
  <c r="BP465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81" i="2" l="1"/>
  <c r="Z366" i="2"/>
  <c r="Z268" i="2"/>
  <c r="Z32" i="2"/>
  <c r="Z329" i="2"/>
  <c r="Z461" i="2"/>
  <c r="Z524" i="2"/>
  <c r="Z258" i="2"/>
  <c r="Z90" i="2"/>
  <c r="X567" i="2"/>
  <c r="Z467" i="2"/>
  <c r="Z399" i="2"/>
  <c r="Z456" i="2"/>
  <c r="Z112" i="2"/>
  <c r="Z273" i="2"/>
  <c r="Z74" i="2"/>
  <c r="Z406" i="2"/>
  <c r="Z244" i="2"/>
  <c r="Z504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<sst xmlns="http://schemas.openxmlformats.org/spreadsheetml/2006/main" count="4374" uniqueCount="915">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</sst>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topLeftCell="C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914</v>
      </c>
      <c r="I5" s="1013"/>
      <c r="J5" s="1013"/>
      <c r="K5" s="1013"/>
      <c r="L5" s="1013"/>
      <c r="M5" s="1013"/>
      <c r="N5" s="72"/>
      <c r="P5" s="27" t="s">
        <v>4</v>
      </c>
      <c r="Q5" s="1015">
        <v>46278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0.45833333333333331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18</v>
      </c>
      <c r="Y30" s="55">
        <f>IFERROR(IF(X30="",0,CEILING((X30/$H30),1)*$H30),"")</f>
        <v>18</v>
      </c>
      <c r="Z30" s="41">
        <f>IFERROR(IF(Y30=0,"",ROUNDUP(Y30/H30,0)*0.00651),"")</f>
        <v>6.5100000000000005E-2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31.8</v>
      </c>
      <c r="BN30" s="78">
        <f>IFERROR(Y30*I30/H30,"0")</f>
        <v>31.8</v>
      </c>
      <c r="BO30" s="78">
        <f>IFERROR(1/J30*(X30/H30),"0")</f>
        <v>5.4945054945054951E-2</v>
      </c>
      <c r="BP30" s="78">
        <f>IFERROR(1/J30*(Y30/H30),"0")</f>
        <v>5.4945054945054951E-2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10</v>
      </c>
      <c r="Y32" s="43">
        <f>IFERROR(Y27/H27,"0")+IFERROR(Y28/H28,"0")+IFERROR(Y29/H29,"0")+IFERROR(Y30/H30,"0")+IFERROR(Y31/H31,"0")</f>
        <v>10</v>
      </c>
      <c r="Z32" s="43">
        <f>IFERROR(IF(Z27="",0,Z27),"0")+IFERROR(IF(Z28="",0,Z28),"0")+IFERROR(IF(Z29="",0,Z29),"0")+IFERROR(IF(Z30="",0,Z30),"0")+IFERROR(IF(Z31="",0,Z31),"0")</f>
        <v>6.5100000000000005E-2</v>
      </c>
      <c r="AA32" s="67"/>
      <c r="AB32" s="67"/>
      <c r="AC32" s="67"/>
    </row>
    <row r="33" spans="1:68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18</v>
      </c>
      <c r="Y33" s="43">
        <f>IFERROR(SUM(Y27:Y31),"0")</f>
        <v>18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96</v>
      </c>
      <c r="Y49" s="55">
        <f>IFERROR(IF(X49="",0,CEILING((X49/$H49),1)*$H49),"")</f>
        <v>96</v>
      </c>
      <c r="Z49" s="41">
        <f>IFERROR(IF(Y49=0,"",ROUNDUP(Y49/H49,0)*0.00902),"")</f>
        <v>0.21648000000000001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100.56</v>
      </c>
      <c r="BN49" s="78">
        <f>IFERROR(Y49*I49/H49,"0")</f>
        <v>100.56</v>
      </c>
      <c r="BO49" s="78">
        <f>IFERROR(1/J49*(X49/H49),"0")</f>
        <v>0.18181818181818182</v>
      </c>
      <c r="BP49" s="78">
        <f>IFERROR(1/J49*(Y49/H49),"0")</f>
        <v>0.18181818181818182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24</v>
      </c>
      <c r="Y51" s="43">
        <f>IFERROR(Y47/H47,"0")+IFERROR(Y48/H48,"0")+IFERROR(Y49/H49,"0")+IFERROR(Y50/H50,"0")</f>
        <v>24</v>
      </c>
      <c r="Z51" s="43">
        <f>IFERROR(IF(Z47="",0,Z47),"0")+IFERROR(IF(Z48="",0,Z48),"0")+IFERROR(IF(Z49="",0,Z49),"0")+IFERROR(IF(Z50="",0,Z50),"0")</f>
        <v>0.21648000000000001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96</v>
      </c>
      <c r="Y52" s="43">
        <f>IFERROR(SUM(Y47:Y50),"0")</f>
        <v>96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/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72</v>
      </c>
      <c r="Y67" s="55">
        <f>IFERROR(IF(X67="",0,CEILING((X67/$H67),1)*$H67),"")</f>
        <v>72.900000000000006</v>
      </c>
      <c r="Z67" s="41">
        <f>IFERROR(IF(Y67=0,"",ROUNDUP(Y67/H67,0)*0.00651),"")</f>
        <v>0.17577000000000001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76.799999999999983</v>
      </c>
      <c r="BN67" s="78">
        <f>IFERROR(Y67*I67/H67,"0")</f>
        <v>77.759999999999991</v>
      </c>
      <c r="BO67" s="78">
        <f>IFERROR(1/J67*(X67/H67),"0")</f>
        <v>0.14652014652014653</v>
      </c>
      <c r="BP67" s="78">
        <f>IFERROR(1/J67*(Y67/H67),"0")</f>
        <v>0.14835164835164835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26.666666666666664</v>
      </c>
      <c r="Y68" s="43">
        <f>IFERROR(Y64/H64,"0")+IFERROR(Y65/H65,"0")+IFERROR(Y66/H66,"0")+IFERROR(Y67/H67,"0")</f>
        <v>27</v>
      </c>
      <c r="Z68" s="43">
        <f>IFERROR(IF(Z64="",0,Z64),"0")+IFERROR(IF(Z65="",0,Z65),"0")+IFERROR(IF(Z66="",0,Z66),"0")+IFERROR(IF(Z67="",0,Z67),"0")</f>
        <v>0.17577000000000001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72</v>
      </c>
      <c r="Y69" s="43">
        <f>IFERROR(SUM(Y64:Y67),"0")</f>
        <v>72.900000000000006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30</v>
      </c>
      <c r="Y71" s="55">
        <f>IFERROR(IF(X71="",0,CEILING((X71/$H71),1)*$H71),"")</f>
        <v>30.6</v>
      </c>
      <c r="Z71" s="41">
        <f>IFERROR(IF(Y71=0,"",ROUNDUP(Y71/H71,0)*0.00651),"")</f>
        <v>0.11067</v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34.099999999999994</v>
      </c>
      <c r="BN71" s="78">
        <f>IFERROR(Y71*I71/H71,"0")</f>
        <v>34.781999999999996</v>
      </c>
      <c r="BO71" s="78">
        <f>IFERROR(1/J71*(X71/H71),"0")</f>
        <v>9.1575091575091583E-2</v>
      </c>
      <c r="BP71" s="78">
        <f>IFERROR(1/J71*(Y71/H71),"0")</f>
        <v>9.3406593406593408E-2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36</v>
      </c>
      <c r="Y72" s="55">
        <f>IFERROR(IF(X72="",0,CEILING((X72/$H72),1)*$H72),"")</f>
        <v>36</v>
      </c>
      <c r="Z72" s="41">
        <f>IFERROR(IF(Y72=0,"",ROUNDUP(Y72/H72,0)*0.00651),"")</f>
        <v>0.13020000000000001</v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39.6</v>
      </c>
      <c r="BN72" s="78">
        <f>IFERROR(Y72*I72/H72,"0")</f>
        <v>39.6</v>
      </c>
      <c r="BO72" s="78">
        <f>IFERROR(1/J72*(X72/H72),"0")</f>
        <v>0.1098901098901099</v>
      </c>
      <c r="BP72" s="78">
        <f>IFERROR(1/J72*(Y72/H72),"0")</f>
        <v>0.1098901098901099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36.666666666666671</v>
      </c>
      <c r="Y74" s="43">
        <f>IFERROR(Y71/H71,"0")+IFERROR(Y72/H72,"0")+IFERROR(Y73/H73,"0")</f>
        <v>37</v>
      </c>
      <c r="Z74" s="43">
        <f>IFERROR(IF(Z71="",0,Z71),"0")+IFERROR(IF(Z72="",0,Z72),"0")+IFERROR(IF(Z73="",0,Z73),"0")</f>
        <v>0.24087000000000003</v>
      </c>
      <c r="AA74" s="67"/>
      <c r="AB74" s="67"/>
      <c r="AC74" s="67"/>
    </row>
    <row r="75" spans="1:68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66</v>
      </c>
      <c r="Y75" s="43">
        <f>IFERROR(SUM(Y71:Y73),"0")</f>
        <v>66.599999999999994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17</v>
      </c>
      <c r="Y86" s="55">
        <f>IFERROR(IF(X86="",0,CEILING((X86/$H86),1)*$H86),"")</f>
        <v>17</v>
      </c>
      <c r="Z86" s="41">
        <f>IFERROR(IF(Y86=0,"",ROUNDUP(Y86/H86,0)*0.00726),"")</f>
        <v>7.2599999999999998E-2</v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18</v>
      </c>
      <c r="BN86" s="78">
        <f>IFERROR(Y86*I86/H86,"0")</f>
        <v>18</v>
      </c>
      <c r="BO86" s="78">
        <f>IFERROR(1/J86*(X86/H86),"0")</f>
        <v>5.2083333333333329E-2</v>
      </c>
      <c r="BP86" s="78">
        <f>IFERROR(1/J86*(Y86/H86),"0")</f>
        <v>5.2083333333333329E-2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10</v>
      </c>
      <c r="Y90" s="43">
        <f>IFERROR(Y85/H85,"0")+IFERROR(Y86/H86,"0")+IFERROR(Y87/H87,"0")+IFERROR(Y88/H88,"0")+IFERROR(Y89/H89,"0")</f>
        <v>10</v>
      </c>
      <c r="Z90" s="43">
        <f>IFERROR(IF(Z85="",0,Z85),"0")+IFERROR(IF(Z86="",0,Z86),"0")+IFERROR(IF(Z87="",0,Z87),"0")+IFERROR(IF(Z88="",0,Z88),"0")+IFERROR(IF(Z89="",0,Z89),"0")</f>
        <v>7.2599999999999998E-2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17</v>
      </c>
      <c r="Y91" s="43">
        <f>IFERROR(SUM(Y85:Y89),"0")</f>
        <v>17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144</v>
      </c>
      <c r="Y97" s="55">
        <f t="shared" si="5"/>
        <v>145.80000000000001</v>
      </c>
      <c r="Z97" s="41">
        <f>IFERROR(IF(Y97=0,"",ROUNDUP(Y97/H97,0)*0.00651),"")</f>
        <v>0.35154000000000002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157.43999999999997</v>
      </c>
      <c r="BN97" s="78">
        <f t="shared" si="7"/>
        <v>159.40799999999999</v>
      </c>
      <c r="BO97" s="78">
        <f t="shared" si="8"/>
        <v>0.29304029304029305</v>
      </c>
      <c r="BP97" s="78">
        <f t="shared" si="9"/>
        <v>0.2967032967032967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53.333333333333329</v>
      </c>
      <c r="Y100" s="43">
        <f>IFERROR(Y93/H93,"0")+IFERROR(Y94/H94,"0")+IFERROR(Y95/H95,"0")+IFERROR(Y96/H96,"0")+IFERROR(Y97/H97,"0")+IFERROR(Y98/H98,"0")+IFERROR(Y99/H99,"0")</f>
        <v>54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0.35154000000000002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144</v>
      </c>
      <c r="Y101" s="43">
        <f>IFERROR(SUM(Y93:Y99),"0")</f>
        <v>145.80000000000001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6.6</v>
      </c>
      <c r="Y105" s="55">
        <f t="shared" si="10"/>
        <v>6.6000000000000005</v>
      </c>
      <c r="Z105" s="41">
        <f>IFERROR(IF(Y105=0,"",ROUNDUP(Y105/H105,0)*0.00726),"")</f>
        <v>4.3560000000000001E-2</v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7.8599999999999985</v>
      </c>
      <c r="BN105" s="78">
        <f t="shared" si="12"/>
        <v>7.86</v>
      </c>
      <c r="BO105" s="78">
        <f t="shared" si="13"/>
        <v>3.1249999999999993E-2</v>
      </c>
      <c r="BP105" s="78">
        <f t="shared" si="14"/>
        <v>3.125E-2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5.9999999999999991</v>
      </c>
      <c r="Y112" s="43">
        <f>IFERROR(Y104/H104,"0")+IFERROR(Y105/H105,"0")+IFERROR(Y106/H106,"0")+IFERROR(Y107/H107,"0")+IFERROR(Y108/H108,"0")+IFERROR(Y109/H109,"0")+IFERROR(Y110/H110,"0")+IFERROR(Y111/H111,"0")</f>
        <v>6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4.3560000000000001E-2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6.6</v>
      </c>
      <c r="Y113" s="43">
        <f>IFERROR(SUM(Y104:Y111),"0")</f>
        <v>6.6000000000000005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20</v>
      </c>
      <c r="Y116" s="55">
        <f>IFERROR(IF(X116="",0,CEILING((X116/$H116),1)*$H116),"")</f>
        <v>20</v>
      </c>
      <c r="Z116" s="41">
        <f>IFERROR(IF(Y116=0,"",ROUNDUP(Y116/H116,0)*0.00358),"")</f>
        <v>7.1599999999999997E-2</v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24.2</v>
      </c>
      <c r="BN116" s="78">
        <f>IFERROR(Y116*I116/H116,"0")</f>
        <v>24.2</v>
      </c>
      <c r="BO116" s="78">
        <f>IFERROR(1/J116*(X116/H116),"0")</f>
        <v>5.10204081632653E-2</v>
      </c>
      <c r="BP116" s="78">
        <f>IFERROR(1/J116*(Y116/H116),"0")</f>
        <v>5.10204081632653E-2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20</v>
      </c>
      <c r="Y120" s="43">
        <f>IFERROR(Y115/H115,"0")+IFERROR(Y116/H116,"0")+IFERROR(Y117/H117,"0")+IFERROR(Y118/H118,"0")+IFERROR(Y119/H119,"0")</f>
        <v>20</v>
      </c>
      <c r="Z120" s="43">
        <f>IFERROR(IF(Z115="",0,Z115),"0")+IFERROR(IF(Z116="",0,Z116),"0")+IFERROR(IF(Z117="",0,Z117),"0")+IFERROR(IF(Z118="",0,Z118),"0")+IFERROR(IF(Z119="",0,Z119),"0")</f>
        <v>7.1599999999999997E-2</v>
      </c>
      <c r="AA120" s="67"/>
      <c r="AB120" s="67"/>
      <c r="AC120" s="67"/>
    </row>
    <row r="121" spans="1:68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20</v>
      </c>
      <c r="Y121" s="43">
        <f>IFERROR(SUM(Y115:Y119),"0")</f>
        <v>20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54</v>
      </c>
      <c r="Y129" s="55">
        <f t="shared" si="15"/>
        <v>54</v>
      </c>
      <c r="Z129" s="41">
        <f t="shared" si="20"/>
        <v>0.1953</v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59.4</v>
      </c>
      <c r="BN129" s="78">
        <f t="shared" si="17"/>
        <v>59.4</v>
      </c>
      <c r="BO129" s="78">
        <f t="shared" si="18"/>
        <v>0.16483516483516486</v>
      </c>
      <c r="BP129" s="78">
        <f t="shared" si="19"/>
        <v>0.16483516483516486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30</v>
      </c>
      <c r="Y131" s="43">
        <f>IFERROR(Y123/H123,"0")+IFERROR(Y124/H124,"0")+IFERROR(Y125/H125,"0")+IFERROR(Y126/H126,"0")+IFERROR(Y127/H127,"0")+IFERROR(Y128/H128,"0")+IFERROR(Y129/H129,"0")+IFERROR(Y130/H130,"0")</f>
        <v>30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0.1953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54</v>
      </c>
      <c r="Y132" s="43">
        <f>IFERROR(SUM(Y123:Y130),"0")</f>
        <v>54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8.8000000000000007</v>
      </c>
      <c r="Y233" s="55">
        <f t="shared" si="39"/>
        <v>8.8000000000000007</v>
      </c>
      <c r="Z233" s="41">
        <f>IFERROR(IF(Y233=0,"",ROUNDUP(Y233/H233,0)*0.00556),"")</f>
        <v>6.1159999999999999E-2</v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10.23</v>
      </c>
      <c r="BN233" s="78">
        <f t="shared" si="41"/>
        <v>10.23</v>
      </c>
      <c r="BO233" s="78">
        <f t="shared" si="42"/>
        <v>4.3650793650793648E-2</v>
      </c>
      <c r="BP233" s="78">
        <f t="shared" si="43"/>
        <v>4.3650793650793648E-2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9.6</v>
      </c>
      <c r="Y240" s="55">
        <f t="shared" si="39"/>
        <v>9.6000000000000014</v>
      </c>
      <c r="Z240" s="41">
        <f>IFERROR(IF(Y240=0,"",ROUNDUP(Y240/H240,0)*0.00417),"")</f>
        <v>5.0040000000000001E-2</v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12.12</v>
      </c>
      <c r="BN240" s="78">
        <f t="shared" si="41"/>
        <v>12.120000000000001</v>
      </c>
      <c r="BO240" s="78">
        <f t="shared" si="42"/>
        <v>3.5714285714285705E-2</v>
      </c>
      <c r="BP240" s="78">
        <f t="shared" si="43"/>
        <v>3.5714285714285719E-2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23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23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0.11119999999999999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18.399999999999999</v>
      </c>
      <c r="Y245" s="43">
        <f>IFERROR(SUM(Y230:Y243),"0")</f>
        <v>18.400000000000002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96</v>
      </c>
      <c r="Y293" s="55">
        <f t="shared" si="50"/>
        <v>96</v>
      </c>
      <c r="Z293" s="41">
        <f>IFERROR(IF(Y293=0,"",ROUNDUP(Y293/H293,0)*0.00651),"")</f>
        <v>0.26040000000000002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106.08000000000001</v>
      </c>
      <c r="BN293" s="78">
        <f t="shared" si="52"/>
        <v>106.08000000000001</v>
      </c>
      <c r="BO293" s="78">
        <f t="shared" si="53"/>
        <v>0.2197802197802198</v>
      </c>
      <c r="BP293" s="78">
        <f t="shared" si="54"/>
        <v>0.2197802197802198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96</v>
      </c>
      <c r="Y295" s="55">
        <f t="shared" si="50"/>
        <v>96</v>
      </c>
      <c r="Z295" s="41">
        <f>IFERROR(IF(Y295=0,"",ROUNDUP(Y295/H295,0)*0.00651),"")</f>
        <v>0.26040000000000002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106.08000000000001</v>
      </c>
      <c r="BN295" s="78">
        <f t="shared" si="52"/>
        <v>106.08000000000001</v>
      </c>
      <c r="BO295" s="78">
        <f t="shared" si="53"/>
        <v>0.2197802197802198</v>
      </c>
      <c r="BP295" s="78">
        <f t="shared" si="54"/>
        <v>0.2197802197802198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80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80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0.52080000000000004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192</v>
      </c>
      <c r="Y300" s="43">
        <f>IFERROR(SUM(Y287:Y298),"0")</f>
        <v>192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56</v>
      </c>
      <c r="Y311" s="55">
        <f t="shared" si="55"/>
        <v>56</v>
      </c>
      <c r="Z311" s="41">
        <f>IFERROR(IF(Y311=0,"",ROUNDUP(Y311/H311,0)*0.00902),"")</f>
        <v>0.12628</v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58.660000000000004</v>
      </c>
      <c r="BN311" s="78">
        <f t="shared" si="57"/>
        <v>58.660000000000004</v>
      </c>
      <c r="BO311" s="78">
        <f t="shared" si="58"/>
        <v>0.10606060606060606</v>
      </c>
      <c r="BP311" s="78">
        <f t="shared" si="59"/>
        <v>0.10606060606060606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64</v>
      </c>
      <c r="Y314" s="55">
        <f t="shared" si="55"/>
        <v>64</v>
      </c>
      <c r="Z314" s="41">
        <f>IFERROR(IF(Y314=0,"",ROUNDUP(Y314/H314,0)*0.00902),"")</f>
        <v>0.14432</v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67.040000000000006</v>
      </c>
      <c r="BN314" s="78">
        <f t="shared" si="57"/>
        <v>67.040000000000006</v>
      </c>
      <c r="BO314" s="78">
        <f t="shared" si="58"/>
        <v>0.12121212121212122</v>
      </c>
      <c r="BP314" s="78">
        <f t="shared" si="59"/>
        <v>0.12121212121212122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30</v>
      </c>
      <c r="Y315" s="43">
        <f>IFERROR(Y308/H308,"0")+IFERROR(Y309/H309,"0")+IFERROR(Y310/H310,"0")+IFERROR(Y311/H311,"0")+IFERROR(Y312/H312,"0")+IFERROR(Y313/H313,"0")+IFERROR(Y314/H314,"0")</f>
        <v>30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0.27060000000000001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120</v>
      </c>
      <c r="Y316" s="43">
        <f>IFERROR(SUM(Y308:Y314),"0")</f>
        <v>120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24</v>
      </c>
      <c r="Y343" s="55">
        <f>IFERROR(IF(X343="",0,CEILING((X343/$H343),1)*$H343),"")</f>
        <v>24</v>
      </c>
      <c r="Z343" s="41">
        <f>IFERROR(IF(Y343=0,"",ROUNDUP(Y343/H343,0)*0.00651),"")</f>
        <v>6.5100000000000005E-2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26.520000000000003</v>
      </c>
      <c r="BN343" s="78">
        <f>IFERROR(Y343*I343/H343,"0")</f>
        <v>26.520000000000003</v>
      </c>
      <c r="BO343" s="78">
        <f>IFERROR(1/J343*(X343/H343),"0")</f>
        <v>5.4945054945054951E-2</v>
      </c>
      <c r="BP343" s="78">
        <f>IFERROR(1/J343*(Y343/H343),"0")</f>
        <v>5.4945054945054951E-2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40</v>
      </c>
      <c r="Y344" s="55">
        <f>IFERROR(IF(X344="",0,CEILING((X344/$H344),1)*$H344),"")</f>
        <v>40.799999999999997</v>
      </c>
      <c r="Z344" s="41">
        <f>IFERROR(IF(Y344=0,"",ROUNDUP(Y344/H344,0)*0.00651),"")</f>
        <v>0.11067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43</v>
      </c>
      <c r="BN344" s="78">
        <f>IFERROR(Y344*I344/H344,"0")</f>
        <v>43.86</v>
      </c>
      <c r="BO344" s="78">
        <f>IFERROR(1/J344*(X344/H344),"0")</f>
        <v>9.1575091575091583E-2</v>
      </c>
      <c r="BP344" s="78">
        <f>IFERROR(1/J344*(Y344/H344),"0")</f>
        <v>9.3406593406593408E-2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26.666666666666668</v>
      </c>
      <c r="Y345" s="43">
        <f>IFERROR(Y342/H342,"0")+IFERROR(Y343/H343,"0")+IFERROR(Y344/H344,"0")</f>
        <v>27</v>
      </c>
      <c r="Z345" s="43">
        <f>IFERROR(IF(Z342="",0,Z342),"0")+IFERROR(IF(Z343="",0,Z343),"0")+IFERROR(IF(Z344="",0,Z344),"0")</f>
        <v>0.17577000000000001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64</v>
      </c>
      <c r="Y346" s="43">
        <f>IFERROR(SUM(Y342:Y344),"0")</f>
        <v>64.8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54</v>
      </c>
      <c r="Y357" s="55">
        <f>IFERROR(IF(X357="",0,CEILING((X357/$H357),1)*$H357),"")</f>
        <v>54</v>
      </c>
      <c r="Z357" s="41">
        <f>IFERROR(IF(Y357=0,"",ROUNDUP(Y357/H357,0)*0.00902),"")</f>
        <v>0.1353</v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56.849999999999994</v>
      </c>
      <c r="BN357" s="78">
        <f>IFERROR(Y357*I357/H357,"0")</f>
        <v>56.849999999999994</v>
      </c>
      <c r="BO357" s="78">
        <f>IFERROR(1/J357*(X357/H357),"0")</f>
        <v>0.11363636363636365</v>
      </c>
      <c r="BP357" s="78">
        <f>IFERROR(1/J357*(Y357/H357),"0")</f>
        <v>0.11363636363636365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15</v>
      </c>
      <c r="Y359" s="43">
        <f>IFERROR(Y357/H357,"0")+IFERROR(Y358/H358,"0")</f>
        <v>15</v>
      </c>
      <c r="Z359" s="43">
        <f>IFERROR(IF(Z357="",0,Z357),"0")+IFERROR(IF(Z358="",0,Z358),"0")</f>
        <v>0.1353</v>
      </c>
      <c r="AA359" s="67"/>
      <c r="AB359" s="67"/>
      <c r="AC359" s="67"/>
    </row>
    <row r="360" spans="1:68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54</v>
      </c>
      <c r="Y360" s="43">
        <f>IFERROR(SUM(Y357:Y358),"0")</f>
        <v>54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42</v>
      </c>
      <c r="Y383" s="55">
        <f t="shared" si="65"/>
        <v>42</v>
      </c>
      <c r="Z383" s="41">
        <f>IFERROR(IF(Y383=0,"",ROUNDUP(Y383/H383,0)*0.00502),"")</f>
        <v>0.1004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44</v>
      </c>
      <c r="BN383" s="78">
        <f t="shared" si="67"/>
        <v>44</v>
      </c>
      <c r="BO383" s="78">
        <f t="shared" si="68"/>
        <v>8.5470085470085472E-2</v>
      </c>
      <c r="BP383" s="78">
        <f t="shared" si="69"/>
        <v>8.5470085470085472E-2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36</v>
      </c>
      <c r="Y385" s="55">
        <f t="shared" si="65"/>
        <v>36</v>
      </c>
      <c r="Z385" s="41">
        <f>IFERROR(IF(Y385=0,"",ROUNDUP(Y385/H385,0)*0.00651),"")</f>
        <v>0.13020000000000001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40.559999999999995</v>
      </c>
      <c r="BN385" s="78">
        <f t="shared" si="67"/>
        <v>40.559999999999995</v>
      </c>
      <c r="BO385" s="78">
        <f t="shared" si="68"/>
        <v>0.1098901098901099</v>
      </c>
      <c r="BP385" s="78">
        <f t="shared" si="69"/>
        <v>0.1098901098901099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40</v>
      </c>
      <c r="Y386" s="43">
        <f>IFERROR(Y379/H379,"0")+IFERROR(Y380/H380,"0")+IFERROR(Y381/H381,"0")+IFERROR(Y382/H382,"0")+IFERROR(Y383/H383,"0")+IFERROR(Y384/H384,"0")+IFERROR(Y385/H385,"0")</f>
        <v>40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0.23060000000000003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78</v>
      </c>
      <c r="Y387" s="43">
        <f>IFERROR(SUM(Y379:Y385),"0")</f>
        <v>78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15.3</v>
      </c>
      <c r="Y404" s="55">
        <f>IFERROR(IF(X404="",0,CEILING((X404/$H404),1)*$H404),"")</f>
        <v>15.299999999999999</v>
      </c>
      <c r="Z404" s="41">
        <f>IFERROR(IF(Y404=0,"",ROUNDUP(Y404/H404,0)*0.00651),"")</f>
        <v>3.9059999999999997E-2</v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17.73</v>
      </c>
      <c r="BN404" s="78">
        <f>IFERROR(Y404*I404/H404,"0")</f>
        <v>17.73</v>
      </c>
      <c r="BO404" s="78">
        <f>IFERROR(1/J404*(X404/H404),"0")</f>
        <v>3.2967032967032975E-2</v>
      </c>
      <c r="BP404" s="78">
        <f>IFERROR(1/J404*(Y404/H404),"0")</f>
        <v>3.2967032967032968E-2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6.0000000000000009</v>
      </c>
      <c r="Y406" s="43">
        <f>IFERROR(Y402/H402,"0")+IFERROR(Y403/H403,"0")+IFERROR(Y404/H404,"0")+IFERROR(Y405/H405,"0")</f>
        <v>6</v>
      </c>
      <c r="Z406" s="43">
        <f>IFERROR(IF(Z402="",0,Z402),"0")+IFERROR(IF(Z403="",0,Z403),"0")+IFERROR(IF(Z404="",0,Z404),"0")+IFERROR(IF(Z405="",0,Z405),"0")</f>
        <v>3.9059999999999997E-2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15.3</v>
      </c>
      <c r="Y407" s="43">
        <f>IFERROR(SUM(Y402:Y405),"0")</f>
        <v>15.299999999999999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24</v>
      </c>
      <c r="Y411" s="55">
        <f>IFERROR(IF(X411="",0,CEILING((X411/$H411),1)*$H411),"")</f>
        <v>24</v>
      </c>
      <c r="Z411" s="41">
        <f>IFERROR(IF(Y411=0,"",ROUNDUP(Y411/H411,0)*0.00474),"")</f>
        <v>5.688E-2</v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26.880000000000003</v>
      </c>
      <c r="BN411" s="78">
        <f>IFERROR(Y411*I411/H411,"0")</f>
        <v>26.880000000000003</v>
      </c>
      <c r="BO411" s="78">
        <f>IFERROR(1/J411*(X411/H411),"0")</f>
        <v>5.0420168067226892E-2</v>
      </c>
      <c r="BP411" s="78">
        <f>IFERROR(1/J411*(Y411/H411),"0")</f>
        <v>5.0420168067226892E-2</v>
      </c>
    </row>
    <row r="412" spans="1:68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12</v>
      </c>
      <c r="Y412" s="43">
        <f>IFERROR(Y409/H409,"0")+IFERROR(Y410/H410,"0")+IFERROR(Y411/H411,"0")</f>
        <v>12</v>
      </c>
      <c r="Z412" s="43">
        <f>IFERROR(IF(Z409="",0,Z409),"0")+IFERROR(IF(Z410="",0,Z410),"0")+IFERROR(IF(Z411="",0,Z411),"0")</f>
        <v>5.688E-2</v>
      </c>
      <c r="AA412" s="67"/>
      <c r="AB412" s="67"/>
      <c r="AC412" s="67"/>
    </row>
    <row r="413" spans="1:68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24</v>
      </c>
      <c r="Y413" s="43">
        <f>IFERROR(SUM(Y409:Y411),"0")</f>
        <v>24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5</v>
      </c>
      <c r="Y431" s="43">
        <f>IFERROR(Y428/H428,"0")+IFERROR(Y429/H429,"0")+IFERROR(Y430/H430,"0")</f>
        <v>5</v>
      </c>
      <c r="Z431" s="43">
        <f>IFERROR(IF(Z428="",0,Z428),"0")+IFERROR(IF(Z429="",0,Z429),"0")+IFERROR(IF(Z430="",0,Z430),"0")</f>
        <v>3.2550000000000003E-2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10.5</v>
      </c>
      <c r="Y432" s="43">
        <f>IFERROR(SUM(Y428:Y430),"0")</f>
        <v>10.5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90</v>
      </c>
      <c r="Y443" s="55">
        <f t="shared" si="70"/>
        <v>90</v>
      </c>
      <c r="Z443" s="41">
        <f>IFERROR(IF(Y443=0,"",ROUNDUP(Y443/H443,0)*0.00902),"")</f>
        <v>0.16236</v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93.42</v>
      </c>
      <c r="BN443" s="78">
        <f t="shared" si="72"/>
        <v>93.42</v>
      </c>
      <c r="BO443" s="78">
        <f t="shared" si="73"/>
        <v>0.13636363636363635</v>
      </c>
      <c r="BP443" s="78">
        <f t="shared" si="74"/>
        <v>0.13636363636363635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18</v>
      </c>
      <c r="Y444" s="43">
        <f>IFERROR(Y436/H436,"0")+IFERROR(Y437/H437,"0")+IFERROR(Y438/H438,"0")+IFERROR(Y439/H439,"0")+IFERROR(Y440/H440,"0")+IFERROR(Y441/H441,"0")+IFERROR(Y442/H442,"0")+IFERROR(Y443/H443,"0")</f>
        <v>18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0.16236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90</v>
      </c>
      <c r="Y445" s="43">
        <f>IFERROR(SUM(Y436:Y443),"0")</f>
        <v>90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36</v>
      </c>
      <c r="Y449" s="55">
        <f>IFERROR(IF(X449="",0,CEILING((X449/$H449),1)*$H449),"")</f>
        <v>36</v>
      </c>
      <c r="Z449" s="41">
        <f>IFERROR(IF(Y449=0,"",ROUNDUP(Y449/H449,0)*0.00902),"")</f>
        <v>8.1180000000000002E-2</v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37.71</v>
      </c>
      <c r="BN449" s="78">
        <f>IFERROR(Y449*I449/H449,"0")</f>
        <v>37.71</v>
      </c>
      <c r="BO449" s="78">
        <f>IFERROR(1/J449*(X449/H449),"0")</f>
        <v>6.8181818181818177E-2</v>
      </c>
      <c r="BP449" s="78">
        <f>IFERROR(1/J449*(Y449/H449),"0")</f>
        <v>6.8181818181818177E-2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9</v>
      </c>
      <c r="Y450" s="43">
        <f>IFERROR(Y447/H447,"0")+IFERROR(Y448/H448,"0")+IFERROR(Y449/H449,"0")</f>
        <v>9</v>
      </c>
      <c r="Z450" s="43">
        <f>IFERROR(IF(Z447="",0,Z447),"0")+IFERROR(IF(Z448="",0,Z448),"0")+IFERROR(IF(Z449="",0,Z449),"0")</f>
        <v>8.1180000000000002E-2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36</v>
      </c>
      <c r="Y451" s="43">
        <f>IFERROR(SUM(Y447:Y449),"0")</f>
        <v>36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35</v>
      </c>
      <c r="Y484" s="55">
        <f t="shared" si="75"/>
        <v>35.700000000000003</v>
      </c>
      <c r="Z484" s="41">
        <f>IFERROR(IF(Y484=0,"",ROUNDUP(Y484/H484,0)*0.00502),"")</f>
        <v>8.5339999999999999E-2</v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37.166666666666664</v>
      </c>
      <c r="BN484" s="78">
        <f t="shared" si="77"/>
        <v>37.910000000000004</v>
      </c>
      <c r="BO484" s="78">
        <f t="shared" si="78"/>
        <v>7.1225071225071226E-2</v>
      </c>
      <c r="BP484" s="78">
        <f t="shared" si="79"/>
        <v>7.2649572649572655E-2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21</v>
      </c>
      <c r="Y486" s="55">
        <f t="shared" si="75"/>
        <v>21</v>
      </c>
      <c r="Z486" s="41">
        <f>IFERROR(IF(Y486=0,"",ROUNDUP(Y486/H486,0)*0.00502),"")</f>
        <v>5.0200000000000002E-2</v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22.299999999999997</v>
      </c>
      <c r="BN486" s="78">
        <f t="shared" si="77"/>
        <v>22.299999999999997</v>
      </c>
      <c r="BO486" s="78">
        <f t="shared" si="78"/>
        <v>4.2735042735042736E-2</v>
      </c>
      <c r="BP486" s="78">
        <f t="shared" si="79"/>
        <v>4.2735042735042736E-2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35</v>
      </c>
      <c r="Y487" s="55">
        <f t="shared" si="75"/>
        <v>35.700000000000003</v>
      </c>
      <c r="Z487" s="41">
        <f>IFERROR(IF(Y487=0,"",ROUNDUP(Y487/H487,0)*0.00502),"")</f>
        <v>8.5339999999999999E-2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37.166666666666664</v>
      </c>
      <c r="BN487" s="78">
        <f t="shared" si="77"/>
        <v>37.910000000000004</v>
      </c>
      <c r="BO487" s="78">
        <f t="shared" si="78"/>
        <v>7.1225071225071226E-2</v>
      </c>
      <c r="BP487" s="78">
        <f t="shared" si="79"/>
        <v>7.2649572649572655E-2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43.333333333333329</v>
      </c>
      <c r="Y488" s="43">
        <f>IFERROR(Y482/H482,"0")+IFERROR(Y483/H483,"0")+IFERROR(Y484/H484,"0")+IFERROR(Y485/H485,"0")+IFERROR(Y486/H486,"0")+IFERROR(Y487/H487,"0")</f>
        <v>44</v>
      </c>
      <c r="Z488" s="43">
        <f>IFERROR(IF(Z482="",0,Z482),"0")+IFERROR(IF(Z483="",0,Z483),"0")+IFERROR(IF(Z484="",0,Z484),"0")+IFERROR(IF(Z485="",0,Z485),"0")+IFERROR(IF(Z486="",0,Z486),"0")+IFERROR(IF(Z487="",0,Z487),"0")</f>
        <v>0.22087999999999999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91</v>
      </c>
      <c r="Y489" s="43">
        <f>IFERROR(SUM(Y482:Y487),"0")</f>
        <v>92.4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144</v>
      </c>
      <c r="Y516" s="55">
        <f t="shared" si="80"/>
        <v>144</v>
      </c>
      <c r="Z516" s="41">
        <f>IFERROR(IF(Y516=0,"",ROUNDUP(Y516/H516,0)*0.00902),"")</f>
        <v>0.27060000000000001</v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207.3</v>
      </c>
      <c r="BN516" s="78">
        <f t="shared" si="83"/>
        <v>207.3</v>
      </c>
      <c r="BO516" s="78">
        <f t="shared" si="84"/>
        <v>0.22727272727272729</v>
      </c>
      <c r="BP516" s="78">
        <f t="shared" si="85"/>
        <v>0.22727272727272729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120</v>
      </c>
      <c r="Y517" s="55">
        <f t="shared" si="80"/>
        <v>120</v>
      </c>
      <c r="Z517" s="41">
        <f>IFERROR(IF(Y517=0,"",ROUNDUP(Y517/H517,0)*0.00902),"")</f>
        <v>0.22550000000000001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172.75000000000003</v>
      </c>
      <c r="BN517" s="78">
        <f t="shared" si="83"/>
        <v>172.75000000000003</v>
      </c>
      <c r="BO517" s="78">
        <f t="shared" si="84"/>
        <v>0.18939393939393939</v>
      </c>
      <c r="BP517" s="78">
        <f t="shared" si="85"/>
        <v>0.18939393939393939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55</v>
      </c>
      <c r="Y518" s="43">
        <f>IFERROR(Y509/H509,"0")+IFERROR(Y510/H510,"0")+IFERROR(Y511/H511,"0")+IFERROR(Y512/H512,"0")+IFERROR(Y513/H513,"0")+IFERROR(Y514/H514,"0")+IFERROR(Y515/H515,"0")+IFERROR(Y516/H516,"0")+IFERROR(Y517/H517,"0")</f>
        <v>55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0.49609999999999999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264</v>
      </c>
      <c r="Y519" s="43">
        <f>IFERROR(SUM(Y509:Y517),"0")</f>
        <v>264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1550.8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1556.3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1785.0833333333335</v>
      </c>
      <c r="Y565" s="43">
        <f>IFERROR(SUM(BN22:BN561),"0")</f>
        <v>1791.0400000000002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1885.0833333333335</v>
      </c>
      <c r="Y567" s="43">
        <f>GrossWeightTotalR+PalletQtyTotalR*25</f>
        <v>1891.0400000000002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579.66666666666674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582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3.9661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18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96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139.5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162.80000000000001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80.599999999999994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18.400000000000002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192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120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64.8</v>
      </c>
      <c r="R574" s="52">
        <f>IFERROR(Y349*1,"0")+IFERROR(Y350*1,"0")+IFERROR(Y351*1,"0")+IFERROR(Y352*1,"0")+IFERROR(Y353*1,"0")+IFERROR(Y357*1,"0")+IFERROR(Y358*1,"0")</f>
        <v>54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117.3</v>
      </c>
      <c r="U574" s="52">
        <f>IFERROR(Y422*1,"0")+IFERROR(Y423*1,"0")</f>
        <v>0</v>
      </c>
      <c r="V574" s="52">
        <f>IFERROR(Y428*1,"0")+IFERROR(Y429*1,"0")+IFERROR(Y430*1,"0")</f>
        <v>10.5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126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92.4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264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50,80"/>
        <filter val="1 785,08"/>
        <filter val="1 885,08"/>
        <filter val="10,00"/>
        <filter val="10,50"/>
        <filter val="12,00"/>
        <filter val="120,00"/>
        <filter val="144,00"/>
        <filter val="15,00"/>
        <filter val="15,30"/>
        <filter val="17,00"/>
        <filter val="18,00"/>
        <filter val="18,40"/>
        <filter val="192,00"/>
        <filter val="20,00"/>
        <filter val="21,00"/>
        <filter val="23,00"/>
        <filter val="24,00"/>
        <filter val="26,67"/>
        <filter val="264,00"/>
        <filter val="30,00"/>
        <filter val="35,00"/>
        <filter val="36,00"/>
        <filter val="36,67"/>
        <filter val="4"/>
        <filter val="40,00"/>
        <filter val="42,00"/>
        <filter val="43,33"/>
        <filter val="5,00"/>
        <filter val="53,33"/>
        <filter val="54,00"/>
        <filter val="55,00"/>
        <filter val="56,00"/>
        <filter val="579,67"/>
        <filter val="6,00"/>
        <filter val="6,60"/>
        <filter val="64,00"/>
        <filter val="66,00"/>
        <filter val="72,00"/>
        <filter val="78,00"/>
        <filter val="8,80"/>
        <filter val="80,00"/>
        <filter val="9,00"/>
        <filter val="9,60"/>
        <filter val="90,00"/>
        <filter val="91,00"/>
        <filter val="96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