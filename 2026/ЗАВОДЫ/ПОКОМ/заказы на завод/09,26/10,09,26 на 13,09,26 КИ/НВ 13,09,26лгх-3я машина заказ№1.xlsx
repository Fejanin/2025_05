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D46D5F-3BAD-474D-9F7B-2E935185F53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1" l="1"/>
  <c r="Y561" i="1"/>
  <c r="X561" i="1"/>
  <c r="BO560" i="1"/>
  <c r="BM560" i="1"/>
  <c r="Y560" i="1"/>
  <c r="AC573" i="1" s="1"/>
  <c r="P560" i="1"/>
  <c r="X557" i="1"/>
  <c r="X556" i="1"/>
  <c r="BO555" i="1"/>
  <c r="BM555" i="1"/>
  <c r="Y555" i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AB573" i="1" s="1"/>
  <c r="P538" i="1"/>
  <c r="X534" i="1"/>
  <c r="X533" i="1"/>
  <c r="BO532" i="1"/>
  <c r="BM532" i="1"/>
  <c r="Y532" i="1"/>
  <c r="P532" i="1"/>
  <c r="BO531" i="1"/>
  <c r="BM531" i="1"/>
  <c r="Z531" i="1"/>
  <c r="Y531" i="1"/>
  <c r="BN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M490" i="1"/>
  <c r="Y490" i="1"/>
  <c r="P490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O464" i="1"/>
  <c r="BM464" i="1"/>
  <c r="Z464" i="1"/>
  <c r="Y464" i="1"/>
  <c r="BN464" i="1" s="1"/>
  <c r="P464" i="1"/>
  <c r="X461" i="1"/>
  <c r="Y460" i="1"/>
  <c r="X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Z447" i="1"/>
  <c r="Y447" i="1"/>
  <c r="BN447" i="1" s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X431" i="1"/>
  <c r="X430" i="1"/>
  <c r="BO429" i="1"/>
  <c r="BM429" i="1"/>
  <c r="Z429" i="1"/>
  <c r="Y429" i="1"/>
  <c r="BN429" i="1" s="1"/>
  <c r="P429" i="1"/>
  <c r="BO428" i="1"/>
  <c r="BM428" i="1"/>
  <c r="Y428" i="1"/>
  <c r="P428" i="1"/>
  <c r="BO427" i="1"/>
  <c r="BM427" i="1"/>
  <c r="Y427" i="1"/>
  <c r="P427" i="1"/>
  <c r="X424" i="1"/>
  <c r="X423" i="1"/>
  <c r="BO422" i="1"/>
  <c r="BM422" i="1"/>
  <c r="Z422" i="1"/>
  <c r="Y422" i="1"/>
  <c r="BN422" i="1" s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BO401" i="1"/>
  <c r="BM401" i="1"/>
  <c r="Y401" i="1"/>
  <c r="BN401" i="1" s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X393" i="1"/>
  <c r="X392" i="1"/>
  <c r="BO391" i="1"/>
  <c r="BM391" i="1"/>
  <c r="Y391" i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Z353" i="1"/>
  <c r="Y353" i="1"/>
  <c r="BN353" i="1" s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BP349" i="1" s="1"/>
  <c r="P349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P337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BN333" i="1" s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BP326" i="1" s="1"/>
  <c r="P326" i="1"/>
  <c r="X324" i="1"/>
  <c r="X323" i="1"/>
  <c r="BP322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M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Z293" i="1"/>
  <c r="Y293" i="1"/>
  <c r="BN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X285" i="1"/>
  <c r="X284" i="1"/>
  <c r="BO283" i="1"/>
  <c r="BM283" i="1"/>
  <c r="Y283" i="1"/>
  <c r="BP283" i="1" s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Z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BP272" i="1" s="1"/>
  <c r="P272" i="1"/>
  <c r="BO271" i="1"/>
  <c r="BM271" i="1"/>
  <c r="Z271" i="1"/>
  <c r="Y271" i="1"/>
  <c r="Y273" i="1" s="1"/>
  <c r="P271" i="1"/>
  <c r="X269" i="1"/>
  <c r="X268" i="1"/>
  <c r="BO267" i="1"/>
  <c r="BM267" i="1"/>
  <c r="Y267" i="1"/>
  <c r="P267" i="1"/>
  <c r="BO266" i="1"/>
  <c r="BM266" i="1"/>
  <c r="Y266" i="1"/>
  <c r="P266" i="1"/>
  <c r="X263" i="1"/>
  <c r="X262" i="1"/>
  <c r="BO261" i="1"/>
  <c r="BM261" i="1"/>
  <c r="Y261" i="1"/>
  <c r="Y262" i="1" s="1"/>
  <c r="P261" i="1"/>
  <c r="X259" i="1"/>
  <c r="X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Y258" i="1" s="1"/>
  <c r="P255" i="1"/>
  <c r="X253" i="1"/>
  <c r="X252" i="1"/>
  <c r="BO251" i="1"/>
  <c r="BM251" i="1"/>
  <c r="Y251" i="1"/>
  <c r="BP251" i="1" s="1"/>
  <c r="P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O248" i="1"/>
  <c r="BM248" i="1"/>
  <c r="Z248" i="1"/>
  <c r="Y248" i="1"/>
  <c r="BN248" i="1" s="1"/>
  <c r="P248" i="1"/>
  <c r="BO247" i="1"/>
  <c r="BM247" i="1"/>
  <c r="Y247" i="1"/>
  <c r="P247" i="1"/>
  <c r="X245" i="1"/>
  <c r="X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P241" i="1" s="1"/>
  <c r="P241" i="1"/>
  <c r="BP240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N215" i="1" s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Y206" i="1" s="1"/>
  <c r="P205" i="1"/>
  <c r="X203" i="1"/>
  <c r="X202" i="1"/>
  <c r="BO201" i="1"/>
  <c r="BM201" i="1"/>
  <c r="Z201" i="1"/>
  <c r="Y201" i="1"/>
  <c r="BN201" i="1" s="1"/>
  <c r="P201" i="1"/>
  <c r="BO200" i="1"/>
  <c r="BM200" i="1"/>
  <c r="Y200" i="1"/>
  <c r="BP200" i="1" s="1"/>
  <c r="P200" i="1"/>
  <c r="BO199" i="1"/>
  <c r="BM199" i="1"/>
  <c r="Y199" i="1"/>
  <c r="BN199" i="1" s="1"/>
  <c r="P199" i="1"/>
  <c r="X197" i="1"/>
  <c r="X196" i="1"/>
  <c r="BO195" i="1"/>
  <c r="BM195" i="1"/>
  <c r="Y195" i="1"/>
  <c r="BN195" i="1" s="1"/>
  <c r="P195" i="1"/>
  <c r="BO194" i="1"/>
  <c r="BM194" i="1"/>
  <c r="Y194" i="1"/>
  <c r="BP194" i="1" s="1"/>
  <c r="P194" i="1"/>
  <c r="BO193" i="1"/>
  <c r="BM193" i="1"/>
  <c r="Y193" i="1"/>
  <c r="BN193" i="1" s="1"/>
  <c r="BO192" i="1"/>
  <c r="BM192" i="1"/>
  <c r="Y192" i="1"/>
  <c r="P192" i="1"/>
  <c r="BO191" i="1"/>
  <c r="BM191" i="1"/>
  <c r="Y191" i="1"/>
  <c r="BP191" i="1" s="1"/>
  <c r="P191" i="1"/>
  <c r="BO190" i="1"/>
  <c r="BM190" i="1"/>
  <c r="Z190" i="1"/>
  <c r="Y190" i="1"/>
  <c r="BN190" i="1" s="1"/>
  <c r="P190" i="1"/>
  <c r="BO189" i="1"/>
  <c r="BM189" i="1"/>
  <c r="Y189" i="1"/>
  <c r="BP189" i="1" s="1"/>
  <c r="BO188" i="1"/>
  <c r="BM188" i="1"/>
  <c r="Y188" i="1"/>
  <c r="BP188" i="1" s="1"/>
  <c r="P188" i="1"/>
  <c r="BO187" i="1"/>
  <c r="BM187" i="1"/>
  <c r="Y187" i="1"/>
  <c r="BN187" i="1" s="1"/>
  <c r="BO186" i="1"/>
  <c r="BM186" i="1"/>
  <c r="Y186" i="1"/>
  <c r="BN186" i="1" s="1"/>
  <c r="P186" i="1"/>
  <c r="BO185" i="1"/>
  <c r="BM185" i="1"/>
  <c r="Y185" i="1"/>
  <c r="BP185" i="1" s="1"/>
  <c r="BO184" i="1"/>
  <c r="BM184" i="1"/>
  <c r="Y184" i="1"/>
  <c r="BP184" i="1" s="1"/>
  <c r="P184" i="1"/>
  <c r="BO183" i="1"/>
  <c r="BM183" i="1"/>
  <c r="Y183" i="1"/>
  <c r="BN183" i="1" s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X175" i="1"/>
  <c r="X174" i="1"/>
  <c r="BO173" i="1"/>
  <c r="BM173" i="1"/>
  <c r="Z173" i="1"/>
  <c r="Y173" i="1"/>
  <c r="BN173" i="1" s="1"/>
  <c r="P173" i="1"/>
  <c r="BO172" i="1"/>
  <c r="BM172" i="1"/>
  <c r="Y172" i="1"/>
  <c r="BP172" i="1" s="1"/>
  <c r="P172" i="1"/>
  <c r="BO171" i="1"/>
  <c r="BM171" i="1"/>
  <c r="Z171" i="1"/>
  <c r="Y171" i="1"/>
  <c r="BN171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O162" i="1"/>
  <c r="BM162" i="1"/>
  <c r="Y162" i="1"/>
  <c r="BN162" i="1" s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O158" i="1"/>
  <c r="BM158" i="1"/>
  <c r="Y158" i="1"/>
  <c r="BN158" i="1" s="1"/>
  <c r="P158" i="1"/>
  <c r="BO157" i="1"/>
  <c r="BM157" i="1"/>
  <c r="Y157" i="1"/>
  <c r="BP157" i="1" s="1"/>
  <c r="P157" i="1"/>
  <c r="BO156" i="1"/>
  <c r="BM156" i="1"/>
  <c r="Y156" i="1"/>
  <c r="BP156" i="1" s="1"/>
  <c r="P156" i="1"/>
  <c r="X153" i="1"/>
  <c r="X152" i="1"/>
  <c r="BO151" i="1"/>
  <c r="BM151" i="1"/>
  <c r="Z151" i="1"/>
  <c r="Y151" i="1"/>
  <c r="BN151" i="1" s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O145" i="1"/>
  <c r="BM145" i="1"/>
  <c r="Y145" i="1"/>
  <c r="BN145" i="1" s="1"/>
  <c r="P145" i="1"/>
  <c r="X143" i="1"/>
  <c r="X142" i="1"/>
  <c r="BO141" i="1"/>
  <c r="BM141" i="1"/>
  <c r="Y141" i="1"/>
  <c r="BN141" i="1" s="1"/>
  <c r="P141" i="1"/>
  <c r="BO140" i="1"/>
  <c r="BM140" i="1"/>
  <c r="Y140" i="1"/>
  <c r="H573" i="1" s="1"/>
  <c r="P140" i="1"/>
  <c r="X137" i="1"/>
  <c r="X136" i="1"/>
  <c r="BO135" i="1"/>
  <c r="BM135" i="1"/>
  <c r="Y135" i="1"/>
  <c r="BP135" i="1" s="1"/>
  <c r="BO134" i="1"/>
  <c r="BM134" i="1"/>
  <c r="Y134" i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O128" i="1"/>
  <c r="BM128" i="1"/>
  <c r="Y128" i="1"/>
  <c r="BN128" i="1" s="1"/>
  <c r="BO127" i="1"/>
  <c r="BM127" i="1"/>
  <c r="Y127" i="1"/>
  <c r="BP127" i="1" s="1"/>
  <c r="P127" i="1"/>
  <c r="BO126" i="1"/>
  <c r="BM126" i="1"/>
  <c r="Y126" i="1"/>
  <c r="BP126" i="1" s="1"/>
  <c r="BO125" i="1"/>
  <c r="BM125" i="1"/>
  <c r="Y125" i="1"/>
  <c r="BP125" i="1" s="1"/>
  <c r="P125" i="1"/>
  <c r="BO124" i="1"/>
  <c r="BM124" i="1"/>
  <c r="Z124" i="1"/>
  <c r="Y124" i="1"/>
  <c r="BN124" i="1" s="1"/>
  <c r="BO123" i="1"/>
  <c r="BM123" i="1"/>
  <c r="Y123" i="1"/>
  <c r="BN123" i="1" s="1"/>
  <c r="P123" i="1"/>
  <c r="X121" i="1"/>
  <c r="X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BP109" i="1" s="1"/>
  <c r="P109" i="1"/>
  <c r="BO108" i="1"/>
  <c r="BM108" i="1"/>
  <c r="Z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N104" i="1" s="1"/>
  <c r="P104" i="1"/>
  <c r="X101" i="1"/>
  <c r="X100" i="1"/>
  <c r="BO99" i="1"/>
  <c r="BM99" i="1"/>
  <c r="Y99" i="1"/>
  <c r="BN99" i="1" s="1"/>
  <c r="P99" i="1"/>
  <c r="BO98" i="1"/>
  <c r="BM98" i="1"/>
  <c r="Y98" i="1"/>
  <c r="BP98" i="1" s="1"/>
  <c r="BO97" i="1"/>
  <c r="BM97" i="1"/>
  <c r="Y97" i="1"/>
  <c r="BP97" i="1" s="1"/>
  <c r="P97" i="1"/>
  <c r="BO96" i="1"/>
  <c r="BM96" i="1"/>
  <c r="Y96" i="1"/>
  <c r="BP96" i="1" s="1"/>
  <c r="BO95" i="1"/>
  <c r="BM95" i="1"/>
  <c r="Y95" i="1"/>
  <c r="BN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N88" i="1" s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BN64" i="1" s="1"/>
  <c r="P64" i="1"/>
  <c r="X62" i="1"/>
  <c r="X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Z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Z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X564" i="1" s="1"/>
  <c r="Y22" i="1"/>
  <c r="P22" i="1"/>
  <c r="H10" i="1"/>
  <c r="A9" i="1"/>
  <c r="F10" i="1" s="1"/>
  <c r="D7" i="1"/>
  <c r="Q6" i="1"/>
  <c r="P2" i="1"/>
  <c r="BN111" i="1" l="1"/>
  <c r="BN117" i="1"/>
  <c r="BN127" i="1"/>
  <c r="BP128" i="1"/>
  <c r="BP192" i="1"/>
  <c r="BN192" i="1"/>
  <c r="Z192" i="1"/>
  <c r="Y211" i="1"/>
  <c r="Y210" i="1"/>
  <c r="BP209" i="1"/>
  <c r="BN209" i="1"/>
  <c r="Z209" i="1"/>
  <c r="Z210" i="1" s="1"/>
  <c r="BP219" i="1"/>
  <c r="BN219" i="1"/>
  <c r="Z219" i="1"/>
  <c r="Y227" i="1"/>
  <c r="BP226" i="1"/>
  <c r="BN226" i="1"/>
  <c r="Z226" i="1"/>
  <c r="Z227" i="1" s="1"/>
  <c r="BN232" i="1"/>
  <c r="Z232" i="1"/>
  <c r="BP242" i="1"/>
  <c r="BN242" i="1"/>
  <c r="Z242" i="1"/>
  <c r="BN256" i="1"/>
  <c r="Z256" i="1"/>
  <c r="BN283" i="1"/>
  <c r="BN289" i="1"/>
  <c r="BP310" i="1"/>
  <c r="BN310" i="1"/>
  <c r="Z310" i="1"/>
  <c r="Y320" i="1"/>
  <c r="Y319" i="1"/>
  <c r="BN318" i="1"/>
  <c r="BN326" i="1"/>
  <c r="BN344" i="1"/>
  <c r="Z344" i="1"/>
  <c r="BP441" i="1"/>
  <c r="BN441" i="1"/>
  <c r="Z441" i="1"/>
  <c r="BN482" i="1"/>
  <c r="Z482" i="1"/>
  <c r="BN527" i="1"/>
  <c r="B573" i="1"/>
  <c r="Y33" i="1"/>
  <c r="Z31" i="1"/>
  <c r="BN31" i="1"/>
  <c r="Z39" i="1"/>
  <c r="BN39" i="1"/>
  <c r="BN41" i="1"/>
  <c r="Z47" i="1"/>
  <c r="BN47" i="1"/>
  <c r="BN49" i="1"/>
  <c r="Z56" i="1"/>
  <c r="BN56" i="1"/>
  <c r="BN58" i="1"/>
  <c r="BN72" i="1"/>
  <c r="Z78" i="1"/>
  <c r="BN78" i="1"/>
  <c r="BN80" i="1"/>
  <c r="Z85" i="1"/>
  <c r="BN85" i="1"/>
  <c r="Z96" i="1"/>
  <c r="BN96" i="1"/>
  <c r="BP108" i="1"/>
  <c r="BP124" i="1"/>
  <c r="Z128" i="1"/>
  <c r="Y136" i="1"/>
  <c r="Z156" i="1"/>
  <c r="BN156" i="1"/>
  <c r="BP171" i="1"/>
  <c r="Z177" i="1"/>
  <c r="BN177" i="1"/>
  <c r="Z186" i="1"/>
  <c r="BN205" i="1"/>
  <c r="BP232" i="1"/>
  <c r="BP234" i="1"/>
  <c r="BN234" i="1"/>
  <c r="Z234" i="1"/>
  <c r="BN240" i="1"/>
  <c r="Z240" i="1"/>
  <c r="BP256" i="1"/>
  <c r="BP267" i="1"/>
  <c r="BN267" i="1"/>
  <c r="Z267" i="1"/>
  <c r="BN297" i="1"/>
  <c r="BN308" i="1"/>
  <c r="Z308" i="1"/>
  <c r="Y324" i="1"/>
  <c r="Z322" i="1"/>
  <c r="Z323" i="1" s="1"/>
  <c r="BN337" i="1"/>
  <c r="Z337" i="1"/>
  <c r="BP344" i="1"/>
  <c r="BN349" i="1"/>
  <c r="BP371" i="1"/>
  <c r="BN371" i="1"/>
  <c r="Z371" i="1"/>
  <c r="BP379" i="1"/>
  <c r="BN379" i="1"/>
  <c r="Z379" i="1"/>
  <c r="BN389" i="1"/>
  <c r="BP415" i="1"/>
  <c r="BN415" i="1"/>
  <c r="Z415" i="1"/>
  <c r="BN439" i="1"/>
  <c r="Z439" i="1"/>
  <c r="BP482" i="1"/>
  <c r="BP484" i="1"/>
  <c r="BN484" i="1"/>
  <c r="Z484" i="1"/>
  <c r="BP490" i="1"/>
  <c r="BN490" i="1"/>
  <c r="Z490" i="1"/>
  <c r="BP509" i="1"/>
  <c r="BN509" i="1"/>
  <c r="Z509" i="1"/>
  <c r="BN515" i="1"/>
  <c r="Z515" i="1"/>
  <c r="BN221" i="1"/>
  <c r="BN236" i="1"/>
  <c r="BP248" i="1"/>
  <c r="BP271" i="1"/>
  <c r="Y285" i="1"/>
  <c r="BP279" i="1"/>
  <c r="BP293" i="1"/>
  <c r="BN312" i="1"/>
  <c r="BP353" i="1"/>
  <c r="BN364" i="1"/>
  <c r="BN373" i="1"/>
  <c r="BN381" i="1"/>
  <c r="BN395" i="1"/>
  <c r="BN409" i="1"/>
  <c r="BP422" i="1"/>
  <c r="BP429" i="1"/>
  <c r="BN435" i="1"/>
  <c r="BP447" i="1"/>
  <c r="BN459" i="1"/>
  <c r="BP464" i="1"/>
  <c r="BN486" i="1"/>
  <c r="BN501" i="1"/>
  <c r="BN511" i="1"/>
  <c r="BP531" i="1"/>
  <c r="BN560" i="1"/>
  <c r="X565" i="1"/>
  <c r="X567" i="1"/>
  <c r="Z27" i="1"/>
  <c r="BP27" i="1"/>
  <c r="Z60" i="1"/>
  <c r="BP60" i="1"/>
  <c r="Y68" i="1"/>
  <c r="Z66" i="1"/>
  <c r="BP66" i="1"/>
  <c r="Y74" i="1"/>
  <c r="Z88" i="1"/>
  <c r="BP88" i="1"/>
  <c r="Y101" i="1"/>
  <c r="Z95" i="1"/>
  <c r="BP95" i="1"/>
  <c r="Z99" i="1"/>
  <c r="BP99" i="1"/>
  <c r="Y113" i="1"/>
  <c r="Z106" i="1"/>
  <c r="BP106" i="1"/>
  <c r="Z119" i="1"/>
  <c r="BP119" i="1"/>
  <c r="Y131" i="1"/>
  <c r="Z141" i="1"/>
  <c r="BP141" i="1"/>
  <c r="Y147" i="1"/>
  <c r="BP158" i="1"/>
  <c r="BP195" i="1"/>
  <c r="Y203" i="1"/>
  <c r="BP199" i="1"/>
  <c r="Z199" i="1"/>
  <c r="BP217" i="1"/>
  <c r="BN238" i="1"/>
  <c r="BP238" i="1"/>
  <c r="Z238" i="1"/>
  <c r="BN314" i="1"/>
  <c r="BP314" i="1"/>
  <c r="Z314" i="1"/>
  <c r="BN397" i="1"/>
  <c r="BP397" i="1"/>
  <c r="Z397" i="1"/>
  <c r="BN513" i="1"/>
  <c r="BP513" i="1"/>
  <c r="Z513" i="1"/>
  <c r="BN521" i="1"/>
  <c r="BP521" i="1"/>
  <c r="Z521" i="1"/>
  <c r="BN23" i="1"/>
  <c r="X563" i="1"/>
  <c r="BN29" i="1"/>
  <c r="BN37" i="1"/>
  <c r="Z41" i="1"/>
  <c r="Z49" i="1"/>
  <c r="E573" i="1"/>
  <c r="Z58" i="1"/>
  <c r="Z64" i="1"/>
  <c r="BP64" i="1"/>
  <c r="Z72" i="1"/>
  <c r="Y82" i="1"/>
  <c r="Z80" i="1"/>
  <c r="Z104" i="1"/>
  <c r="BP104" i="1"/>
  <c r="Z111" i="1"/>
  <c r="Y121" i="1"/>
  <c r="Z117" i="1"/>
  <c r="Z123" i="1"/>
  <c r="BP123" i="1"/>
  <c r="Z127" i="1"/>
  <c r="Z145" i="1"/>
  <c r="BP145" i="1"/>
  <c r="BP151" i="1"/>
  <c r="Z158" i="1"/>
  <c r="BP162" i="1"/>
  <c r="Z162" i="1"/>
  <c r="BP173" i="1"/>
  <c r="Y179" i="1"/>
  <c r="Z195" i="1"/>
  <c r="BP201" i="1"/>
  <c r="Y207" i="1"/>
  <c r="BP205" i="1"/>
  <c r="Z205" i="1"/>
  <c r="Z206" i="1" s="1"/>
  <c r="Z217" i="1"/>
  <c r="BN277" i="1"/>
  <c r="BP277" i="1"/>
  <c r="Z277" i="1"/>
  <c r="BN291" i="1"/>
  <c r="BP291" i="1"/>
  <c r="Z291" i="1"/>
  <c r="BN391" i="1"/>
  <c r="BP391" i="1"/>
  <c r="Z391" i="1"/>
  <c r="BN427" i="1"/>
  <c r="Y430" i="1"/>
  <c r="BP427" i="1"/>
  <c r="Z427" i="1"/>
  <c r="BN453" i="1"/>
  <c r="BP453" i="1"/>
  <c r="Z453" i="1"/>
  <c r="BN27" i="1"/>
  <c r="Y197" i="1"/>
  <c r="BP183" i="1"/>
  <c r="Z183" i="1"/>
  <c r="BP186" i="1"/>
  <c r="Y244" i="1"/>
  <c r="BN230" i="1"/>
  <c r="BP230" i="1"/>
  <c r="Z230" i="1"/>
  <c r="BN335" i="1"/>
  <c r="BP335" i="1"/>
  <c r="Z335" i="1"/>
  <c r="BN342" i="1"/>
  <c r="Y345" i="1"/>
  <c r="BP342" i="1"/>
  <c r="Z342" i="1"/>
  <c r="BN383" i="1"/>
  <c r="BP383" i="1"/>
  <c r="Z383" i="1"/>
  <c r="BN437" i="1"/>
  <c r="BP437" i="1"/>
  <c r="Z437" i="1"/>
  <c r="X566" i="1"/>
  <c r="Z23" i="1"/>
  <c r="BP187" i="1"/>
  <c r="Z187" i="1"/>
  <c r="BP190" i="1"/>
  <c r="BP193" i="1"/>
  <c r="Z193" i="1"/>
  <c r="BP215" i="1"/>
  <c r="Z215" i="1"/>
  <c r="BN328" i="1"/>
  <c r="BP328" i="1"/>
  <c r="Z328" i="1"/>
  <c r="BN351" i="1"/>
  <c r="BP351" i="1"/>
  <c r="Z351" i="1"/>
  <c r="BN357" i="1"/>
  <c r="BP357" i="1"/>
  <c r="Z357" i="1"/>
  <c r="BN403" i="1"/>
  <c r="BP403" i="1"/>
  <c r="Z403" i="1"/>
  <c r="BN529" i="1"/>
  <c r="BP529" i="1"/>
  <c r="Z529" i="1"/>
  <c r="BN555" i="1"/>
  <c r="BP555" i="1"/>
  <c r="Z555" i="1"/>
  <c r="Y339" i="1"/>
  <c r="Y405" i="1"/>
  <c r="Z221" i="1"/>
  <c r="Z236" i="1"/>
  <c r="M573" i="1"/>
  <c r="BN271" i="1"/>
  <c r="Z283" i="1"/>
  <c r="Y299" i="1"/>
  <c r="Z289" i="1"/>
  <c r="Z297" i="1"/>
  <c r="Z312" i="1"/>
  <c r="Z318" i="1"/>
  <c r="Z319" i="1" s="1"/>
  <c r="BP318" i="1"/>
  <c r="BN322" i="1"/>
  <c r="Y323" i="1"/>
  <c r="Z326" i="1"/>
  <c r="Z333" i="1"/>
  <c r="BP333" i="1"/>
  <c r="Z349" i="1"/>
  <c r="Z364" i="1"/>
  <c r="Z373" i="1"/>
  <c r="Z381" i="1"/>
  <c r="Z389" i="1"/>
  <c r="Z395" i="1"/>
  <c r="Z401" i="1"/>
  <c r="BP401" i="1"/>
  <c r="Z409" i="1"/>
  <c r="Z435" i="1"/>
  <c r="Z459" i="1"/>
  <c r="Z486" i="1"/>
  <c r="Z501" i="1"/>
  <c r="Z511" i="1"/>
  <c r="Z527" i="1"/>
  <c r="Y252" i="1"/>
  <c r="Z560" i="1"/>
  <c r="Z561" i="1" s="1"/>
  <c r="BP560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Y180" i="1"/>
  <c r="Y196" i="1"/>
  <c r="Y202" i="1"/>
  <c r="Y222" i="1"/>
  <c r="Y245" i="1"/>
  <c r="Y253" i="1"/>
  <c r="Y259" i="1"/>
  <c r="Y263" i="1"/>
  <c r="Y268" i="1"/>
  <c r="Y274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BP311" i="1"/>
  <c r="BN311" i="1"/>
  <c r="Z311" i="1"/>
  <c r="Y315" i="1"/>
  <c r="BP327" i="1"/>
  <c r="BN327" i="1"/>
  <c r="Z327" i="1"/>
  <c r="BP336" i="1"/>
  <c r="BN336" i="1"/>
  <c r="Z336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86" i="1"/>
  <c r="Y393" i="1"/>
  <c r="BP388" i="1"/>
  <c r="BN388" i="1"/>
  <c r="Z388" i="1"/>
  <c r="Y392" i="1"/>
  <c r="BP396" i="1"/>
  <c r="BN396" i="1"/>
  <c r="Z396" i="1"/>
  <c r="BP404" i="1"/>
  <c r="BN404" i="1"/>
  <c r="Z404" i="1"/>
  <c r="Y406" i="1"/>
  <c r="Y411" i="1"/>
  <c r="BP408" i="1"/>
  <c r="BN408" i="1"/>
  <c r="Z408" i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G573" i="1"/>
  <c r="X573" i="1"/>
  <c r="F9" i="1"/>
  <c r="J9" i="1"/>
  <c r="Z22" i="1"/>
  <c r="Z24" i="1" s="1"/>
  <c r="BN22" i="1"/>
  <c r="BP22" i="1"/>
  <c r="Y25" i="1"/>
  <c r="Z28" i="1"/>
  <c r="BN28" i="1"/>
  <c r="Z30" i="1"/>
  <c r="BN30" i="1"/>
  <c r="C573" i="1"/>
  <c r="Z38" i="1"/>
  <c r="BN38" i="1"/>
  <c r="Z40" i="1"/>
  <c r="BN40" i="1"/>
  <c r="Y43" i="1"/>
  <c r="D573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73" i="1"/>
  <c r="Z86" i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Z105" i="1"/>
  <c r="BN105" i="1"/>
  <c r="Z107" i="1"/>
  <c r="BN107" i="1"/>
  <c r="Z109" i="1"/>
  <c r="BN109" i="1"/>
  <c r="Z110" i="1"/>
  <c r="BN110" i="1"/>
  <c r="Z116" i="1"/>
  <c r="BN116" i="1"/>
  <c r="Z118" i="1"/>
  <c r="BN118" i="1"/>
  <c r="Z125" i="1"/>
  <c r="BN125" i="1"/>
  <c r="Z126" i="1"/>
  <c r="BN126" i="1"/>
  <c r="Z129" i="1"/>
  <c r="BN129" i="1"/>
  <c r="Z130" i="1"/>
  <c r="BN130" i="1"/>
  <c r="Z134" i="1"/>
  <c r="BN134" i="1"/>
  <c r="BP134" i="1"/>
  <c r="Z135" i="1"/>
  <c r="BN135" i="1"/>
  <c r="Z140" i="1"/>
  <c r="Z142" i="1" s="1"/>
  <c r="BN140" i="1"/>
  <c r="BP140" i="1"/>
  <c r="Y143" i="1"/>
  <c r="Z146" i="1"/>
  <c r="BN146" i="1"/>
  <c r="Z150" i="1"/>
  <c r="Z152" i="1" s="1"/>
  <c r="BN150" i="1"/>
  <c r="BP150" i="1"/>
  <c r="I573" i="1"/>
  <c r="Z157" i="1"/>
  <c r="BN157" i="1"/>
  <c r="Z159" i="1"/>
  <c r="BN159" i="1"/>
  <c r="Z161" i="1"/>
  <c r="BN161" i="1"/>
  <c r="Y164" i="1"/>
  <c r="J573" i="1"/>
  <c r="Z172" i="1"/>
  <c r="Z174" i="1" s="1"/>
  <c r="BN172" i="1"/>
  <c r="Y175" i="1"/>
  <c r="Z178" i="1"/>
  <c r="Z179" i="1" s="1"/>
  <c r="BN178" i="1"/>
  <c r="Z182" i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Z200" i="1"/>
  <c r="BN200" i="1"/>
  <c r="K573" i="1"/>
  <c r="Z216" i="1"/>
  <c r="BN216" i="1"/>
  <c r="Z218" i="1"/>
  <c r="BN218" i="1"/>
  <c r="Z220" i="1"/>
  <c r="BN220" i="1"/>
  <c r="Y223" i="1"/>
  <c r="L573" i="1"/>
  <c r="Y228" i="1"/>
  <c r="Z231" i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Z247" i="1"/>
  <c r="BN247" i="1"/>
  <c r="BP247" i="1"/>
  <c r="Z249" i="1"/>
  <c r="BN249" i="1"/>
  <c r="Z251" i="1"/>
  <c r="BN251" i="1"/>
  <c r="Z255" i="1"/>
  <c r="BN255" i="1"/>
  <c r="BP255" i="1"/>
  <c r="Z257" i="1"/>
  <c r="BN257" i="1"/>
  <c r="Z261" i="1"/>
  <c r="Z262" i="1" s="1"/>
  <c r="BN261" i="1"/>
  <c r="BP261" i="1"/>
  <c r="Z266" i="1"/>
  <c r="Z268" i="1" s="1"/>
  <c r="BN266" i="1"/>
  <c r="BP266" i="1"/>
  <c r="Y269" i="1"/>
  <c r="Z272" i="1"/>
  <c r="Z273" i="1" s="1"/>
  <c r="BN272" i="1"/>
  <c r="Z276" i="1"/>
  <c r="Z284" i="1" s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Y304" i="1"/>
  <c r="BP309" i="1"/>
  <c r="BN309" i="1"/>
  <c r="Z309" i="1"/>
  <c r="BP313" i="1"/>
  <c r="BN313" i="1"/>
  <c r="Z313" i="1"/>
  <c r="Y330" i="1"/>
  <c r="Y329" i="1"/>
  <c r="BP334" i="1"/>
  <c r="BN334" i="1"/>
  <c r="Z334" i="1"/>
  <c r="Z338" i="1" s="1"/>
  <c r="Y338" i="1"/>
  <c r="BP343" i="1"/>
  <c r="BN343" i="1"/>
  <c r="Z343" i="1"/>
  <c r="Z345" i="1" s="1"/>
  <c r="BP352" i="1"/>
  <c r="BN352" i="1"/>
  <c r="Z352" i="1"/>
  <c r="Y359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Y398" i="1"/>
  <c r="BP402" i="1"/>
  <c r="BN402" i="1"/>
  <c r="Z402" i="1"/>
  <c r="Z405" i="1" s="1"/>
  <c r="BP410" i="1"/>
  <c r="BN410" i="1"/>
  <c r="Z410" i="1"/>
  <c r="Y412" i="1"/>
  <c r="Y417" i="1"/>
  <c r="BP414" i="1"/>
  <c r="BN414" i="1"/>
  <c r="Z414" i="1"/>
  <c r="Z417" i="1" s="1"/>
  <c r="Y423" i="1"/>
  <c r="Z430" i="1"/>
  <c r="BP428" i="1"/>
  <c r="BN428" i="1"/>
  <c r="Z428" i="1"/>
  <c r="BP438" i="1"/>
  <c r="BN438" i="1"/>
  <c r="Z438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42" i="1" l="1"/>
  <c r="Z354" i="1"/>
  <c r="Z244" i="1"/>
  <c r="Z202" i="1"/>
  <c r="Z147" i="1"/>
  <c r="Z32" i="1"/>
  <c r="Z398" i="1"/>
  <c r="Z329" i="1"/>
  <c r="Z68" i="1"/>
  <c r="Z411" i="1"/>
  <c r="Z443" i="1"/>
  <c r="Z258" i="1"/>
  <c r="Z196" i="1"/>
  <c r="Z136" i="1"/>
  <c r="Z131" i="1"/>
  <c r="Z120" i="1"/>
  <c r="Z112" i="1"/>
  <c r="Z90" i="1"/>
  <c r="Z51" i="1"/>
  <c r="Z315" i="1"/>
  <c r="Z163" i="1"/>
  <c r="Z222" i="1"/>
  <c r="Y563" i="1"/>
  <c r="Y564" i="1"/>
  <c r="Z533" i="1"/>
  <c r="Z476" i="1"/>
  <c r="Z455" i="1"/>
  <c r="Z517" i="1"/>
  <c r="Z487" i="1"/>
  <c r="Z385" i="1"/>
  <c r="Z375" i="1"/>
  <c r="Z299" i="1"/>
  <c r="Z252" i="1"/>
  <c r="Z100" i="1"/>
  <c r="Z74" i="1"/>
  <c r="Z61" i="1"/>
  <c r="Y565" i="1"/>
  <c r="Z503" i="1"/>
  <c r="Z392" i="1"/>
  <c r="Z366" i="1"/>
  <c r="Y567" i="1"/>
  <c r="Y566" i="1" l="1"/>
  <c r="Z568" i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<sst xmlns="http://schemas.openxmlformats.org/spreadsheetml/2006/main" count="2590" uniqueCount="927">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</sst>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46278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902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Воскресенье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6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0.41666666666666669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38</v>
      </c>
      <c r="Y30" s="652">
        <f>IFERROR(IF(X30="",0,CEILING((X30/$H30),1)*$H30),"")</f>
        <v>39.6</v>
      </c>
      <c r="Z30" s="36">
        <f>IFERROR(IF(Y30=0,"",ROUNDUP(Y30/H30,0)*0.00651),"")</f>
        <v>0.14322000000000001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67.13333333333334</v>
      </c>
      <c r="BN30" s="64">
        <f>IFERROR(Y30*I30/H30,"0")</f>
        <v>69.960000000000008</v>
      </c>
      <c r="BO30" s="64">
        <f>IFERROR(1/J30*(X30/H30),"0")</f>
        <v>0.115995115995116</v>
      </c>
      <c r="BP30" s="64">
        <f>IFERROR(1/J30*(Y30/H30),"0")</f>
        <v>0.12087912087912089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21.111111111111111</v>
      </c>
      <c r="Y32" s="653">
        <f>IFERROR(Y27/H27,"0")+IFERROR(Y28/H28,"0")+IFERROR(Y29/H29,"0")+IFERROR(Y30/H30,"0")+IFERROR(Y31/H31,"0")</f>
        <v>22</v>
      </c>
      <c r="Z32" s="653">
        <f>IFERROR(IF(Z27="",0,Z27),"0")+IFERROR(IF(Z28="",0,Z28),"0")+IFERROR(IF(Z29="",0,Z29),"0")+IFERROR(IF(Z30="",0,Z30),"0")+IFERROR(IF(Z31="",0,Z31),"0")</f>
        <v>0.14322000000000001</v>
      </c>
      <c r="AA32" s="654"/>
      <c r="AB32" s="654"/>
      <c r="AC32" s="654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38</v>
      </c>
      <c r="Y33" s="653">
        <f>IFERROR(SUM(Y27:Y31),"0")</f>
        <v>39.6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729</v>
      </c>
      <c r="Y47" s="652">
        <f>IFERROR(IF(X47="",0,CEILING((X47/$H47),1)*$H47),"")</f>
        <v>734.40000000000009</v>
      </c>
      <c r="Z47" s="36">
        <f>IFERROR(IF(Y47=0,"",ROUNDUP(Y47/H47,0)*0.01898),"")</f>
        <v>1.29064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756.67500000000007</v>
      </c>
      <c r="BN47" s="64">
        <f>IFERROR(Y47*I47/H47,"0")</f>
        <v>762.28000000000009</v>
      </c>
      <c r="BO47" s="64">
        <f>IFERROR(1/J47*(X47/H47),"0")</f>
        <v>1.0546875</v>
      </c>
      <c r="BP47" s="64">
        <f>IFERROR(1/J47*(Y47/H47),"0")</f>
        <v>1.0625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67.5</v>
      </c>
      <c r="Y51" s="653">
        <f>IFERROR(Y47/H47,"0")+IFERROR(Y48/H48,"0")+IFERROR(Y49/H49,"0")+IFERROR(Y50/H50,"0")</f>
        <v>68</v>
      </c>
      <c r="Z51" s="653">
        <f>IFERROR(IF(Z47="",0,Z47),"0")+IFERROR(IF(Z48="",0,Z48),"0")+IFERROR(IF(Z49="",0,Z49),"0")+IFERROR(IF(Z50="",0,Z50),"0")</f>
        <v>1.29064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729</v>
      </c>
      <c r="Y52" s="653">
        <f>IFERROR(SUM(Y47:Y50),"0")</f>
        <v>734.40000000000009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265</v>
      </c>
      <c r="Y56" s="652">
        <f t="shared" si="0"/>
        <v>270</v>
      </c>
      <c r="Z56" s="36">
        <f>IFERROR(IF(Y56=0,"",ROUNDUP(Y56/H56,0)*0.01898),"")</f>
        <v>0.47450000000000003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275.06018518518516</v>
      </c>
      <c r="BN56" s="64">
        <f t="shared" si="2"/>
        <v>280.25</v>
      </c>
      <c r="BO56" s="64">
        <f t="shared" si="3"/>
        <v>0.38339120370370366</v>
      </c>
      <c r="BP56" s="64">
        <f t="shared" si="4"/>
        <v>0.390625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24.537037037037035</v>
      </c>
      <c r="Y61" s="653">
        <f>IFERROR(Y55/H55,"0")+IFERROR(Y56/H56,"0")+IFERROR(Y57/H57,"0")+IFERROR(Y58/H58,"0")+IFERROR(Y59/H59,"0")+IFERROR(Y60/H60,"0")</f>
        <v>25</v>
      </c>
      <c r="Z61" s="653">
        <f>IFERROR(IF(Z55="",0,Z55),"0")+IFERROR(IF(Z56="",0,Z56),"0")+IFERROR(IF(Z57="",0,Z57),"0")+IFERROR(IF(Z58="",0,Z58),"0")+IFERROR(IF(Z59="",0,Z59),"0")+IFERROR(IF(Z60="",0,Z60),"0")</f>
        <v>0.47450000000000003</v>
      </c>
      <c r="AA61" s="654"/>
      <c r="AB61" s="654"/>
      <c r="AC61" s="654"/>
    </row>
    <row r="62" spans="1:68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265</v>
      </c>
      <c r="Y62" s="653">
        <f>IFERROR(SUM(Y55:Y60),"0")</f>
        <v>270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hidden="1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14</v>
      </c>
      <c r="Y77" s="652">
        <f>IFERROR(IF(X77="",0,CEILING((X77/$H77),1)*$H77),"")</f>
        <v>15.6</v>
      </c>
      <c r="Z77" s="36">
        <f>IFERROR(IF(Y77=0,"",ROUNDUP(Y77/H77,0)*0.01898),"")</f>
        <v>3.7960000000000001E-2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14.735897435897439</v>
      </c>
      <c r="BN77" s="64">
        <f>IFERROR(Y77*I77/H77,"0")</f>
        <v>16.420000000000002</v>
      </c>
      <c r="BO77" s="64">
        <f>IFERROR(1/J77*(X77/H77),"0")</f>
        <v>2.8044871794871796E-2</v>
      </c>
      <c r="BP77" s="64">
        <f>IFERROR(1/J77*(Y77/H77),"0")</f>
        <v>3.125E-2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1.7948717948717949</v>
      </c>
      <c r="Y81" s="653">
        <f>IFERROR(Y77/H77,"0")+IFERROR(Y78/H78,"0")+IFERROR(Y79/H79,"0")+IFERROR(Y80/H80,"0")</f>
        <v>2</v>
      </c>
      <c r="Z81" s="653">
        <f>IFERROR(IF(Z77="",0,Z77),"0")+IFERROR(IF(Z78="",0,Z78),"0")+IFERROR(IF(Z79="",0,Z79),"0")+IFERROR(IF(Z80="",0,Z80),"0")</f>
        <v>3.7960000000000001E-2</v>
      </c>
      <c r="AA81" s="654"/>
      <c r="AB81" s="654"/>
      <c r="AC81" s="654"/>
    </row>
    <row r="82" spans="1:68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14</v>
      </c>
      <c r="Y82" s="653">
        <f>IFERROR(SUM(Y77:Y80),"0")</f>
        <v>15.6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259</v>
      </c>
      <c r="Y85" s="652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268.8324074074074</v>
      </c>
      <c r="BN85" s="64">
        <f>IFERROR(Y85*I85/H85,"0")</f>
        <v>269.04000000000002</v>
      </c>
      <c r="BO85" s="64">
        <f>IFERROR(1/J85*(X85/H85),"0")</f>
        <v>0.37471064814814814</v>
      </c>
      <c r="BP85" s="64">
        <f>IFERROR(1/J85*(Y85/H85),"0")</f>
        <v>0.37500000000000006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61</v>
      </c>
      <c r="Y89" s="652">
        <f>IFERROR(IF(X89="",0,CEILING((X89/$H89),1)*$H89),"")</f>
        <v>63</v>
      </c>
      <c r="Z89" s="36">
        <f>IFERROR(IF(Y89=0,"",ROUNDUP(Y89/H89,0)*0.00902),"")</f>
        <v>0.12628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63.57555555555556</v>
      </c>
      <c r="BN89" s="64">
        <f>IFERROR(Y89*I89/H89,"0")</f>
        <v>65.660000000000011</v>
      </c>
      <c r="BO89" s="64">
        <f>IFERROR(1/J89*(X89/H89),"0")</f>
        <v>0.1026936026936027</v>
      </c>
      <c r="BP89" s="64">
        <f>IFERROR(1/J89*(Y89/H89),"0")</f>
        <v>0.10606060606060606</v>
      </c>
    </row>
    <row r="90" spans="1:68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37.537037037037038</v>
      </c>
      <c r="Y90" s="653">
        <f>IFERROR(Y85/H85,"0")+IFERROR(Y86/H86,"0")+IFERROR(Y87/H87,"0")+IFERROR(Y88/H88,"0")+IFERROR(Y89/H89,"0")</f>
        <v>38</v>
      </c>
      <c r="Z90" s="653">
        <f>IFERROR(IF(Z85="",0,Z85),"0")+IFERROR(IF(Z86="",0,Z86),"0")+IFERROR(IF(Z87="",0,Z87),"0")+IFERROR(IF(Z88="",0,Z88),"0")+IFERROR(IF(Z89="",0,Z89),"0")</f>
        <v>0.58180000000000009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320</v>
      </c>
      <c r="Y91" s="653">
        <f>IFERROR(SUM(Y85:Y89),"0")</f>
        <v>322.20000000000005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417</v>
      </c>
      <c r="Y93" s="652">
        <f t="shared" ref="Y93:Y99" si="5">IFERROR(IF(X93="",0,CEILING((X93/$H93),1)*$H93),"")</f>
        <v>421.2</v>
      </c>
      <c r="Z93" s="36">
        <f>IFERROR(IF(Y93=0,"",ROUNDUP(Y93/H93,0)*0.01898),"")</f>
        <v>0.98696000000000006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442.43185185185183</v>
      </c>
      <c r="BN93" s="64">
        <f t="shared" ref="BN93:BN99" si="7">IFERROR(Y93*I93/H93,"0")</f>
        <v>446.88799999999998</v>
      </c>
      <c r="BO93" s="64">
        <f t="shared" ref="BO93:BO99" si="8">IFERROR(1/J93*(X93/H93),"0")</f>
        <v>0.80439814814814814</v>
      </c>
      <c r="BP93" s="64">
        <f t="shared" ref="BP93:BP99" si="9">IFERROR(1/J93*(Y93/H93),"0")</f>
        <v>0.8125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72</v>
      </c>
      <c r="Y97" s="652">
        <f t="shared" si="5"/>
        <v>72.900000000000006</v>
      </c>
      <c r="Z97" s="36">
        <f>IFERROR(IF(Y97=0,"",ROUNDUP(Y97/H97,0)*0.00651),"")</f>
        <v>0.17577000000000001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78.719999999999985</v>
      </c>
      <c r="BN97" s="64">
        <f t="shared" si="7"/>
        <v>79.703999999999994</v>
      </c>
      <c r="BO97" s="64">
        <f t="shared" si="8"/>
        <v>0.14652014652014653</v>
      </c>
      <c r="BP97" s="64">
        <f t="shared" si="9"/>
        <v>0.14835164835164835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78.148148148148152</v>
      </c>
      <c r="Y100" s="653">
        <f>IFERROR(Y93/H93,"0")+IFERROR(Y94/H94,"0")+IFERROR(Y95/H95,"0")+IFERROR(Y96/H96,"0")+IFERROR(Y97/H97,"0")+IFERROR(Y98/H98,"0")+IFERROR(Y99/H99,"0")</f>
        <v>79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1.16273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489</v>
      </c>
      <c r="Y101" s="653">
        <f>IFERROR(SUM(Y93:Y99),"0")</f>
        <v>494.1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390</v>
      </c>
      <c r="Y104" s="652">
        <f t="shared" ref="Y104:Y111" si="10">IFERROR(IF(X104="",0,CEILING((X104/$H104),1)*$H104),"")</f>
        <v>399.6</v>
      </c>
      <c r="Z104" s="36">
        <f>IFERROR(IF(Y104=0,"",ROUNDUP(Y104/H104,0)*0.01898),"")</f>
        <v>0.70226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404.8055555555556</v>
      </c>
      <c r="BN104" s="64">
        <f t="shared" ref="BN104:BN111" si="12">IFERROR(Y104*I104/H104,"0")</f>
        <v>414.77000000000004</v>
      </c>
      <c r="BO104" s="64">
        <f t="shared" ref="BO104:BO111" si="13">IFERROR(1/J104*(X104/H104),"0")</f>
        <v>0.56423611111111105</v>
      </c>
      <c r="BP104" s="64">
        <f t="shared" ref="BP104:BP111" si="14">IFERROR(1/J104*(Y104/H104),"0")</f>
        <v>0.578125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135</v>
      </c>
      <c r="Y109" s="652">
        <f t="shared" si="10"/>
        <v>135</v>
      </c>
      <c r="Z109" s="36">
        <f>IFERROR(IF(Y109=0,"",ROUNDUP(Y109/H109,0)*0.00902),"")</f>
        <v>0.27060000000000001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140.70000000000002</v>
      </c>
      <c r="BN109" s="64">
        <f t="shared" si="12"/>
        <v>140.70000000000002</v>
      </c>
      <c r="BO109" s="64">
        <f t="shared" si="13"/>
        <v>0.22727272727272729</v>
      </c>
      <c r="BP109" s="64">
        <f t="shared" si="14"/>
        <v>0.22727272727272729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66.111111111111114</v>
      </c>
      <c r="Y112" s="653">
        <f>IFERROR(Y104/H104,"0")+IFERROR(Y105/H105,"0")+IFERROR(Y106/H106,"0")+IFERROR(Y107/H107,"0")+IFERROR(Y108/H108,"0")+IFERROR(Y109/H109,"0")+IFERROR(Y110/H110,"0")+IFERROR(Y111/H111,"0")</f>
        <v>67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0.97286000000000006</v>
      </c>
      <c r="AA112" s="654"/>
      <c r="AB112" s="654"/>
      <c r="AC112" s="654"/>
    </row>
    <row r="113" spans="1:68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525</v>
      </c>
      <c r="Y113" s="653">
        <f>IFERROR(SUM(Y104:Y111),"0")</f>
        <v>534.6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0</v>
      </c>
      <c r="Y120" s="653">
        <f>IFERROR(Y115/H115,"0")+IFERROR(Y116/H116,"0")+IFERROR(Y117/H117,"0")+IFERROR(Y118/H118,"0")+IFERROR(Y119/H119,"0")</f>
        <v>0</v>
      </c>
      <c r="Z120" s="653">
        <f>IFERROR(IF(Z115="",0,Z115),"0")+IFERROR(IF(Z116="",0,Z116),"0")+IFERROR(IF(Z117="",0,Z117),"0")+IFERROR(IF(Z118="",0,Z118),"0")+IFERROR(IF(Z119="",0,Z119),"0")</f>
        <v>0</v>
      </c>
      <c r="AA120" s="654"/>
      <c r="AB120" s="654"/>
      <c r="AC120" s="654"/>
    </row>
    <row r="121" spans="1:68" hidden="1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0</v>
      </c>
      <c r="Y121" s="653">
        <f>IFERROR(SUM(Y115:Y119),"0")</f>
        <v>0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424</v>
      </c>
      <c r="Y123" s="652">
        <f t="shared" ref="Y123:Y130" si="15">IFERROR(IF(X123="",0,CEILING((X123/$H123),1)*$H123),"")</f>
        <v>429.29999999999995</v>
      </c>
      <c r="Z123" s="36">
        <f>IFERROR(IF(Y123=0,"",ROUNDUP(Y123/H123,0)*0.01898),"")</f>
        <v>1.0059400000000001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449.54469135802464</v>
      </c>
      <c r="BN123" s="64">
        <f t="shared" ref="BN123:BN130" si="17">IFERROR(Y123*I123/H123,"0")</f>
        <v>455.16399999999993</v>
      </c>
      <c r="BO123" s="64">
        <f t="shared" ref="BO123:BO130" si="18">IFERROR(1/J123*(X123/H123),"0")</f>
        <v>0.81790123456790131</v>
      </c>
      <c r="BP123" s="64">
        <f t="shared" ref="BP123:BP130" si="19">IFERROR(1/J123*(Y123/H123),"0")</f>
        <v>0.828125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111</v>
      </c>
      <c r="Y127" s="652">
        <f t="shared" si="15"/>
        <v>113.4</v>
      </c>
      <c r="Z127" s="36">
        <f t="shared" si="20"/>
        <v>0.27342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121.35999999999999</v>
      </c>
      <c r="BN127" s="64">
        <f t="shared" si="17"/>
        <v>123.98399999999999</v>
      </c>
      <c r="BO127" s="64">
        <f t="shared" si="18"/>
        <v>0.22588522588522589</v>
      </c>
      <c r="BP127" s="64">
        <f t="shared" si="19"/>
        <v>0.23076923076923078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93.456790123456784</v>
      </c>
      <c r="Y131" s="653">
        <f>IFERROR(Y123/H123,"0")+IFERROR(Y124/H124,"0")+IFERROR(Y125/H125,"0")+IFERROR(Y126/H126,"0")+IFERROR(Y127/H127,"0")+IFERROR(Y128/H128,"0")+IFERROR(Y129/H129,"0")+IFERROR(Y130/H130,"0")</f>
        <v>95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1.2793600000000001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535</v>
      </c>
      <c r="Y132" s="653">
        <f>IFERROR(SUM(Y123:Y130),"0")</f>
        <v>542.69999999999993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hidden="1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hidden="1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hidden="1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hidden="1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hidden="1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hidden="1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hidden="1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hidden="1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hidden="1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hidden="1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0</v>
      </c>
      <c r="Y182" s="652">
        <f t="shared" ref="Y182:Y195" si="27">IFERROR(IF(X182="",0,CEILING((X182/$H182),1)*$H182),"")</f>
        <v>0</v>
      </c>
      <c r="Z182" s="36" t="str">
        <f t="shared" ref="Z182:Z187" si="28">IFERROR(IF(Y182=0,"",ROUNDUP(Y182/H182,0)*0.00902),"")</f>
        <v/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0</v>
      </c>
      <c r="BN182" s="64">
        <f t="shared" ref="BN182:BN195" si="30">IFERROR(Y182*I182/H182,"0")</f>
        <v>0</v>
      </c>
      <c r="BO182" s="64">
        <f t="shared" ref="BO182:BO195" si="31">IFERROR(1/J182*(X182/H182),"0")</f>
        <v>0</v>
      </c>
      <c r="BP182" s="64">
        <f t="shared" ref="BP182:BP195" si="32">IFERROR(1/J182*(Y182/H182),"0")</f>
        <v>0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0</v>
      </c>
      <c r="Y184" s="652">
        <f t="shared" si="27"/>
        <v>0</v>
      </c>
      <c r="Z184" s="36" t="str">
        <f t="shared" si="28"/>
        <v/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0</v>
      </c>
      <c r="BN184" s="64">
        <f t="shared" si="30"/>
        <v>0</v>
      </c>
      <c r="BO184" s="64">
        <f t="shared" si="31"/>
        <v>0</v>
      </c>
      <c r="BP184" s="64">
        <f t="shared" si="32"/>
        <v>0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0</v>
      </c>
      <c r="Y186" s="652">
        <f t="shared" si="27"/>
        <v>0</v>
      </c>
      <c r="Z186" s="36" t="str">
        <f t="shared" si="28"/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0</v>
      </c>
      <c r="BN186" s="64">
        <f t="shared" si="30"/>
        <v>0</v>
      </c>
      <c r="BO186" s="64">
        <f t="shared" si="31"/>
        <v>0</v>
      </c>
      <c r="BP186" s="64">
        <f t="shared" si="32"/>
        <v>0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hidden="1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hidden="1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0</v>
      </c>
      <c r="Y190" s="652">
        <f t="shared" si="27"/>
        <v>0</v>
      </c>
      <c r="Z190" s="36" t="str">
        <f>IFERROR(IF(Y190=0,"",ROUNDUP(Y190/H190,0)*0.00502),"")</f>
        <v/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0</v>
      </c>
      <c r="BN190" s="64">
        <f t="shared" si="30"/>
        <v>0</v>
      </c>
      <c r="BO190" s="64">
        <f t="shared" si="31"/>
        <v>0</v>
      </c>
      <c r="BP190" s="64">
        <f t="shared" si="32"/>
        <v>0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hidden="1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0</v>
      </c>
      <c r="Y192" s="652">
        <f t="shared" si="27"/>
        <v>0</v>
      </c>
      <c r="Z192" s="36" t="str">
        <f>IFERROR(IF(Y192=0,"",ROUNDUP(Y192/H192,0)*0.00502),"")</f>
        <v/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0</v>
      </c>
      <c r="BN192" s="64">
        <f t="shared" si="30"/>
        <v>0</v>
      </c>
      <c r="BO192" s="64">
        <f t="shared" si="31"/>
        <v>0</v>
      </c>
      <c r="BP192" s="64">
        <f t="shared" si="32"/>
        <v>0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hidden="1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hidden="1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0</v>
      </c>
      <c r="Y195" s="652">
        <f t="shared" si="27"/>
        <v>0</v>
      </c>
      <c r="Z195" s="36" t="str">
        <f>IFERROR(IF(Y195=0,"",ROUNDUP(Y195/H195,0)*0.00502),"")</f>
        <v/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0</v>
      </c>
      <c r="BN195" s="64">
        <f t="shared" si="30"/>
        <v>0</v>
      </c>
      <c r="BO195" s="64">
        <f t="shared" si="31"/>
        <v>0</v>
      </c>
      <c r="BP195" s="64">
        <f t="shared" si="32"/>
        <v>0</v>
      </c>
    </row>
    <row r="196" spans="1:68" hidden="1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54"/>
      <c r="AB196" s="654"/>
      <c r="AC196" s="654"/>
    </row>
    <row r="197" spans="1:68" hidden="1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0</v>
      </c>
      <c r="Y197" s="653">
        <f>IFERROR(SUM(Y182:Y195),"0")</f>
        <v>0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hidden="1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hidden="1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0</v>
      </c>
      <c r="Y232" s="652">
        <f t="shared" si="39"/>
        <v>0</v>
      </c>
      <c r="Z232" s="36" t="str">
        <f>IFERROR(IF(Y232=0,"",ROUNDUP(Y232/H232,0)*0.00902),"")</f>
        <v/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0</v>
      </c>
      <c r="BN232" s="64">
        <f t="shared" si="41"/>
        <v>0</v>
      </c>
      <c r="BO232" s="64">
        <f t="shared" si="42"/>
        <v>0</v>
      </c>
      <c r="BP232" s="64">
        <f t="shared" si="43"/>
        <v>0</v>
      </c>
    </row>
    <row r="233" spans="1:68" ht="37.5" hidden="1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0</v>
      </c>
      <c r="Y233" s="652">
        <f t="shared" si="39"/>
        <v>0</v>
      </c>
      <c r="Z233" s="36" t="str">
        <f>IFERROR(IF(Y233=0,"",ROUNDUP(Y233/H233,0)*0.00556),"")</f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0</v>
      </c>
      <c r="BN233" s="64">
        <f t="shared" si="41"/>
        <v>0</v>
      </c>
      <c r="BO233" s="64">
        <f t="shared" si="42"/>
        <v>0</v>
      </c>
      <c r="BP233" s="64">
        <f t="shared" si="43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0</v>
      </c>
      <c r="Y234" s="652">
        <f t="shared" si="39"/>
        <v>0</v>
      </c>
      <c r="Z234" s="36" t="str">
        <f t="shared" ref="Z234:Z239" si="44">IFERROR(IF(Y234=0,"",ROUNDUP(Y234/H234,0)*0.00502),"")</f>
        <v/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0</v>
      </c>
      <c r="BN234" s="64">
        <f t="shared" si="41"/>
        <v>0</v>
      </c>
      <c r="BO234" s="64">
        <f t="shared" si="42"/>
        <v>0</v>
      </c>
      <c r="BP234" s="64">
        <f t="shared" si="43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0</v>
      </c>
      <c r="Y239" s="652">
        <f t="shared" si="39"/>
        <v>0</v>
      </c>
      <c r="Z239" s="36" t="str">
        <f t="shared" si="44"/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0</v>
      </c>
      <c r="BN239" s="64">
        <f t="shared" si="41"/>
        <v>0</v>
      </c>
      <c r="BO239" s="64">
        <f t="shared" si="42"/>
        <v>0</v>
      </c>
      <c r="BP239" s="64">
        <f t="shared" si="43"/>
        <v>0</v>
      </c>
    </row>
    <row r="240" spans="1:68" ht="27" hidden="1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0</v>
      </c>
      <c r="Y240" s="652">
        <f t="shared" si="39"/>
        <v>0</v>
      </c>
      <c r="Z240" s="36" t="str">
        <f>IFERROR(IF(Y240=0,"",ROUNDUP(Y240/H240,0)*0.00417),"")</f>
        <v/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0</v>
      </c>
      <c r="BN240" s="64">
        <f t="shared" si="41"/>
        <v>0</v>
      </c>
      <c r="BO240" s="64">
        <f t="shared" si="42"/>
        <v>0</v>
      </c>
      <c r="BP240" s="64">
        <f t="shared" si="43"/>
        <v>0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175</v>
      </c>
      <c r="Y241" s="652">
        <f t="shared" si="39"/>
        <v>176.4</v>
      </c>
      <c r="Z241" s="36">
        <f>IFERROR(IF(Y241=0,"",ROUNDUP(Y241/H241,0)*0.00502),"")</f>
        <v>0.42168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183.33333333333334</v>
      </c>
      <c r="BN241" s="64">
        <f t="shared" si="41"/>
        <v>184.8</v>
      </c>
      <c r="BO241" s="64">
        <f t="shared" si="42"/>
        <v>0.35612535612535612</v>
      </c>
      <c r="BP241" s="64">
        <f t="shared" si="43"/>
        <v>0.35897435897435903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83.333333333333329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84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0.42168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175</v>
      </c>
      <c r="Y245" s="653">
        <f>IFERROR(SUM(Y230:Y243),"0")</f>
        <v>176.4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0</v>
      </c>
      <c r="Y257" s="6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0</v>
      </c>
      <c r="Y258" s="653">
        <f>IFERROR(Y255/H255,"0")+IFERROR(Y256/H256,"0")+IFERROR(Y257/H257,"0")</f>
        <v>0</v>
      </c>
      <c r="Z258" s="653">
        <f>IFERROR(IF(Z255="",0,Z255),"0")+IFERROR(IF(Z256="",0,Z256),"0")+IFERROR(IF(Z257="",0,Z257),"0")</f>
        <v>0</v>
      </c>
      <c r="AA258" s="654"/>
      <c r="AB258" s="654"/>
      <c r="AC258" s="654"/>
    </row>
    <row r="259" spans="1:68" hidden="1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0</v>
      </c>
      <c r="Y259" s="653">
        <f>IFERROR(SUM(Y255:Y257),"0")</f>
        <v>0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3</v>
      </c>
      <c r="Y261" s="652">
        <f>IFERROR(IF(X261="",0,CEILING((X261/$H261),1)*$H261),"")</f>
        <v>3.7800000000000002</v>
      </c>
      <c r="Z261" s="36">
        <f>IFERROR(IF(Y261=0,"",ROUNDUP(Y261/H261,0)*0.0059),"")</f>
        <v>1.77E-2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3.4523809523809521</v>
      </c>
      <c r="BN261" s="64">
        <f>IFERROR(Y261*I261/H261,"0")</f>
        <v>4.3499999999999996</v>
      </c>
      <c r="BO261" s="64">
        <f>IFERROR(1/J261*(X261/H261),"0")</f>
        <v>1.1022927689594356E-2</v>
      </c>
      <c r="BP261" s="64">
        <f>IFERROR(1/J261*(Y261/H261),"0")</f>
        <v>1.3888888888888888E-2</v>
      </c>
    </row>
    <row r="262" spans="1:68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2.3809523809523809</v>
      </c>
      <c r="Y262" s="653">
        <f>IFERROR(Y261/H261,"0")</f>
        <v>3</v>
      </c>
      <c r="Z262" s="653">
        <f>IFERROR(IF(Z261="",0,Z261),"0")</f>
        <v>1.77E-2</v>
      </c>
      <c r="AA262" s="654"/>
      <c r="AB262" s="654"/>
      <c r="AC262" s="654"/>
    </row>
    <row r="263" spans="1:68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3</v>
      </c>
      <c r="Y263" s="653">
        <f>IFERROR(SUM(Y261:Y261),"0")</f>
        <v>3.7800000000000002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hidden="1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0</v>
      </c>
      <c r="Y276" s="652">
        <f t="shared" ref="Y276:Y283" si="45">IFERROR(IF(X276="",0,CEILING((X276/$H276),1)*$H276),"")</f>
        <v>0</v>
      </c>
      <c r="Z276" s="36" t="str">
        <f>IFERROR(IF(Y276=0,"",ROUNDUP(Y276/H276,0)*0.00902),"")</f>
        <v/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0</v>
      </c>
      <c r="BN276" s="64">
        <f t="shared" ref="BN276:BN283" si="47">IFERROR(Y276*I276/H276,"0")</f>
        <v>0</v>
      </c>
      <c r="BO276" s="64">
        <f t="shared" ref="BO276:BO283" si="48">IFERROR(1/J276*(X276/H276),"0")</f>
        <v>0</v>
      </c>
      <c r="BP276" s="64">
        <f t="shared" ref="BP276:BP283" si="49">IFERROR(1/J276*(Y276/H276),"0")</f>
        <v>0</v>
      </c>
    </row>
    <row r="277" spans="1:68" ht="27" hidden="1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0</v>
      </c>
      <c r="Y277" s="652">
        <f t="shared" si="45"/>
        <v>0</v>
      </c>
      <c r="Z277" s="36" t="str">
        <f>IFERROR(IF(Y277=0,"",ROUNDUP(Y277/H277,0)*0.00902),"")</f>
        <v/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0</v>
      </c>
      <c r="BN277" s="64">
        <f t="shared" si="47"/>
        <v>0</v>
      </c>
      <c r="BO277" s="64">
        <f t="shared" si="48"/>
        <v>0</v>
      </c>
      <c r="BP277" s="64">
        <f t="shared" si="49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0</v>
      </c>
      <c r="Y278" s="652">
        <f t="shared" si="45"/>
        <v>0</v>
      </c>
      <c r="Z278" s="36" t="str">
        <f>IFERROR(IF(Y278=0,"",ROUNDUP(Y278/H278,0)*0.00902),"")</f>
        <v/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0</v>
      </c>
      <c r="BN278" s="64">
        <f t="shared" si="47"/>
        <v>0</v>
      </c>
      <c r="BO278" s="64">
        <f t="shared" si="48"/>
        <v>0</v>
      </c>
      <c r="BP278" s="64">
        <f t="shared" si="49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75</v>
      </c>
      <c r="Y279" s="652">
        <f t="shared" si="45"/>
        <v>75.600000000000009</v>
      </c>
      <c r="Z279" s="36">
        <f>IFERROR(IF(Y279=0,"",ROUNDUP(Y279/H279,0)*0.00902),"")</f>
        <v>0.12628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77.638888888888886</v>
      </c>
      <c r="BN279" s="64">
        <f t="shared" si="47"/>
        <v>78.260000000000005</v>
      </c>
      <c r="BO279" s="64">
        <f t="shared" si="48"/>
        <v>0.10521885521885521</v>
      </c>
      <c r="BP279" s="64">
        <f t="shared" si="49"/>
        <v>0.10606060606060606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0</v>
      </c>
      <c r="Y280" s="652">
        <f t="shared" si="45"/>
        <v>0</v>
      </c>
      <c r="Z280" s="36" t="str">
        <f>IFERROR(IF(Y280=0,"",ROUNDUP(Y280/H280,0)*0.00502),"")</f>
        <v/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0</v>
      </c>
      <c r="BN280" s="64">
        <f t="shared" si="47"/>
        <v>0</v>
      </c>
      <c r="BO280" s="64">
        <f t="shared" si="48"/>
        <v>0</v>
      </c>
      <c r="BP280" s="64">
        <f t="shared" si="49"/>
        <v>0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0</v>
      </c>
      <c r="Y281" s="652">
        <f t="shared" si="45"/>
        <v>0</v>
      </c>
      <c r="Z281" s="36" t="str">
        <f>IFERROR(IF(Y281=0,"",ROUNDUP(Y281/H281,0)*0.00502),"")</f>
        <v/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0</v>
      </c>
      <c r="BN281" s="64">
        <f t="shared" si="47"/>
        <v>0</v>
      </c>
      <c r="BO281" s="64">
        <f t="shared" si="48"/>
        <v>0</v>
      </c>
      <c r="BP281" s="64">
        <f t="shared" si="49"/>
        <v>0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hidden="1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0</v>
      </c>
      <c r="Y283" s="652">
        <f t="shared" si="45"/>
        <v>0</v>
      </c>
      <c r="Z283" s="36" t="str">
        <f>IFERROR(IF(Y283=0,"",ROUNDUP(Y283/H283,0)*0.00502),"")</f>
        <v/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0</v>
      </c>
      <c r="BN283" s="64">
        <f t="shared" si="47"/>
        <v>0</v>
      </c>
      <c r="BO283" s="64">
        <f t="shared" si="48"/>
        <v>0</v>
      </c>
      <c r="BP283" s="64">
        <f t="shared" si="49"/>
        <v>0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13.888888888888888</v>
      </c>
      <c r="Y284" s="653">
        <f>IFERROR(Y276/H276,"0")+IFERROR(Y277/H277,"0")+IFERROR(Y278/H278,"0")+IFERROR(Y279/H279,"0")+IFERROR(Y280/H280,"0")+IFERROR(Y281/H281,"0")+IFERROR(Y282/H282,"0")+IFERROR(Y283/H283,"0")</f>
        <v>14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0.12628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75</v>
      </c>
      <c r="Y285" s="653">
        <f>IFERROR(SUM(Y276:Y283),"0")</f>
        <v>75.600000000000009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250</v>
      </c>
      <c r="Y287" s="652">
        <f t="shared" ref="Y287:Y298" si="50">IFERROR(IF(X287="",0,CEILING((X287/$H287),1)*$H287),"")</f>
        <v>251.1</v>
      </c>
      <c r="Z287" s="36">
        <f>IFERROR(IF(Y287=0,"",ROUNDUP(Y287/H287,0)*0.01898),"")</f>
        <v>0.58838000000000001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265.24691358024694</v>
      </c>
      <c r="BN287" s="64">
        <f t="shared" ref="BN287:BN298" si="52">IFERROR(Y287*I287/H287,"0")</f>
        <v>266.41399999999999</v>
      </c>
      <c r="BO287" s="64">
        <f t="shared" ref="BO287:BO298" si="53">IFERROR(1/J287*(X287/H287),"0")</f>
        <v>0.48225308641975312</v>
      </c>
      <c r="BP287" s="64">
        <f t="shared" ref="BP287:BP298" si="54">IFERROR(1/J287*(Y287/H287),"0")</f>
        <v>0.484375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99</v>
      </c>
      <c r="Y288" s="652">
        <f t="shared" si="50"/>
        <v>105.3</v>
      </c>
      <c r="Z288" s="36">
        <f>IFERROR(IF(Y288=0,"",ROUNDUP(Y288/H288,0)*0.01898),"")</f>
        <v>0.24674000000000001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104.81777777777778</v>
      </c>
      <c r="BN288" s="64">
        <f t="shared" si="52"/>
        <v>111.48800000000001</v>
      </c>
      <c r="BO288" s="64">
        <f t="shared" si="53"/>
        <v>0.19097222222222224</v>
      </c>
      <c r="BP288" s="64">
        <f t="shared" si="54"/>
        <v>0.203125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19</v>
      </c>
      <c r="Y289" s="652">
        <f t="shared" si="50"/>
        <v>26.099999999999998</v>
      </c>
      <c r="Z289" s="36">
        <f>IFERROR(IF(Y289=0,"",ROUNDUP(Y289/H289,0)*0.01898),"")</f>
        <v>5.6940000000000004E-2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20.078850574712646</v>
      </c>
      <c r="BN289" s="64">
        <f t="shared" si="52"/>
        <v>27.582000000000004</v>
      </c>
      <c r="BO289" s="64">
        <f t="shared" si="53"/>
        <v>3.4123563218390808E-2</v>
      </c>
      <c r="BP289" s="64">
        <f t="shared" si="54"/>
        <v>4.6875E-2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73</v>
      </c>
      <c r="Y290" s="652">
        <f t="shared" si="50"/>
        <v>74.399999999999991</v>
      </c>
      <c r="Z290" s="36">
        <f>IFERROR(IF(Y290=0,"",ROUNDUP(Y290/H290,0)*0.00651),"")</f>
        <v>0.20181000000000002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81.212500000000006</v>
      </c>
      <c r="BN290" s="64">
        <f t="shared" si="52"/>
        <v>82.77</v>
      </c>
      <c r="BO290" s="64">
        <f t="shared" si="53"/>
        <v>0.16712454212454214</v>
      </c>
      <c r="BP290" s="64">
        <f t="shared" si="54"/>
        <v>0.17032967032967034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600</v>
      </c>
      <c r="Y293" s="652">
        <f t="shared" si="50"/>
        <v>600</v>
      </c>
      <c r="Z293" s="36">
        <f>IFERROR(IF(Y293=0,"",ROUNDUP(Y293/H293,0)*0.00651),"")</f>
        <v>1.6274999999999999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663</v>
      </c>
      <c r="BN293" s="64">
        <f t="shared" si="52"/>
        <v>663</v>
      </c>
      <c r="BO293" s="64">
        <f t="shared" si="53"/>
        <v>1.3736263736263736</v>
      </c>
      <c r="BP293" s="64">
        <f t="shared" si="54"/>
        <v>1.3736263736263736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96</v>
      </c>
      <c r="Y295" s="652">
        <f t="shared" si="50"/>
        <v>96</v>
      </c>
      <c r="Z295" s="36">
        <f>IFERROR(IF(Y295=0,"",ROUNDUP(Y295/H295,0)*0.00651),"")</f>
        <v>0.26040000000000002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106.08000000000001</v>
      </c>
      <c r="BN295" s="64">
        <f t="shared" si="52"/>
        <v>106.08000000000001</v>
      </c>
      <c r="BO295" s="64">
        <f t="shared" si="53"/>
        <v>0.2197802197802198</v>
      </c>
      <c r="BP295" s="64">
        <f t="shared" si="54"/>
        <v>0.2197802197802198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120</v>
      </c>
      <c r="Y296" s="652">
        <f t="shared" si="50"/>
        <v>120</v>
      </c>
      <c r="Z296" s="36">
        <f>IFERROR(IF(Y296=0,"",ROUNDUP(Y296/H296,0)*0.00651),"")</f>
        <v>0.32550000000000001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132.60000000000002</v>
      </c>
      <c r="BN296" s="64">
        <f t="shared" si="52"/>
        <v>132.60000000000002</v>
      </c>
      <c r="BO296" s="64">
        <f t="shared" si="53"/>
        <v>0.27472527472527475</v>
      </c>
      <c r="BP296" s="64">
        <f t="shared" si="54"/>
        <v>0.27472527472527475</v>
      </c>
    </row>
    <row r="297" spans="1:68" ht="27" hidden="1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0</v>
      </c>
      <c r="Y297" s="652">
        <f t="shared" si="50"/>
        <v>0</v>
      </c>
      <c r="Z297" s="36" t="str">
        <f>IFERROR(IF(Y297=0,"",ROUNDUP(Y297/H297,0)*0.00651),"")</f>
        <v/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0</v>
      </c>
      <c r="BN297" s="64">
        <f t="shared" si="52"/>
        <v>0</v>
      </c>
      <c r="BO297" s="64">
        <f t="shared" si="53"/>
        <v>0</v>
      </c>
      <c r="BP297" s="64">
        <f t="shared" si="54"/>
        <v>0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415.68699446573009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418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3.3072700000000004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1257</v>
      </c>
      <c r="Y300" s="653">
        <f>IFERROR(SUM(Y287:Y298),"0")</f>
        <v>1272.9000000000001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20</v>
      </c>
      <c r="Y302" s="652">
        <f>IFERROR(IF(X302="",0,CEILING((X302/$H302),1)*$H302),"")</f>
        <v>21.599999999999998</v>
      </c>
      <c r="Z302" s="36">
        <f>IFERROR(IF(Y302=0,"",ROUNDUP(Y302/H302,0)*0.00651),"")</f>
        <v>5.8590000000000003E-2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22.100000000000005</v>
      </c>
      <c r="BN302" s="64">
        <f>IFERROR(Y302*I302/H302,"0")</f>
        <v>23.868000000000002</v>
      </c>
      <c r="BO302" s="64">
        <f>IFERROR(1/J302*(X302/H302),"0")</f>
        <v>4.5787545787545791E-2</v>
      </c>
      <c r="BP302" s="64">
        <f>IFERROR(1/J302*(Y302/H302),"0")</f>
        <v>4.9450549450549455E-2</v>
      </c>
    </row>
    <row r="303" spans="1:68" ht="27" hidden="1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8.3333333333333339</v>
      </c>
      <c r="Y304" s="653">
        <f>IFERROR(Y302/H302,"0")+IFERROR(Y303/H303,"0")</f>
        <v>9</v>
      </c>
      <c r="Z304" s="653">
        <f>IFERROR(IF(Z302="",0,Z302),"0")+IFERROR(IF(Z303="",0,Z303),"0")</f>
        <v>5.8590000000000003E-2</v>
      </c>
      <c r="AA304" s="654"/>
      <c r="AB304" s="654"/>
      <c r="AC304" s="654"/>
    </row>
    <row r="305" spans="1:68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20</v>
      </c>
      <c r="Y305" s="653">
        <f>IFERROR(SUM(Y302:Y303),"0")</f>
        <v>21.599999999999998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hidden="1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hidden="1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0</v>
      </c>
      <c r="Y322" s="652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0</v>
      </c>
      <c r="Y323" s="653">
        <f>IFERROR(Y322/H322,"0")</f>
        <v>0</v>
      </c>
      <c r="Z323" s="653">
        <f>IFERROR(IF(Z322="",0,Z322),"0")</f>
        <v>0</v>
      </c>
      <c r="AA323" s="654"/>
      <c r="AB323" s="654"/>
      <c r="AC323" s="654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0</v>
      </c>
      <c r="Y324" s="653">
        <f>IFERROR(SUM(Y322:Y322),"0")</f>
        <v>0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40</v>
      </c>
      <c r="Y343" s="652">
        <f>IFERROR(IF(X343="",0,CEILING((X343/$H343),1)*$H343),"")</f>
        <v>40.799999999999997</v>
      </c>
      <c r="Z343" s="36">
        <f>IFERROR(IF(Y343=0,"",ROUNDUP(Y343/H343,0)*0.00651),"")</f>
        <v>0.11067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44.20000000000001</v>
      </c>
      <c r="BN343" s="64">
        <f>IFERROR(Y343*I343/H343,"0")</f>
        <v>45.084000000000003</v>
      </c>
      <c r="BO343" s="64">
        <f>IFERROR(1/J343*(X343/H343),"0")</f>
        <v>9.1575091575091583E-2</v>
      </c>
      <c r="BP343" s="64">
        <f>IFERROR(1/J343*(Y343/H343),"0")</f>
        <v>9.3406593406593408E-2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61</v>
      </c>
      <c r="Y344" s="652">
        <f>IFERROR(IF(X344="",0,CEILING((X344/$H344),1)*$H344),"")</f>
        <v>62.4</v>
      </c>
      <c r="Z344" s="36">
        <f>IFERROR(IF(Y344=0,"",ROUNDUP(Y344/H344,0)*0.00651),"")</f>
        <v>0.16925999999999999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65.575000000000003</v>
      </c>
      <c r="BN344" s="64">
        <f>IFERROR(Y344*I344/H344,"0")</f>
        <v>67.08</v>
      </c>
      <c r="BO344" s="64">
        <f>IFERROR(1/J344*(X344/H344),"0")</f>
        <v>0.13965201465201468</v>
      </c>
      <c r="BP344" s="64">
        <f>IFERROR(1/J344*(Y344/H344),"0")</f>
        <v>0.14285714285714288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42.083333333333336</v>
      </c>
      <c r="Y345" s="653">
        <f>IFERROR(Y342/H342,"0")+IFERROR(Y343/H343,"0")+IFERROR(Y344/H344,"0")</f>
        <v>43</v>
      </c>
      <c r="Z345" s="653">
        <f>IFERROR(IF(Z342="",0,Z342),"0")+IFERROR(IF(Z343="",0,Z343),"0")+IFERROR(IF(Z344="",0,Z344),"0")</f>
        <v>0.27993000000000001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101</v>
      </c>
      <c r="Y346" s="653">
        <f>IFERROR(SUM(Y342:Y344),"0")</f>
        <v>103.19999999999999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199</v>
      </c>
      <c r="Y363" s="652">
        <f>IFERROR(IF(X363="",0,CEILING((X363/$H363),1)*$H363),"")</f>
        <v>202.79999999999998</v>
      </c>
      <c r="Z363" s="36">
        <f>IFERROR(IF(Y363=0,"",ROUNDUP(Y363/H363,0)*0.01898),"")</f>
        <v>0.49348000000000003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209.46025641025645</v>
      </c>
      <c r="BN363" s="64">
        <f>IFERROR(Y363*I363/H363,"0")</f>
        <v>213.46</v>
      </c>
      <c r="BO363" s="64">
        <f>IFERROR(1/J363*(X363/H363),"0")</f>
        <v>0.39863782051282054</v>
      </c>
      <c r="BP363" s="64">
        <f>IFERROR(1/J363*(Y363/H363),"0")</f>
        <v>0.40625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204</v>
      </c>
      <c r="Y364" s="652">
        <f>IFERROR(IF(X364="",0,CEILING((X364/$H364),1)*$H364),"")</f>
        <v>210.6</v>
      </c>
      <c r="Z364" s="36">
        <f>IFERROR(IF(Y364=0,"",ROUNDUP(Y364/H364,0)*0.01898),"")</f>
        <v>0.51246000000000003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214.72307692307695</v>
      </c>
      <c r="BN364" s="64">
        <f>IFERROR(Y364*I364/H364,"0")</f>
        <v>221.67000000000002</v>
      </c>
      <c r="BO364" s="64">
        <f>IFERROR(1/J364*(X364/H364),"0")</f>
        <v>0.40865384615384615</v>
      </c>
      <c r="BP364" s="64">
        <f>IFERROR(1/J364*(Y364/H364),"0")</f>
        <v>0.421875</v>
      </c>
    </row>
    <row r="365" spans="1:68" ht="27" hidden="1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51.666666666666671</v>
      </c>
      <c r="Y366" s="653">
        <f>IFERROR(Y363/H363,"0")+IFERROR(Y364/H364,"0")+IFERROR(Y365/H365,"0")</f>
        <v>53</v>
      </c>
      <c r="Z366" s="653">
        <f>IFERROR(IF(Z363="",0,Z363),"0")+IFERROR(IF(Z364="",0,Z364),"0")+IFERROR(IF(Z365="",0,Z365),"0")</f>
        <v>1.0059400000000001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403</v>
      </c>
      <c r="Y367" s="653">
        <f>IFERROR(SUM(Y363:Y365),"0")</f>
        <v>413.4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hidden="1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0</v>
      </c>
      <c r="Y384" s="652">
        <f t="shared" si="60"/>
        <v>0</v>
      </c>
      <c r="Z384" s="36" t="str">
        <f>IFERROR(IF(Y384=0,"",ROUNDUP(Y384/H384,0)*0.00651),"")</f>
        <v/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0</v>
      </c>
      <c r="BN384" s="64">
        <f t="shared" si="62"/>
        <v>0</v>
      </c>
      <c r="BO384" s="64">
        <f t="shared" si="63"/>
        <v>0</v>
      </c>
      <c r="BP384" s="64">
        <f t="shared" si="64"/>
        <v>0</v>
      </c>
    </row>
    <row r="385" spans="1:68" hidden="1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0</v>
      </c>
      <c r="Y385" s="653">
        <f>IFERROR(Y378/H378,"0")+IFERROR(Y379/H379,"0")+IFERROR(Y380/H380,"0")+IFERROR(Y381/H381,"0")+IFERROR(Y382/H382,"0")+IFERROR(Y383/H383,"0")+IFERROR(Y384/H384,"0")</f>
        <v>0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54"/>
      <c r="AB385" s="654"/>
      <c r="AC385" s="654"/>
    </row>
    <row r="386" spans="1:68" hidden="1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0</v>
      </c>
      <c r="Y386" s="653">
        <f>IFERROR(SUM(Y378:Y384),"0")</f>
        <v>0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15</v>
      </c>
      <c r="Y395" s="652">
        <f>IFERROR(IF(X395="",0,CEILING((X395/$H395),1)*$H395),"")</f>
        <v>16.8</v>
      </c>
      <c r="Z395" s="36">
        <f>IFERROR(IF(Y395=0,"",ROUNDUP(Y395/H395,0)*0.01898),"")</f>
        <v>3.7960000000000001E-2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15.882142857142856</v>
      </c>
      <c r="BN395" s="64">
        <f>IFERROR(Y395*I395/H395,"0")</f>
        <v>17.788</v>
      </c>
      <c r="BO395" s="64">
        <f>IFERROR(1/J395*(X395/H395),"0")</f>
        <v>2.7901785714285712E-2</v>
      </c>
      <c r="BP395" s="64">
        <f>IFERROR(1/J395*(Y395/H395),"0")</f>
        <v>3.125E-2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311</v>
      </c>
      <c r="Y396" s="652">
        <f>IFERROR(IF(X396="",0,CEILING((X396/$H396),1)*$H396),"")</f>
        <v>312</v>
      </c>
      <c r="Z396" s="36">
        <f>IFERROR(IF(Y396=0,"",ROUNDUP(Y396/H396,0)*0.01898),"")</f>
        <v>0.75919999999999999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330.69666666666672</v>
      </c>
      <c r="BN396" s="64">
        <f>IFERROR(Y396*I396/H396,"0")</f>
        <v>331.76</v>
      </c>
      <c r="BO396" s="64">
        <f>IFERROR(1/J396*(X396/H396),"0")</f>
        <v>0.62299679487179493</v>
      </c>
      <c r="BP396" s="64">
        <f>IFERROR(1/J396*(Y396/H396),"0")</f>
        <v>0.625</v>
      </c>
    </row>
    <row r="397" spans="1:68" ht="27" hidden="1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41.657509157509161</v>
      </c>
      <c r="Y398" s="653">
        <f>IFERROR(Y395/H395,"0")+IFERROR(Y396/H396,"0")+IFERROR(Y397/H397,"0")</f>
        <v>42</v>
      </c>
      <c r="Z398" s="653">
        <f>IFERROR(IF(Z395="",0,Z395),"0")+IFERROR(IF(Z396="",0,Z396),"0")+IFERROR(IF(Z397="",0,Z397),"0")</f>
        <v>0.79715999999999998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326</v>
      </c>
      <c r="Y399" s="653">
        <f>IFERROR(SUM(Y395:Y397),"0")</f>
        <v>328.8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0</v>
      </c>
      <c r="Y403" s="65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0</v>
      </c>
      <c r="Y405" s="653">
        <f>IFERROR(Y401/H401,"0")+IFERROR(Y402/H402,"0")+IFERROR(Y403/H403,"0")+IFERROR(Y404/H404,"0")</f>
        <v>0</v>
      </c>
      <c r="Z405" s="653">
        <f>IFERROR(IF(Z401="",0,Z401),"0")+IFERROR(IF(Z402="",0,Z402),"0")+IFERROR(IF(Z403="",0,Z403),"0")+IFERROR(IF(Z404="",0,Z404),"0")</f>
        <v>0</v>
      </c>
      <c r="AA405" s="654"/>
      <c r="AB405" s="654"/>
      <c r="AC405" s="654"/>
    </row>
    <row r="406" spans="1:68" hidden="1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0</v>
      </c>
      <c r="Y406" s="653">
        <f>IFERROR(SUM(Y401:Y404),"0")</f>
        <v>0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hidden="1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0</v>
      </c>
      <c r="Y408" s="652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0</v>
      </c>
      <c r="Y409" s="652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0</v>
      </c>
      <c r="Y410" s="652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0</v>
      </c>
      <c r="Y411" s="653">
        <f>IFERROR(Y408/H408,"0")+IFERROR(Y409/H409,"0")+IFERROR(Y410/H410,"0")</f>
        <v>0</v>
      </c>
      <c r="Z411" s="653">
        <f>IFERROR(IF(Z408="",0,Z408),"0")+IFERROR(IF(Z409="",0,Z409),"0")+IFERROR(IF(Z410="",0,Z410),"0")</f>
        <v>0</v>
      </c>
      <c r="AA411" s="654"/>
      <c r="AB411" s="654"/>
      <c r="AC411" s="654"/>
    </row>
    <row r="412" spans="1:68" hidden="1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0</v>
      </c>
      <c r="Y412" s="653">
        <f>IFERROR(SUM(Y408:Y410),"0")</f>
        <v>0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hidden="1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0</v>
      </c>
      <c r="Y417" s="653">
        <f>IFERROR(Y414/H414,"0")+IFERROR(Y415/H415,"0")+IFERROR(Y416/H416,"0")</f>
        <v>0</v>
      </c>
      <c r="Z417" s="653">
        <f>IFERROR(IF(Z414="",0,Z414),"0")+IFERROR(IF(Z415="",0,Z415),"0")+IFERROR(IF(Z416="",0,Z416),"0")</f>
        <v>0</v>
      </c>
      <c r="AA417" s="654"/>
      <c r="AB417" s="654"/>
      <c r="AC417" s="654"/>
    </row>
    <row r="418" spans="1:68" hidden="1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0</v>
      </c>
      <c r="Y418" s="653">
        <f>IFERROR(SUM(Y414:Y416),"0")</f>
        <v>0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26</v>
      </c>
      <c r="Y428" s="652">
        <f>IFERROR(IF(X428="",0,CEILING((X428/$H428),1)*$H428),"")</f>
        <v>27.3</v>
      </c>
      <c r="Z428" s="36">
        <f>IFERROR(IF(Y428=0,"",ROUNDUP(Y428/H428,0)*0.00651),"")</f>
        <v>8.4629999999999997E-2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29.119999999999997</v>
      </c>
      <c r="BN428" s="64">
        <f>IFERROR(Y428*I428/H428,"0")</f>
        <v>30.575999999999997</v>
      </c>
      <c r="BO428" s="64">
        <f>IFERROR(1/J428*(X428/H428),"0")</f>
        <v>6.8027210884353734E-2</v>
      </c>
      <c r="BP428" s="64">
        <f>IFERROR(1/J428*(Y428/H428),"0")</f>
        <v>7.1428571428571438E-2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0</v>
      </c>
      <c r="Y429" s="652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12.38095238095238</v>
      </c>
      <c r="Y430" s="653">
        <f>IFERROR(Y427/H427,"0")+IFERROR(Y428/H428,"0")+IFERROR(Y429/H429,"0")</f>
        <v>13</v>
      </c>
      <c r="Z430" s="653">
        <f>IFERROR(IF(Z427="",0,Z427),"0")+IFERROR(IF(Z428="",0,Z428),"0")+IFERROR(IF(Z429="",0,Z429),"0")</f>
        <v>8.4629999999999997E-2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26</v>
      </c>
      <c r="Y431" s="653">
        <f>IFERROR(SUM(Y427:Y429),"0")</f>
        <v>27.3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286</v>
      </c>
      <c r="Y436" s="652">
        <f t="shared" si="65"/>
        <v>300</v>
      </c>
      <c r="Z436" s="36">
        <f>IFERROR(IF(Y436=0,"",ROUNDUP(Y436/H436,0)*0.02175),"")</f>
        <v>0.43499999999999994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294.96133333333336</v>
      </c>
      <c r="BN436" s="64">
        <f t="shared" si="67"/>
        <v>309.39999999999998</v>
      </c>
      <c r="BO436" s="64">
        <f t="shared" si="68"/>
        <v>0.3972222222222222</v>
      </c>
      <c r="BP436" s="64">
        <f t="shared" si="69"/>
        <v>0.41666666666666663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280</v>
      </c>
      <c r="Y437" s="652">
        <f t="shared" si="65"/>
        <v>285</v>
      </c>
      <c r="Z437" s="36">
        <f>IFERROR(IF(Y437=0,"",ROUNDUP(Y437/H437,0)*0.02175),"")</f>
        <v>0.41324999999999995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288.77333333333337</v>
      </c>
      <c r="BN437" s="64">
        <f t="shared" si="67"/>
        <v>293.93</v>
      </c>
      <c r="BO437" s="64">
        <f t="shared" si="68"/>
        <v>0.3888888888888889</v>
      </c>
      <c r="BP437" s="64">
        <f t="shared" si="69"/>
        <v>0.39583333333333331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463</v>
      </c>
      <c r="Y438" s="652">
        <f t="shared" si="65"/>
        <v>465</v>
      </c>
      <c r="Z438" s="36">
        <f>IFERROR(IF(Y438=0,"",ROUNDUP(Y438/H438,0)*0.02175),"")</f>
        <v>0.6742499999999999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477.50733333333335</v>
      </c>
      <c r="BN438" s="64">
        <f t="shared" si="67"/>
        <v>479.57</v>
      </c>
      <c r="BO438" s="64">
        <f t="shared" si="68"/>
        <v>0.64305555555555549</v>
      </c>
      <c r="BP438" s="64">
        <f t="shared" si="69"/>
        <v>0.64583333333333326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162</v>
      </c>
      <c r="Y439" s="652">
        <f t="shared" si="65"/>
        <v>165</v>
      </c>
      <c r="Z439" s="36">
        <f>IFERROR(IF(Y439=0,"",ROUNDUP(Y439/H439,0)*0.02175),"")</f>
        <v>0.23924999999999999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167.07600000000002</v>
      </c>
      <c r="BN439" s="64">
        <f t="shared" si="67"/>
        <v>170.17000000000002</v>
      </c>
      <c r="BO439" s="64">
        <f t="shared" si="68"/>
        <v>0.22500000000000001</v>
      </c>
      <c r="BP439" s="64">
        <f t="shared" si="69"/>
        <v>0.22916666666666666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79.399999999999991</v>
      </c>
      <c r="Y443" s="653">
        <f>IFERROR(Y435/H435,"0")+IFERROR(Y436/H436,"0")+IFERROR(Y437/H437,"0")+IFERROR(Y438/H438,"0")+IFERROR(Y439/H439,"0")+IFERROR(Y440/H440,"0")+IFERROR(Y441/H441,"0")+IFERROR(Y442/H442,"0")</f>
        <v>81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1.7617499999999999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1191</v>
      </c>
      <c r="Y444" s="653">
        <f>IFERROR(SUM(Y435:Y442),"0")</f>
        <v>1215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598</v>
      </c>
      <c r="Y446" s="652">
        <f>IFERROR(IF(X446="",0,CEILING((X446/$H446),1)*$H446),"")</f>
        <v>600</v>
      </c>
      <c r="Z446" s="36">
        <f>IFERROR(IF(Y446=0,"",ROUNDUP(Y446/H446,0)*0.02175),"")</f>
        <v>0.86999999999999988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616.73733333333325</v>
      </c>
      <c r="BN446" s="64">
        <f>IFERROR(Y446*I446/H446,"0")</f>
        <v>618.79999999999995</v>
      </c>
      <c r="BO446" s="64">
        <f>IFERROR(1/J446*(X446/H446),"0")</f>
        <v>0.83055555555555549</v>
      </c>
      <c r="BP446" s="64">
        <f>IFERROR(1/J446*(Y446/H446),"0")</f>
        <v>0.83333333333333326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39.866666666666667</v>
      </c>
      <c r="Y449" s="653">
        <f>IFERROR(Y446/H446,"0")+IFERROR(Y447/H447,"0")+IFERROR(Y448/H448,"0")</f>
        <v>40</v>
      </c>
      <c r="Z449" s="653">
        <f>IFERROR(IF(Z446="",0,Z446),"0")+IFERROR(IF(Z447="",0,Z447),"0")+IFERROR(IF(Z448="",0,Z448),"0")</f>
        <v>0.86999999999999988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598</v>
      </c>
      <c r="Y450" s="653">
        <f>IFERROR(SUM(Y446:Y448),"0")</f>
        <v>600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hidden="1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hidden="1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1000</v>
      </c>
      <c r="Y473" s="652">
        <f>IFERROR(IF(X473="",0,CEILING((X473/$H473),1)*$H473),"")</f>
        <v>1008</v>
      </c>
      <c r="Z473" s="36">
        <f>IFERROR(IF(Y473=0,"",ROUNDUP(Y473/H473,0)*0.01898),"")</f>
        <v>2.1257600000000001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1054.8888888888889</v>
      </c>
      <c r="BN473" s="64">
        <f>IFERROR(Y473*I473/H473,"0")</f>
        <v>1063.328</v>
      </c>
      <c r="BO473" s="64">
        <f>IFERROR(1/J473*(X473/H473),"0")</f>
        <v>1.7361111111111112</v>
      </c>
      <c r="BP473" s="64">
        <f>IFERROR(1/J473*(Y473/H473),"0")</f>
        <v>1.75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0</v>
      </c>
      <c r="Y474" s="652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111.11111111111111</v>
      </c>
      <c r="Y476" s="653">
        <f>IFERROR(Y473/H473,"0")+IFERROR(Y474/H474,"0")+IFERROR(Y475/H475,"0")</f>
        <v>112</v>
      </c>
      <c r="Z476" s="653">
        <f>IFERROR(IF(Z473="",0,Z473),"0")+IFERROR(IF(Z474="",0,Z474),"0")+IFERROR(IF(Z475="",0,Z475),"0")</f>
        <v>2.1257600000000001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1000</v>
      </c>
      <c r="Y477" s="653">
        <f>IFERROR(SUM(Y473:Y475),"0")</f>
        <v>1008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hidden="1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idden="1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hidden="1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hidden="1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188</v>
      </c>
      <c r="Y511" s="652">
        <f t="shared" si="75"/>
        <v>190.08</v>
      </c>
      <c r="Z511" s="36">
        <f t="shared" si="76"/>
        <v>0.43056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200.46212121212122</v>
      </c>
      <c r="BN511" s="64">
        <f t="shared" si="78"/>
        <v>202.67999999999998</v>
      </c>
      <c r="BO511" s="64">
        <f t="shared" si="79"/>
        <v>0.34236596736596736</v>
      </c>
      <c r="BP511" s="64">
        <f t="shared" si="80"/>
        <v>0.34615384615384615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358</v>
      </c>
      <c r="Y513" s="652">
        <f t="shared" si="75"/>
        <v>359.04</v>
      </c>
      <c r="Z513" s="36">
        <f t="shared" si="76"/>
        <v>0.81328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381.73106060606057</v>
      </c>
      <c r="BN513" s="64">
        <f t="shared" si="78"/>
        <v>382.84000000000003</v>
      </c>
      <c r="BO513" s="64">
        <f t="shared" si="79"/>
        <v>0.65195221445221441</v>
      </c>
      <c r="BP513" s="64">
        <f t="shared" si="80"/>
        <v>0.65384615384615385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hidden="1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103.40909090909091</v>
      </c>
      <c r="Y517" s="653">
        <f>IFERROR(Y508/H508,"0")+IFERROR(Y509/H509,"0")+IFERROR(Y510/H510,"0")+IFERROR(Y511/H511,"0")+IFERROR(Y512/H512,"0")+IFERROR(Y513/H513,"0")+IFERROR(Y514/H514,"0")+IFERROR(Y515/H515,"0")+IFERROR(Y516/H516,"0")</f>
        <v>104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1.2438400000000001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546</v>
      </c>
      <c r="Y518" s="653">
        <f>IFERROR(SUM(Y508:Y516),"0")</f>
        <v>549.12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237</v>
      </c>
      <c r="Y520" s="652">
        <f>IFERROR(IF(X520="",0,CEILING((X520/$H520),1)*$H520),"")</f>
        <v>237.60000000000002</v>
      </c>
      <c r="Z520" s="36">
        <f>IFERROR(IF(Y520=0,"",ROUNDUP(Y520/H520,0)*0.01196),"")</f>
        <v>0.53820000000000001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252.71022727272725</v>
      </c>
      <c r="BN520" s="64">
        <f>IFERROR(Y520*I520/H520,"0")</f>
        <v>253.35</v>
      </c>
      <c r="BO520" s="64">
        <f>IFERROR(1/J520*(X520/H520),"0")</f>
        <v>0.43159965034965037</v>
      </c>
      <c r="BP520" s="64">
        <f>IFERROR(1/J520*(Y520/H520),"0")</f>
        <v>0.43269230769230771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44.886363636363633</v>
      </c>
      <c r="Y523" s="653">
        <f>IFERROR(Y520/H520,"0")+IFERROR(Y521/H521,"0")+IFERROR(Y522/H522,"0")</f>
        <v>45</v>
      </c>
      <c r="Z523" s="653">
        <f>IFERROR(IF(Z520="",0,Z520),"0")+IFERROR(IF(Z521="",0,Z521),"0")+IFERROR(IF(Z522="",0,Z522),"0")</f>
        <v>0.53820000000000001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237</v>
      </c>
      <c r="Y524" s="653">
        <f>IFERROR(SUM(Y520:Y522),"0")</f>
        <v>237.60000000000002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hidden="1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269</v>
      </c>
      <c r="Y527" s="652">
        <f t="shared" si="81"/>
        <v>269.28000000000003</v>
      </c>
      <c r="Z527" s="36">
        <f>IFERROR(IF(Y527=0,"",ROUNDUP(Y527/H527,0)*0.01196),"")</f>
        <v>0.60996000000000006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286.83143939393938</v>
      </c>
      <c r="BN527" s="64">
        <f t="shared" si="83"/>
        <v>287.13</v>
      </c>
      <c r="BO527" s="64">
        <f t="shared" si="84"/>
        <v>0.48987470862470861</v>
      </c>
      <c r="BP527" s="64">
        <f t="shared" si="85"/>
        <v>0.49038461538461542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160</v>
      </c>
      <c r="Y528" s="652">
        <f t="shared" si="81"/>
        <v>163.68</v>
      </c>
      <c r="Z528" s="36">
        <f>IFERROR(IF(Y528=0,"",ROUNDUP(Y528/H528,0)*0.01196),"")</f>
        <v>0.37075999999999998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170.60606060606059</v>
      </c>
      <c r="BN528" s="64">
        <f t="shared" si="83"/>
        <v>174.53</v>
      </c>
      <c r="BO528" s="64">
        <f t="shared" si="84"/>
        <v>0.29137529137529139</v>
      </c>
      <c r="BP528" s="64">
        <f t="shared" si="85"/>
        <v>0.29807692307692307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81.25</v>
      </c>
      <c r="Y533" s="653">
        <f>IFERROR(Y526/H526,"0")+IFERROR(Y527/H527,"0")+IFERROR(Y528/H528,"0")+IFERROR(Y529/H529,"0")+IFERROR(Y530/H530,"0")+IFERROR(Y531/H531,"0")+IFERROR(Y532/H532,"0")</f>
        <v>82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0.98072000000000004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429</v>
      </c>
      <c r="Y534" s="653">
        <f>IFERROR(SUM(Y526:Y532),"0")</f>
        <v>432.96000000000004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hidden="1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hidden="1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9302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9418.86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9845.077396960427</v>
      </c>
      <c r="Y564" s="653">
        <f>IFERROR(SUM(BN22:BN560),"0")</f>
        <v>9969.1780000000017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17</v>
      </c>
      <c r="Y565" s="38">
        <f>ROUNDUP(SUM(BP22:BP560),0)</f>
        <v>17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10270.077396960427</v>
      </c>
      <c r="Y566" s="653">
        <f>GrossWeightTotalR+PalletQtyTotalR*25</f>
        <v>10394.178000000002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1521.5313026267052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1539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19.562520000000003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39.6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734.40000000000009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285.60000000000002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816.30000000000007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1077.3</v>
      </c>
      <c r="H573" s="46">
        <f>IFERROR(Y140*1,"0")+IFERROR(Y141*1,"0")+IFERROR(Y145*1,"0")+IFERROR(Y146*1,"0")+IFERROR(Y150*1,"0")+IFERROR(Y151*1,"0")</f>
        <v>0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180.18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1370.1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103.19999999999999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413.4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328.8</v>
      </c>
      <c r="U573" s="46">
        <f>IFERROR(Y421*1,"0")+IFERROR(Y422*1,"0")</f>
        <v>0</v>
      </c>
      <c r="V573" s="46">
        <f>IFERROR(Y427*1,"0")+IFERROR(Y428*1,"0")+IFERROR(Y429*1,"0")</f>
        <v>27.3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1815</v>
      </c>
      <c r="X573" s="46">
        <f>IFERROR(Y464*1,"0")+IFERROR(Y465*1,"0")+IFERROR(Y469*1,"0")+IFERROR(Y473*1,"0")+IFERROR(Y474*1,"0")+IFERROR(Y475*1,"0")</f>
        <v>1008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1219.68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91,00"/>
        <filter val="1 257,00"/>
        <filter val="1 521,53"/>
        <filter val="1,79"/>
        <filter val="10 270,08"/>
        <filter val="101,00"/>
        <filter val="103,41"/>
        <filter val="111,00"/>
        <filter val="111,11"/>
        <filter val="12,38"/>
        <filter val="120,00"/>
        <filter val="13,89"/>
        <filter val="135,00"/>
        <filter val="14,00"/>
        <filter val="15,00"/>
        <filter val="160,00"/>
        <filter val="162,00"/>
        <filter val="17"/>
        <filter val="175,00"/>
        <filter val="188,00"/>
        <filter val="19,00"/>
        <filter val="199,00"/>
        <filter val="2,38"/>
        <filter val="20,00"/>
        <filter val="204,00"/>
        <filter val="21,11"/>
        <filter val="237,00"/>
        <filter val="24,54"/>
        <filter val="250,00"/>
        <filter val="259,00"/>
        <filter val="26,00"/>
        <filter val="265,00"/>
        <filter val="269,00"/>
        <filter val="280,00"/>
        <filter val="286,00"/>
        <filter val="3,00"/>
        <filter val="311,00"/>
        <filter val="320,00"/>
        <filter val="326,00"/>
        <filter val="358,00"/>
        <filter val="37,54"/>
        <filter val="38,00"/>
        <filter val="39,87"/>
        <filter val="390,00"/>
        <filter val="40,00"/>
        <filter val="403,00"/>
        <filter val="41,66"/>
        <filter val="415,69"/>
        <filter val="417,00"/>
        <filter val="42,08"/>
        <filter val="424,00"/>
        <filter val="429,00"/>
        <filter val="44,89"/>
        <filter val="463,00"/>
        <filter val="489,00"/>
        <filter val="51,67"/>
        <filter val="525,00"/>
        <filter val="535,00"/>
        <filter val="546,00"/>
        <filter val="598,00"/>
        <filter val="600,00"/>
        <filter val="61,00"/>
        <filter val="66,11"/>
        <filter val="67,50"/>
        <filter val="72,00"/>
        <filter val="729,00"/>
        <filter val="73,00"/>
        <filter val="75,00"/>
        <filter val="78,15"/>
        <filter val="79,40"/>
        <filter val="8,33"/>
        <filter val="81,25"/>
        <filter val="83,33"/>
        <filter val="9 302,00"/>
        <filter val="9 845,08"/>
        <filter val="93,46"/>
        <filter val="96,00"/>
        <filter val="99,00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