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251CB4E-4AF8-46BD-A988-6D865144BE5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1" l="1"/>
  <c r="X561" i="1"/>
  <c r="BO560" i="1"/>
  <c r="BM560" i="1"/>
  <c r="Y560" i="1"/>
  <c r="P560" i="1"/>
  <c r="X557" i="1"/>
  <c r="X556" i="1"/>
  <c r="BO555" i="1"/>
  <c r="BM555" i="1"/>
  <c r="Y555" i="1"/>
  <c r="BN555" i="1" s="1"/>
  <c r="P555" i="1"/>
  <c r="BO554" i="1"/>
  <c r="BM554" i="1"/>
  <c r="Y554" i="1"/>
  <c r="Y556" i="1" s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AB573" i="1" s="1"/>
  <c r="P538" i="1"/>
  <c r="X534" i="1"/>
  <c r="X533" i="1"/>
  <c r="BO532" i="1"/>
  <c r="BM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BN529" i="1" s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BN513" i="1" s="1"/>
  <c r="P513" i="1"/>
  <c r="BO512" i="1"/>
  <c r="BM512" i="1"/>
  <c r="Y512" i="1"/>
  <c r="P512" i="1"/>
  <c r="BO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M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O490" i="1"/>
  <c r="BM490" i="1"/>
  <c r="Y490" i="1"/>
  <c r="BN490" i="1" s="1"/>
  <c r="P490" i="1"/>
  <c r="X488" i="1"/>
  <c r="X487" i="1"/>
  <c r="BO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O474" i="1"/>
  <c r="BM474" i="1"/>
  <c r="Y474" i="1"/>
  <c r="BN474" i="1" s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O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BN453" i="1" s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BN437" i="1" s="1"/>
  <c r="P437" i="1"/>
  <c r="BO436" i="1"/>
  <c r="BM436" i="1"/>
  <c r="Y436" i="1"/>
  <c r="P436" i="1"/>
  <c r="BO435" i="1"/>
  <c r="BM435" i="1"/>
  <c r="Y435" i="1"/>
  <c r="BP435" i="1" s="1"/>
  <c r="P435" i="1"/>
  <c r="X431" i="1"/>
  <c r="X430" i="1"/>
  <c r="BO429" i="1"/>
  <c r="BM429" i="1"/>
  <c r="Y429" i="1"/>
  <c r="BN429" i="1" s="1"/>
  <c r="P429" i="1"/>
  <c r="BO428" i="1"/>
  <c r="BM428" i="1"/>
  <c r="Y428" i="1"/>
  <c r="Y430" i="1" s="1"/>
  <c r="P428" i="1"/>
  <c r="BP427" i="1"/>
  <c r="BO427" i="1"/>
  <c r="BN427" i="1"/>
  <c r="BM427" i="1"/>
  <c r="Z427" i="1"/>
  <c r="Y427" i="1"/>
  <c r="P427" i="1"/>
  <c r="X424" i="1"/>
  <c r="Y423" i="1"/>
  <c r="X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Y418" i="1" s="1"/>
  <c r="P414" i="1"/>
  <c r="X412" i="1"/>
  <c r="X411" i="1"/>
  <c r="BO410" i="1"/>
  <c r="BM410" i="1"/>
  <c r="Y410" i="1"/>
  <c r="P410" i="1"/>
  <c r="BO409" i="1"/>
  <c r="BM409" i="1"/>
  <c r="Y409" i="1"/>
  <c r="BN409" i="1" s="1"/>
  <c r="P409" i="1"/>
  <c r="BO408" i="1"/>
  <c r="BM408" i="1"/>
  <c r="Y408" i="1"/>
  <c r="P408" i="1"/>
  <c r="X406" i="1"/>
  <c r="X405" i="1"/>
  <c r="BO404" i="1"/>
  <c r="BM404" i="1"/>
  <c r="Y404" i="1"/>
  <c r="P404" i="1"/>
  <c r="BO403" i="1"/>
  <c r="BM403" i="1"/>
  <c r="Y403" i="1"/>
  <c r="BN403" i="1" s="1"/>
  <c r="P403" i="1"/>
  <c r="BO402" i="1"/>
  <c r="BM402" i="1"/>
  <c r="Y402" i="1"/>
  <c r="P402" i="1"/>
  <c r="BO401" i="1"/>
  <c r="BM401" i="1"/>
  <c r="Y401" i="1"/>
  <c r="BP401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P391" i="1"/>
  <c r="BO390" i="1"/>
  <c r="BM390" i="1"/>
  <c r="Y390" i="1"/>
  <c r="P390" i="1"/>
  <c r="BO389" i="1"/>
  <c r="BM389" i="1"/>
  <c r="Z389" i="1"/>
  <c r="Y389" i="1"/>
  <c r="BN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Z381" i="1"/>
  <c r="Y381" i="1"/>
  <c r="BN381" i="1" s="1"/>
  <c r="P381" i="1"/>
  <c r="BO380" i="1"/>
  <c r="BM380" i="1"/>
  <c r="Y380" i="1"/>
  <c r="P380" i="1"/>
  <c r="BO379" i="1"/>
  <c r="BM379" i="1"/>
  <c r="Y379" i="1"/>
  <c r="BN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BO371" i="1"/>
  <c r="BM371" i="1"/>
  <c r="Y371" i="1"/>
  <c r="BP371" i="1" s="1"/>
  <c r="P371" i="1"/>
  <c r="BO370" i="1"/>
  <c r="BM370" i="1"/>
  <c r="Y370" i="1"/>
  <c r="P370" i="1"/>
  <c r="X367" i="1"/>
  <c r="X366" i="1"/>
  <c r="BO365" i="1"/>
  <c r="BM365" i="1"/>
  <c r="Y365" i="1"/>
  <c r="P365" i="1"/>
  <c r="BO364" i="1"/>
  <c r="BM364" i="1"/>
  <c r="Y364" i="1"/>
  <c r="BN364" i="1" s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BN349" i="1" s="1"/>
  <c r="P349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BN342" i="1" s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Z335" i="1"/>
  <c r="Y335" i="1"/>
  <c r="BN335" i="1" s="1"/>
  <c r="P335" i="1"/>
  <c r="BO334" i="1"/>
  <c r="BM334" i="1"/>
  <c r="Y334" i="1"/>
  <c r="P334" i="1"/>
  <c r="BO333" i="1"/>
  <c r="BM333" i="1"/>
  <c r="Z333" i="1"/>
  <c r="Y333" i="1"/>
  <c r="BN333" i="1" s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Z326" i="1" s="1"/>
  <c r="P326" i="1"/>
  <c r="X324" i="1"/>
  <c r="X323" i="1"/>
  <c r="BO322" i="1"/>
  <c r="BM322" i="1"/>
  <c r="Y322" i="1"/>
  <c r="Y323" i="1" s="1"/>
  <c r="P322" i="1"/>
  <c r="X320" i="1"/>
  <c r="X319" i="1"/>
  <c r="BO318" i="1"/>
  <c r="BM318" i="1"/>
  <c r="Z318" i="1"/>
  <c r="Z319" i="1" s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BN312" i="1" s="1"/>
  <c r="P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X305" i="1"/>
  <c r="X304" i="1"/>
  <c r="BO303" i="1"/>
  <c r="BM303" i="1"/>
  <c r="Y303" i="1"/>
  <c r="BN303" i="1" s="1"/>
  <c r="P303" i="1"/>
  <c r="BO302" i="1"/>
  <c r="BM302" i="1"/>
  <c r="Y302" i="1"/>
  <c r="Y304" i="1" s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BN295" i="1" s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BN287" i="1" s="1"/>
  <c r="P287" i="1"/>
  <c r="X285" i="1"/>
  <c r="X284" i="1"/>
  <c r="BO283" i="1"/>
  <c r="BM283" i="1"/>
  <c r="Y283" i="1"/>
  <c r="BP283" i="1" s="1"/>
  <c r="P283" i="1"/>
  <c r="BP282" i="1"/>
  <c r="BO282" i="1"/>
  <c r="BN282" i="1"/>
  <c r="BM282" i="1"/>
  <c r="Z282" i="1"/>
  <c r="Y282" i="1"/>
  <c r="P282" i="1"/>
  <c r="BO281" i="1"/>
  <c r="BM281" i="1"/>
  <c r="Y281" i="1"/>
  <c r="BP281" i="1" s="1"/>
  <c r="P281" i="1"/>
  <c r="BO280" i="1"/>
  <c r="BM280" i="1"/>
  <c r="Y280" i="1"/>
  <c r="BN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P276" i="1"/>
  <c r="X274" i="1"/>
  <c r="X273" i="1"/>
  <c r="BO272" i="1"/>
  <c r="BM272" i="1"/>
  <c r="Y272" i="1"/>
  <c r="BN272" i="1" s="1"/>
  <c r="P272" i="1"/>
  <c r="BO271" i="1"/>
  <c r="BM271" i="1"/>
  <c r="Y271" i="1"/>
  <c r="Y273" i="1" s="1"/>
  <c r="P271" i="1"/>
  <c r="X269" i="1"/>
  <c r="X268" i="1"/>
  <c r="BO267" i="1"/>
  <c r="BM267" i="1"/>
  <c r="Y267" i="1"/>
  <c r="P267" i="1"/>
  <c r="BO266" i="1"/>
  <c r="BM266" i="1"/>
  <c r="Y266" i="1"/>
  <c r="BN266" i="1" s="1"/>
  <c r="P266" i="1"/>
  <c r="X263" i="1"/>
  <c r="X262" i="1"/>
  <c r="BO261" i="1"/>
  <c r="BM261" i="1"/>
  <c r="Y261" i="1"/>
  <c r="P261" i="1"/>
  <c r="X259" i="1"/>
  <c r="X258" i="1"/>
  <c r="BO257" i="1"/>
  <c r="BM257" i="1"/>
  <c r="Y257" i="1"/>
  <c r="P257" i="1"/>
  <c r="BO256" i="1"/>
  <c r="BM256" i="1"/>
  <c r="Y256" i="1"/>
  <c r="Y258" i="1" s="1"/>
  <c r="P256" i="1"/>
  <c r="BO255" i="1"/>
  <c r="BM255" i="1"/>
  <c r="Y255" i="1"/>
  <c r="BN255" i="1" s="1"/>
  <c r="P255" i="1"/>
  <c r="X253" i="1"/>
  <c r="X252" i="1"/>
  <c r="BO251" i="1"/>
  <c r="BM251" i="1"/>
  <c r="Y251" i="1"/>
  <c r="BP251" i="1" s="1"/>
  <c r="P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Y252" i="1" s="1"/>
  <c r="P248" i="1"/>
  <c r="BP247" i="1"/>
  <c r="BO247" i="1"/>
  <c r="BN247" i="1"/>
  <c r="BM247" i="1"/>
  <c r="Z247" i="1"/>
  <c r="Y247" i="1"/>
  <c r="P247" i="1"/>
  <c r="X245" i="1"/>
  <c r="X244" i="1"/>
  <c r="BO243" i="1"/>
  <c r="BM243" i="1"/>
  <c r="Y243" i="1"/>
  <c r="BP243" i="1" s="1"/>
  <c r="P243" i="1"/>
  <c r="BO242" i="1"/>
  <c r="BM242" i="1"/>
  <c r="Y242" i="1"/>
  <c r="BN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N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N219" i="1" s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BN215" i="1" s="1"/>
  <c r="P215" i="1"/>
  <c r="X211" i="1"/>
  <c r="X210" i="1"/>
  <c r="BO209" i="1"/>
  <c r="BM209" i="1"/>
  <c r="Y209" i="1"/>
  <c r="P209" i="1"/>
  <c r="X207" i="1"/>
  <c r="X206" i="1"/>
  <c r="BO205" i="1"/>
  <c r="BM205" i="1"/>
  <c r="Y205" i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BO193" i="1"/>
  <c r="BM193" i="1"/>
  <c r="Z193" i="1"/>
  <c r="Y193" i="1"/>
  <c r="BN193" i="1" s="1"/>
  <c r="BO192" i="1"/>
  <c r="BM192" i="1"/>
  <c r="Y192" i="1"/>
  <c r="BN192" i="1" s="1"/>
  <c r="P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BP189" i="1" s="1"/>
  <c r="BO188" i="1"/>
  <c r="BM188" i="1"/>
  <c r="Y188" i="1"/>
  <c r="BP188" i="1" s="1"/>
  <c r="P188" i="1"/>
  <c r="BO187" i="1"/>
  <c r="BM187" i="1"/>
  <c r="Y187" i="1"/>
  <c r="BP187" i="1" s="1"/>
  <c r="BO186" i="1"/>
  <c r="BM186" i="1"/>
  <c r="Y186" i="1"/>
  <c r="P186" i="1"/>
  <c r="BO185" i="1"/>
  <c r="BM185" i="1"/>
  <c r="Y185" i="1"/>
  <c r="BP185" i="1" s="1"/>
  <c r="BO184" i="1"/>
  <c r="BM184" i="1"/>
  <c r="Y184" i="1"/>
  <c r="BP184" i="1" s="1"/>
  <c r="P184" i="1"/>
  <c r="BO183" i="1"/>
  <c r="BN183" i="1"/>
  <c r="BM183" i="1"/>
  <c r="Z183" i="1"/>
  <c r="Y183" i="1"/>
  <c r="BP183" i="1" s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BP172" i="1" s="1"/>
  <c r="P172" i="1"/>
  <c r="BO171" i="1"/>
  <c r="BM171" i="1"/>
  <c r="Z171" i="1"/>
  <c r="Y171" i="1"/>
  <c r="BN171" i="1" s="1"/>
  <c r="P171" i="1"/>
  <c r="X168" i="1"/>
  <c r="Y167" i="1"/>
  <c r="X167" i="1"/>
  <c r="BO166" i="1"/>
  <c r="BM166" i="1"/>
  <c r="Y166" i="1"/>
  <c r="BN166" i="1" s="1"/>
  <c r="P166" i="1"/>
  <c r="X164" i="1"/>
  <c r="X163" i="1"/>
  <c r="BO162" i="1"/>
  <c r="BM162" i="1"/>
  <c r="Y162" i="1"/>
  <c r="BP162" i="1" s="1"/>
  <c r="P162" i="1"/>
  <c r="BO161" i="1"/>
  <c r="BM161" i="1"/>
  <c r="Y161" i="1"/>
  <c r="BP161" i="1" s="1"/>
  <c r="P161" i="1"/>
  <c r="BO160" i="1"/>
  <c r="BM160" i="1"/>
  <c r="Y160" i="1"/>
  <c r="P160" i="1"/>
  <c r="BO159" i="1"/>
  <c r="BM159" i="1"/>
  <c r="Y159" i="1"/>
  <c r="BP159" i="1" s="1"/>
  <c r="P159" i="1"/>
  <c r="BP158" i="1"/>
  <c r="BO158" i="1"/>
  <c r="BM158" i="1"/>
  <c r="Y158" i="1"/>
  <c r="P158" i="1"/>
  <c r="BO157" i="1"/>
  <c r="BM157" i="1"/>
  <c r="Y157" i="1"/>
  <c r="BP157" i="1" s="1"/>
  <c r="P157" i="1"/>
  <c r="BO156" i="1"/>
  <c r="BM156" i="1"/>
  <c r="Y156" i="1"/>
  <c r="P156" i="1"/>
  <c r="X153" i="1"/>
  <c r="X152" i="1"/>
  <c r="BO151" i="1"/>
  <c r="BM151" i="1"/>
  <c r="Y151" i="1"/>
  <c r="P151" i="1"/>
  <c r="BO150" i="1"/>
  <c r="BM150" i="1"/>
  <c r="Y150" i="1"/>
  <c r="Y153" i="1" s="1"/>
  <c r="P150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H573" i="1" s="1"/>
  <c r="P140" i="1"/>
  <c r="X137" i="1"/>
  <c r="X136" i="1"/>
  <c r="BO135" i="1"/>
  <c r="BM135" i="1"/>
  <c r="Y135" i="1"/>
  <c r="BP135" i="1" s="1"/>
  <c r="BO134" i="1"/>
  <c r="BM134" i="1"/>
  <c r="Y134" i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O128" i="1"/>
  <c r="BM128" i="1"/>
  <c r="Y128" i="1"/>
  <c r="BO127" i="1"/>
  <c r="BM127" i="1"/>
  <c r="Y127" i="1"/>
  <c r="BP127" i="1" s="1"/>
  <c r="P127" i="1"/>
  <c r="BO126" i="1"/>
  <c r="BM126" i="1"/>
  <c r="Y126" i="1"/>
  <c r="BP126" i="1" s="1"/>
  <c r="BO125" i="1"/>
  <c r="BM125" i="1"/>
  <c r="Y125" i="1"/>
  <c r="BP125" i="1" s="1"/>
  <c r="P125" i="1"/>
  <c r="BO124" i="1"/>
  <c r="BM124" i="1"/>
  <c r="Y124" i="1"/>
  <c r="BO123" i="1"/>
  <c r="BM123" i="1"/>
  <c r="Y123" i="1"/>
  <c r="BN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BO109" i="1"/>
  <c r="BM109" i="1"/>
  <c r="Y109" i="1"/>
  <c r="BP109" i="1" s="1"/>
  <c r="P109" i="1"/>
  <c r="BO108" i="1"/>
  <c r="BM108" i="1"/>
  <c r="Z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BN104" i="1" s="1"/>
  <c r="P104" i="1"/>
  <c r="X101" i="1"/>
  <c r="X100" i="1"/>
  <c r="BO99" i="1"/>
  <c r="BM99" i="1"/>
  <c r="Y99" i="1"/>
  <c r="P99" i="1"/>
  <c r="BO98" i="1"/>
  <c r="BM98" i="1"/>
  <c r="Y98" i="1"/>
  <c r="BP98" i="1" s="1"/>
  <c r="BO97" i="1"/>
  <c r="BM97" i="1"/>
  <c r="Y97" i="1"/>
  <c r="BP97" i="1" s="1"/>
  <c r="P97" i="1"/>
  <c r="BO96" i="1"/>
  <c r="BM96" i="1"/>
  <c r="Z96" i="1"/>
  <c r="Y96" i="1"/>
  <c r="BN96" i="1" s="1"/>
  <c r="BO95" i="1"/>
  <c r="BM95" i="1"/>
  <c r="Y95" i="1"/>
  <c r="BN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N88" i="1" s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Z85" i="1"/>
  <c r="Y85" i="1"/>
  <c r="BN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M78" i="1"/>
  <c r="Y78" i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N66" i="1" s="1"/>
  <c r="P66" i="1"/>
  <c r="BO65" i="1"/>
  <c r="BM65" i="1"/>
  <c r="Y65" i="1"/>
  <c r="BP65" i="1" s="1"/>
  <c r="P65" i="1"/>
  <c r="BO64" i="1"/>
  <c r="BM64" i="1"/>
  <c r="Y64" i="1"/>
  <c r="P64" i="1"/>
  <c r="X62" i="1"/>
  <c r="X61" i="1"/>
  <c r="BO60" i="1"/>
  <c r="BM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Z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P49" i="1"/>
  <c r="BO48" i="1"/>
  <c r="BM48" i="1"/>
  <c r="Y48" i="1"/>
  <c r="BP48" i="1" s="1"/>
  <c r="P48" i="1"/>
  <c r="BP47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Z39" i="1"/>
  <c r="Y39" i="1"/>
  <c r="BN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Z29" i="1"/>
  <c r="Y29" i="1"/>
  <c r="BN29" i="1" s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24" i="1"/>
  <c r="BO23" i="1"/>
  <c r="BM23" i="1"/>
  <c r="Z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BP31" i="1" l="1"/>
  <c r="BN37" i="1"/>
  <c r="Z37" i="1"/>
  <c r="BP49" i="1"/>
  <c r="BN49" i="1"/>
  <c r="Z49" i="1"/>
  <c r="BN64" i="1"/>
  <c r="Z64" i="1"/>
  <c r="BN80" i="1"/>
  <c r="BN127" i="1"/>
  <c r="BN141" i="1"/>
  <c r="BN151" i="1"/>
  <c r="Z151" i="1"/>
  <c r="BP160" i="1"/>
  <c r="BN160" i="1"/>
  <c r="Z160" i="1"/>
  <c r="BN162" i="1"/>
  <c r="BP186" i="1"/>
  <c r="BN186" i="1"/>
  <c r="Z186" i="1"/>
  <c r="BP217" i="1"/>
  <c r="BN217" i="1"/>
  <c r="Z217" i="1"/>
  <c r="BP221" i="1"/>
  <c r="BN221" i="1"/>
  <c r="Z221" i="1"/>
  <c r="BN257" i="1"/>
  <c r="Z257" i="1"/>
  <c r="BP297" i="1"/>
  <c r="BN297" i="1"/>
  <c r="Z297" i="1"/>
  <c r="BP314" i="1"/>
  <c r="BN314" i="1"/>
  <c r="Z314" i="1"/>
  <c r="BP337" i="1"/>
  <c r="BN337" i="1"/>
  <c r="Z337" i="1"/>
  <c r="BN371" i="1"/>
  <c r="BP383" i="1"/>
  <c r="BN383" i="1"/>
  <c r="Z383" i="1"/>
  <c r="BN401" i="1"/>
  <c r="BN435" i="1"/>
  <c r="BP447" i="1"/>
  <c r="BN447" i="1"/>
  <c r="Z447" i="1"/>
  <c r="BN486" i="1"/>
  <c r="BN511" i="1"/>
  <c r="BN521" i="1"/>
  <c r="Z521" i="1"/>
  <c r="Z31" i="1"/>
  <c r="BN47" i="1"/>
  <c r="Z47" i="1"/>
  <c r="Y82" i="1"/>
  <c r="BN78" i="1"/>
  <c r="Z78" i="1"/>
  <c r="BP115" i="1"/>
  <c r="BN115" i="1"/>
  <c r="Z115" i="1"/>
  <c r="BN119" i="1"/>
  <c r="BP151" i="1"/>
  <c r="BN158" i="1"/>
  <c r="Z158" i="1"/>
  <c r="BP173" i="1"/>
  <c r="BN173" i="1"/>
  <c r="Z173" i="1"/>
  <c r="BN187" i="1"/>
  <c r="BP190" i="1"/>
  <c r="BN190" i="1"/>
  <c r="Z190" i="1"/>
  <c r="BP195" i="1"/>
  <c r="BN195" i="1"/>
  <c r="Z195" i="1"/>
  <c r="BN236" i="1"/>
  <c r="BN251" i="1"/>
  <c r="BP257" i="1"/>
  <c r="BN278" i="1"/>
  <c r="BP289" i="1"/>
  <c r="BN289" i="1"/>
  <c r="Z289" i="1"/>
  <c r="BN322" i="1"/>
  <c r="Y329" i="1"/>
  <c r="BP351" i="1"/>
  <c r="BN351" i="1"/>
  <c r="Z351" i="1"/>
  <c r="BP391" i="1"/>
  <c r="BN391" i="1"/>
  <c r="Z391" i="1"/>
  <c r="BN501" i="1"/>
  <c r="Z501" i="1"/>
  <c r="BP531" i="1"/>
  <c r="BN531" i="1"/>
  <c r="Z531" i="1"/>
  <c r="BP39" i="1"/>
  <c r="BN41" i="1"/>
  <c r="BP56" i="1"/>
  <c r="BN72" i="1"/>
  <c r="BP85" i="1"/>
  <c r="BP96" i="1"/>
  <c r="BN111" i="1"/>
  <c r="BN117" i="1"/>
  <c r="Y136" i="1"/>
  <c r="BN310" i="1"/>
  <c r="BP333" i="1"/>
  <c r="Y386" i="1"/>
  <c r="Y406" i="1"/>
  <c r="BN459" i="1"/>
  <c r="BP60" i="1"/>
  <c r="Z60" i="1"/>
  <c r="BP99" i="1"/>
  <c r="Z99" i="1"/>
  <c r="BP106" i="1"/>
  <c r="Z106" i="1"/>
  <c r="BN124" i="1"/>
  <c r="BP124" i="1"/>
  <c r="Z124" i="1"/>
  <c r="Y244" i="1"/>
  <c r="BN230" i="1"/>
  <c r="Z230" i="1"/>
  <c r="BP37" i="1"/>
  <c r="BP66" i="1"/>
  <c r="Z66" i="1"/>
  <c r="BP88" i="1"/>
  <c r="Z88" i="1"/>
  <c r="BP108" i="1"/>
  <c r="BN156" i="1"/>
  <c r="BP156" i="1"/>
  <c r="Z156" i="1"/>
  <c r="B573" i="1"/>
  <c r="BP23" i="1"/>
  <c r="Y33" i="1"/>
  <c r="BP27" i="1"/>
  <c r="Z27" i="1"/>
  <c r="BN60" i="1"/>
  <c r="BN99" i="1"/>
  <c r="BN106" i="1"/>
  <c r="BP226" i="1"/>
  <c r="Z226" i="1"/>
  <c r="Z227" i="1" s="1"/>
  <c r="BN226" i="1"/>
  <c r="Y227" i="1"/>
  <c r="BP249" i="1"/>
  <c r="Z249" i="1"/>
  <c r="BN249" i="1"/>
  <c r="X564" i="1"/>
  <c r="X566" i="1" s="1"/>
  <c r="BP29" i="1"/>
  <c r="BP95" i="1"/>
  <c r="Z95" i="1"/>
  <c r="BN128" i="1"/>
  <c r="BP128" i="1"/>
  <c r="Z128" i="1"/>
  <c r="BP230" i="1"/>
  <c r="Y263" i="1"/>
  <c r="BP261" i="1"/>
  <c r="Z261" i="1"/>
  <c r="Z262" i="1" s="1"/>
  <c r="BP266" i="1"/>
  <c r="BP287" i="1"/>
  <c r="BP303" i="1"/>
  <c r="BP308" i="1"/>
  <c r="Z308" i="1"/>
  <c r="BP312" i="1"/>
  <c r="BP349" i="1"/>
  <c r="BP373" i="1"/>
  <c r="BP403" i="1"/>
  <c r="BP437" i="1"/>
  <c r="BP484" i="1"/>
  <c r="Z484" i="1"/>
  <c r="BP509" i="1"/>
  <c r="Z509" i="1"/>
  <c r="BP513" i="1"/>
  <c r="Y207" i="1"/>
  <c r="Y206" i="1"/>
  <c r="BN205" i="1"/>
  <c r="BP205" i="1"/>
  <c r="Y211" i="1"/>
  <c r="BP209" i="1"/>
  <c r="Z209" i="1"/>
  <c r="Z210" i="1" s="1"/>
  <c r="BP215" i="1"/>
  <c r="BP234" i="1"/>
  <c r="Z234" i="1"/>
  <c r="BP238" i="1"/>
  <c r="Y262" i="1"/>
  <c r="Z266" i="1"/>
  <c r="Z272" i="1"/>
  <c r="BP272" i="1"/>
  <c r="BP276" i="1"/>
  <c r="Z276" i="1"/>
  <c r="BP280" i="1"/>
  <c r="Z287" i="1"/>
  <c r="BP291" i="1"/>
  <c r="Z291" i="1"/>
  <c r="BP295" i="1"/>
  <c r="Z303" i="1"/>
  <c r="Y315" i="1"/>
  <c r="Z312" i="1"/>
  <c r="BP342" i="1"/>
  <c r="Z349" i="1"/>
  <c r="BP353" i="1"/>
  <c r="Z353" i="1"/>
  <c r="BP364" i="1"/>
  <c r="Z373" i="1"/>
  <c r="Z379" i="1"/>
  <c r="BP379" i="1"/>
  <c r="Y399" i="1"/>
  <c r="BN395" i="1"/>
  <c r="BP395" i="1"/>
  <c r="Z403" i="1"/>
  <c r="Z409" i="1"/>
  <c r="BP409" i="1"/>
  <c r="BP415" i="1"/>
  <c r="Z415" i="1"/>
  <c r="BP429" i="1"/>
  <c r="Z437" i="1"/>
  <c r="BP441" i="1"/>
  <c r="Z441" i="1"/>
  <c r="BP453" i="1"/>
  <c r="Z513" i="1"/>
  <c r="BP555" i="1"/>
  <c r="AC573" i="1"/>
  <c r="BP560" i="1"/>
  <c r="Z560" i="1"/>
  <c r="Z561" i="1" s="1"/>
  <c r="X565" i="1"/>
  <c r="X567" i="1"/>
  <c r="Y68" i="1"/>
  <c r="Y74" i="1"/>
  <c r="Y101" i="1"/>
  <c r="Y113" i="1"/>
  <c r="Z119" i="1"/>
  <c r="Y131" i="1"/>
  <c r="Z141" i="1"/>
  <c r="Y147" i="1"/>
  <c r="Z162" i="1"/>
  <c r="Y168" i="1"/>
  <c r="BP166" i="1"/>
  <c r="Y179" i="1"/>
  <c r="BN177" i="1"/>
  <c r="BP177" i="1"/>
  <c r="Y197" i="1"/>
  <c r="Y203" i="1"/>
  <c r="BN199" i="1"/>
  <c r="BP199" i="1"/>
  <c r="Z205" i="1"/>
  <c r="Z206" i="1" s="1"/>
  <c r="Y210" i="1"/>
  <c r="Z215" i="1"/>
  <c r="BP219" i="1"/>
  <c r="Z219" i="1"/>
  <c r="Z238" i="1"/>
  <c r="BP242" i="1"/>
  <c r="Z242" i="1"/>
  <c r="Z251" i="1"/>
  <c r="Y259" i="1"/>
  <c r="BP255" i="1"/>
  <c r="Z255" i="1"/>
  <c r="BN261" i="1"/>
  <c r="Z280" i="1"/>
  <c r="Z295" i="1"/>
  <c r="BN308" i="1"/>
  <c r="Z310" i="1"/>
  <c r="BP335" i="1"/>
  <c r="Z342" i="1"/>
  <c r="Z364" i="1"/>
  <c r="Z371" i="1"/>
  <c r="BP389" i="1"/>
  <c r="Z395" i="1"/>
  <c r="Y398" i="1"/>
  <c r="Z401" i="1"/>
  <c r="Z429" i="1"/>
  <c r="Z435" i="1"/>
  <c r="Z453" i="1"/>
  <c r="Z459" i="1"/>
  <c r="BP474" i="1"/>
  <c r="Z474" i="1"/>
  <c r="BN484" i="1"/>
  <c r="Z486" i="1"/>
  <c r="BP490" i="1"/>
  <c r="Z490" i="1"/>
  <c r="BN509" i="1"/>
  <c r="Z511" i="1"/>
  <c r="BP529" i="1"/>
  <c r="Z555" i="1"/>
  <c r="Y561" i="1"/>
  <c r="X563" i="1"/>
  <c r="Z41" i="1"/>
  <c r="E573" i="1"/>
  <c r="BP64" i="1"/>
  <c r="Z72" i="1"/>
  <c r="Z80" i="1"/>
  <c r="Z104" i="1"/>
  <c r="BP104" i="1"/>
  <c r="Z111" i="1"/>
  <c r="Y121" i="1"/>
  <c r="Z117" i="1"/>
  <c r="Z123" i="1"/>
  <c r="BP123" i="1"/>
  <c r="Z127" i="1"/>
  <c r="Z166" i="1"/>
  <c r="Z167" i="1" s="1"/>
  <c r="BP171" i="1"/>
  <c r="Z177" i="1"/>
  <c r="Z187" i="1"/>
  <c r="BP192" i="1"/>
  <c r="Z192" i="1"/>
  <c r="BP193" i="1"/>
  <c r="Z199" i="1"/>
  <c r="BN209" i="1"/>
  <c r="BN234" i="1"/>
  <c r="Z236" i="1"/>
  <c r="BN276" i="1"/>
  <c r="Z278" i="1"/>
  <c r="BN291" i="1"/>
  <c r="Y320" i="1"/>
  <c r="Y319" i="1"/>
  <c r="BN318" i="1"/>
  <c r="BP318" i="1"/>
  <c r="Y324" i="1"/>
  <c r="BP322" i="1"/>
  <c r="Z322" i="1"/>
  <c r="Z323" i="1" s="1"/>
  <c r="Y330" i="1"/>
  <c r="BN326" i="1"/>
  <c r="BP326" i="1"/>
  <c r="BN353" i="1"/>
  <c r="BP381" i="1"/>
  <c r="BN415" i="1"/>
  <c r="BN441" i="1"/>
  <c r="BP521" i="1"/>
  <c r="Z529" i="1"/>
  <c r="BN560" i="1"/>
  <c r="Y253" i="1"/>
  <c r="Y269" i="1"/>
  <c r="Y300" i="1"/>
  <c r="Y345" i="1"/>
  <c r="Y359" i="1"/>
  <c r="Y245" i="1"/>
  <c r="Z248" i="1"/>
  <c r="Z252" i="1" s="1"/>
  <c r="BN248" i="1"/>
  <c r="BP248" i="1"/>
  <c r="Z250" i="1"/>
  <c r="BN250" i="1"/>
  <c r="Z256" i="1"/>
  <c r="BN256" i="1"/>
  <c r="BP256" i="1"/>
  <c r="M573" i="1"/>
  <c r="Z267" i="1"/>
  <c r="BN267" i="1"/>
  <c r="BP267" i="1"/>
  <c r="Y268" i="1"/>
  <c r="Z271" i="1"/>
  <c r="Z273" i="1" s="1"/>
  <c r="BN271" i="1"/>
  <c r="BP271" i="1"/>
  <c r="Y274" i="1"/>
  <c r="Y285" i="1"/>
  <c r="Z277" i="1"/>
  <c r="BN277" i="1"/>
  <c r="Z279" i="1"/>
  <c r="BN279" i="1"/>
  <c r="Z281" i="1"/>
  <c r="BN281" i="1"/>
  <c r="Z283" i="1"/>
  <c r="BN283" i="1"/>
  <c r="Y284" i="1"/>
  <c r="Y299" i="1"/>
  <c r="BP290" i="1"/>
  <c r="BN290" i="1"/>
  <c r="Z290" i="1"/>
  <c r="BP294" i="1"/>
  <c r="BN294" i="1"/>
  <c r="Z294" i="1"/>
  <c r="BP298" i="1"/>
  <c r="BN298" i="1"/>
  <c r="Z298" i="1"/>
  <c r="Y305" i="1"/>
  <c r="BP302" i="1"/>
  <c r="BN302" i="1"/>
  <c r="Z302" i="1"/>
  <c r="Z304" i="1" s="1"/>
  <c r="BP311" i="1"/>
  <c r="BN311" i="1"/>
  <c r="Z311" i="1"/>
  <c r="BP327" i="1"/>
  <c r="BN327" i="1"/>
  <c r="Z327" i="1"/>
  <c r="Z329" i="1" s="1"/>
  <c r="Y339" i="1"/>
  <c r="BP336" i="1"/>
  <c r="BN336" i="1"/>
  <c r="Z336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BP372" i="1"/>
  <c r="BN372" i="1"/>
  <c r="Z372" i="1"/>
  <c r="BP380" i="1"/>
  <c r="BN380" i="1"/>
  <c r="Z380" i="1"/>
  <c r="BP384" i="1"/>
  <c r="BN384" i="1"/>
  <c r="Z384" i="1"/>
  <c r="Y393" i="1"/>
  <c r="BP388" i="1"/>
  <c r="BN388" i="1"/>
  <c r="Z388" i="1"/>
  <c r="Y392" i="1"/>
  <c r="BP396" i="1"/>
  <c r="BN396" i="1"/>
  <c r="Z396" i="1"/>
  <c r="Z398" i="1" s="1"/>
  <c r="Y405" i="1"/>
  <c r="BP404" i="1"/>
  <c r="BN404" i="1"/>
  <c r="Z404" i="1"/>
  <c r="Y411" i="1"/>
  <c r="BP408" i="1"/>
  <c r="BN408" i="1"/>
  <c r="Z408" i="1"/>
  <c r="BP416" i="1"/>
  <c r="BN416" i="1"/>
  <c r="Z416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G573" i="1"/>
  <c r="X573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7" i="1"/>
  <c r="Y142" i="1"/>
  <c r="Y148" i="1"/>
  <c r="Y152" i="1"/>
  <c r="Y163" i="1"/>
  <c r="Y174" i="1"/>
  <c r="Y180" i="1"/>
  <c r="Y196" i="1"/>
  <c r="Y202" i="1"/>
  <c r="Y222" i="1"/>
  <c r="F9" i="1"/>
  <c r="J9" i="1"/>
  <c r="Z22" i="1"/>
  <c r="Z24" i="1" s="1"/>
  <c r="BN22" i="1"/>
  <c r="BP22" i="1"/>
  <c r="Y25" i="1"/>
  <c r="Z28" i="1"/>
  <c r="BN28" i="1"/>
  <c r="Z30" i="1"/>
  <c r="BN30" i="1"/>
  <c r="C573" i="1"/>
  <c r="Z38" i="1"/>
  <c r="BN38" i="1"/>
  <c r="Z40" i="1"/>
  <c r="BN40" i="1"/>
  <c r="Y43" i="1"/>
  <c r="D573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73" i="1"/>
  <c r="Z86" i="1"/>
  <c r="BN86" i="1"/>
  <c r="Z87" i="1"/>
  <c r="BN87" i="1"/>
  <c r="Z89" i="1"/>
  <c r="BN89" i="1"/>
  <c r="Y90" i="1"/>
  <c r="Z93" i="1"/>
  <c r="BN93" i="1"/>
  <c r="BP93" i="1"/>
  <c r="Z94" i="1"/>
  <c r="BN94" i="1"/>
  <c r="Z97" i="1"/>
  <c r="BN97" i="1"/>
  <c r="Z98" i="1"/>
  <c r="BN98" i="1"/>
  <c r="Z105" i="1"/>
  <c r="BN105" i="1"/>
  <c r="Z107" i="1"/>
  <c r="BN107" i="1"/>
  <c r="Z109" i="1"/>
  <c r="BN109" i="1"/>
  <c r="Z110" i="1"/>
  <c r="BN110" i="1"/>
  <c r="Z116" i="1"/>
  <c r="BN116" i="1"/>
  <c r="Z118" i="1"/>
  <c r="BN118" i="1"/>
  <c r="Z125" i="1"/>
  <c r="BN125" i="1"/>
  <c r="Z126" i="1"/>
  <c r="BN126" i="1"/>
  <c r="Z129" i="1"/>
  <c r="BN129" i="1"/>
  <c r="Z130" i="1"/>
  <c r="BN130" i="1"/>
  <c r="Z134" i="1"/>
  <c r="BN134" i="1"/>
  <c r="BP134" i="1"/>
  <c r="Z135" i="1"/>
  <c r="BN135" i="1"/>
  <c r="Z140" i="1"/>
  <c r="Z142" i="1" s="1"/>
  <c r="BN140" i="1"/>
  <c r="BP140" i="1"/>
  <c r="Y143" i="1"/>
  <c r="Z146" i="1"/>
  <c r="Z147" i="1" s="1"/>
  <c r="BN146" i="1"/>
  <c r="Z150" i="1"/>
  <c r="Z152" i="1" s="1"/>
  <c r="BN150" i="1"/>
  <c r="BP150" i="1"/>
  <c r="I573" i="1"/>
  <c r="Z157" i="1"/>
  <c r="BN157" i="1"/>
  <c r="Z159" i="1"/>
  <c r="BN159" i="1"/>
  <c r="Z161" i="1"/>
  <c r="BN161" i="1"/>
  <c r="Y164" i="1"/>
  <c r="J573" i="1"/>
  <c r="Z172" i="1"/>
  <c r="Z174" i="1" s="1"/>
  <c r="BN172" i="1"/>
  <c r="Y175" i="1"/>
  <c r="Z178" i="1"/>
  <c r="Z179" i="1" s="1"/>
  <c r="BN178" i="1"/>
  <c r="Z182" i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Z200" i="1"/>
  <c r="Z202" i="1" s="1"/>
  <c r="BN200" i="1"/>
  <c r="K573" i="1"/>
  <c r="Z216" i="1"/>
  <c r="BN216" i="1"/>
  <c r="Z218" i="1"/>
  <c r="BN218" i="1"/>
  <c r="Z220" i="1"/>
  <c r="BN220" i="1"/>
  <c r="Y223" i="1"/>
  <c r="L573" i="1"/>
  <c r="Y228" i="1"/>
  <c r="Z231" i="1"/>
  <c r="BN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BP288" i="1"/>
  <c r="BN288" i="1"/>
  <c r="Z288" i="1"/>
  <c r="BP292" i="1"/>
  <c r="BN292" i="1"/>
  <c r="Z292" i="1"/>
  <c r="BP296" i="1"/>
  <c r="BN296" i="1"/>
  <c r="Z296" i="1"/>
  <c r="BP309" i="1"/>
  <c r="BN309" i="1"/>
  <c r="Z309" i="1"/>
  <c r="BP313" i="1"/>
  <c r="BN313" i="1"/>
  <c r="Z313" i="1"/>
  <c r="Z315" i="1" s="1"/>
  <c r="BP334" i="1"/>
  <c r="BN334" i="1"/>
  <c r="Z334" i="1"/>
  <c r="Y338" i="1"/>
  <c r="BP343" i="1"/>
  <c r="BN343" i="1"/>
  <c r="Z343" i="1"/>
  <c r="Z345" i="1" s="1"/>
  <c r="BP352" i="1"/>
  <c r="BN352" i="1"/>
  <c r="Z352" i="1"/>
  <c r="BP365" i="1"/>
  <c r="BN365" i="1"/>
  <c r="Z365" i="1"/>
  <c r="Y367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BP402" i="1"/>
  <c r="BN402" i="1"/>
  <c r="Z402" i="1"/>
  <c r="Z405" i="1" s="1"/>
  <c r="BP410" i="1"/>
  <c r="BN410" i="1"/>
  <c r="Z410" i="1"/>
  <c r="Y412" i="1"/>
  <c r="Y417" i="1"/>
  <c r="BP414" i="1"/>
  <c r="BN414" i="1"/>
  <c r="Z414" i="1"/>
  <c r="Z417" i="1" s="1"/>
  <c r="BP428" i="1"/>
  <c r="BN428" i="1"/>
  <c r="Z428" i="1"/>
  <c r="BP438" i="1"/>
  <c r="BN438" i="1"/>
  <c r="Z438" i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68" i="1" l="1"/>
  <c r="Z32" i="1"/>
  <c r="Z487" i="1"/>
  <c r="Z449" i="1"/>
  <c r="Z430" i="1"/>
  <c r="Z338" i="1"/>
  <c r="Z42" i="1"/>
  <c r="Z268" i="1"/>
  <c r="Z258" i="1"/>
  <c r="Z196" i="1"/>
  <c r="Z136" i="1"/>
  <c r="Z131" i="1"/>
  <c r="Z120" i="1"/>
  <c r="Z112" i="1"/>
  <c r="Z90" i="1"/>
  <c r="Z51" i="1"/>
  <c r="Z443" i="1"/>
  <c r="Z299" i="1"/>
  <c r="Z244" i="1"/>
  <c r="Z163" i="1"/>
  <c r="Z284" i="1"/>
  <c r="Z222" i="1"/>
  <c r="Z81" i="1"/>
  <c r="Z354" i="1"/>
  <c r="Z385" i="1"/>
  <c r="Z375" i="1"/>
  <c r="Z100" i="1"/>
  <c r="Z74" i="1"/>
  <c r="Z61" i="1"/>
  <c r="Y565" i="1"/>
  <c r="Z533" i="1"/>
  <c r="Z476" i="1"/>
  <c r="Z455" i="1"/>
  <c r="Z392" i="1"/>
  <c r="Z517" i="1"/>
  <c r="Y563" i="1"/>
  <c r="Y564" i="1"/>
  <c r="Y567" i="1"/>
  <c r="Z503" i="1"/>
  <c r="Z411" i="1"/>
  <c r="Z366" i="1"/>
  <c r="Y566" i="1" l="1"/>
  <c r="Z568" i="1"/>
</calcChain>
</file>

<file path=xl/sharedStrings.xml><?xml version="1.0" encoding="utf-8"?>
<sst xmlns="http://schemas.openxmlformats.org/spreadsheetml/2006/main" count="2590" uniqueCount="927">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</sst>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9"/>
      <c r="F1" s="699"/>
      <c r="G1" s="12" t="s">
        <v>1</v>
      </c>
      <c r="H1" s="741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698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6" t="s">
        <v>8</v>
      </c>
      <c r="B5" s="711"/>
      <c r="C5" s="712"/>
      <c r="D5" s="747"/>
      <c r="E5" s="748"/>
      <c r="F5" s="986" t="s">
        <v>9</v>
      </c>
      <c r="G5" s="712"/>
      <c r="H5" s="747" t="s">
        <v>926</v>
      </c>
      <c r="I5" s="913"/>
      <c r="J5" s="913"/>
      <c r="K5" s="913"/>
      <c r="L5" s="913"/>
      <c r="M5" s="748"/>
      <c r="N5" s="58"/>
      <c r="P5" s="24" t="s">
        <v>10</v>
      </c>
      <c r="Q5" s="998">
        <v>46278</v>
      </c>
      <c r="R5" s="794"/>
      <c r="T5" s="837" t="s">
        <v>11</v>
      </c>
      <c r="U5" s="819"/>
      <c r="V5" s="840" t="s">
        <v>12</v>
      </c>
      <c r="W5" s="794"/>
      <c r="AB5" s="51"/>
      <c r="AC5" s="51"/>
      <c r="AD5" s="51"/>
      <c r="AE5" s="51"/>
    </row>
    <row r="6" spans="1:32" s="645" customFormat="1" ht="24" customHeight="1" x14ac:dyDescent="0.2">
      <c r="A6" s="796" t="s">
        <v>13</v>
      </c>
      <c r="B6" s="711"/>
      <c r="C6" s="712"/>
      <c r="D6" s="916" t="s">
        <v>887</v>
      </c>
      <c r="E6" s="917"/>
      <c r="F6" s="917"/>
      <c r="G6" s="917"/>
      <c r="H6" s="917"/>
      <c r="I6" s="917"/>
      <c r="J6" s="917"/>
      <c r="K6" s="917"/>
      <c r="L6" s="917"/>
      <c r="M6" s="794"/>
      <c r="N6" s="59"/>
      <c r="P6" s="24" t="s">
        <v>14</v>
      </c>
      <c r="Q6" s="1008" t="str">
        <f>IF(Q5=0," ",CHOOSE(WEEKDAY(Q5,2),"Понедельник","Вторник","Среда","Четверг","Пятница","Суббота","Воскресенье"))</f>
        <v>Воскресенье</v>
      </c>
      <c r="R6" s="666"/>
      <c r="T6" s="845" t="s">
        <v>15</v>
      </c>
      <c r="U6" s="819"/>
      <c r="V6" s="981" t="s">
        <v>16</v>
      </c>
      <c r="W6" s="672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58"/>
      <c r="U7" s="819"/>
      <c r="V7" s="982"/>
      <c r="W7" s="983"/>
      <c r="AB7" s="51"/>
      <c r="AC7" s="51"/>
      <c r="AD7" s="51"/>
      <c r="AE7" s="51"/>
    </row>
    <row r="8" spans="1:32" s="645" customFormat="1" ht="25.5" customHeight="1" x14ac:dyDescent="0.2">
      <c r="A8" s="1016" t="s">
        <v>17</v>
      </c>
      <c r="B8" s="660"/>
      <c r="C8" s="661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18</v>
      </c>
      <c r="Q8" s="805">
        <v>0.5</v>
      </c>
      <c r="R8" s="722"/>
      <c r="T8" s="658"/>
      <c r="U8" s="819"/>
      <c r="V8" s="982"/>
      <c r="W8" s="983"/>
      <c r="AB8" s="51"/>
      <c r="AC8" s="51"/>
      <c r="AD8" s="51"/>
      <c r="AE8" s="51"/>
    </row>
    <row r="9" spans="1:32" s="645" customFormat="1" ht="39.950000000000003" customHeight="1" x14ac:dyDescent="0.2">
      <c r="A9" s="8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12"/>
      <c r="E9" s="664"/>
      <c r="F9" s="8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43"/>
      <c r="P9" s="26" t="s">
        <v>19</v>
      </c>
      <c r="Q9" s="789"/>
      <c r="R9" s="790"/>
      <c r="T9" s="658"/>
      <c r="U9" s="819"/>
      <c r="V9" s="984"/>
      <c r="W9" s="985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12"/>
      <c r="E10" s="664"/>
      <c r="F10" s="8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7" t="str">
        <f>IFERROR(VLOOKUP($D$10,Proxy,2,FALSE),"")</f>
        <v/>
      </c>
      <c r="I10" s="658"/>
      <c r="J10" s="658"/>
      <c r="K10" s="658"/>
      <c r="L10" s="658"/>
      <c r="M10" s="658"/>
      <c r="N10" s="644"/>
      <c r="P10" s="26" t="s">
        <v>20</v>
      </c>
      <c r="Q10" s="846"/>
      <c r="R10" s="847"/>
      <c r="U10" s="24" t="s">
        <v>21</v>
      </c>
      <c r="V10" s="671" t="s">
        <v>22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3"/>
      <c r="R11" s="794"/>
      <c r="U11" s="24" t="s">
        <v>25</v>
      </c>
      <c r="V11" s="944" t="s">
        <v>26</v>
      </c>
      <c r="W11" s="790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1" t="s">
        <v>27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2"/>
      <c r="N12" s="62"/>
      <c r="P12" s="24" t="s">
        <v>28</v>
      </c>
      <c r="Q12" s="805"/>
      <c r="R12" s="722"/>
      <c r="S12" s="23"/>
      <c r="U12" s="24"/>
      <c r="V12" s="699"/>
      <c r="W12" s="658"/>
      <c r="AB12" s="51"/>
      <c r="AC12" s="51"/>
      <c r="AD12" s="51"/>
      <c r="AE12" s="51"/>
    </row>
    <row r="13" spans="1:32" s="645" customFormat="1" ht="23.25" customHeight="1" x14ac:dyDescent="0.2">
      <c r="A13" s="831" t="s">
        <v>29</v>
      </c>
      <c r="B13" s="711"/>
      <c r="C13" s="711"/>
      <c r="D13" s="711"/>
      <c r="E13" s="711"/>
      <c r="F13" s="711"/>
      <c r="G13" s="711"/>
      <c r="H13" s="711"/>
      <c r="I13" s="711"/>
      <c r="J13" s="711"/>
      <c r="K13" s="711"/>
      <c r="L13" s="711"/>
      <c r="M13" s="712"/>
      <c r="N13" s="62"/>
      <c r="O13" s="26"/>
      <c r="P13" s="26" t="s">
        <v>30</v>
      </c>
      <c r="Q13" s="944"/>
      <c r="R13" s="79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1" t="s">
        <v>31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0" t="s">
        <v>32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2"/>
      <c r="N15" s="63"/>
      <c r="P15" s="820" t="s">
        <v>33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808" t="s">
        <v>36</v>
      </c>
      <c r="D17" s="674" t="s">
        <v>37</v>
      </c>
      <c r="E17" s="678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677"/>
      <c r="R17" s="677"/>
      <c r="S17" s="677"/>
      <c r="T17" s="678"/>
      <c r="U17" s="1015" t="s">
        <v>49</v>
      </c>
      <c r="V17" s="712"/>
      <c r="W17" s="674" t="s">
        <v>50</v>
      </c>
      <c r="X17" s="674" t="s">
        <v>51</v>
      </c>
      <c r="Y17" s="1031" t="s">
        <v>52</v>
      </c>
      <c r="Z17" s="899" t="s">
        <v>53</v>
      </c>
      <c r="AA17" s="888" t="s">
        <v>54</v>
      </c>
      <c r="AB17" s="888" t="s">
        <v>55</v>
      </c>
      <c r="AC17" s="888" t="s">
        <v>56</v>
      </c>
      <c r="AD17" s="888" t="s">
        <v>57</v>
      </c>
      <c r="AE17" s="976"/>
      <c r="AF17" s="977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679"/>
      <c r="E18" s="681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9"/>
      <c r="Q18" s="680"/>
      <c r="R18" s="680"/>
      <c r="S18" s="680"/>
      <c r="T18" s="681"/>
      <c r="U18" s="67" t="s">
        <v>59</v>
      </c>
      <c r="V18" s="67" t="s">
        <v>60</v>
      </c>
      <c r="W18" s="675"/>
      <c r="X18" s="675"/>
      <c r="Y18" s="1032"/>
      <c r="Z18" s="900"/>
      <c r="AA18" s="889"/>
      <c r="AB18" s="889"/>
      <c r="AC18" s="889"/>
      <c r="AD18" s="978"/>
      <c r="AE18" s="979"/>
      <c r="AF18" s="980"/>
      <c r="AG18" s="66"/>
      <c r="BD18" s="65"/>
    </row>
    <row r="19" spans="1:68" ht="27.75" hidden="1" customHeight="1" x14ac:dyDescent="0.2">
      <c r="A19" s="655" t="s">
        <v>61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48"/>
      <c r="AB19" s="48"/>
      <c r="AC19" s="48"/>
    </row>
    <row r="20" spans="1:68" ht="16.5" hidden="1" customHeight="1" x14ac:dyDescent="0.25">
      <c r="A20" s="662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46"/>
      <c r="AB20" s="646"/>
      <c r="AC20" s="646"/>
    </row>
    <row r="21" spans="1:68" ht="14.25" hidden="1" customHeight="1" x14ac:dyDescent="0.25">
      <c r="A21" s="65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47"/>
      <c r="AB21" s="647"/>
      <c r="AC21" s="647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5">
        <v>4680115886643</v>
      </c>
      <c r="E22" s="666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5">
        <v>4680115889071</v>
      </c>
      <c r="E23" s="666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92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93"/>
      <c r="P24" s="659" t="s">
        <v>72</v>
      </c>
      <c r="Q24" s="660"/>
      <c r="R24" s="660"/>
      <c r="S24" s="660"/>
      <c r="T24" s="660"/>
      <c r="U24" s="660"/>
      <c r="V24" s="66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93"/>
      <c r="P25" s="659" t="s">
        <v>72</v>
      </c>
      <c r="Q25" s="660"/>
      <c r="R25" s="660"/>
      <c r="S25" s="660"/>
      <c r="T25" s="660"/>
      <c r="U25" s="660"/>
      <c r="V25" s="66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5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47"/>
      <c r="AB26" s="647"/>
      <c r="AC26" s="647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5">
        <v>4680115885912</v>
      </c>
      <c r="E27" s="666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5">
        <v>4607091388237</v>
      </c>
      <c r="E28" s="666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65">
        <v>4680115887350</v>
      </c>
      <c r="E29" s="666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65">
        <v>4680115885905</v>
      </c>
      <c r="E30" s="666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5">
        <v>4680115887619</v>
      </c>
      <c r="E31" s="666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92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93"/>
      <c r="P32" s="659" t="s">
        <v>72</v>
      </c>
      <c r="Q32" s="660"/>
      <c r="R32" s="660"/>
      <c r="S32" s="660"/>
      <c r="T32" s="660"/>
      <c r="U32" s="660"/>
      <c r="V32" s="661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hidden="1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93"/>
      <c r="P33" s="659" t="s">
        <v>72</v>
      </c>
      <c r="Q33" s="660"/>
      <c r="R33" s="660"/>
      <c r="S33" s="660"/>
      <c r="T33" s="660"/>
      <c r="U33" s="660"/>
      <c r="V33" s="661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hidden="1" customHeight="1" x14ac:dyDescent="0.2">
      <c r="A34" s="655" t="s">
        <v>92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48"/>
      <c r="AB34" s="48"/>
      <c r="AC34" s="48"/>
    </row>
    <row r="35" spans="1:68" ht="16.5" hidden="1" customHeight="1" x14ac:dyDescent="0.25">
      <c r="A35" s="662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46"/>
      <c r="AB35" s="646"/>
      <c r="AC35" s="646"/>
    </row>
    <row r="36" spans="1:68" ht="14.25" hidden="1" customHeight="1" x14ac:dyDescent="0.25">
      <c r="A36" s="65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47"/>
      <c r="AB36" s="647"/>
      <c r="AC36" s="647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5">
        <v>4680115889354</v>
      </c>
      <c r="E37" s="666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5">
        <v>4680115888463</v>
      </c>
      <c r="E38" s="666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5">
        <v>4680115889590</v>
      </c>
      <c r="E39" s="666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5">
        <v>4680115888272</v>
      </c>
      <c r="E40" s="666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5">
        <v>4680115888364</v>
      </c>
      <c r="E41" s="666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92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93"/>
      <c r="P42" s="659" t="s">
        <v>72</v>
      </c>
      <c r="Q42" s="660"/>
      <c r="R42" s="660"/>
      <c r="S42" s="660"/>
      <c r="T42" s="660"/>
      <c r="U42" s="660"/>
      <c r="V42" s="66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93"/>
      <c r="P43" s="659" t="s">
        <v>72</v>
      </c>
      <c r="Q43" s="660"/>
      <c r="R43" s="660"/>
      <c r="S43" s="660"/>
      <c r="T43" s="660"/>
      <c r="U43" s="660"/>
      <c r="V43" s="66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655" t="s">
        <v>109</v>
      </c>
      <c r="B44" s="656"/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48"/>
      <c r="AB44" s="48"/>
      <c r="AC44" s="48"/>
    </row>
    <row r="45" spans="1:68" ht="16.5" hidden="1" customHeight="1" x14ac:dyDescent="0.25">
      <c r="A45" s="662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46"/>
      <c r="AB45" s="646"/>
      <c r="AC45" s="646"/>
    </row>
    <row r="46" spans="1:68" ht="14.25" hidden="1" customHeight="1" x14ac:dyDescent="0.25">
      <c r="A46" s="65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65">
        <v>4607091385670</v>
      </c>
      <c r="E47" s="666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4"/>
      <c r="V47" s="34"/>
      <c r="W47" s="35" t="s">
        <v>67</v>
      </c>
      <c r="X47" s="651">
        <v>300</v>
      </c>
      <c r="Y47" s="652">
        <f>IFERROR(IF(X47="",0,CEILING((X47/$H47),1)*$H47),"")</f>
        <v>302.40000000000003</v>
      </c>
      <c r="Z47" s="36">
        <f>IFERROR(IF(Y47=0,"",ROUNDUP(Y47/H47,0)*0.01898),"")</f>
        <v>0.53144000000000002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311.38888888888891</v>
      </c>
      <c r="BN47" s="64">
        <f>IFERROR(Y47*I47/H47,"0")</f>
        <v>313.88</v>
      </c>
      <c r="BO47" s="64">
        <f>IFERROR(1/J47*(X47/H47),"0")</f>
        <v>0.43402777777777773</v>
      </c>
      <c r="BP47" s="64">
        <f>IFERROR(1/J47*(Y47/H47),"0")</f>
        <v>0.4375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5">
        <v>4680115887725</v>
      </c>
      <c r="E48" s="666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65">
        <v>4607091385687</v>
      </c>
      <c r="E49" s="666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65">
        <v>4680115882539</v>
      </c>
      <c r="E50" s="666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92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93"/>
      <c r="P51" s="659" t="s">
        <v>72</v>
      </c>
      <c r="Q51" s="660"/>
      <c r="R51" s="660"/>
      <c r="S51" s="660"/>
      <c r="T51" s="660"/>
      <c r="U51" s="660"/>
      <c r="V51" s="661"/>
      <c r="W51" s="37" t="s">
        <v>73</v>
      </c>
      <c r="X51" s="653">
        <f>IFERROR(X47/H47,"0")+IFERROR(X48/H48,"0")+IFERROR(X49/H49,"0")+IFERROR(X50/H50,"0")</f>
        <v>27.777777777777775</v>
      </c>
      <c r="Y51" s="653">
        <f>IFERROR(Y47/H47,"0")+IFERROR(Y48/H48,"0")+IFERROR(Y49/H49,"0")+IFERROR(Y50/H50,"0")</f>
        <v>28</v>
      </c>
      <c r="Z51" s="653">
        <f>IFERROR(IF(Z47="",0,Z47),"0")+IFERROR(IF(Z48="",0,Z48),"0")+IFERROR(IF(Z49="",0,Z49),"0")+IFERROR(IF(Z50="",0,Z50),"0")</f>
        <v>0.53144000000000002</v>
      </c>
      <c r="AA51" s="654"/>
      <c r="AB51" s="654"/>
      <c r="AC51" s="654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93"/>
      <c r="P52" s="659" t="s">
        <v>72</v>
      </c>
      <c r="Q52" s="660"/>
      <c r="R52" s="660"/>
      <c r="S52" s="660"/>
      <c r="T52" s="660"/>
      <c r="U52" s="660"/>
      <c r="V52" s="661"/>
      <c r="W52" s="37" t="s">
        <v>67</v>
      </c>
      <c r="X52" s="653">
        <f>IFERROR(SUM(X47:X50),"0")</f>
        <v>300</v>
      </c>
      <c r="Y52" s="653">
        <f>IFERROR(SUM(Y47:Y50),"0")</f>
        <v>302.40000000000003</v>
      </c>
      <c r="Z52" s="37"/>
      <c r="AA52" s="654"/>
      <c r="AB52" s="654"/>
      <c r="AC52" s="654"/>
    </row>
    <row r="53" spans="1:68" ht="16.5" hidden="1" customHeight="1" x14ac:dyDescent="0.25">
      <c r="A53" s="662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46"/>
      <c r="AB53" s="646"/>
      <c r="AC53" s="646"/>
    </row>
    <row r="54" spans="1:68" ht="14.25" hidden="1" customHeight="1" x14ac:dyDescent="0.25">
      <c r="A54" s="65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47"/>
      <c r="AB54" s="647"/>
      <c r="AC54" s="647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65">
        <v>4680115885882</v>
      </c>
      <c r="E55" s="666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65">
        <v>4680115881426</v>
      </c>
      <c r="E56" s="666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4"/>
      <c r="V56" s="34"/>
      <c r="W56" s="35" t="s">
        <v>67</v>
      </c>
      <c r="X56" s="651">
        <v>62</v>
      </c>
      <c r="Y56" s="652">
        <f t="shared" si="0"/>
        <v>64.800000000000011</v>
      </c>
      <c r="Z56" s="36">
        <f>IFERROR(IF(Y56=0,"",ROUNDUP(Y56/H56,0)*0.01898),"")</f>
        <v>0.11388000000000001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64.353703703703715</v>
      </c>
      <c r="BN56" s="64">
        <f t="shared" si="2"/>
        <v>67.260000000000005</v>
      </c>
      <c r="BO56" s="64">
        <f t="shared" si="3"/>
        <v>8.969907407407407E-2</v>
      </c>
      <c r="BP56" s="64">
        <f t="shared" si="4"/>
        <v>9.3750000000000014E-2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5">
        <v>4680115880283</v>
      </c>
      <c r="E57" s="666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9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65">
        <v>4680115881525</v>
      </c>
      <c r="E58" s="666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4"/>
      <c r="V58" s="34"/>
      <c r="W58" s="35" t="s">
        <v>67</v>
      </c>
      <c r="X58" s="651">
        <v>4</v>
      </c>
      <c r="Y58" s="652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5">
        <v>4680115885899</v>
      </c>
      <c r="E59" s="666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65">
        <v>4680115881419</v>
      </c>
      <c r="E60" s="666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4"/>
      <c r="V60" s="34"/>
      <c r="W60" s="35" t="s">
        <v>67</v>
      </c>
      <c r="X60" s="651">
        <v>106</v>
      </c>
      <c r="Y60" s="652">
        <f t="shared" si="0"/>
        <v>108</v>
      </c>
      <c r="Z60" s="36">
        <f>IFERROR(IF(Y60=0,"",ROUNDUP(Y60/H60,0)*0.00902),"")</f>
        <v>0.21648000000000001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110.47555555555556</v>
      </c>
      <c r="BN60" s="64">
        <f t="shared" si="2"/>
        <v>112.56</v>
      </c>
      <c r="BO60" s="64">
        <f t="shared" si="3"/>
        <v>0.17845117845117847</v>
      </c>
      <c r="BP60" s="64">
        <f t="shared" si="4"/>
        <v>0.18181818181818182</v>
      </c>
    </row>
    <row r="61" spans="1:68" x14ac:dyDescent="0.2">
      <c r="A61" s="692"/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93"/>
      <c r="P61" s="659" t="s">
        <v>72</v>
      </c>
      <c r="Q61" s="660"/>
      <c r="R61" s="660"/>
      <c r="S61" s="660"/>
      <c r="T61" s="660"/>
      <c r="U61" s="660"/>
      <c r="V61" s="661"/>
      <c r="W61" s="37" t="s">
        <v>73</v>
      </c>
      <c r="X61" s="653">
        <f>IFERROR(X55/H55,"0")+IFERROR(X56/H56,"0")+IFERROR(X57/H57,"0")+IFERROR(X58/H58,"0")+IFERROR(X59/H59,"0")+IFERROR(X60/H60,"0")</f>
        <v>30.296296296296298</v>
      </c>
      <c r="Y61" s="653">
        <f>IFERROR(Y55/H55,"0")+IFERROR(Y56/H56,"0")+IFERROR(Y57/H57,"0")+IFERROR(Y58/H58,"0")+IFERROR(Y59/H59,"0")+IFERROR(Y60/H60,"0")</f>
        <v>31</v>
      </c>
      <c r="Z61" s="653">
        <f>IFERROR(IF(Z55="",0,Z55),"0")+IFERROR(IF(Z56="",0,Z56),"0")+IFERROR(IF(Z57="",0,Z57),"0")+IFERROR(IF(Z58="",0,Z58),"0")+IFERROR(IF(Z59="",0,Z59),"0")+IFERROR(IF(Z60="",0,Z60),"0")</f>
        <v>0.33938000000000001</v>
      </c>
      <c r="AA61" s="654"/>
      <c r="AB61" s="654"/>
      <c r="AC61" s="654"/>
    </row>
    <row r="62" spans="1:68" x14ac:dyDescent="0.2">
      <c r="A62" s="658"/>
      <c r="B62" s="658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93"/>
      <c r="P62" s="659" t="s">
        <v>72</v>
      </c>
      <c r="Q62" s="660"/>
      <c r="R62" s="660"/>
      <c r="S62" s="660"/>
      <c r="T62" s="660"/>
      <c r="U62" s="660"/>
      <c r="V62" s="661"/>
      <c r="W62" s="37" t="s">
        <v>67</v>
      </c>
      <c r="X62" s="653">
        <f>IFERROR(SUM(X55:X60),"0")</f>
        <v>172</v>
      </c>
      <c r="Y62" s="653">
        <f>IFERROR(SUM(Y55:Y60),"0")</f>
        <v>176.8</v>
      </c>
      <c r="Z62" s="37"/>
      <c r="AA62" s="654"/>
      <c r="AB62" s="654"/>
      <c r="AC62" s="654"/>
    </row>
    <row r="63" spans="1:68" ht="14.25" hidden="1" customHeight="1" x14ac:dyDescent="0.25">
      <c r="A63" s="657" t="s">
        <v>144</v>
      </c>
      <c r="B63" s="658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65">
        <v>4680115881440</v>
      </c>
      <c r="E64" s="666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4"/>
      <c r="V64" s="34"/>
      <c r="W64" s="35" t="s">
        <v>67</v>
      </c>
      <c r="X64" s="651">
        <v>54</v>
      </c>
      <c r="Y64" s="652">
        <f>IFERROR(IF(X64="",0,CEILING((X64/$H64),1)*$H64),"")</f>
        <v>54</v>
      </c>
      <c r="Z64" s="36">
        <f>IFERROR(IF(Y64=0,"",ROUNDUP(Y64/H64,0)*0.01898),"")</f>
        <v>9.4899999999999998E-2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56.05</v>
      </c>
      <c r="BN64" s="64">
        <f>IFERROR(Y64*I64/H64,"0")</f>
        <v>56.05</v>
      </c>
      <c r="BO64" s="64">
        <f>IFERROR(1/J64*(X64/H64),"0")</f>
        <v>7.8125E-2</v>
      </c>
      <c r="BP64" s="64">
        <f>IFERROR(1/J64*(Y64/H64),"0")</f>
        <v>7.8125E-2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5">
        <v>4680115885950</v>
      </c>
      <c r="E65" s="666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5">
        <v>4680115887688</v>
      </c>
      <c r="E66" s="666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5">
        <v>4680115881433</v>
      </c>
      <c r="E67" s="666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92"/>
      <c r="B68" s="658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93"/>
      <c r="P68" s="659" t="s">
        <v>72</v>
      </c>
      <c r="Q68" s="660"/>
      <c r="R68" s="660"/>
      <c r="S68" s="660"/>
      <c r="T68" s="660"/>
      <c r="U68" s="660"/>
      <c r="V68" s="661"/>
      <c r="W68" s="37" t="s">
        <v>73</v>
      </c>
      <c r="X68" s="653">
        <f>IFERROR(X64/H64,"0")+IFERROR(X65/H65,"0")+IFERROR(X66/H66,"0")+IFERROR(X67/H67,"0")</f>
        <v>5</v>
      </c>
      <c r="Y68" s="653">
        <f>IFERROR(Y64/H64,"0")+IFERROR(Y65/H65,"0")+IFERROR(Y66/H66,"0")+IFERROR(Y67/H67,"0")</f>
        <v>5</v>
      </c>
      <c r="Z68" s="653">
        <f>IFERROR(IF(Z64="",0,Z64),"0")+IFERROR(IF(Z65="",0,Z65),"0")+IFERROR(IF(Z66="",0,Z66),"0")+IFERROR(IF(Z67="",0,Z67),"0")</f>
        <v>9.4899999999999998E-2</v>
      </c>
      <c r="AA68" s="654"/>
      <c r="AB68" s="654"/>
      <c r="AC68" s="654"/>
    </row>
    <row r="69" spans="1:68" x14ac:dyDescent="0.2">
      <c r="A69" s="658"/>
      <c r="B69" s="658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93"/>
      <c r="P69" s="659" t="s">
        <v>72</v>
      </c>
      <c r="Q69" s="660"/>
      <c r="R69" s="660"/>
      <c r="S69" s="660"/>
      <c r="T69" s="660"/>
      <c r="U69" s="660"/>
      <c r="V69" s="661"/>
      <c r="W69" s="37" t="s">
        <v>67</v>
      </c>
      <c r="X69" s="653">
        <f>IFERROR(SUM(X64:X67),"0")</f>
        <v>54</v>
      </c>
      <c r="Y69" s="653">
        <f>IFERROR(SUM(Y64:Y67),"0")</f>
        <v>54</v>
      </c>
      <c r="Z69" s="37"/>
      <c r="AA69" s="654"/>
      <c r="AB69" s="654"/>
      <c r="AC69" s="654"/>
    </row>
    <row r="70" spans="1:68" ht="14.25" hidden="1" customHeight="1" x14ac:dyDescent="0.25">
      <c r="A70" s="657" t="s">
        <v>74</v>
      </c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47"/>
      <c r="AB70" s="647"/>
      <c r="AC70" s="647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65">
        <v>4680115884311</v>
      </c>
      <c r="E71" s="666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5">
        <v>4680115884403</v>
      </c>
      <c r="E72" s="666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5">
        <v>4680115884403</v>
      </c>
      <c r="E73" s="666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92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93"/>
      <c r="P74" s="659" t="s">
        <v>72</v>
      </c>
      <c r="Q74" s="660"/>
      <c r="R74" s="660"/>
      <c r="S74" s="660"/>
      <c r="T74" s="660"/>
      <c r="U74" s="660"/>
      <c r="V74" s="66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hidden="1" x14ac:dyDescent="0.2">
      <c r="A75" s="658"/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93"/>
      <c r="P75" s="659" t="s">
        <v>72</v>
      </c>
      <c r="Q75" s="660"/>
      <c r="R75" s="660"/>
      <c r="S75" s="660"/>
      <c r="T75" s="660"/>
      <c r="U75" s="660"/>
      <c r="V75" s="66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hidden="1" customHeight="1" x14ac:dyDescent="0.25">
      <c r="A76" s="657" t="s">
        <v>162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65">
        <v>4680115881532</v>
      </c>
      <c r="E77" s="666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4"/>
      <c r="V77" s="34"/>
      <c r="W77" s="35" t="s">
        <v>67</v>
      </c>
      <c r="X77" s="651">
        <v>150</v>
      </c>
      <c r="Y77" s="652">
        <f>IFERROR(IF(X77="",0,CEILING((X77/$H77),1)*$H77),"")</f>
        <v>156</v>
      </c>
      <c r="Z77" s="36">
        <f>IFERROR(IF(Y77=0,"",ROUNDUP(Y77/H77,0)*0.01898),"")</f>
        <v>0.37959999999999999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157.88461538461542</v>
      </c>
      <c r="BN77" s="64">
        <f>IFERROR(Y77*I77/H77,"0")</f>
        <v>164.20000000000005</v>
      </c>
      <c r="BO77" s="64">
        <f>IFERROR(1/J77*(X77/H77),"0")</f>
        <v>0.30048076923076922</v>
      </c>
      <c r="BP77" s="64">
        <f>IFERROR(1/J77*(Y77/H77),"0")</f>
        <v>0.3125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5">
        <v>4680115881532</v>
      </c>
      <c r="E78" s="666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5">
        <v>4680115881464</v>
      </c>
      <c r="E79" s="666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5">
        <v>4680115881464</v>
      </c>
      <c r="E80" s="666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92"/>
      <c r="B81" s="658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93"/>
      <c r="P81" s="659" t="s">
        <v>72</v>
      </c>
      <c r="Q81" s="660"/>
      <c r="R81" s="660"/>
      <c r="S81" s="660"/>
      <c r="T81" s="660"/>
      <c r="U81" s="660"/>
      <c r="V81" s="661"/>
      <c r="W81" s="37" t="s">
        <v>73</v>
      </c>
      <c r="X81" s="653">
        <f>IFERROR(X77/H77,"0")+IFERROR(X78/H78,"0")+IFERROR(X79/H79,"0")+IFERROR(X80/H80,"0")</f>
        <v>19.23076923076923</v>
      </c>
      <c r="Y81" s="653">
        <f>IFERROR(Y77/H77,"0")+IFERROR(Y78/H78,"0")+IFERROR(Y79/H79,"0")+IFERROR(Y80/H80,"0")</f>
        <v>20</v>
      </c>
      <c r="Z81" s="653">
        <f>IFERROR(IF(Z77="",0,Z77),"0")+IFERROR(IF(Z78="",0,Z78),"0")+IFERROR(IF(Z79="",0,Z79),"0")+IFERROR(IF(Z80="",0,Z80),"0")</f>
        <v>0.37959999999999999</v>
      </c>
      <c r="AA81" s="654"/>
      <c r="AB81" s="654"/>
      <c r="AC81" s="654"/>
    </row>
    <row r="82" spans="1:68" x14ac:dyDescent="0.2">
      <c r="A82" s="658"/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93"/>
      <c r="P82" s="659" t="s">
        <v>72</v>
      </c>
      <c r="Q82" s="660"/>
      <c r="R82" s="660"/>
      <c r="S82" s="660"/>
      <c r="T82" s="660"/>
      <c r="U82" s="660"/>
      <c r="V82" s="661"/>
      <c r="W82" s="37" t="s">
        <v>67</v>
      </c>
      <c r="X82" s="653">
        <f>IFERROR(SUM(X77:X80),"0")</f>
        <v>150</v>
      </c>
      <c r="Y82" s="653">
        <f>IFERROR(SUM(Y77:Y80),"0")</f>
        <v>156</v>
      </c>
      <c r="Z82" s="37"/>
      <c r="AA82" s="654"/>
      <c r="AB82" s="654"/>
      <c r="AC82" s="654"/>
    </row>
    <row r="83" spans="1:68" ht="16.5" hidden="1" customHeight="1" x14ac:dyDescent="0.25">
      <c r="A83" s="662" t="s">
        <v>171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46"/>
      <c r="AB83" s="646"/>
      <c r="AC83" s="646"/>
    </row>
    <row r="84" spans="1:68" ht="14.25" hidden="1" customHeight="1" x14ac:dyDescent="0.25">
      <c r="A84" s="657" t="s">
        <v>111</v>
      </c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47"/>
      <c r="AB84" s="647"/>
      <c r="AC84" s="64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665">
        <v>4680115881327</v>
      </c>
      <c r="E85" s="666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4"/>
      <c r="V85" s="34"/>
      <c r="W85" s="35" t="s">
        <v>67</v>
      </c>
      <c r="X85" s="651">
        <v>0</v>
      </c>
      <c r="Y85" s="65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65">
        <v>4680115887732</v>
      </c>
      <c r="E86" s="666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5">
        <v>4680115887732</v>
      </c>
      <c r="E87" s="666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68"/>
      <c r="R87" s="668"/>
      <c r="S87" s="668"/>
      <c r="T87" s="669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5">
        <v>4680115881518</v>
      </c>
      <c r="E88" s="666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65">
        <v>4680115881303</v>
      </c>
      <c r="E89" s="666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67</v>
      </c>
      <c r="X89" s="651">
        <v>131</v>
      </c>
      <c r="Y89" s="652">
        <f>IFERROR(IF(X89="",0,CEILING((X89/$H89),1)*$H89),"")</f>
        <v>135</v>
      </c>
      <c r="Z89" s="36">
        <f>IFERROR(IF(Y89=0,"",ROUNDUP(Y89/H89,0)*0.00902),"")</f>
        <v>0.27060000000000001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136.53111111111113</v>
      </c>
      <c r="BN89" s="64">
        <f>IFERROR(Y89*I89/H89,"0")</f>
        <v>140.70000000000002</v>
      </c>
      <c r="BO89" s="64">
        <f>IFERROR(1/J89*(X89/H89),"0")</f>
        <v>0.22053872053872053</v>
      </c>
      <c r="BP89" s="64">
        <f>IFERROR(1/J89*(Y89/H89),"0")</f>
        <v>0.22727272727272729</v>
      </c>
    </row>
    <row r="90" spans="1:68" x14ac:dyDescent="0.2">
      <c r="A90" s="692"/>
      <c r="B90" s="658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93"/>
      <c r="P90" s="659" t="s">
        <v>72</v>
      </c>
      <c r="Q90" s="660"/>
      <c r="R90" s="660"/>
      <c r="S90" s="660"/>
      <c r="T90" s="660"/>
      <c r="U90" s="660"/>
      <c r="V90" s="661"/>
      <c r="W90" s="37" t="s">
        <v>73</v>
      </c>
      <c r="X90" s="653">
        <f>IFERROR(X85/H85,"0")+IFERROR(X86/H86,"0")+IFERROR(X87/H87,"0")+IFERROR(X88/H88,"0")+IFERROR(X89/H89,"0")</f>
        <v>29.111111111111111</v>
      </c>
      <c r="Y90" s="653">
        <f>IFERROR(Y85/H85,"0")+IFERROR(Y86/H86,"0")+IFERROR(Y87/H87,"0")+IFERROR(Y88/H88,"0")+IFERROR(Y89/H89,"0")</f>
        <v>30</v>
      </c>
      <c r="Z90" s="653">
        <f>IFERROR(IF(Z85="",0,Z85),"0")+IFERROR(IF(Z86="",0,Z86),"0")+IFERROR(IF(Z87="",0,Z87),"0")+IFERROR(IF(Z88="",0,Z88),"0")+IFERROR(IF(Z89="",0,Z89),"0")</f>
        <v>0.27060000000000001</v>
      </c>
      <c r="AA90" s="654"/>
      <c r="AB90" s="654"/>
      <c r="AC90" s="654"/>
    </row>
    <row r="91" spans="1:68" x14ac:dyDescent="0.2">
      <c r="A91" s="658"/>
      <c r="B91" s="658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93"/>
      <c r="P91" s="659" t="s">
        <v>72</v>
      </c>
      <c r="Q91" s="660"/>
      <c r="R91" s="660"/>
      <c r="S91" s="660"/>
      <c r="T91" s="660"/>
      <c r="U91" s="660"/>
      <c r="V91" s="661"/>
      <c r="W91" s="37" t="s">
        <v>67</v>
      </c>
      <c r="X91" s="653">
        <f>IFERROR(SUM(X85:X89),"0")</f>
        <v>131</v>
      </c>
      <c r="Y91" s="653">
        <f>IFERROR(SUM(Y85:Y89),"0")</f>
        <v>135</v>
      </c>
      <c r="Z91" s="37"/>
      <c r="AA91" s="654"/>
      <c r="AB91" s="654"/>
      <c r="AC91" s="654"/>
    </row>
    <row r="92" spans="1:68" ht="14.25" hidden="1" customHeight="1" x14ac:dyDescent="0.25">
      <c r="A92" s="657" t="s">
        <v>74</v>
      </c>
      <c r="B92" s="658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65">
        <v>4607091386967</v>
      </c>
      <c r="E93" s="666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4"/>
      <c r="V93" s="34"/>
      <c r="W93" s="35" t="s">
        <v>67</v>
      </c>
      <c r="X93" s="651">
        <v>100</v>
      </c>
      <c r="Y93" s="652">
        <f t="shared" ref="Y93:Y99" si="5">IFERROR(IF(X93="",0,CEILING((X93/$H93),1)*$H93),"")</f>
        <v>105.3</v>
      </c>
      <c r="Z93" s="36">
        <f>IFERROR(IF(Y93=0,"",ROUNDUP(Y93/H93,0)*0.01898),"")</f>
        <v>0.24674000000000001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106.09876543209877</v>
      </c>
      <c r="BN93" s="64">
        <f t="shared" ref="BN93:BN99" si="7">IFERROR(Y93*I93/H93,"0")</f>
        <v>111.72199999999999</v>
      </c>
      <c r="BO93" s="64">
        <f t="shared" ref="BO93:BO99" si="8">IFERROR(1/J93*(X93/H93),"0")</f>
        <v>0.19290123456790123</v>
      </c>
      <c r="BP93" s="64">
        <f t="shared" ref="BP93:BP99" si="9">IFERROR(1/J93*(Y93/H93),"0")</f>
        <v>0.203125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5">
        <v>4607091386967</v>
      </c>
      <c r="E94" s="666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9" t="s">
        <v>188</v>
      </c>
      <c r="Q94" s="668"/>
      <c r="R94" s="668"/>
      <c r="S94" s="668"/>
      <c r="T94" s="669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5">
        <v>4680115884953</v>
      </c>
      <c r="E95" s="666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65">
        <v>4680115884953</v>
      </c>
      <c r="E96" s="666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5" t="s">
        <v>192</v>
      </c>
      <c r="Q96" s="668"/>
      <c r="R96" s="668"/>
      <c r="S96" s="668"/>
      <c r="T96" s="669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hidden="1" customHeight="1" x14ac:dyDescent="0.25">
      <c r="A97" s="54" t="s">
        <v>194</v>
      </c>
      <c r="B97" s="54" t="s">
        <v>195</v>
      </c>
      <c r="C97" s="31">
        <v>4301051718</v>
      </c>
      <c r="D97" s="665">
        <v>4607091385731</v>
      </c>
      <c r="E97" s="666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4"/>
      <c r="V97" s="34"/>
      <c r="W97" s="35" t="s">
        <v>67</v>
      </c>
      <c r="X97" s="651">
        <v>0</v>
      </c>
      <c r="Y97" s="652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65">
        <v>4607091385731</v>
      </c>
      <c r="E98" s="666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4" t="s">
        <v>197</v>
      </c>
      <c r="Q98" s="668"/>
      <c r="R98" s="668"/>
      <c r="S98" s="668"/>
      <c r="T98" s="669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65">
        <v>4680115880894</v>
      </c>
      <c r="E99" s="666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7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92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93"/>
      <c r="P100" s="659" t="s">
        <v>72</v>
      </c>
      <c r="Q100" s="660"/>
      <c r="R100" s="660"/>
      <c r="S100" s="660"/>
      <c r="T100" s="660"/>
      <c r="U100" s="660"/>
      <c r="V100" s="661"/>
      <c r="W100" s="37" t="s">
        <v>73</v>
      </c>
      <c r="X100" s="653">
        <f>IFERROR(X93/H93,"0")+IFERROR(X94/H94,"0")+IFERROR(X95/H95,"0")+IFERROR(X96/H96,"0")+IFERROR(X97/H97,"0")+IFERROR(X98/H98,"0")+IFERROR(X99/H99,"0")</f>
        <v>12.345679012345679</v>
      </c>
      <c r="Y100" s="653">
        <f>IFERROR(Y93/H93,"0")+IFERROR(Y94/H94,"0")+IFERROR(Y95/H95,"0")+IFERROR(Y96/H96,"0")+IFERROR(Y97/H97,"0")+IFERROR(Y98/H98,"0")+IFERROR(Y99/H99,"0")</f>
        <v>13</v>
      </c>
      <c r="Z100" s="653">
        <f>IFERROR(IF(Z93="",0,Z93),"0")+IFERROR(IF(Z94="",0,Z94),"0")+IFERROR(IF(Z95="",0,Z95),"0")+IFERROR(IF(Z96="",0,Z96),"0")+IFERROR(IF(Z97="",0,Z97),"0")+IFERROR(IF(Z98="",0,Z98),"0")+IFERROR(IF(Z99="",0,Z99),"0")</f>
        <v>0.24674000000000001</v>
      </c>
      <c r="AA100" s="654"/>
      <c r="AB100" s="654"/>
      <c r="AC100" s="654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93"/>
      <c r="P101" s="659" t="s">
        <v>72</v>
      </c>
      <c r="Q101" s="660"/>
      <c r="R101" s="660"/>
      <c r="S101" s="660"/>
      <c r="T101" s="660"/>
      <c r="U101" s="660"/>
      <c r="V101" s="661"/>
      <c r="W101" s="37" t="s">
        <v>67</v>
      </c>
      <c r="X101" s="653">
        <f>IFERROR(SUM(X93:X99),"0")</f>
        <v>100</v>
      </c>
      <c r="Y101" s="653">
        <f>IFERROR(SUM(Y93:Y99),"0")</f>
        <v>105.3</v>
      </c>
      <c r="Z101" s="37"/>
      <c r="AA101" s="654"/>
      <c r="AB101" s="654"/>
      <c r="AC101" s="654"/>
    </row>
    <row r="102" spans="1:68" ht="16.5" hidden="1" customHeight="1" x14ac:dyDescent="0.25">
      <c r="A102" s="662" t="s">
        <v>201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46"/>
      <c r="AB102" s="646"/>
      <c r="AC102" s="646"/>
    </row>
    <row r="103" spans="1:68" ht="14.25" hidden="1" customHeight="1" x14ac:dyDescent="0.25">
      <c r="A103" s="65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47"/>
      <c r="AB103" s="647"/>
      <c r="AC103" s="647"/>
    </row>
    <row r="104" spans="1:68" ht="37.5" hidden="1" customHeight="1" x14ac:dyDescent="0.25">
      <c r="A104" s="54" t="s">
        <v>202</v>
      </c>
      <c r="B104" s="54" t="s">
        <v>203</v>
      </c>
      <c r="C104" s="31">
        <v>4301011514</v>
      </c>
      <c r="D104" s="665">
        <v>4680115882133</v>
      </c>
      <c r="E104" s="666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4301012051</v>
      </c>
      <c r="D105" s="665">
        <v>4680115887718</v>
      </c>
      <c r="E105" s="666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65">
        <v>4680115887718</v>
      </c>
      <c r="E106" s="666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65">
        <v>4680115887718</v>
      </c>
      <c r="E107" s="666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65">
        <v>4680115880269</v>
      </c>
      <c r="E108" s="666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65">
        <v>4680115880429</v>
      </c>
      <c r="E109" s="666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4"/>
      <c r="V109" s="34"/>
      <c r="W109" s="35" t="s">
        <v>67</v>
      </c>
      <c r="X109" s="651">
        <v>216</v>
      </c>
      <c r="Y109" s="652">
        <f t="shared" si="10"/>
        <v>216</v>
      </c>
      <c r="Z109" s="36">
        <f>IFERROR(IF(Y109=0,"",ROUNDUP(Y109/H109,0)*0.00902),"")</f>
        <v>0.43296000000000001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225.12</v>
      </c>
      <c r="BN109" s="64">
        <f t="shared" si="12"/>
        <v>225.12</v>
      </c>
      <c r="BO109" s="64">
        <f t="shared" si="13"/>
        <v>0.36363636363636365</v>
      </c>
      <c r="BP109" s="64">
        <f t="shared" si="14"/>
        <v>0.36363636363636365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65">
        <v>4680115880429</v>
      </c>
      <c r="E110" s="666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65" t="s">
        <v>215</v>
      </c>
      <c r="Q110" s="668"/>
      <c r="R110" s="668"/>
      <c r="S110" s="668"/>
      <c r="T110" s="669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65">
        <v>4680115881457</v>
      </c>
      <c r="E111" s="666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92"/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93"/>
      <c r="P112" s="659" t="s">
        <v>72</v>
      </c>
      <c r="Q112" s="660"/>
      <c r="R112" s="660"/>
      <c r="S112" s="660"/>
      <c r="T112" s="660"/>
      <c r="U112" s="660"/>
      <c r="V112" s="66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48</v>
      </c>
      <c r="Y112" s="653">
        <f>IFERROR(Y104/H104,"0")+IFERROR(Y105/H105,"0")+IFERROR(Y106/H106,"0")+IFERROR(Y107/H107,"0")+IFERROR(Y108/H108,"0")+IFERROR(Y109/H109,"0")+IFERROR(Y110/H110,"0")+IFERROR(Y111/H111,"0")</f>
        <v>48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0.43296000000000001</v>
      </c>
      <c r="AA112" s="654"/>
      <c r="AB112" s="654"/>
      <c r="AC112" s="654"/>
    </row>
    <row r="113" spans="1:68" x14ac:dyDescent="0.2">
      <c r="A113" s="658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93"/>
      <c r="P113" s="659" t="s">
        <v>72</v>
      </c>
      <c r="Q113" s="660"/>
      <c r="R113" s="660"/>
      <c r="S113" s="660"/>
      <c r="T113" s="660"/>
      <c r="U113" s="660"/>
      <c r="V113" s="661"/>
      <c r="W113" s="37" t="s">
        <v>67</v>
      </c>
      <c r="X113" s="653">
        <f>IFERROR(SUM(X104:X111),"0")</f>
        <v>216</v>
      </c>
      <c r="Y113" s="653">
        <f>IFERROR(SUM(Y104:Y111),"0")</f>
        <v>216</v>
      </c>
      <c r="Z113" s="37"/>
      <c r="AA113" s="654"/>
      <c r="AB113" s="654"/>
      <c r="AC113" s="654"/>
    </row>
    <row r="114" spans="1:68" ht="14.25" hidden="1" customHeight="1" x14ac:dyDescent="0.25">
      <c r="A114" s="657" t="s">
        <v>144</v>
      </c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47"/>
      <c r="AB114" s="647"/>
      <c r="AC114" s="647"/>
    </row>
    <row r="115" spans="1:68" ht="27" hidden="1" customHeight="1" x14ac:dyDescent="0.25">
      <c r="A115" s="54" t="s">
        <v>219</v>
      </c>
      <c r="B115" s="54" t="s">
        <v>220</v>
      </c>
      <c r="C115" s="31">
        <v>4301020391</v>
      </c>
      <c r="D115" s="665">
        <v>4680115881488</v>
      </c>
      <c r="E115" s="666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4301020186</v>
      </c>
      <c r="D116" s="665">
        <v>4680115887664</v>
      </c>
      <c r="E116" s="666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65">
        <v>4680115887664</v>
      </c>
      <c r="E117" s="666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65">
        <v>4680115882775</v>
      </c>
      <c r="E118" s="666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4301020392</v>
      </c>
      <c r="D119" s="665">
        <v>4680115880658</v>
      </c>
      <c r="E119" s="666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4"/>
      <c r="V119" s="34"/>
      <c r="W119" s="35" t="s">
        <v>67</v>
      </c>
      <c r="X119" s="651">
        <v>0</v>
      </c>
      <c r="Y119" s="65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92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93"/>
      <c r="P120" s="659" t="s">
        <v>72</v>
      </c>
      <c r="Q120" s="660"/>
      <c r="R120" s="660"/>
      <c r="S120" s="660"/>
      <c r="T120" s="660"/>
      <c r="U120" s="660"/>
      <c r="V120" s="661"/>
      <c r="W120" s="37" t="s">
        <v>73</v>
      </c>
      <c r="X120" s="653">
        <f>IFERROR(X115/H115,"0")+IFERROR(X116/H116,"0")+IFERROR(X117/H117,"0")+IFERROR(X118/H118,"0")+IFERROR(X119/H119,"0")</f>
        <v>0</v>
      </c>
      <c r="Y120" s="653">
        <f>IFERROR(Y115/H115,"0")+IFERROR(Y116/H116,"0")+IFERROR(Y117/H117,"0")+IFERROR(Y118/H118,"0")+IFERROR(Y119/H119,"0")</f>
        <v>0</v>
      </c>
      <c r="Z120" s="653">
        <f>IFERROR(IF(Z115="",0,Z115),"0")+IFERROR(IF(Z116="",0,Z116),"0")+IFERROR(IF(Z117="",0,Z117),"0")+IFERROR(IF(Z118="",0,Z118),"0")+IFERROR(IF(Z119="",0,Z119),"0")</f>
        <v>0</v>
      </c>
      <c r="AA120" s="654"/>
      <c r="AB120" s="654"/>
      <c r="AC120" s="654"/>
    </row>
    <row r="121" spans="1:68" hidden="1" x14ac:dyDescent="0.2">
      <c r="A121" s="658"/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93"/>
      <c r="P121" s="659" t="s">
        <v>72</v>
      </c>
      <c r="Q121" s="660"/>
      <c r="R121" s="660"/>
      <c r="S121" s="660"/>
      <c r="T121" s="660"/>
      <c r="U121" s="660"/>
      <c r="V121" s="661"/>
      <c r="W121" s="37" t="s">
        <v>67</v>
      </c>
      <c r="X121" s="653">
        <f>IFERROR(SUM(X115:X119),"0")</f>
        <v>0</v>
      </c>
      <c r="Y121" s="653">
        <f>IFERROR(SUM(Y115:Y119),"0")</f>
        <v>0</v>
      </c>
      <c r="Z121" s="37"/>
      <c r="AA121" s="654"/>
      <c r="AB121" s="654"/>
      <c r="AC121" s="654"/>
    </row>
    <row r="122" spans="1:68" ht="14.25" hidden="1" customHeight="1" x14ac:dyDescent="0.25">
      <c r="A122" s="657" t="s">
        <v>74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65">
        <v>4607091385168</v>
      </c>
      <c r="E123" s="666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4"/>
      <c r="V123" s="34"/>
      <c r="W123" s="35" t="s">
        <v>67</v>
      </c>
      <c r="X123" s="651">
        <v>500</v>
      </c>
      <c r="Y123" s="652">
        <f t="shared" ref="Y123:Y130" si="15">IFERROR(IF(X123="",0,CEILING((X123/$H123),1)*$H123),"")</f>
        <v>502.2</v>
      </c>
      <c r="Z123" s="36">
        <f>IFERROR(IF(Y123=0,"",ROUNDUP(Y123/H123,0)*0.01898),"")</f>
        <v>1.17676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530.12345679012344</v>
      </c>
      <c r="BN123" s="64">
        <f t="shared" ref="BN123:BN130" si="17">IFERROR(Y123*I123/H123,"0")</f>
        <v>532.4559999999999</v>
      </c>
      <c r="BO123" s="64">
        <f t="shared" ref="BO123:BO130" si="18">IFERROR(1/J123*(X123/H123),"0")</f>
        <v>0.96450617283950624</v>
      </c>
      <c r="BP123" s="64">
        <f t="shared" ref="BP123:BP130" si="19">IFERROR(1/J123*(Y123/H123),"0")</f>
        <v>0.96875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65">
        <v>4607091385168</v>
      </c>
      <c r="E124" s="666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14" t="s">
        <v>235</v>
      </c>
      <c r="Q124" s="668"/>
      <c r="R124" s="668"/>
      <c r="S124" s="668"/>
      <c r="T124" s="669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65">
        <v>4607091383256</v>
      </c>
      <c r="E125" s="666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65">
        <v>4607091383256</v>
      </c>
      <c r="E126" s="666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8" t="s">
        <v>239</v>
      </c>
      <c r="Q126" s="668"/>
      <c r="R126" s="668"/>
      <c r="S126" s="668"/>
      <c r="T126" s="669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65">
        <v>4607091385748</v>
      </c>
      <c r="E127" s="666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4"/>
      <c r="V127" s="34"/>
      <c r="W127" s="35" t="s">
        <v>67</v>
      </c>
      <c r="X127" s="651">
        <v>135</v>
      </c>
      <c r="Y127" s="652">
        <f t="shared" si="15"/>
        <v>135</v>
      </c>
      <c r="Z127" s="36">
        <f t="shared" si="20"/>
        <v>0.32550000000000001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147.6</v>
      </c>
      <c r="BN127" s="64">
        <f t="shared" si="17"/>
        <v>147.6</v>
      </c>
      <c r="BO127" s="64">
        <f t="shared" si="18"/>
        <v>0.27472527472527475</v>
      </c>
      <c r="BP127" s="64">
        <f t="shared" si="19"/>
        <v>0.27472527472527475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65">
        <v>4607091385748</v>
      </c>
      <c r="E128" s="666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4" t="s">
        <v>243</v>
      </c>
      <c r="Q128" s="668"/>
      <c r="R128" s="668"/>
      <c r="S128" s="668"/>
      <c r="T128" s="669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65">
        <v>4680115884533</v>
      </c>
      <c r="E129" s="666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65">
        <v>4680115884533</v>
      </c>
      <c r="E130" s="666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26" t="s">
        <v>248</v>
      </c>
      <c r="Q130" s="668"/>
      <c r="R130" s="668"/>
      <c r="S130" s="668"/>
      <c r="T130" s="669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92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93"/>
      <c r="P131" s="659" t="s">
        <v>72</v>
      </c>
      <c r="Q131" s="660"/>
      <c r="R131" s="660"/>
      <c r="S131" s="660"/>
      <c r="T131" s="660"/>
      <c r="U131" s="660"/>
      <c r="V131" s="66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111.72839506172841</v>
      </c>
      <c r="Y131" s="653">
        <f>IFERROR(Y123/H123,"0")+IFERROR(Y124/H124,"0")+IFERROR(Y125/H125,"0")+IFERROR(Y126/H126,"0")+IFERROR(Y127/H127,"0")+IFERROR(Y128/H128,"0")+IFERROR(Y129/H129,"0")+IFERROR(Y130/H130,"0")</f>
        <v>112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1.5022600000000002</v>
      </c>
      <c r="AA131" s="654"/>
      <c r="AB131" s="654"/>
      <c r="AC131" s="654"/>
    </row>
    <row r="132" spans="1:68" x14ac:dyDescent="0.2">
      <c r="A132" s="658"/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93"/>
      <c r="P132" s="659" t="s">
        <v>72</v>
      </c>
      <c r="Q132" s="660"/>
      <c r="R132" s="660"/>
      <c r="S132" s="660"/>
      <c r="T132" s="660"/>
      <c r="U132" s="660"/>
      <c r="V132" s="661"/>
      <c r="W132" s="37" t="s">
        <v>67</v>
      </c>
      <c r="X132" s="653">
        <f>IFERROR(SUM(X123:X130),"0")</f>
        <v>635</v>
      </c>
      <c r="Y132" s="653">
        <f>IFERROR(SUM(Y123:Y130),"0")</f>
        <v>637.20000000000005</v>
      </c>
      <c r="Z132" s="37"/>
      <c r="AA132" s="654"/>
      <c r="AB132" s="654"/>
      <c r="AC132" s="654"/>
    </row>
    <row r="133" spans="1:68" ht="14.25" hidden="1" customHeight="1" x14ac:dyDescent="0.25">
      <c r="A133" s="657" t="s">
        <v>162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47"/>
      <c r="AB133" s="647"/>
      <c r="AC133" s="647"/>
    </row>
    <row r="134" spans="1:68" ht="16.5" hidden="1" customHeight="1" x14ac:dyDescent="0.25">
      <c r="A134" s="54" t="s">
        <v>249</v>
      </c>
      <c r="B134" s="54" t="s">
        <v>250</v>
      </c>
      <c r="C134" s="31">
        <v>4301060317</v>
      </c>
      <c r="D134" s="665">
        <v>4680115880238</v>
      </c>
      <c r="E134" s="666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9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65">
        <v>4680115880238</v>
      </c>
      <c r="E135" s="666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71" t="s">
        <v>253</v>
      </c>
      <c r="Q135" s="668"/>
      <c r="R135" s="668"/>
      <c r="S135" s="668"/>
      <c r="T135" s="669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92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93"/>
      <c r="P136" s="659" t="s">
        <v>72</v>
      </c>
      <c r="Q136" s="660"/>
      <c r="R136" s="660"/>
      <c r="S136" s="660"/>
      <c r="T136" s="660"/>
      <c r="U136" s="660"/>
      <c r="V136" s="66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hidden="1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93"/>
      <c r="P137" s="659" t="s">
        <v>72</v>
      </c>
      <c r="Q137" s="660"/>
      <c r="R137" s="660"/>
      <c r="S137" s="660"/>
      <c r="T137" s="660"/>
      <c r="U137" s="660"/>
      <c r="V137" s="66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hidden="1" customHeight="1" x14ac:dyDescent="0.25">
      <c r="A138" s="662" t="s">
        <v>254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46"/>
      <c r="AB138" s="646"/>
      <c r="AC138" s="646"/>
    </row>
    <row r="139" spans="1:68" ht="14.25" hidden="1" customHeight="1" x14ac:dyDescent="0.25">
      <c r="A139" s="657" t="s">
        <v>111</v>
      </c>
      <c r="B139" s="658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65">
        <v>4680115882577</v>
      </c>
      <c r="E140" s="666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4"/>
      <c r="V140" s="34"/>
      <c r="W140" s="35" t="s">
        <v>67</v>
      </c>
      <c r="X140" s="651">
        <v>12</v>
      </c>
      <c r="Y140" s="652">
        <f>IFERROR(IF(X140="",0,CEILING((X140/$H140),1)*$H140),"")</f>
        <v>12.8</v>
      </c>
      <c r="Z140" s="36">
        <f>IFERROR(IF(Y140=0,"",ROUNDUP(Y140/H140,0)*0.00651),"")</f>
        <v>2.6040000000000001E-2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12.675000000000001</v>
      </c>
      <c r="BN140" s="64">
        <f>IFERROR(Y140*I140/H140,"0")</f>
        <v>13.52</v>
      </c>
      <c r="BO140" s="64">
        <f>IFERROR(1/J140*(X140/H140),"0")</f>
        <v>2.0604395604395608E-2</v>
      </c>
      <c r="BP140" s="64">
        <f>IFERROR(1/J140*(Y140/H140),"0")</f>
        <v>2.197802197802198E-2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65">
        <v>4680115882577</v>
      </c>
      <c r="E141" s="666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92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93"/>
      <c r="P142" s="659" t="s">
        <v>72</v>
      </c>
      <c r="Q142" s="660"/>
      <c r="R142" s="660"/>
      <c r="S142" s="660"/>
      <c r="T142" s="660"/>
      <c r="U142" s="660"/>
      <c r="V142" s="661"/>
      <c r="W142" s="37" t="s">
        <v>73</v>
      </c>
      <c r="X142" s="653">
        <f>IFERROR(X140/H140,"0")+IFERROR(X141/H141,"0")</f>
        <v>3.75</v>
      </c>
      <c r="Y142" s="653">
        <f>IFERROR(Y140/H140,"0")+IFERROR(Y141/H141,"0")</f>
        <v>4</v>
      </c>
      <c r="Z142" s="653">
        <f>IFERROR(IF(Z140="",0,Z140),"0")+IFERROR(IF(Z141="",0,Z141),"0")</f>
        <v>2.6040000000000001E-2</v>
      </c>
      <c r="AA142" s="654"/>
      <c r="AB142" s="654"/>
      <c r="AC142" s="654"/>
    </row>
    <row r="143" spans="1:68" x14ac:dyDescent="0.2">
      <c r="A143" s="658"/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93"/>
      <c r="P143" s="659" t="s">
        <v>72</v>
      </c>
      <c r="Q143" s="660"/>
      <c r="R143" s="660"/>
      <c r="S143" s="660"/>
      <c r="T143" s="660"/>
      <c r="U143" s="660"/>
      <c r="V143" s="661"/>
      <c r="W143" s="37" t="s">
        <v>67</v>
      </c>
      <c r="X143" s="653">
        <f>IFERROR(SUM(X140:X141),"0")</f>
        <v>12</v>
      </c>
      <c r="Y143" s="653">
        <f>IFERROR(SUM(Y140:Y141),"0")</f>
        <v>12.8</v>
      </c>
      <c r="Z143" s="37"/>
      <c r="AA143" s="654"/>
      <c r="AB143" s="654"/>
      <c r="AC143" s="654"/>
    </row>
    <row r="144" spans="1:68" ht="14.25" hidden="1" customHeight="1" x14ac:dyDescent="0.25">
      <c r="A144" s="657" t="s">
        <v>62</v>
      </c>
      <c r="B144" s="658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65">
        <v>4680115883444</v>
      </c>
      <c r="E145" s="666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4"/>
      <c r="V145" s="34"/>
      <c r="W145" s="35" t="s">
        <v>67</v>
      </c>
      <c r="X145" s="651">
        <v>14</v>
      </c>
      <c r="Y145" s="652">
        <f>IFERROR(IF(X145="",0,CEILING((X145/$H145),1)*$H145),"")</f>
        <v>14</v>
      </c>
      <c r="Z145" s="36">
        <f>IFERROR(IF(Y145=0,"",ROUNDUP(Y145/H145,0)*0.00651),"")</f>
        <v>3.2550000000000003E-2</v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15.34</v>
      </c>
      <c r="BN145" s="64">
        <f>IFERROR(Y145*I145/H145,"0")</f>
        <v>15.34</v>
      </c>
      <c r="BO145" s="64">
        <f>IFERROR(1/J145*(X145/H145),"0")</f>
        <v>2.7472527472527476E-2</v>
      </c>
      <c r="BP145" s="64">
        <f>IFERROR(1/J145*(Y145/H145),"0")</f>
        <v>2.7472527472527476E-2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65">
        <v>4680115883444</v>
      </c>
      <c r="E146" s="666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92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93"/>
      <c r="P147" s="659" t="s">
        <v>72</v>
      </c>
      <c r="Q147" s="660"/>
      <c r="R147" s="660"/>
      <c r="S147" s="660"/>
      <c r="T147" s="660"/>
      <c r="U147" s="660"/>
      <c r="V147" s="661"/>
      <c r="W147" s="37" t="s">
        <v>73</v>
      </c>
      <c r="X147" s="653">
        <f>IFERROR(X145/H145,"0")+IFERROR(X146/H146,"0")</f>
        <v>5</v>
      </c>
      <c r="Y147" s="653">
        <f>IFERROR(Y145/H145,"0")+IFERROR(Y146/H146,"0")</f>
        <v>5</v>
      </c>
      <c r="Z147" s="653">
        <f>IFERROR(IF(Z145="",0,Z145),"0")+IFERROR(IF(Z146="",0,Z146),"0")</f>
        <v>3.2550000000000003E-2</v>
      </c>
      <c r="AA147" s="654"/>
      <c r="AB147" s="654"/>
      <c r="AC147" s="654"/>
    </row>
    <row r="148" spans="1:68" x14ac:dyDescent="0.2">
      <c r="A148" s="658"/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93"/>
      <c r="P148" s="659" t="s">
        <v>72</v>
      </c>
      <c r="Q148" s="660"/>
      <c r="R148" s="660"/>
      <c r="S148" s="660"/>
      <c r="T148" s="660"/>
      <c r="U148" s="660"/>
      <c r="V148" s="661"/>
      <c r="W148" s="37" t="s">
        <v>67</v>
      </c>
      <c r="X148" s="653">
        <f>IFERROR(SUM(X145:X146),"0")</f>
        <v>14</v>
      </c>
      <c r="Y148" s="653">
        <f>IFERROR(SUM(Y145:Y146),"0")</f>
        <v>14</v>
      </c>
      <c r="Z148" s="37"/>
      <c r="AA148" s="654"/>
      <c r="AB148" s="654"/>
      <c r="AC148" s="654"/>
    </row>
    <row r="149" spans="1:68" ht="14.25" hidden="1" customHeight="1" x14ac:dyDescent="0.25">
      <c r="A149" s="65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65">
        <v>4680115882584</v>
      </c>
      <c r="E150" s="666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4"/>
      <c r="V150" s="34"/>
      <c r="W150" s="35" t="s">
        <v>67</v>
      </c>
      <c r="X150" s="651">
        <v>50</v>
      </c>
      <c r="Y150" s="652">
        <f>IFERROR(IF(X150="",0,CEILING((X150/$H150),1)*$H150),"")</f>
        <v>50.160000000000004</v>
      </c>
      <c r="Z150" s="36">
        <f>IFERROR(IF(Y150=0,"",ROUNDUP(Y150/H150,0)*0.00651),"")</f>
        <v>0.12369000000000001</v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55.075757575757578</v>
      </c>
      <c r="BN150" s="64">
        <f>IFERROR(Y150*I150/H150,"0")</f>
        <v>55.252000000000002</v>
      </c>
      <c r="BO150" s="64">
        <f>IFERROR(1/J150*(X150/H150),"0")</f>
        <v>0.10406260406260406</v>
      </c>
      <c r="BP150" s="64">
        <f>IFERROR(1/J150*(Y150/H150),"0")</f>
        <v>0.1043956043956044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65">
        <v>4680115882584</v>
      </c>
      <c r="E151" s="666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1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92"/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93"/>
      <c r="P152" s="659" t="s">
        <v>72</v>
      </c>
      <c r="Q152" s="660"/>
      <c r="R152" s="660"/>
      <c r="S152" s="660"/>
      <c r="T152" s="660"/>
      <c r="U152" s="660"/>
      <c r="V152" s="661"/>
      <c r="W152" s="37" t="s">
        <v>73</v>
      </c>
      <c r="X152" s="653">
        <f>IFERROR(X150/H150,"0")+IFERROR(X151/H151,"0")</f>
        <v>18.939393939393938</v>
      </c>
      <c r="Y152" s="653">
        <f>IFERROR(Y150/H150,"0")+IFERROR(Y151/H151,"0")</f>
        <v>19</v>
      </c>
      <c r="Z152" s="653">
        <f>IFERROR(IF(Z150="",0,Z150),"0")+IFERROR(IF(Z151="",0,Z151),"0")</f>
        <v>0.12369000000000001</v>
      </c>
      <c r="AA152" s="654"/>
      <c r="AB152" s="654"/>
      <c r="AC152" s="654"/>
    </row>
    <row r="153" spans="1:68" x14ac:dyDescent="0.2">
      <c r="A153" s="658"/>
      <c r="B153" s="658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93"/>
      <c r="P153" s="659" t="s">
        <v>72</v>
      </c>
      <c r="Q153" s="660"/>
      <c r="R153" s="660"/>
      <c r="S153" s="660"/>
      <c r="T153" s="660"/>
      <c r="U153" s="660"/>
      <c r="V153" s="661"/>
      <c r="W153" s="37" t="s">
        <v>67</v>
      </c>
      <c r="X153" s="653">
        <f>IFERROR(SUM(X150:X151),"0")</f>
        <v>50</v>
      </c>
      <c r="Y153" s="653">
        <f>IFERROR(SUM(Y150:Y151),"0")</f>
        <v>50.160000000000004</v>
      </c>
      <c r="Z153" s="37"/>
      <c r="AA153" s="654"/>
      <c r="AB153" s="654"/>
      <c r="AC153" s="654"/>
    </row>
    <row r="154" spans="1:68" ht="16.5" hidden="1" customHeight="1" x14ac:dyDescent="0.25">
      <c r="A154" s="662" t="s">
        <v>267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46"/>
      <c r="AB154" s="646"/>
      <c r="AC154" s="646"/>
    </row>
    <row r="155" spans="1:68" ht="14.25" hidden="1" customHeight="1" x14ac:dyDescent="0.25">
      <c r="A155" s="657" t="s">
        <v>74</v>
      </c>
      <c r="B155" s="658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47"/>
      <c r="AB155" s="647"/>
      <c r="AC155" s="647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65">
        <v>4680115888203</v>
      </c>
      <c r="E156" s="666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65">
        <v>4680115888180</v>
      </c>
      <c r="E157" s="666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65">
        <v>4680115888180</v>
      </c>
      <c r="E158" s="666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65">
        <v>4680115888197</v>
      </c>
      <c r="E159" s="666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65">
        <v>4680115888197</v>
      </c>
      <c r="E160" s="666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65">
        <v>4680115888210</v>
      </c>
      <c r="E161" s="666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65">
        <v>4680115888210</v>
      </c>
      <c r="E162" s="666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1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92"/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93"/>
      <c r="P163" s="659" t="s">
        <v>72</v>
      </c>
      <c r="Q163" s="660"/>
      <c r="R163" s="660"/>
      <c r="S163" s="660"/>
      <c r="T163" s="660"/>
      <c r="U163" s="660"/>
      <c r="V163" s="66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58"/>
      <c r="B164" s="658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93"/>
      <c r="P164" s="659" t="s">
        <v>72</v>
      </c>
      <c r="Q164" s="660"/>
      <c r="R164" s="660"/>
      <c r="S164" s="660"/>
      <c r="T164" s="660"/>
      <c r="U164" s="660"/>
      <c r="V164" s="66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57" t="s">
        <v>283</v>
      </c>
      <c r="B165" s="658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47"/>
      <c r="AB165" s="647"/>
      <c r="AC165" s="647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65">
        <v>4680115889132</v>
      </c>
      <c r="E166" s="666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92"/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93"/>
      <c r="P167" s="659" t="s">
        <v>72</v>
      </c>
      <c r="Q167" s="660"/>
      <c r="R167" s="660"/>
      <c r="S167" s="660"/>
      <c r="T167" s="660"/>
      <c r="U167" s="660"/>
      <c r="V167" s="66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58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93"/>
      <c r="P168" s="659" t="s">
        <v>72</v>
      </c>
      <c r="Q168" s="660"/>
      <c r="R168" s="660"/>
      <c r="S168" s="660"/>
      <c r="T168" s="660"/>
      <c r="U168" s="660"/>
      <c r="V168" s="66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62" t="s">
        <v>109</v>
      </c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46"/>
      <c r="AB169" s="646"/>
      <c r="AC169" s="646"/>
    </row>
    <row r="170" spans="1:68" ht="14.25" hidden="1" customHeight="1" x14ac:dyDescent="0.25">
      <c r="A170" s="657" t="s">
        <v>111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47"/>
      <c r="AB170" s="647"/>
      <c r="AC170" s="647"/>
    </row>
    <row r="171" spans="1:68" ht="27" hidden="1" customHeight="1" x14ac:dyDescent="0.25">
      <c r="A171" s="54" t="s">
        <v>290</v>
      </c>
      <c r="B171" s="54" t="s">
        <v>291</v>
      </c>
      <c r="C171" s="31">
        <v>4301012338</v>
      </c>
      <c r="D171" s="665">
        <v>4680115887374</v>
      </c>
      <c r="E171" s="666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65">
        <v>4607091384604</v>
      </c>
      <c r="E172" s="666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65">
        <v>4680115888876</v>
      </c>
      <c r="E173" s="666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92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93"/>
      <c r="P174" s="659" t="s">
        <v>72</v>
      </c>
      <c r="Q174" s="660"/>
      <c r="R174" s="660"/>
      <c r="S174" s="660"/>
      <c r="T174" s="660"/>
      <c r="U174" s="660"/>
      <c r="V174" s="661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hidden="1" x14ac:dyDescent="0.2">
      <c r="A175" s="658"/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93"/>
      <c r="P175" s="659" t="s">
        <v>72</v>
      </c>
      <c r="Q175" s="660"/>
      <c r="R175" s="660"/>
      <c r="S175" s="660"/>
      <c r="T175" s="660"/>
      <c r="U175" s="660"/>
      <c r="V175" s="661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hidden="1" customHeight="1" x14ac:dyDescent="0.25">
      <c r="A176" s="657" t="s">
        <v>144</v>
      </c>
      <c r="B176" s="658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47"/>
      <c r="AB176" s="647"/>
      <c r="AC176" s="647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65">
        <v>4680115887695</v>
      </c>
      <c r="E177" s="666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65">
        <v>4680115889491</v>
      </c>
      <c r="E178" s="666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92"/>
      <c r="B179" s="658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93"/>
      <c r="P179" s="659" t="s">
        <v>72</v>
      </c>
      <c r="Q179" s="660"/>
      <c r="R179" s="660"/>
      <c r="S179" s="660"/>
      <c r="T179" s="660"/>
      <c r="U179" s="660"/>
      <c r="V179" s="66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58"/>
      <c r="B180" s="658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93"/>
      <c r="P180" s="659" t="s">
        <v>72</v>
      </c>
      <c r="Q180" s="660"/>
      <c r="R180" s="660"/>
      <c r="S180" s="660"/>
      <c r="T180" s="660"/>
      <c r="U180" s="660"/>
      <c r="V180" s="66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57" t="s">
        <v>62</v>
      </c>
      <c r="B181" s="658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65">
        <v>4680115887428</v>
      </c>
      <c r="E182" s="666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4"/>
      <c r="V182" s="34"/>
      <c r="W182" s="35" t="s">
        <v>67</v>
      </c>
      <c r="X182" s="651">
        <v>100</v>
      </c>
      <c r="Y182" s="652">
        <f t="shared" ref="Y182:Y195" si="27">IFERROR(IF(X182="",0,CEILING((X182/$H182),1)*$H182),"")</f>
        <v>101.5</v>
      </c>
      <c r="Z182" s="36">
        <f t="shared" ref="Z182:Z187" si="28">IFERROR(IF(Y182=0,"",ROUNDUP(Y182/H182,0)*0.00902),"")</f>
        <v>0.26158000000000003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105.42857142857143</v>
      </c>
      <c r="BN182" s="64">
        <f t="shared" ref="BN182:BN195" si="30">IFERROR(Y182*I182/H182,"0")</f>
        <v>107.00999999999999</v>
      </c>
      <c r="BO182" s="64">
        <f t="shared" ref="BO182:BO195" si="31">IFERROR(1/J182*(X182/H182),"0")</f>
        <v>0.21645021645021648</v>
      </c>
      <c r="BP182" s="64">
        <f t="shared" ref="BP182:BP195" si="32">IFERROR(1/J182*(Y182/H182),"0")</f>
        <v>0.2196969696969697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65">
        <v>4680115889170</v>
      </c>
      <c r="E183" s="666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65">
        <v>4680115887398</v>
      </c>
      <c r="E184" s="666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4"/>
      <c r="V184" s="34"/>
      <c r="W184" s="35" t="s">
        <v>67</v>
      </c>
      <c r="X184" s="651">
        <v>50</v>
      </c>
      <c r="Y184" s="652">
        <f t="shared" si="27"/>
        <v>52.5</v>
      </c>
      <c r="Z184" s="36">
        <f t="shared" si="28"/>
        <v>0.1353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52.714285714285715</v>
      </c>
      <c r="BN184" s="64">
        <f t="shared" si="30"/>
        <v>55.35</v>
      </c>
      <c r="BO184" s="64">
        <f t="shared" si="31"/>
        <v>0.10822510822510824</v>
      </c>
      <c r="BP184" s="64">
        <f t="shared" si="32"/>
        <v>0.11363636363636365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65">
        <v>4680115887398</v>
      </c>
      <c r="E185" s="666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26" t="s">
        <v>315</v>
      </c>
      <c r="Q185" s="668"/>
      <c r="R185" s="668"/>
      <c r="S185" s="668"/>
      <c r="T185" s="669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65">
        <v>4680115887336</v>
      </c>
      <c r="E186" s="666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4"/>
      <c r="V186" s="34"/>
      <c r="W186" s="35" t="s">
        <v>67</v>
      </c>
      <c r="X186" s="651">
        <v>50</v>
      </c>
      <c r="Y186" s="652">
        <f t="shared" si="27"/>
        <v>52.5</v>
      </c>
      <c r="Z186" s="36">
        <f t="shared" si="28"/>
        <v>0.1353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52.714285714285715</v>
      </c>
      <c r="BN186" s="64">
        <f t="shared" si="30"/>
        <v>55.35</v>
      </c>
      <c r="BO186" s="64">
        <f t="shared" si="31"/>
        <v>0.10822510822510824</v>
      </c>
      <c r="BP186" s="64">
        <f t="shared" si="32"/>
        <v>0.11363636363636365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65">
        <v>4680115887336</v>
      </c>
      <c r="E187" s="666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1" t="s">
        <v>321</v>
      </c>
      <c r="Q187" s="668"/>
      <c r="R187" s="668"/>
      <c r="S187" s="668"/>
      <c r="T187" s="669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65">
        <v>4680115887787</v>
      </c>
      <c r="E188" s="666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10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4"/>
      <c r="V188" s="34"/>
      <c r="W188" s="35" t="s">
        <v>67</v>
      </c>
      <c r="X188" s="651">
        <v>2</v>
      </c>
      <c r="Y188" s="652">
        <f t="shared" si="27"/>
        <v>2.7</v>
      </c>
      <c r="Z188" s="36">
        <f>IFERROR(IF(Y188=0,"",ROUNDUP(Y188/H188,0)*0.00417),"")</f>
        <v>1.251E-2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2.4666666666666668</v>
      </c>
      <c r="BN188" s="64">
        <f t="shared" si="30"/>
        <v>3.33</v>
      </c>
      <c r="BO188" s="64">
        <f t="shared" si="31"/>
        <v>6.6137566137566134E-3</v>
      </c>
      <c r="BP188" s="64">
        <f t="shared" si="32"/>
        <v>8.9285714285714281E-3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65">
        <v>4680115887787</v>
      </c>
      <c r="E189" s="666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935" t="s">
        <v>327</v>
      </c>
      <c r="Q189" s="668"/>
      <c r="R189" s="668"/>
      <c r="S189" s="668"/>
      <c r="T189" s="669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65">
        <v>4680115887503</v>
      </c>
      <c r="E190" s="666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4"/>
      <c r="V190" s="34"/>
      <c r="W190" s="35" t="s">
        <v>67</v>
      </c>
      <c r="X190" s="651">
        <v>14</v>
      </c>
      <c r="Y190" s="652">
        <f t="shared" si="27"/>
        <v>15.12</v>
      </c>
      <c r="Z190" s="36">
        <f>IFERROR(IF(Y190=0,"",ROUNDUP(Y190/H190,0)*0.00502),"")</f>
        <v>4.5179999999999998E-2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14.833333333333336</v>
      </c>
      <c r="BN190" s="64">
        <f t="shared" si="30"/>
        <v>16.02</v>
      </c>
      <c r="BO190" s="64">
        <f t="shared" si="31"/>
        <v>3.561253561253562E-2</v>
      </c>
      <c r="BP190" s="64">
        <f t="shared" si="32"/>
        <v>3.8461538461538464E-2</v>
      </c>
    </row>
    <row r="191" spans="1:68" ht="27" hidden="1" customHeight="1" x14ac:dyDescent="0.25">
      <c r="A191" s="54" t="s">
        <v>330</v>
      </c>
      <c r="B191" s="54" t="s">
        <v>331</v>
      </c>
      <c r="C191" s="31">
        <v>4301031389</v>
      </c>
      <c r="D191" s="665">
        <v>4680115887763</v>
      </c>
      <c r="E191" s="666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4"/>
      <c r="V191" s="34"/>
      <c r="W191" s="35" t="s">
        <v>67</v>
      </c>
      <c r="X191" s="651">
        <v>0</v>
      </c>
      <c r="Y191" s="652">
        <f t="shared" si="27"/>
        <v>0</v>
      </c>
      <c r="Z191" s="36" t="str">
        <f>IFERROR(IF(Y191=0,"",ROUNDUP(Y191/H191,0)*0.00417),"")</f>
        <v/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0</v>
      </c>
      <c r="BN191" s="64">
        <f t="shared" si="30"/>
        <v>0</v>
      </c>
      <c r="BO191" s="64">
        <f t="shared" si="31"/>
        <v>0</v>
      </c>
      <c r="BP191" s="64">
        <f t="shared" si="32"/>
        <v>0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65">
        <v>4680115887480</v>
      </c>
      <c r="E192" s="666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4"/>
      <c r="V192" s="34"/>
      <c r="W192" s="35" t="s">
        <v>67</v>
      </c>
      <c r="X192" s="651">
        <v>42</v>
      </c>
      <c r="Y192" s="652">
        <f t="shared" si="27"/>
        <v>42</v>
      </c>
      <c r="Z192" s="36">
        <f>IFERROR(IF(Y192=0,"",ROUNDUP(Y192/H192,0)*0.00502),"")</f>
        <v>0.1255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44.500000000000007</v>
      </c>
      <c r="BN192" s="64">
        <f t="shared" si="30"/>
        <v>44.500000000000007</v>
      </c>
      <c r="BO192" s="64">
        <f t="shared" si="31"/>
        <v>0.10683760683760685</v>
      </c>
      <c r="BP192" s="64">
        <f t="shared" si="32"/>
        <v>0.10683760683760685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65">
        <v>4680115887480</v>
      </c>
      <c r="E193" s="666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5" t="s">
        <v>336</v>
      </c>
      <c r="Q193" s="668"/>
      <c r="R193" s="668"/>
      <c r="S193" s="668"/>
      <c r="T193" s="669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65">
        <v>4680115888067</v>
      </c>
      <c r="E194" s="666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8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4"/>
      <c r="V194" s="34"/>
      <c r="W194" s="35" t="s">
        <v>67</v>
      </c>
      <c r="X194" s="651">
        <v>4</v>
      </c>
      <c r="Y194" s="652">
        <f t="shared" si="27"/>
        <v>4.5</v>
      </c>
      <c r="Z194" s="36">
        <f>IFERROR(IF(Y194=0,"",ROUNDUP(Y194/H194,0)*0.00417),"")</f>
        <v>2.085E-2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4.4444444444444446</v>
      </c>
      <c r="BN194" s="64">
        <f t="shared" si="30"/>
        <v>5</v>
      </c>
      <c r="BO194" s="64">
        <f t="shared" si="31"/>
        <v>1.3227513227513227E-2</v>
      </c>
      <c r="BP194" s="64">
        <f t="shared" si="32"/>
        <v>1.488095238095238E-2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65">
        <v>4680115887435</v>
      </c>
      <c r="E195" s="666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4"/>
      <c r="V195" s="34"/>
      <c r="W195" s="35" t="s">
        <v>67</v>
      </c>
      <c r="X195" s="651">
        <v>42</v>
      </c>
      <c r="Y195" s="652">
        <f t="shared" si="27"/>
        <v>42</v>
      </c>
      <c r="Z195" s="36">
        <f>IFERROR(IF(Y195=0,"",ROUNDUP(Y195/H195,0)*0.00502),"")</f>
        <v>0.1255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44.500000000000007</v>
      </c>
      <c r="BN195" s="64">
        <f t="shared" si="30"/>
        <v>44.500000000000007</v>
      </c>
      <c r="BO195" s="64">
        <f t="shared" si="31"/>
        <v>0.10683760683760685</v>
      </c>
      <c r="BP195" s="64">
        <f t="shared" si="32"/>
        <v>0.10683760683760685</v>
      </c>
    </row>
    <row r="196" spans="1:68" x14ac:dyDescent="0.2">
      <c r="A196" s="692"/>
      <c r="B196" s="658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93"/>
      <c r="P196" s="659" t="s">
        <v>72</v>
      </c>
      <c r="Q196" s="660"/>
      <c r="R196" s="660"/>
      <c r="S196" s="660"/>
      <c r="T196" s="660"/>
      <c r="U196" s="660"/>
      <c r="V196" s="66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122.14285714285714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126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0.86172000000000004</v>
      </c>
      <c r="AA196" s="654"/>
      <c r="AB196" s="654"/>
      <c r="AC196" s="654"/>
    </row>
    <row r="197" spans="1:68" x14ac:dyDescent="0.2">
      <c r="A197" s="658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93"/>
      <c r="P197" s="659" t="s">
        <v>72</v>
      </c>
      <c r="Q197" s="660"/>
      <c r="R197" s="660"/>
      <c r="S197" s="660"/>
      <c r="T197" s="660"/>
      <c r="U197" s="660"/>
      <c r="V197" s="661"/>
      <c r="W197" s="37" t="s">
        <v>67</v>
      </c>
      <c r="X197" s="653">
        <f>IFERROR(SUM(X182:X195),"0")</f>
        <v>304</v>
      </c>
      <c r="Y197" s="653">
        <f>IFERROR(SUM(Y182:Y195),"0")</f>
        <v>312.82</v>
      </c>
      <c r="Z197" s="37"/>
      <c r="AA197" s="654"/>
      <c r="AB197" s="654"/>
      <c r="AC197" s="654"/>
    </row>
    <row r="198" spans="1:68" ht="14.25" hidden="1" customHeight="1" x14ac:dyDescent="0.25">
      <c r="A198" s="657" t="s">
        <v>74</v>
      </c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47"/>
      <c r="AB198" s="647"/>
      <c r="AC198" s="647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65">
        <v>4680115888395</v>
      </c>
      <c r="E199" s="666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10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65">
        <v>4680115888371</v>
      </c>
      <c r="E200" s="666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9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348</v>
      </c>
      <c r="B201" s="54" t="s">
        <v>349</v>
      </c>
      <c r="C201" s="31">
        <v>4301052064</v>
      </c>
      <c r="D201" s="665">
        <v>4680115887459</v>
      </c>
      <c r="E201" s="666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92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93"/>
      <c r="P202" s="659" t="s">
        <v>72</v>
      </c>
      <c r="Q202" s="660"/>
      <c r="R202" s="660"/>
      <c r="S202" s="660"/>
      <c r="T202" s="660"/>
      <c r="U202" s="660"/>
      <c r="V202" s="66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hidden="1" x14ac:dyDescent="0.2">
      <c r="A203" s="658"/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93"/>
      <c r="P203" s="659" t="s">
        <v>72</v>
      </c>
      <c r="Q203" s="660"/>
      <c r="R203" s="660"/>
      <c r="S203" s="660"/>
      <c r="T203" s="660"/>
      <c r="U203" s="660"/>
      <c r="V203" s="66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hidden="1" customHeight="1" x14ac:dyDescent="0.25">
      <c r="A204" s="657" t="s">
        <v>283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47"/>
      <c r="AB204" s="647"/>
      <c r="AC204" s="647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65">
        <v>4680115889026</v>
      </c>
      <c r="E205" s="666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92"/>
      <c r="B206" s="658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93"/>
      <c r="P206" s="659" t="s">
        <v>72</v>
      </c>
      <c r="Q206" s="660"/>
      <c r="R206" s="660"/>
      <c r="S206" s="660"/>
      <c r="T206" s="660"/>
      <c r="U206" s="660"/>
      <c r="V206" s="66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58"/>
      <c r="B207" s="658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93"/>
      <c r="P207" s="659" t="s">
        <v>72</v>
      </c>
      <c r="Q207" s="660"/>
      <c r="R207" s="660"/>
      <c r="S207" s="660"/>
      <c r="T207" s="660"/>
      <c r="U207" s="660"/>
      <c r="V207" s="66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57" t="s">
        <v>355</v>
      </c>
      <c r="B208" s="658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47"/>
      <c r="AB208" s="647"/>
      <c r="AC208" s="647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65">
        <v>4680115889033</v>
      </c>
      <c r="E209" s="666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92"/>
      <c r="B210" s="658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93"/>
      <c r="P210" s="659" t="s">
        <v>72</v>
      </c>
      <c r="Q210" s="660"/>
      <c r="R210" s="660"/>
      <c r="S210" s="660"/>
      <c r="T210" s="660"/>
      <c r="U210" s="660"/>
      <c r="V210" s="66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58"/>
      <c r="B211" s="658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93"/>
      <c r="P211" s="659" t="s">
        <v>72</v>
      </c>
      <c r="Q211" s="660"/>
      <c r="R211" s="660"/>
      <c r="S211" s="660"/>
      <c r="T211" s="660"/>
      <c r="U211" s="660"/>
      <c r="V211" s="66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655" t="s">
        <v>359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48"/>
      <c r="AB212" s="48"/>
      <c r="AC212" s="48"/>
    </row>
    <row r="213" spans="1:68" ht="16.5" hidden="1" customHeight="1" x14ac:dyDescent="0.25">
      <c r="A213" s="662" t="s">
        <v>360</v>
      </c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46"/>
      <c r="AB213" s="646"/>
      <c r="AC213" s="646"/>
    </row>
    <row r="214" spans="1:68" ht="14.25" hidden="1" customHeight="1" x14ac:dyDescent="0.25">
      <c r="A214" s="657" t="s">
        <v>111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47"/>
      <c r="AB214" s="647"/>
      <c r="AC214" s="647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65">
        <v>4607091383423</v>
      </c>
      <c r="E215" s="666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70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65">
        <v>4680115888760</v>
      </c>
      <c r="E216" s="666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65">
        <v>4680115888807</v>
      </c>
      <c r="E217" s="666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65">
        <v>4680115888852</v>
      </c>
      <c r="E218" s="666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65">
        <v>4680115886957</v>
      </c>
      <c r="E219" s="666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65">
        <v>4680115885660</v>
      </c>
      <c r="E220" s="666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65">
        <v>4680115886773</v>
      </c>
      <c r="E221" s="666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7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92"/>
      <c r="B222" s="658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93"/>
      <c r="P222" s="659" t="s">
        <v>72</v>
      </c>
      <c r="Q222" s="660"/>
      <c r="R222" s="660"/>
      <c r="S222" s="660"/>
      <c r="T222" s="660"/>
      <c r="U222" s="660"/>
      <c r="V222" s="66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58"/>
      <c r="B223" s="658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93"/>
      <c r="P223" s="659" t="s">
        <v>72</v>
      </c>
      <c r="Q223" s="660"/>
      <c r="R223" s="660"/>
      <c r="S223" s="660"/>
      <c r="T223" s="660"/>
      <c r="U223" s="660"/>
      <c r="V223" s="66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62" t="s">
        <v>381</v>
      </c>
      <c r="B224" s="658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46"/>
      <c r="AB224" s="646"/>
      <c r="AC224" s="646"/>
    </row>
    <row r="225" spans="1:68" ht="14.25" hidden="1" customHeight="1" x14ac:dyDescent="0.25">
      <c r="A225" s="657" t="s">
        <v>144</v>
      </c>
      <c r="B225" s="658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47"/>
      <c r="AB225" s="647"/>
      <c r="AC225" s="647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65">
        <v>4680115886223</v>
      </c>
      <c r="E226" s="666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92"/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93"/>
      <c r="P227" s="659" t="s">
        <v>72</v>
      </c>
      <c r="Q227" s="660"/>
      <c r="R227" s="660"/>
      <c r="S227" s="660"/>
      <c r="T227" s="660"/>
      <c r="U227" s="660"/>
      <c r="V227" s="66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58"/>
      <c r="B228" s="658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93"/>
      <c r="P228" s="659" t="s">
        <v>72</v>
      </c>
      <c r="Q228" s="660"/>
      <c r="R228" s="660"/>
      <c r="S228" s="660"/>
      <c r="T228" s="660"/>
      <c r="U228" s="660"/>
      <c r="V228" s="66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57" t="s">
        <v>62</v>
      </c>
      <c r="B229" s="658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65">
        <v>4680115880993</v>
      </c>
      <c r="E230" s="666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4"/>
      <c r="V230" s="34"/>
      <c r="W230" s="35" t="s">
        <v>67</v>
      </c>
      <c r="X230" s="651">
        <v>30</v>
      </c>
      <c r="Y230" s="652">
        <f t="shared" ref="Y230:Y243" si="39">IFERROR(IF(X230="",0,CEILING((X230/$H230),1)*$H230),"")</f>
        <v>33.6</v>
      </c>
      <c r="Z230" s="36">
        <f>IFERROR(IF(Y230=0,"",ROUNDUP(Y230/H230,0)*0.00902),"")</f>
        <v>7.2160000000000002E-2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31.785714285714285</v>
      </c>
      <c r="BN230" s="64">
        <f t="shared" ref="BN230:BN243" si="41">IFERROR(Y230*I230/H230,"0")</f>
        <v>35.6</v>
      </c>
      <c r="BO230" s="64">
        <f t="shared" ref="BO230:BO243" si="42">IFERROR(1/J230*(X230/H230),"0")</f>
        <v>5.4112554112554112E-2</v>
      </c>
      <c r="BP230" s="64">
        <f t="shared" ref="BP230:BP243" si="43">IFERROR(1/J230*(Y230/H230),"0")</f>
        <v>6.0606060606060608E-2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65">
        <v>4680115881761</v>
      </c>
      <c r="E231" s="666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7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65">
        <v>4680115881563</v>
      </c>
      <c r="E232" s="666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4"/>
      <c r="V232" s="34"/>
      <c r="W232" s="35" t="s">
        <v>67</v>
      </c>
      <c r="X232" s="651">
        <v>65</v>
      </c>
      <c r="Y232" s="652">
        <f t="shared" si="39"/>
        <v>67.2</v>
      </c>
      <c r="Z232" s="36">
        <f>IFERROR(IF(Y232=0,"",ROUNDUP(Y232/H232,0)*0.00902),"")</f>
        <v>0.14432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67.940476190476176</v>
      </c>
      <c r="BN232" s="64">
        <f t="shared" si="41"/>
        <v>70.239999999999995</v>
      </c>
      <c r="BO232" s="64">
        <f t="shared" si="42"/>
        <v>0.11724386724386725</v>
      </c>
      <c r="BP232" s="64">
        <f t="shared" si="43"/>
        <v>0.12121212121212122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65">
        <v>4680115887565</v>
      </c>
      <c r="E233" s="666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4"/>
      <c r="V233" s="34"/>
      <c r="W233" s="35" t="s">
        <v>67</v>
      </c>
      <c r="X233" s="651">
        <v>3</v>
      </c>
      <c r="Y233" s="652">
        <f t="shared" si="39"/>
        <v>3.2</v>
      </c>
      <c r="Z233" s="36">
        <f>IFERROR(IF(Y233=0,"",ROUNDUP(Y233/H233,0)*0.00556),"")</f>
        <v>2.2239999999999999E-2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3.4874999999999998</v>
      </c>
      <c r="BN233" s="64">
        <f t="shared" si="41"/>
        <v>3.72</v>
      </c>
      <c r="BO233" s="64">
        <f t="shared" si="42"/>
        <v>1.488095238095238E-2</v>
      </c>
      <c r="BP233" s="64">
        <f t="shared" si="43"/>
        <v>1.5873015873015872E-2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4301031199</v>
      </c>
      <c r="D234" s="665">
        <v>4680115880986</v>
      </c>
      <c r="E234" s="666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4"/>
      <c r="V234" s="34"/>
      <c r="W234" s="35" t="s">
        <v>67</v>
      </c>
      <c r="X234" s="651">
        <v>0</v>
      </c>
      <c r="Y234" s="652">
        <f t="shared" si="39"/>
        <v>0</v>
      </c>
      <c r="Z234" s="36" t="str">
        <f t="shared" ref="Z234:Z239" si="44">IFERROR(IF(Y234=0,"",ROUNDUP(Y234/H234,0)*0.00502),"")</f>
        <v/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0</v>
      </c>
      <c r="BN234" s="64">
        <f t="shared" si="41"/>
        <v>0</v>
      </c>
      <c r="BO234" s="64">
        <f t="shared" si="42"/>
        <v>0</v>
      </c>
      <c r="BP234" s="64">
        <f t="shared" si="43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65">
        <v>4680115887213</v>
      </c>
      <c r="E235" s="666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65">
        <v>4680115881785</v>
      </c>
      <c r="E236" s="666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65">
        <v>4680115888432</v>
      </c>
      <c r="E237" s="666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65">
        <v>4680115888104</v>
      </c>
      <c r="E238" s="666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65">
        <v>4680115886537</v>
      </c>
      <c r="E239" s="666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4"/>
      <c r="V239" s="34"/>
      <c r="W239" s="35" t="s">
        <v>67</v>
      </c>
      <c r="X239" s="651">
        <v>12</v>
      </c>
      <c r="Y239" s="652">
        <f t="shared" si="39"/>
        <v>12.6</v>
      </c>
      <c r="Z239" s="36">
        <f t="shared" si="44"/>
        <v>3.5140000000000005E-2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12.866666666666667</v>
      </c>
      <c r="BN239" s="64">
        <f t="shared" si="41"/>
        <v>13.509999999999998</v>
      </c>
      <c r="BO239" s="64">
        <f t="shared" si="42"/>
        <v>2.8490028490028491E-2</v>
      </c>
      <c r="BP239" s="64">
        <f t="shared" si="43"/>
        <v>2.9914529914529919E-2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65">
        <v>4680115887596</v>
      </c>
      <c r="E240" s="666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4"/>
      <c r="V240" s="34"/>
      <c r="W240" s="35" t="s">
        <v>67</v>
      </c>
      <c r="X240" s="651">
        <v>6</v>
      </c>
      <c r="Y240" s="652">
        <f t="shared" si="39"/>
        <v>6.4</v>
      </c>
      <c r="Z240" s="36">
        <f>IFERROR(IF(Y240=0,"",ROUNDUP(Y240/H240,0)*0.00417),"")</f>
        <v>3.3360000000000001E-2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7.5750000000000002</v>
      </c>
      <c r="BN240" s="64">
        <f t="shared" si="41"/>
        <v>8.08</v>
      </c>
      <c r="BO240" s="64">
        <f t="shared" si="42"/>
        <v>2.2321428571428568E-2</v>
      </c>
      <c r="BP240" s="64">
        <f t="shared" si="43"/>
        <v>2.3809523809523808E-2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65">
        <v>4680115881679</v>
      </c>
      <c r="E241" s="666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4"/>
      <c r="V241" s="34"/>
      <c r="W241" s="35" t="s">
        <v>67</v>
      </c>
      <c r="X241" s="651">
        <v>39</v>
      </c>
      <c r="Y241" s="652">
        <f t="shared" si="39"/>
        <v>39.9</v>
      </c>
      <c r="Z241" s="36">
        <f>IFERROR(IF(Y241=0,"",ROUNDUP(Y241/H241,0)*0.00502),"")</f>
        <v>9.5380000000000006E-2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40.857142857142861</v>
      </c>
      <c r="BN241" s="64">
        <f t="shared" si="41"/>
        <v>41.8</v>
      </c>
      <c r="BO241" s="64">
        <f t="shared" si="42"/>
        <v>7.9365079365079361E-2</v>
      </c>
      <c r="BP241" s="64">
        <f t="shared" si="43"/>
        <v>8.11965811965812E-2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65">
        <v>4680115880191</v>
      </c>
      <c r="E242" s="666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65">
        <v>4680115883963</v>
      </c>
      <c r="E243" s="666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9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92"/>
      <c r="B244" s="658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93"/>
      <c r="P244" s="659" t="s">
        <v>72</v>
      </c>
      <c r="Q244" s="660"/>
      <c r="R244" s="660"/>
      <c r="S244" s="660"/>
      <c r="T244" s="660"/>
      <c r="U244" s="660"/>
      <c r="V244" s="66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59.107142857142854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62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0.40260000000000001</v>
      </c>
      <c r="AA244" s="654"/>
      <c r="AB244" s="654"/>
      <c r="AC244" s="654"/>
    </row>
    <row r="245" spans="1:68" x14ac:dyDescent="0.2">
      <c r="A245" s="658"/>
      <c r="B245" s="658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93"/>
      <c r="P245" s="659" t="s">
        <v>72</v>
      </c>
      <c r="Q245" s="660"/>
      <c r="R245" s="660"/>
      <c r="S245" s="660"/>
      <c r="T245" s="660"/>
      <c r="U245" s="660"/>
      <c r="V245" s="661"/>
      <c r="W245" s="37" t="s">
        <v>67</v>
      </c>
      <c r="X245" s="653">
        <f>IFERROR(SUM(X230:X243),"0")</f>
        <v>155</v>
      </c>
      <c r="Y245" s="653">
        <f>IFERROR(SUM(Y230:Y243),"0")</f>
        <v>162.9</v>
      </c>
      <c r="Z245" s="37"/>
      <c r="AA245" s="654"/>
      <c r="AB245" s="654"/>
      <c r="AC245" s="654"/>
    </row>
    <row r="246" spans="1:68" ht="14.25" hidden="1" customHeight="1" x14ac:dyDescent="0.25">
      <c r="A246" s="657" t="s">
        <v>74</v>
      </c>
      <c r="B246" s="658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47"/>
      <c r="AB246" s="647"/>
      <c r="AC246" s="647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65">
        <v>4680115888692</v>
      </c>
      <c r="E247" s="666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65">
        <v>4680115888722</v>
      </c>
      <c r="E248" s="666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65">
        <v>4680115888951</v>
      </c>
      <c r="E249" s="666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9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65">
        <v>4680115888975</v>
      </c>
      <c r="E250" s="666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8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65">
        <v>4680115888982</v>
      </c>
      <c r="E251" s="666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92"/>
      <c r="B252" s="658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93"/>
      <c r="P252" s="659" t="s">
        <v>72</v>
      </c>
      <c r="Q252" s="660"/>
      <c r="R252" s="660"/>
      <c r="S252" s="660"/>
      <c r="T252" s="660"/>
      <c r="U252" s="660"/>
      <c r="V252" s="66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58"/>
      <c r="B253" s="658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93"/>
      <c r="P253" s="659" t="s">
        <v>72</v>
      </c>
      <c r="Q253" s="660"/>
      <c r="R253" s="660"/>
      <c r="S253" s="660"/>
      <c r="T253" s="660"/>
      <c r="U253" s="660"/>
      <c r="V253" s="66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57" t="s">
        <v>283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47"/>
      <c r="AB254" s="647"/>
      <c r="AC254" s="647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65">
        <v>4680115886780</v>
      </c>
      <c r="E255" s="666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65">
        <v>4680115886742</v>
      </c>
      <c r="E256" s="666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4"/>
      <c r="V256" s="34"/>
      <c r="W256" s="35" t="s">
        <v>67</v>
      </c>
      <c r="X256" s="651">
        <v>4</v>
      </c>
      <c r="Y256" s="652">
        <f>IFERROR(IF(X256="",0,CEILING((X256/$H256),1)*$H256),"")</f>
        <v>5.04</v>
      </c>
      <c r="Z256" s="36">
        <f>IFERROR(IF(Y256=0,"",ROUNDUP(Y256/H256,0)*0.0059),"")</f>
        <v>2.3599999999999999E-2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4.6031746031746028</v>
      </c>
      <c r="BN256" s="64">
        <f>IFERROR(Y256*I256/H256,"0")</f>
        <v>5.8</v>
      </c>
      <c r="BO256" s="64">
        <f>IFERROR(1/J256*(X256/H256),"0")</f>
        <v>1.469723691945914E-2</v>
      </c>
      <c r="BP256" s="64">
        <f>IFERROR(1/J256*(Y256/H256),"0")</f>
        <v>1.8518518518518517E-2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65">
        <v>4680115886766</v>
      </c>
      <c r="E257" s="666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4"/>
      <c r="V257" s="34"/>
      <c r="W257" s="35" t="s">
        <v>67</v>
      </c>
      <c r="X257" s="651">
        <v>10</v>
      </c>
      <c r="Y257" s="652">
        <f>IFERROR(IF(X257="",0,CEILING((X257/$H257),1)*$H257),"")</f>
        <v>10.08</v>
      </c>
      <c r="Z257" s="36">
        <f>IFERROR(IF(Y257=0,"",ROUNDUP(Y257/H257,0)*0.0059),"")</f>
        <v>4.7199999999999999E-2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11.507936507936508</v>
      </c>
      <c r="BN257" s="64">
        <f>IFERROR(Y257*I257/H257,"0")</f>
        <v>11.6</v>
      </c>
      <c r="BO257" s="64">
        <f>IFERROR(1/J257*(X257/H257),"0")</f>
        <v>3.6743092298647854E-2</v>
      </c>
      <c r="BP257" s="64">
        <f>IFERROR(1/J257*(Y257/H257),"0")</f>
        <v>3.7037037037037035E-2</v>
      </c>
    </row>
    <row r="258" spans="1:68" x14ac:dyDescent="0.2">
      <c r="A258" s="692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93"/>
      <c r="P258" s="659" t="s">
        <v>72</v>
      </c>
      <c r="Q258" s="660"/>
      <c r="R258" s="660"/>
      <c r="S258" s="660"/>
      <c r="T258" s="660"/>
      <c r="U258" s="660"/>
      <c r="V258" s="661"/>
      <c r="W258" s="37" t="s">
        <v>73</v>
      </c>
      <c r="X258" s="653">
        <f>IFERROR(X255/H255,"0")+IFERROR(X256/H256,"0")+IFERROR(X257/H257,"0")</f>
        <v>11.111111111111111</v>
      </c>
      <c r="Y258" s="653">
        <f>IFERROR(Y255/H255,"0")+IFERROR(Y256/H256,"0")+IFERROR(Y257/H257,"0")</f>
        <v>12</v>
      </c>
      <c r="Z258" s="653">
        <f>IFERROR(IF(Z255="",0,Z255),"0")+IFERROR(IF(Z256="",0,Z256),"0")+IFERROR(IF(Z257="",0,Z257),"0")</f>
        <v>7.0800000000000002E-2</v>
      </c>
      <c r="AA258" s="654"/>
      <c r="AB258" s="654"/>
      <c r="AC258" s="654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93"/>
      <c r="P259" s="659" t="s">
        <v>72</v>
      </c>
      <c r="Q259" s="660"/>
      <c r="R259" s="660"/>
      <c r="S259" s="660"/>
      <c r="T259" s="660"/>
      <c r="U259" s="660"/>
      <c r="V259" s="661"/>
      <c r="W259" s="37" t="s">
        <v>67</v>
      </c>
      <c r="X259" s="653">
        <f>IFERROR(SUM(X255:X257),"0")</f>
        <v>14</v>
      </c>
      <c r="Y259" s="653">
        <f>IFERROR(SUM(Y255:Y257),"0")</f>
        <v>15.120000000000001</v>
      </c>
      <c r="Z259" s="37"/>
      <c r="AA259" s="654"/>
      <c r="AB259" s="654"/>
      <c r="AC259" s="654"/>
    </row>
    <row r="260" spans="1:68" ht="14.25" hidden="1" customHeight="1" x14ac:dyDescent="0.25">
      <c r="A260" s="657" t="s">
        <v>445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65">
        <v>4680115886797</v>
      </c>
      <c r="E261" s="666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4"/>
      <c r="V261" s="34"/>
      <c r="W261" s="35" t="s">
        <v>67</v>
      </c>
      <c r="X261" s="651">
        <v>7</v>
      </c>
      <c r="Y261" s="652">
        <f>IFERROR(IF(X261="",0,CEILING((X261/$H261),1)*$H261),"")</f>
        <v>7.5600000000000005</v>
      </c>
      <c r="Z261" s="36">
        <f>IFERROR(IF(Y261=0,"",ROUNDUP(Y261/H261,0)*0.0059),"")</f>
        <v>3.5400000000000001E-2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8.0555555555555554</v>
      </c>
      <c r="BN261" s="64">
        <f>IFERROR(Y261*I261/H261,"0")</f>
        <v>8.6999999999999993</v>
      </c>
      <c r="BO261" s="64">
        <f>IFERROR(1/J261*(X261/H261),"0")</f>
        <v>2.5720164609053495E-2</v>
      </c>
      <c r="BP261" s="64">
        <f>IFERROR(1/J261*(Y261/H261),"0")</f>
        <v>2.7777777777777776E-2</v>
      </c>
    </row>
    <row r="262" spans="1:68" x14ac:dyDescent="0.2">
      <c r="A262" s="692"/>
      <c r="B262" s="658"/>
      <c r="C262" s="658"/>
      <c r="D262" s="658"/>
      <c r="E262" s="658"/>
      <c r="F262" s="658"/>
      <c r="G262" s="658"/>
      <c r="H262" s="658"/>
      <c r="I262" s="658"/>
      <c r="J262" s="658"/>
      <c r="K262" s="658"/>
      <c r="L262" s="658"/>
      <c r="M262" s="658"/>
      <c r="N262" s="658"/>
      <c r="O262" s="693"/>
      <c r="P262" s="659" t="s">
        <v>72</v>
      </c>
      <c r="Q262" s="660"/>
      <c r="R262" s="660"/>
      <c r="S262" s="660"/>
      <c r="T262" s="660"/>
      <c r="U262" s="660"/>
      <c r="V262" s="661"/>
      <c r="W262" s="37" t="s">
        <v>73</v>
      </c>
      <c r="X262" s="653">
        <f>IFERROR(X261/H261,"0")</f>
        <v>5.5555555555555554</v>
      </c>
      <c r="Y262" s="653">
        <f>IFERROR(Y261/H261,"0")</f>
        <v>6</v>
      </c>
      <c r="Z262" s="653">
        <f>IFERROR(IF(Z261="",0,Z261),"0")</f>
        <v>3.5400000000000001E-2</v>
      </c>
      <c r="AA262" s="654"/>
      <c r="AB262" s="654"/>
      <c r="AC262" s="654"/>
    </row>
    <row r="263" spans="1:68" x14ac:dyDescent="0.2">
      <c r="A263" s="658"/>
      <c r="B263" s="658"/>
      <c r="C263" s="658"/>
      <c r="D263" s="658"/>
      <c r="E263" s="658"/>
      <c r="F263" s="658"/>
      <c r="G263" s="658"/>
      <c r="H263" s="658"/>
      <c r="I263" s="658"/>
      <c r="J263" s="658"/>
      <c r="K263" s="658"/>
      <c r="L263" s="658"/>
      <c r="M263" s="658"/>
      <c r="N263" s="658"/>
      <c r="O263" s="693"/>
      <c r="P263" s="659" t="s">
        <v>72</v>
      </c>
      <c r="Q263" s="660"/>
      <c r="R263" s="660"/>
      <c r="S263" s="660"/>
      <c r="T263" s="660"/>
      <c r="U263" s="660"/>
      <c r="V263" s="661"/>
      <c r="W263" s="37" t="s">
        <v>67</v>
      </c>
      <c r="X263" s="653">
        <f>IFERROR(SUM(X261:X261),"0")</f>
        <v>7</v>
      </c>
      <c r="Y263" s="653">
        <f>IFERROR(SUM(Y261:Y261),"0")</f>
        <v>7.5600000000000005</v>
      </c>
      <c r="Z263" s="37"/>
      <c r="AA263" s="654"/>
      <c r="AB263" s="654"/>
      <c r="AC263" s="654"/>
    </row>
    <row r="264" spans="1:68" ht="16.5" hidden="1" customHeight="1" x14ac:dyDescent="0.25">
      <c r="A264" s="662" t="s">
        <v>448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46"/>
      <c r="AB264" s="646"/>
      <c r="AC264" s="646"/>
    </row>
    <row r="265" spans="1:68" ht="14.25" hidden="1" customHeight="1" x14ac:dyDescent="0.25">
      <c r="A265" s="657" t="s">
        <v>111</v>
      </c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47"/>
      <c r="AB265" s="647"/>
      <c r="AC265" s="647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65">
        <v>4680115881402</v>
      </c>
      <c r="E266" s="666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65">
        <v>4680115881396</v>
      </c>
      <c r="E267" s="666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92"/>
      <c r="B268" s="658"/>
      <c r="C268" s="658"/>
      <c r="D268" s="658"/>
      <c r="E268" s="658"/>
      <c r="F268" s="658"/>
      <c r="G268" s="658"/>
      <c r="H268" s="658"/>
      <c r="I268" s="658"/>
      <c r="J268" s="658"/>
      <c r="K268" s="658"/>
      <c r="L268" s="658"/>
      <c r="M268" s="658"/>
      <c r="N268" s="658"/>
      <c r="O268" s="693"/>
      <c r="P268" s="659" t="s">
        <v>72</v>
      </c>
      <c r="Q268" s="660"/>
      <c r="R268" s="660"/>
      <c r="S268" s="660"/>
      <c r="T268" s="660"/>
      <c r="U268" s="660"/>
      <c r="V268" s="66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58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93"/>
      <c r="P269" s="659" t="s">
        <v>72</v>
      </c>
      <c r="Q269" s="660"/>
      <c r="R269" s="660"/>
      <c r="S269" s="660"/>
      <c r="T269" s="660"/>
      <c r="U269" s="660"/>
      <c r="V269" s="66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57" t="s">
        <v>144</v>
      </c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47"/>
      <c r="AB270" s="647"/>
      <c r="AC270" s="647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65">
        <v>4680115882935</v>
      </c>
      <c r="E271" s="666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65">
        <v>4680115880764</v>
      </c>
      <c r="E272" s="666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2"/>
      <c r="B273" s="658"/>
      <c r="C273" s="658"/>
      <c r="D273" s="658"/>
      <c r="E273" s="658"/>
      <c r="F273" s="658"/>
      <c r="G273" s="658"/>
      <c r="H273" s="658"/>
      <c r="I273" s="658"/>
      <c r="J273" s="658"/>
      <c r="K273" s="658"/>
      <c r="L273" s="658"/>
      <c r="M273" s="658"/>
      <c r="N273" s="658"/>
      <c r="O273" s="693"/>
      <c r="P273" s="659" t="s">
        <v>72</v>
      </c>
      <c r="Q273" s="660"/>
      <c r="R273" s="660"/>
      <c r="S273" s="660"/>
      <c r="T273" s="660"/>
      <c r="U273" s="660"/>
      <c r="V273" s="66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58"/>
      <c r="B274" s="658"/>
      <c r="C274" s="658"/>
      <c r="D274" s="658"/>
      <c r="E274" s="658"/>
      <c r="F274" s="658"/>
      <c r="G274" s="658"/>
      <c r="H274" s="658"/>
      <c r="I274" s="658"/>
      <c r="J274" s="658"/>
      <c r="K274" s="658"/>
      <c r="L274" s="658"/>
      <c r="M274" s="658"/>
      <c r="N274" s="658"/>
      <c r="O274" s="693"/>
      <c r="P274" s="659" t="s">
        <v>72</v>
      </c>
      <c r="Q274" s="660"/>
      <c r="R274" s="660"/>
      <c r="S274" s="660"/>
      <c r="T274" s="660"/>
      <c r="U274" s="660"/>
      <c r="V274" s="66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57" t="s">
        <v>62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65">
        <v>4680115882683</v>
      </c>
      <c r="E276" s="666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4"/>
      <c r="V276" s="34"/>
      <c r="W276" s="35" t="s">
        <v>67</v>
      </c>
      <c r="X276" s="651">
        <v>100</v>
      </c>
      <c r="Y276" s="652">
        <f t="shared" ref="Y276:Y283" si="45">IFERROR(IF(X276="",0,CEILING((X276/$H276),1)*$H276),"")</f>
        <v>102.60000000000001</v>
      </c>
      <c r="Z276" s="36">
        <f>IFERROR(IF(Y276=0,"",ROUNDUP(Y276/H276,0)*0.00902),"")</f>
        <v>0.17138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103.5185185185185</v>
      </c>
      <c r="BN276" s="64">
        <f t="shared" ref="BN276:BN283" si="47">IFERROR(Y276*I276/H276,"0")</f>
        <v>106.21</v>
      </c>
      <c r="BO276" s="64">
        <f t="shared" ref="BO276:BO283" si="48">IFERROR(1/J276*(X276/H276),"0")</f>
        <v>0.14029180695847362</v>
      </c>
      <c r="BP276" s="64">
        <f t="shared" ref="BP276:BP283" si="49">IFERROR(1/J276*(Y276/H276),"0")</f>
        <v>0.14393939393939395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65">
        <v>4680115882690</v>
      </c>
      <c r="E277" s="666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2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4"/>
      <c r="V277" s="34"/>
      <c r="W277" s="35" t="s">
        <v>67</v>
      </c>
      <c r="X277" s="651">
        <v>50</v>
      </c>
      <c r="Y277" s="652">
        <f t="shared" si="45"/>
        <v>54</v>
      </c>
      <c r="Z277" s="36">
        <f>IFERROR(IF(Y277=0,"",ROUNDUP(Y277/H277,0)*0.00902),"")</f>
        <v>9.0200000000000002E-2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51.759259259259252</v>
      </c>
      <c r="BN277" s="64">
        <f t="shared" si="47"/>
        <v>55.9</v>
      </c>
      <c r="BO277" s="64">
        <f t="shared" si="48"/>
        <v>7.0145903479236812E-2</v>
      </c>
      <c r="BP277" s="64">
        <f t="shared" si="49"/>
        <v>7.575757575757576E-2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65">
        <v>4680115882669</v>
      </c>
      <c r="E278" s="666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4"/>
      <c r="V278" s="34"/>
      <c r="W278" s="35" t="s">
        <v>67</v>
      </c>
      <c r="X278" s="651">
        <v>400</v>
      </c>
      <c r="Y278" s="652">
        <f t="shared" si="45"/>
        <v>405</v>
      </c>
      <c r="Z278" s="36">
        <f>IFERROR(IF(Y278=0,"",ROUNDUP(Y278/H278,0)*0.00902),"")</f>
        <v>0.67649999999999999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414.07407407407402</v>
      </c>
      <c r="BN278" s="64">
        <f t="shared" si="47"/>
        <v>419.24999999999994</v>
      </c>
      <c r="BO278" s="64">
        <f t="shared" si="48"/>
        <v>0.5611672278338945</v>
      </c>
      <c r="BP278" s="64">
        <f t="shared" si="49"/>
        <v>0.56818181818181823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65">
        <v>4680115882676</v>
      </c>
      <c r="E279" s="666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4"/>
      <c r="V279" s="34"/>
      <c r="W279" s="35" t="s">
        <v>67</v>
      </c>
      <c r="X279" s="651">
        <v>30</v>
      </c>
      <c r="Y279" s="652">
        <f t="shared" si="45"/>
        <v>32.400000000000006</v>
      </c>
      <c r="Z279" s="36">
        <f>IFERROR(IF(Y279=0,"",ROUNDUP(Y279/H279,0)*0.00902),"")</f>
        <v>5.4120000000000001E-2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31.05555555555555</v>
      </c>
      <c r="BN279" s="64">
        <f t="shared" si="47"/>
        <v>33.54</v>
      </c>
      <c r="BO279" s="64">
        <f t="shared" si="48"/>
        <v>4.208754208754209E-2</v>
      </c>
      <c r="BP279" s="64">
        <f t="shared" si="49"/>
        <v>4.5454545454545463E-2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65">
        <v>4680115884014</v>
      </c>
      <c r="E280" s="666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4"/>
      <c r="V280" s="34"/>
      <c r="W280" s="35" t="s">
        <v>67</v>
      </c>
      <c r="X280" s="651">
        <v>18</v>
      </c>
      <c r="Y280" s="652">
        <f t="shared" si="45"/>
        <v>18</v>
      </c>
      <c r="Z280" s="36">
        <f>IFERROR(IF(Y280=0,"",ROUNDUP(Y280/H280,0)*0.00502),"")</f>
        <v>5.0200000000000002E-2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19.3</v>
      </c>
      <c r="BN280" s="64">
        <f t="shared" si="47"/>
        <v>19.3</v>
      </c>
      <c r="BO280" s="64">
        <f t="shared" si="48"/>
        <v>4.2735042735042736E-2</v>
      </c>
      <c r="BP280" s="64">
        <f t="shared" si="49"/>
        <v>4.2735042735042736E-2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65">
        <v>4680115884007</v>
      </c>
      <c r="E281" s="666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9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4"/>
      <c r="V281" s="34"/>
      <c r="W281" s="35" t="s">
        <v>67</v>
      </c>
      <c r="X281" s="651">
        <v>18</v>
      </c>
      <c r="Y281" s="652">
        <f t="shared" si="45"/>
        <v>18</v>
      </c>
      <c r="Z281" s="36">
        <f>IFERROR(IF(Y281=0,"",ROUNDUP(Y281/H281,0)*0.00502),"")</f>
        <v>5.0200000000000002E-2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18.999999999999996</v>
      </c>
      <c r="BN281" s="64">
        <f t="shared" si="47"/>
        <v>18.999999999999996</v>
      </c>
      <c r="BO281" s="64">
        <f t="shared" si="48"/>
        <v>4.2735042735042736E-2</v>
      </c>
      <c r="BP281" s="64">
        <f t="shared" si="49"/>
        <v>4.2735042735042736E-2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65">
        <v>4680115884038</v>
      </c>
      <c r="E282" s="666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65">
        <v>4680115884021</v>
      </c>
      <c r="E283" s="666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4"/>
      <c r="V283" s="34"/>
      <c r="W283" s="35" t="s">
        <v>67</v>
      </c>
      <c r="X283" s="651">
        <v>9</v>
      </c>
      <c r="Y283" s="652">
        <f t="shared" si="45"/>
        <v>9</v>
      </c>
      <c r="Z283" s="36">
        <f>IFERROR(IF(Y283=0,"",ROUNDUP(Y283/H283,0)*0.00502),"")</f>
        <v>2.5100000000000001E-2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9.4999999999999982</v>
      </c>
      <c r="BN283" s="64">
        <f t="shared" si="47"/>
        <v>9.4999999999999982</v>
      </c>
      <c r="BO283" s="64">
        <f t="shared" si="48"/>
        <v>2.1367521367521368E-2</v>
      </c>
      <c r="BP283" s="64">
        <f t="shared" si="49"/>
        <v>2.1367521367521368E-2</v>
      </c>
    </row>
    <row r="284" spans="1:68" x14ac:dyDescent="0.2">
      <c r="A284" s="692"/>
      <c r="B284" s="658"/>
      <c r="C284" s="658"/>
      <c r="D284" s="658"/>
      <c r="E284" s="658"/>
      <c r="F284" s="658"/>
      <c r="G284" s="658"/>
      <c r="H284" s="658"/>
      <c r="I284" s="658"/>
      <c r="J284" s="658"/>
      <c r="K284" s="658"/>
      <c r="L284" s="658"/>
      <c r="M284" s="658"/>
      <c r="N284" s="658"/>
      <c r="O284" s="693"/>
      <c r="P284" s="659" t="s">
        <v>72</v>
      </c>
      <c r="Q284" s="660"/>
      <c r="R284" s="660"/>
      <c r="S284" s="660"/>
      <c r="T284" s="660"/>
      <c r="U284" s="660"/>
      <c r="V284" s="66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132.40740740740739</v>
      </c>
      <c r="Y284" s="653">
        <f>IFERROR(Y276/H276,"0")+IFERROR(Y277/H277,"0")+IFERROR(Y278/H278,"0")+IFERROR(Y279/H279,"0")+IFERROR(Y280/H280,"0")+IFERROR(Y281/H281,"0")+IFERROR(Y282/H282,"0")+IFERROR(Y283/H283,"0")</f>
        <v>135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1.1176999999999999</v>
      </c>
      <c r="AA284" s="654"/>
      <c r="AB284" s="654"/>
      <c r="AC284" s="654"/>
    </row>
    <row r="285" spans="1:68" x14ac:dyDescent="0.2">
      <c r="A285" s="658"/>
      <c r="B285" s="658"/>
      <c r="C285" s="658"/>
      <c r="D285" s="658"/>
      <c r="E285" s="658"/>
      <c r="F285" s="658"/>
      <c r="G285" s="658"/>
      <c r="H285" s="658"/>
      <c r="I285" s="658"/>
      <c r="J285" s="658"/>
      <c r="K285" s="658"/>
      <c r="L285" s="658"/>
      <c r="M285" s="658"/>
      <c r="N285" s="658"/>
      <c r="O285" s="693"/>
      <c r="P285" s="659" t="s">
        <v>72</v>
      </c>
      <c r="Q285" s="660"/>
      <c r="R285" s="660"/>
      <c r="S285" s="660"/>
      <c r="T285" s="660"/>
      <c r="U285" s="660"/>
      <c r="V285" s="661"/>
      <c r="W285" s="37" t="s">
        <v>67</v>
      </c>
      <c r="X285" s="653">
        <f>IFERROR(SUM(X276:X283),"0")</f>
        <v>625</v>
      </c>
      <c r="Y285" s="653">
        <f>IFERROR(SUM(Y276:Y283),"0")</f>
        <v>639</v>
      </c>
      <c r="Z285" s="37"/>
      <c r="AA285" s="654"/>
      <c r="AB285" s="654"/>
      <c r="AC285" s="654"/>
    </row>
    <row r="286" spans="1:68" ht="14.25" hidden="1" customHeight="1" x14ac:dyDescent="0.25">
      <c r="A286" s="657" t="s">
        <v>74</v>
      </c>
      <c r="B286" s="658"/>
      <c r="C286" s="658"/>
      <c r="D286" s="658"/>
      <c r="E286" s="658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65">
        <v>4680115881594</v>
      </c>
      <c r="E287" s="666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9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4"/>
      <c r="V287" s="34"/>
      <c r="W287" s="35" t="s">
        <v>67</v>
      </c>
      <c r="X287" s="651">
        <v>100</v>
      </c>
      <c r="Y287" s="652">
        <f t="shared" ref="Y287:Y298" si="50">IFERROR(IF(X287="",0,CEILING((X287/$H287),1)*$H287),"")</f>
        <v>105.3</v>
      </c>
      <c r="Z287" s="36">
        <f>IFERROR(IF(Y287=0,"",ROUNDUP(Y287/H287,0)*0.01898),"")</f>
        <v>0.24674000000000001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106.09876543209877</v>
      </c>
      <c r="BN287" s="64">
        <f t="shared" ref="BN287:BN298" si="52">IFERROR(Y287*I287/H287,"0")</f>
        <v>111.72199999999999</v>
      </c>
      <c r="BO287" s="64">
        <f t="shared" ref="BO287:BO298" si="53">IFERROR(1/J287*(X287/H287),"0")</f>
        <v>0.19290123456790123</v>
      </c>
      <c r="BP287" s="64">
        <f t="shared" ref="BP287:BP298" si="54">IFERROR(1/J287*(Y287/H287),"0")</f>
        <v>0.203125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65">
        <v>4680115881617</v>
      </c>
      <c r="E288" s="666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4"/>
      <c r="V288" s="34"/>
      <c r="W288" s="35" t="s">
        <v>67</v>
      </c>
      <c r="X288" s="651">
        <v>10</v>
      </c>
      <c r="Y288" s="652">
        <f t="shared" si="50"/>
        <v>16.2</v>
      </c>
      <c r="Z288" s="36">
        <f>IFERROR(IF(Y288=0,"",ROUNDUP(Y288/H288,0)*0.01898),"")</f>
        <v>3.7960000000000001E-2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10.587654320987655</v>
      </c>
      <c r="BN288" s="64">
        <f t="shared" si="52"/>
        <v>17.152000000000001</v>
      </c>
      <c r="BO288" s="64">
        <f t="shared" si="53"/>
        <v>1.9290123456790126E-2</v>
      </c>
      <c r="BP288" s="64">
        <f t="shared" si="54"/>
        <v>3.125E-2</v>
      </c>
    </row>
    <row r="289" spans="1:68" ht="27" hidden="1" customHeight="1" x14ac:dyDescent="0.25">
      <c r="A289" s="54" t="s">
        <v>485</v>
      </c>
      <c r="B289" s="54" t="s">
        <v>486</v>
      </c>
      <c r="C289" s="31">
        <v>4301051656</v>
      </c>
      <c r="D289" s="665">
        <v>4680115880573</v>
      </c>
      <c r="E289" s="666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4"/>
      <c r="V289" s="34"/>
      <c r="W289" s="35" t="s">
        <v>67</v>
      </c>
      <c r="X289" s="651">
        <v>0</v>
      </c>
      <c r="Y289" s="652">
        <f t="shared" si="50"/>
        <v>0</v>
      </c>
      <c r="Z289" s="36" t="str">
        <f>IFERROR(IF(Y289=0,"",ROUNDUP(Y289/H289,0)*0.01898),"")</f>
        <v/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0</v>
      </c>
      <c r="BN289" s="64">
        <f t="shared" si="52"/>
        <v>0</v>
      </c>
      <c r="BO289" s="64">
        <f t="shared" si="53"/>
        <v>0</v>
      </c>
      <c r="BP289" s="64">
        <f t="shared" si="54"/>
        <v>0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65">
        <v>4680115882195</v>
      </c>
      <c r="E290" s="666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4"/>
      <c r="V290" s="34"/>
      <c r="W290" s="35" t="s">
        <v>67</v>
      </c>
      <c r="X290" s="651">
        <v>140</v>
      </c>
      <c r="Y290" s="652">
        <f t="shared" si="50"/>
        <v>141.6</v>
      </c>
      <c r="Z290" s="36">
        <f>IFERROR(IF(Y290=0,"",ROUNDUP(Y290/H290,0)*0.00651),"")</f>
        <v>0.38408999999999999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155.75</v>
      </c>
      <c r="BN290" s="64">
        <f t="shared" si="52"/>
        <v>157.53</v>
      </c>
      <c r="BO290" s="64">
        <f t="shared" si="53"/>
        <v>0.32051282051282054</v>
      </c>
      <c r="BP290" s="64">
        <f t="shared" si="54"/>
        <v>0.32417582417582419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65">
        <v>4680115882607</v>
      </c>
      <c r="E291" s="666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65">
        <v>4680115882607</v>
      </c>
      <c r="E292" s="666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65">
        <v>4680115880092</v>
      </c>
      <c r="E293" s="666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4"/>
      <c r="V293" s="34"/>
      <c r="W293" s="35" t="s">
        <v>67</v>
      </c>
      <c r="X293" s="651">
        <v>240</v>
      </c>
      <c r="Y293" s="652">
        <f t="shared" si="50"/>
        <v>240</v>
      </c>
      <c r="Z293" s="36">
        <f>IFERROR(IF(Y293=0,"",ROUNDUP(Y293/H293,0)*0.00651),"")</f>
        <v>0.65100000000000002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265.20000000000005</v>
      </c>
      <c r="BN293" s="64">
        <f t="shared" si="52"/>
        <v>265.20000000000005</v>
      </c>
      <c r="BO293" s="64">
        <f t="shared" si="53"/>
        <v>0.5494505494505495</v>
      </c>
      <c r="BP293" s="64">
        <f t="shared" si="54"/>
        <v>0.5494505494505495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65">
        <v>4680115889064</v>
      </c>
      <c r="E294" s="666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65">
        <v>4680115880221</v>
      </c>
      <c r="E295" s="666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4"/>
      <c r="V295" s="34"/>
      <c r="W295" s="35" t="s">
        <v>67</v>
      </c>
      <c r="X295" s="651">
        <v>120</v>
      </c>
      <c r="Y295" s="652">
        <f t="shared" si="50"/>
        <v>120</v>
      </c>
      <c r="Z295" s="36">
        <f>IFERROR(IF(Y295=0,"",ROUNDUP(Y295/H295,0)*0.00651),"")</f>
        <v>0.32550000000000001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132.60000000000002</v>
      </c>
      <c r="BN295" s="64">
        <f t="shared" si="52"/>
        <v>132.60000000000002</v>
      </c>
      <c r="BO295" s="64">
        <f t="shared" si="53"/>
        <v>0.27472527472527475</v>
      </c>
      <c r="BP295" s="64">
        <f t="shared" si="54"/>
        <v>0.27472527472527475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65">
        <v>4680115880504</v>
      </c>
      <c r="E296" s="666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4"/>
      <c r="V296" s="34"/>
      <c r="W296" s="35" t="s">
        <v>67</v>
      </c>
      <c r="X296" s="651">
        <v>320</v>
      </c>
      <c r="Y296" s="652">
        <f t="shared" si="50"/>
        <v>321.59999999999997</v>
      </c>
      <c r="Z296" s="36">
        <f>IFERROR(IF(Y296=0,"",ROUNDUP(Y296/H296,0)*0.00651),"")</f>
        <v>0.87234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353.60000000000008</v>
      </c>
      <c r="BN296" s="64">
        <f t="shared" si="52"/>
        <v>355.36799999999999</v>
      </c>
      <c r="BO296" s="64">
        <f t="shared" si="53"/>
        <v>0.73260073260073266</v>
      </c>
      <c r="BP296" s="64">
        <f t="shared" si="54"/>
        <v>0.73626373626373631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65">
        <v>4680115882164</v>
      </c>
      <c r="E297" s="666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10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4"/>
      <c r="V297" s="34"/>
      <c r="W297" s="35" t="s">
        <v>67</v>
      </c>
      <c r="X297" s="651">
        <v>59</v>
      </c>
      <c r="Y297" s="652">
        <f t="shared" si="50"/>
        <v>60</v>
      </c>
      <c r="Z297" s="36">
        <f>IFERROR(IF(Y297=0,"",ROUNDUP(Y297/H297,0)*0.00651),"")</f>
        <v>0.16275000000000001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65.342500000000001</v>
      </c>
      <c r="BN297" s="64">
        <f t="shared" si="52"/>
        <v>66.45</v>
      </c>
      <c r="BO297" s="64">
        <f t="shared" si="53"/>
        <v>0.13507326007326009</v>
      </c>
      <c r="BP297" s="64">
        <f t="shared" si="54"/>
        <v>0.13736263736263737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65">
        <v>4680115888340</v>
      </c>
      <c r="E298" s="666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92"/>
      <c r="B299" s="658"/>
      <c r="C299" s="658"/>
      <c r="D299" s="658"/>
      <c r="E299" s="658"/>
      <c r="F299" s="658"/>
      <c r="G299" s="658"/>
      <c r="H299" s="658"/>
      <c r="I299" s="658"/>
      <c r="J299" s="658"/>
      <c r="K299" s="658"/>
      <c r="L299" s="658"/>
      <c r="M299" s="658"/>
      <c r="N299" s="658"/>
      <c r="O299" s="693"/>
      <c r="P299" s="659" t="s">
        <v>72</v>
      </c>
      <c r="Q299" s="660"/>
      <c r="R299" s="660"/>
      <c r="S299" s="660"/>
      <c r="T299" s="660"/>
      <c r="U299" s="660"/>
      <c r="V299" s="66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379.8302469135802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383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2.68038</v>
      </c>
      <c r="AA299" s="654"/>
      <c r="AB299" s="654"/>
      <c r="AC299" s="654"/>
    </row>
    <row r="300" spans="1:68" x14ac:dyDescent="0.2">
      <c r="A300" s="658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93"/>
      <c r="P300" s="659" t="s">
        <v>72</v>
      </c>
      <c r="Q300" s="660"/>
      <c r="R300" s="660"/>
      <c r="S300" s="660"/>
      <c r="T300" s="660"/>
      <c r="U300" s="660"/>
      <c r="V300" s="661"/>
      <c r="W300" s="37" t="s">
        <v>67</v>
      </c>
      <c r="X300" s="653">
        <f>IFERROR(SUM(X287:X298),"0")</f>
        <v>989</v>
      </c>
      <c r="Y300" s="653">
        <f>IFERROR(SUM(Y287:Y298),"0")</f>
        <v>1004.7</v>
      </c>
      <c r="Z300" s="37"/>
      <c r="AA300" s="654"/>
      <c r="AB300" s="654"/>
      <c r="AC300" s="654"/>
    </row>
    <row r="301" spans="1:68" ht="14.25" hidden="1" customHeight="1" x14ac:dyDescent="0.25">
      <c r="A301" s="657" t="s">
        <v>162</v>
      </c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65">
        <v>4680115880818</v>
      </c>
      <c r="E302" s="666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4"/>
      <c r="V302" s="34"/>
      <c r="W302" s="35" t="s">
        <v>67</v>
      </c>
      <c r="X302" s="651">
        <v>20</v>
      </c>
      <c r="Y302" s="652">
        <f>IFERROR(IF(X302="",0,CEILING((X302/$H302),1)*$H302),"")</f>
        <v>21.599999999999998</v>
      </c>
      <c r="Z302" s="36">
        <f>IFERROR(IF(Y302=0,"",ROUNDUP(Y302/H302,0)*0.00651),"")</f>
        <v>5.8590000000000003E-2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22.100000000000005</v>
      </c>
      <c r="BN302" s="64">
        <f>IFERROR(Y302*I302/H302,"0")</f>
        <v>23.868000000000002</v>
      </c>
      <c r="BO302" s="64">
        <f>IFERROR(1/J302*(X302/H302),"0")</f>
        <v>4.5787545787545791E-2</v>
      </c>
      <c r="BP302" s="64">
        <f>IFERROR(1/J302*(Y302/H302),"0")</f>
        <v>4.9450549450549455E-2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65">
        <v>4680115880801</v>
      </c>
      <c r="E303" s="666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4"/>
      <c r="V303" s="34"/>
      <c r="W303" s="35" t="s">
        <v>67</v>
      </c>
      <c r="X303" s="651">
        <v>12</v>
      </c>
      <c r="Y303" s="652">
        <f>IFERROR(IF(X303="",0,CEILING((X303/$H303),1)*$H303),"")</f>
        <v>12</v>
      </c>
      <c r="Z303" s="36">
        <f>IFERROR(IF(Y303=0,"",ROUNDUP(Y303/H303,0)*0.00651),"")</f>
        <v>3.2550000000000003E-2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13.260000000000002</v>
      </c>
      <c r="BN303" s="64">
        <f>IFERROR(Y303*I303/H303,"0")</f>
        <v>13.260000000000002</v>
      </c>
      <c r="BO303" s="64">
        <f>IFERROR(1/J303*(X303/H303),"0")</f>
        <v>2.7472527472527476E-2</v>
      </c>
      <c r="BP303" s="64">
        <f>IFERROR(1/J303*(Y303/H303),"0")</f>
        <v>2.7472527472527476E-2</v>
      </c>
    </row>
    <row r="304" spans="1:68" x14ac:dyDescent="0.2">
      <c r="A304" s="692"/>
      <c r="B304" s="658"/>
      <c r="C304" s="658"/>
      <c r="D304" s="658"/>
      <c r="E304" s="658"/>
      <c r="F304" s="658"/>
      <c r="G304" s="658"/>
      <c r="H304" s="658"/>
      <c r="I304" s="658"/>
      <c r="J304" s="658"/>
      <c r="K304" s="658"/>
      <c r="L304" s="658"/>
      <c r="M304" s="658"/>
      <c r="N304" s="658"/>
      <c r="O304" s="693"/>
      <c r="P304" s="659" t="s">
        <v>72</v>
      </c>
      <c r="Q304" s="660"/>
      <c r="R304" s="660"/>
      <c r="S304" s="660"/>
      <c r="T304" s="660"/>
      <c r="U304" s="660"/>
      <c r="V304" s="661"/>
      <c r="W304" s="37" t="s">
        <v>73</v>
      </c>
      <c r="X304" s="653">
        <f>IFERROR(X302/H302,"0")+IFERROR(X303/H303,"0")</f>
        <v>13.333333333333334</v>
      </c>
      <c r="Y304" s="653">
        <f>IFERROR(Y302/H302,"0")+IFERROR(Y303/H303,"0")</f>
        <v>14</v>
      </c>
      <c r="Z304" s="653">
        <f>IFERROR(IF(Z302="",0,Z302),"0")+IFERROR(IF(Z303="",0,Z303),"0")</f>
        <v>9.1139999999999999E-2</v>
      </c>
      <c r="AA304" s="654"/>
      <c r="AB304" s="654"/>
      <c r="AC304" s="654"/>
    </row>
    <row r="305" spans="1:68" x14ac:dyDescent="0.2">
      <c r="A305" s="658"/>
      <c r="B305" s="658"/>
      <c r="C305" s="658"/>
      <c r="D305" s="658"/>
      <c r="E305" s="658"/>
      <c r="F305" s="658"/>
      <c r="G305" s="658"/>
      <c r="H305" s="658"/>
      <c r="I305" s="658"/>
      <c r="J305" s="658"/>
      <c r="K305" s="658"/>
      <c r="L305" s="658"/>
      <c r="M305" s="658"/>
      <c r="N305" s="658"/>
      <c r="O305" s="693"/>
      <c r="P305" s="659" t="s">
        <v>72</v>
      </c>
      <c r="Q305" s="660"/>
      <c r="R305" s="660"/>
      <c r="S305" s="660"/>
      <c r="T305" s="660"/>
      <c r="U305" s="660"/>
      <c r="V305" s="661"/>
      <c r="W305" s="37" t="s">
        <v>67</v>
      </c>
      <c r="X305" s="653">
        <f>IFERROR(SUM(X302:X303),"0")</f>
        <v>32</v>
      </c>
      <c r="Y305" s="653">
        <f>IFERROR(SUM(Y302:Y303),"0")</f>
        <v>33.599999999999994</v>
      </c>
      <c r="Z305" s="37"/>
      <c r="AA305" s="654"/>
      <c r="AB305" s="654"/>
      <c r="AC305" s="654"/>
    </row>
    <row r="306" spans="1:68" ht="16.5" hidden="1" customHeight="1" x14ac:dyDescent="0.25">
      <c r="A306" s="662" t="s">
        <v>516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46"/>
      <c r="AB306" s="646"/>
      <c r="AC306" s="646"/>
    </row>
    <row r="307" spans="1:68" ht="14.25" hidden="1" customHeight="1" x14ac:dyDescent="0.25">
      <c r="A307" s="657" t="s">
        <v>111</v>
      </c>
      <c r="B307" s="658"/>
      <c r="C307" s="658"/>
      <c r="D307" s="658"/>
      <c r="E307" s="658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47"/>
      <c r="AB307" s="647"/>
      <c r="AC307" s="647"/>
    </row>
    <row r="308" spans="1:68" ht="27" hidden="1" customHeight="1" x14ac:dyDescent="0.25">
      <c r="A308" s="54" t="s">
        <v>517</v>
      </c>
      <c r="B308" s="54" t="s">
        <v>518</v>
      </c>
      <c r="C308" s="31">
        <v>4301011826</v>
      </c>
      <c r="D308" s="665">
        <v>4680115884137</v>
      </c>
      <c r="E308" s="666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65">
        <v>4680115884236</v>
      </c>
      <c r="E309" s="666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65">
        <v>4680115884175</v>
      </c>
      <c r="E310" s="666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65">
        <v>4680115884144</v>
      </c>
      <c r="E311" s="666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65">
        <v>4680115886551</v>
      </c>
      <c r="E312" s="666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65">
        <v>4680115887282</v>
      </c>
      <c r="E313" s="666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hidden="1" customHeight="1" x14ac:dyDescent="0.25">
      <c r="A314" s="54" t="s">
        <v>533</v>
      </c>
      <c r="B314" s="54" t="s">
        <v>534</v>
      </c>
      <c r="C314" s="31">
        <v>4301011722</v>
      </c>
      <c r="D314" s="665">
        <v>4680115884205</v>
      </c>
      <c r="E314" s="666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hidden="1" x14ac:dyDescent="0.2">
      <c r="A315" s="692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93"/>
      <c r="P315" s="659" t="s">
        <v>72</v>
      </c>
      <c r="Q315" s="660"/>
      <c r="R315" s="660"/>
      <c r="S315" s="660"/>
      <c r="T315" s="660"/>
      <c r="U315" s="660"/>
      <c r="V315" s="66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93"/>
      <c r="P316" s="659" t="s">
        <v>72</v>
      </c>
      <c r="Q316" s="660"/>
      <c r="R316" s="660"/>
      <c r="S316" s="660"/>
      <c r="T316" s="660"/>
      <c r="U316" s="660"/>
      <c r="V316" s="66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hidden="1" customHeight="1" x14ac:dyDescent="0.25">
      <c r="A317" s="657" t="s">
        <v>144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47"/>
      <c r="AB317" s="647"/>
      <c r="AC317" s="647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65">
        <v>4680115885981</v>
      </c>
      <c r="E318" s="666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92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93"/>
      <c r="P319" s="659" t="s">
        <v>72</v>
      </c>
      <c r="Q319" s="660"/>
      <c r="R319" s="660"/>
      <c r="S319" s="660"/>
      <c r="T319" s="660"/>
      <c r="U319" s="660"/>
      <c r="V319" s="66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93"/>
      <c r="P320" s="659" t="s">
        <v>72</v>
      </c>
      <c r="Q320" s="660"/>
      <c r="R320" s="660"/>
      <c r="S320" s="660"/>
      <c r="T320" s="660"/>
      <c r="U320" s="660"/>
      <c r="V320" s="66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57" t="s">
        <v>538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65">
        <v>4680115886803</v>
      </c>
      <c r="E322" s="666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4"/>
      <c r="V322" s="34"/>
      <c r="W322" s="35" t="s">
        <v>67</v>
      </c>
      <c r="X322" s="651">
        <v>4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4.3888888888888893</v>
      </c>
      <c r="BN322" s="64">
        <f>IFERROR(Y322*I322/H322,"0")</f>
        <v>5.9250000000000007</v>
      </c>
      <c r="BO322" s="64">
        <f>IFERROR(1/J322*(X322/H322),"0")</f>
        <v>1.0288065843621399E-2</v>
      </c>
      <c r="BP322" s="64">
        <f>IFERROR(1/J322*(Y322/H322),"0")</f>
        <v>1.3888888888888888E-2</v>
      </c>
    </row>
    <row r="323" spans="1:68" x14ac:dyDescent="0.2">
      <c r="A323" s="692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93"/>
      <c r="P323" s="659" t="s">
        <v>72</v>
      </c>
      <c r="Q323" s="660"/>
      <c r="R323" s="660"/>
      <c r="S323" s="660"/>
      <c r="T323" s="660"/>
      <c r="U323" s="660"/>
      <c r="V323" s="661"/>
      <c r="W323" s="37" t="s">
        <v>73</v>
      </c>
      <c r="X323" s="653">
        <f>IFERROR(X322/H322,"0")</f>
        <v>2.2222222222222223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93"/>
      <c r="P324" s="659" t="s">
        <v>72</v>
      </c>
      <c r="Q324" s="660"/>
      <c r="R324" s="660"/>
      <c r="S324" s="660"/>
      <c r="T324" s="660"/>
      <c r="U324" s="660"/>
      <c r="V324" s="661"/>
      <c r="W324" s="37" t="s">
        <v>67</v>
      </c>
      <c r="X324" s="653">
        <f>IFERROR(SUM(X322:X322),"0")</f>
        <v>4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hidden="1" customHeight="1" x14ac:dyDescent="0.25">
      <c r="A325" s="657" t="s">
        <v>355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47"/>
      <c r="AB325" s="647"/>
      <c r="AC325" s="647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65">
        <v>4680115886704</v>
      </c>
      <c r="E326" s="666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65">
        <v>4680115886681</v>
      </c>
      <c r="E327" s="666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65">
        <v>4680115886735</v>
      </c>
      <c r="E328" s="666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92"/>
      <c r="B329" s="658"/>
      <c r="C329" s="658"/>
      <c r="D329" s="658"/>
      <c r="E329" s="658"/>
      <c r="F329" s="658"/>
      <c r="G329" s="658"/>
      <c r="H329" s="658"/>
      <c r="I329" s="658"/>
      <c r="J329" s="658"/>
      <c r="K329" s="658"/>
      <c r="L329" s="658"/>
      <c r="M329" s="658"/>
      <c r="N329" s="658"/>
      <c r="O329" s="693"/>
      <c r="P329" s="659" t="s">
        <v>72</v>
      </c>
      <c r="Q329" s="660"/>
      <c r="R329" s="660"/>
      <c r="S329" s="660"/>
      <c r="T329" s="660"/>
      <c r="U329" s="660"/>
      <c r="V329" s="66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58"/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93"/>
      <c r="P330" s="659" t="s">
        <v>72</v>
      </c>
      <c r="Q330" s="660"/>
      <c r="R330" s="660"/>
      <c r="S330" s="660"/>
      <c r="T330" s="660"/>
      <c r="U330" s="660"/>
      <c r="V330" s="66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62" t="s">
        <v>549</v>
      </c>
      <c r="B331" s="658"/>
      <c r="C331" s="658"/>
      <c r="D331" s="658"/>
      <c r="E331" s="658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46"/>
      <c r="AB331" s="646"/>
      <c r="AC331" s="646"/>
    </row>
    <row r="332" spans="1:68" ht="14.25" hidden="1" customHeight="1" x14ac:dyDescent="0.25">
      <c r="A332" s="657" t="s">
        <v>111</v>
      </c>
      <c r="B332" s="658"/>
      <c r="C332" s="658"/>
      <c r="D332" s="658"/>
      <c r="E332" s="658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47"/>
      <c r="AB332" s="647"/>
      <c r="AC332" s="647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65">
        <v>4680115885837</v>
      </c>
      <c r="E333" s="666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65">
        <v>4680115887237</v>
      </c>
      <c r="E334" s="666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65">
        <v>4680115885806</v>
      </c>
      <c r="E335" s="666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65">
        <v>4680115885844</v>
      </c>
      <c r="E336" s="666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65">
        <v>4680115885820</v>
      </c>
      <c r="E337" s="666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92"/>
      <c r="B338" s="658"/>
      <c r="C338" s="658"/>
      <c r="D338" s="658"/>
      <c r="E338" s="658"/>
      <c r="F338" s="658"/>
      <c r="G338" s="658"/>
      <c r="H338" s="658"/>
      <c r="I338" s="658"/>
      <c r="J338" s="658"/>
      <c r="K338" s="658"/>
      <c r="L338" s="658"/>
      <c r="M338" s="658"/>
      <c r="N338" s="658"/>
      <c r="O338" s="693"/>
      <c r="P338" s="659" t="s">
        <v>72</v>
      </c>
      <c r="Q338" s="660"/>
      <c r="R338" s="660"/>
      <c r="S338" s="660"/>
      <c r="T338" s="660"/>
      <c r="U338" s="660"/>
      <c r="V338" s="66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58"/>
      <c r="B339" s="658"/>
      <c r="C339" s="658"/>
      <c r="D339" s="658"/>
      <c r="E339" s="658"/>
      <c r="F339" s="658"/>
      <c r="G339" s="658"/>
      <c r="H339" s="658"/>
      <c r="I339" s="658"/>
      <c r="J339" s="658"/>
      <c r="K339" s="658"/>
      <c r="L339" s="658"/>
      <c r="M339" s="658"/>
      <c r="N339" s="658"/>
      <c r="O339" s="693"/>
      <c r="P339" s="659" t="s">
        <v>72</v>
      </c>
      <c r="Q339" s="660"/>
      <c r="R339" s="660"/>
      <c r="S339" s="660"/>
      <c r="T339" s="660"/>
      <c r="U339" s="660"/>
      <c r="V339" s="66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62" t="s">
        <v>565</v>
      </c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46"/>
      <c r="AB340" s="646"/>
      <c r="AC340" s="646"/>
    </row>
    <row r="341" spans="1:68" ht="14.25" hidden="1" customHeight="1" x14ac:dyDescent="0.25">
      <c r="A341" s="657" t="s">
        <v>74</v>
      </c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47"/>
      <c r="AB341" s="647"/>
      <c r="AC341" s="647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65">
        <v>4680115886186</v>
      </c>
      <c r="E342" s="666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65">
        <v>4680115881228</v>
      </c>
      <c r="E343" s="666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4"/>
      <c r="V343" s="34"/>
      <c r="W343" s="35" t="s">
        <v>67</v>
      </c>
      <c r="X343" s="651">
        <v>51</v>
      </c>
      <c r="Y343" s="652">
        <f>IFERROR(IF(X343="",0,CEILING((X343/$H343),1)*$H343),"")</f>
        <v>52.8</v>
      </c>
      <c r="Z343" s="36">
        <f>IFERROR(IF(Y343=0,"",ROUNDUP(Y343/H343,0)*0.00651),"")</f>
        <v>0.14322000000000001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56.355000000000004</v>
      </c>
      <c r="BN343" s="64">
        <f>IFERROR(Y343*I343/H343,"0")</f>
        <v>58.344000000000001</v>
      </c>
      <c r="BO343" s="64">
        <f>IFERROR(1/J343*(X343/H343),"0")</f>
        <v>0.11675824175824177</v>
      </c>
      <c r="BP343" s="64">
        <f>IFERROR(1/J343*(Y343/H343),"0")</f>
        <v>0.12087912087912089</v>
      </c>
    </row>
    <row r="344" spans="1:68" ht="27" hidden="1" customHeight="1" x14ac:dyDescent="0.25">
      <c r="A344" s="54" t="s">
        <v>572</v>
      </c>
      <c r="B344" s="54" t="s">
        <v>573</v>
      </c>
      <c r="C344" s="31">
        <v>4301051388</v>
      </c>
      <c r="D344" s="665">
        <v>4680115881211</v>
      </c>
      <c r="E344" s="666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4"/>
      <c r="V344" s="34"/>
      <c r="W344" s="35" t="s">
        <v>67</v>
      </c>
      <c r="X344" s="651">
        <v>0</v>
      </c>
      <c r="Y344" s="6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92"/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93"/>
      <c r="P345" s="659" t="s">
        <v>72</v>
      </c>
      <c r="Q345" s="660"/>
      <c r="R345" s="660"/>
      <c r="S345" s="660"/>
      <c r="T345" s="660"/>
      <c r="U345" s="660"/>
      <c r="V345" s="661"/>
      <c r="W345" s="37" t="s">
        <v>73</v>
      </c>
      <c r="X345" s="653">
        <f>IFERROR(X342/H342,"0")+IFERROR(X343/H343,"0")+IFERROR(X344/H344,"0")</f>
        <v>21.25</v>
      </c>
      <c r="Y345" s="653">
        <f>IFERROR(Y342/H342,"0")+IFERROR(Y343/H343,"0")+IFERROR(Y344/H344,"0")</f>
        <v>22</v>
      </c>
      <c r="Z345" s="653">
        <f>IFERROR(IF(Z342="",0,Z342),"0")+IFERROR(IF(Z343="",0,Z343),"0")+IFERROR(IF(Z344="",0,Z344),"0")</f>
        <v>0.14322000000000001</v>
      </c>
      <c r="AA345" s="654"/>
      <c r="AB345" s="654"/>
      <c r="AC345" s="654"/>
    </row>
    <row r="346" spans="1:68" x14ac:dyDescent="0.2">
      <c r="A346" s="658"/>
      <c r="B346" s="658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93"/>
      <c r="P346" s="659" t="s">
        <v>72</v>
      </c>
      <c r="Q346" s="660"/>
      <c r="R346" s="660"/>
      <c r="S346" s="660"/>
      <c r="T346" s="660"/>
      <c r="U346" s="660"/>
      <c r="V346" s="661"/>
      <c r="W346" s="37" t="s">
        <v>67</v>
      </c>
      <c r="X346" s="653">
        <f>IFERROR(SUM(X342:X344),"0")</f>
        <v>51</v>
      </c>
      <c r="Y346" s="653">
        <f>IFERROR(SUM(Y342:Y344),"0")</f>
        <v>52.8</v>
      </c>
      <c r="Z346" s="37"/>
      <c r="AA346" s="654"/>
      <c r="AB346" s="654"/>
      <c r="AC346" s="654"/>
    </row>
    <row r="347" spans="1:68" ht="16.5" hidden="1" customHeight="1" x14ac:dyDescent="0.25">
      <c r="A347" s="662" t="s">
        <v>574</v>
      </c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46"/>
      <c r="AB347" s="646"/>
      <c r="AC347" s="646"/>
    </row>
    <row r="348" spans="1:68" ht="14.25" hidden="1" customHeight="1" x14ac:dyDescent="0.25">
      <c r="A348" s="657" t="s">
        <v>62</v>
      </c>
      <c r="B348" s="658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47"/>
      <c r="AB348" s="647"/>
      <c r="AC348" s="647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65">
        <v>4680115888319</v>
      </c>
      <c r="E349" s="666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7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65">
        <v>4680115884700</v>
      </c>
      <c r="E350" s="666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65">
        <v>4680115880344</v>
      </c>
      <c r="E351" s="666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65">
        <v>4680115886919</v>
      </c>
      <c r="E352" s="666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65">
        <v>4680115883970</v>
      </c>
      <c r="E353" s="666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7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92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93"/>
      <c r="P354" s="659" t="s">
        <v>72</v>
      </c>
      <c r="Q354" s="660"/>
      <c r="R354" s="660"/>
      <c r="S354" s="660"/>
      <c r="T354" s="660"/>
      <c r="U354" s="660"/>
      <c r="V354" s="66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93"/>
      <c r="P355" s="659" t="s">
        <v>72</v>
      </c>
      <c r="Q355" s="660"/>
      <c r="R355" s="660"/>
      <c r="S355" s="660"/>
      <c r="T355" s="660"/>
      <c r="U355" s="660"/>
      <c r="V355" s="66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57" t="s">
        <v>74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47"/>
      <c r="AB356" s="647"/>
      <c r="AC356" s="647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65">
        <v>4680115884618</v>
      </c>
      <c r="E357" s="666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65">
        <v>4680115887114</v>
      </c>
      <c r="E358" s="666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2"/>
      <c r="B359" s="658"/>
      <c r="C359" s="658"/>
      <c r="D359" s="658"/>
      <c r="E359" s="658"/>
      <c r="F359" s="658"/>
      <c r="G359" s="658"/>
      <c r="H359" s="658"/>
      <c r="I359" s="658"/>
      <c r="J359" s="658"/>
      <c r="K359" s="658"/>
      <c r="L359" s="658"/>
      <c r="M359" s="658"/>
      <c r="N359" s="658"/>
      <c r="O359" s="693"/>
      <c r="P359" s="659" t="s">
        <v>72</v>
      </c>
      <c r="Q359" s="660"/>
      <c r="R359" s="660"/>
      <c r="S359" s="660"/>
      <c r="T359" s="660"/>
      <c r="U359" s="660"/>
      <c r="V359" s="66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58"/>
      <c r="B360" s="658"/>
      <c r="C360" s="658"/>
      <c r="D360" s="658"/>
      <c r="E360" s="658"/>
      <c r="F360" s="658"/>
      <c r="G360" s="658"/>
      <c r="H360" s="658"/>
      <c r="I360" s="658"/>
      <c r="J360" s="658"/>
      <c r="K360" s="658"/>
      <c r="L360" s="658"/>
      <c r="M360" s="658"/>
      <c r="N360" s="658"/>
      <c r="O360" s="693"/>
      <c r="P360" s="659" t="s">
        <v>72</v>
      </c>
      <c r="Q360" s="660"/>
      <c r="R360" s="660"/>
      <c r="S360" s="660"/>
      <c r="T360" s="660"/>
      <c r="U360" s="660"/>
      <c r="V360" s="66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62" t="s">
        <v>595</v>
      </c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46"/>
      <c r="AB361" s="646"/>
      <c r="AC361" s="646"/>
    </row>
    <row r="362" spans="1:68" ht="14.25" hidden="1" customHeight="1" x14ac:dyDescent="0.25">
      <c r="A362" s="657" t="s">
        <v>111</v>
      </c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65">
        <v>4680115887947</v>
      </c>
      <c r="E363" s="666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4"/>
      <c r="V363" s="34"/>
      <c r="W363" s="35" t="s">
        <v>67</v>
      </c>
      <c r="X363" s="651">
        <v>111</v>
      </c>
      <c r="Y363" s="652">
        <f>IFERROR(IF(X363="",0,CEILING((X363/$H363),1)*$H363),"")</f>
        <v>117</v>
      </c>
      <c r="Z363" s="36">
        <f>IFERROR(IF(Y363=0,"",ROUNDUP(Y363/H363,0)*0.01898),"")</f>
        <v>0.28470000000000001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116.83461538461539</v>
      </c>
      <c r="BN363" s="64">
        <f>IFERROR(Y363*I363/H363,"0")</f>
        <v>123.15</v>
      </c>
      <c r="BO363" s="64">
        <f>IFERROR(1/J363*(X363/H363),"0")</f>
        <v>0.22235576923076925</v>
      </c>
      <c r="BP363" s="64">
        <f>IFERROR(1/J363*(Y363/H363),"0")</f>
        <v>0.234375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65">
        <v>4680115887978</v>
      </c>
      <c r="E364" s="666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4"/>
      <c r="V364" s="34"/>
      <c r="W364" s="35" t="s">
        <v>67</v>
      </c>
      <c r="X364" s="651">
        <v>67</v>
      </c>
      <c r="Y364" s="652">
        <f>IFERROR(IF(X364="",0,CEILING((X364/$H364),1)*$H364),"")</f>
        <v>70.2</v>
      </c>
      <c r="Z364" s="36">
        <f>IFERROR(IF(Y364=0,"",ROUNDUP(Y364/H364,0)*0.01898),"")</f>
        <v>0.17082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70.521794871794881</v>
      </c>
      <c r="BN364" s="64">
        <f>IFERROR(Y364*I364/H364,"0")</f>
        <v>73.890000000000015</v>
      </c>
      <c r="BO364" s="64">
        <f>IFERROR(1/J364*(X364/H364),"0")</f>
        <v>0.13421474358974358</v>
      </c>
      <c r="BP364" s="64">
        <f>IFERROR(1/J364*(Y364/H364),"0")</f>
        <v>0.140625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65">
        <v>4680115887992</v>
      </c>
      <c r="E365" s="666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4"/>
      <c r="V365" s="34"/>
      <c r="W365" s="35" t="s">
        <v>67</v>
      </c>
      <c r="X365" s="651">
        <v>18</v>
      </c>
      <c r="Y365" s="652">
        <f>IFERROR(IF(X365="",0,CEILING((X365/$H365),1)*$H365),"")</f>
        <v>23.4</v>
      </c>
      <c r="Z365" s="36">
        <f>IFERROR(IF(Y365=0,"",ROUNDUP(Y365/H365,0)*0.01898),"")</f>
        <v>5.6940000000000004E-2</v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18.946153846153852</v>
      </c>
      <c r="BN365" s="64">
        <f>IFERROR(Y365*I365/H365,"0")</f>
        <v>24.630000000000003</v>
      </c>
      <c r="BO365" s="64">
        <f>IFERROR(1/J365*(X365/H365),"0")</f>
        <v>3.6057692307692311E-2</v>
      </c>
      <c r="BP365" s="64">
        <f>IFERROR(1/J365*(Y365/H365),"0")</f>
        <v>4.6875E-2</v>
      </c>
    </row>
    <row r="366" spans="1:68" x14ac:dyDescent="0.2">
      <c r="A366" s="692"/>
      <c r="B366" s="658"/>
      <c r="C366" s="658"/>
      <c r="D366" s="658"/>
      <c r="E366" s="658"/>
      <c r="F366" s="658"/>
      <c r="G366" s="658"/>
      <c r="H366" s="658"/>
      <c r="I366" s="658"/>
      <c r="J366" s="658"/>
      <c r="K366" s="658"/>
      <c r="L366" s="658"/>
      <c r="M366" s="658"/>
      <c r="N366" s="658"/>
      <c r="O366" s="693"/>
      <c r="P366" s="659" t="s">
        <v>72</v>
      </c>
      <c r="Q366" s="660"/>
      <c r="R366" s="660"/>
      <c r="S366" s="660"/>
      <c r="T366" s="660"/>
      <c r="U366" s="660"/>
      <c r="V366" s="661"/>
      <c r="W366" s="37" t="s">
        <v>73</v>
      </c>
      <c r="X366" s="653">
        <f>IFERROR(X363/H363,"0")+IFERROR(X364/H364,"0")+IFERROR(X365/H365,"0")</f>
        <v>25.128205128205128</v>
      </c>
      <c r="Y366" s="653">
        <f>IFERROR(Y363/H363,"0")+IFERROR(Y364/H364,"0")+IFERROR(Y365/H365,"0")</f>
        <v>27</v>
      </c>
      <c r="Z366" s="653">
        <f>IFERROR(IF(Z363="",0,Z363),"0")+IFERROR(IF(Z364="",0,Z364),"0")+IFERROR(IF(Z365="",0,Z365),"0")</f>
        <v>0.51246000000000003</v>
      </c>
      <c r="AA366" s="654"/>
      <c r="AB366" s="654"/>
      <c r="AC366" s="654"/>
    </row>
    <row r="367" spans="1:68" x14ac:dyDescent="0.2">
      <c r="A367" s="658"/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93"/>
      <c r="P367" s="659" t="s">
        <v>72</v>
      </c>
      <c r="Q367" s="660"/>
      <c r="R367" s="660"/>
      <c r="S367" s="660"/>
      <c r="T367" s="660"/>
      <c r="U367" s="660"/>
      <c r="V367" s="661"/>
      <c r="W367" s="37" t="s">
        <v>67</v>
      </c>
      <c r="X367" s="653">
        <f>IFERROR(SUM(X363:X365),"0")</f>
        <v>196</v>
      </c>
      <c r="Y367" s="653">
        <f>IFERROR(SUM(Y363:Y365),"0")</f>
        <v>210.6</v>
      </c>
      <c r="Z367" s="37"/>
      <c r="AA367" s="654"/>
      <c r="AB367" s="654"/>
      <c r="AC367" s="654"/>
    </row>
    <row r="368" spans="1:68" ht="16.5" hidden="1" customHeight="1" x14ac:dyDescent="0.25">
      <c r="A368" s="662" t="s">
        <v>604</v>
      </c>
      <c r="B368" s="658"/>
      <c r="C368" s="658"/>
      <c r="D368" s="658"/>
      <c r="E368" s="658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46"/>
      <c r="AB368" s="646"/>
      <c r="AC368" s="646"/>
    </row>
    <row r="369" spans="1:68" ht="14.25" hidden="1" customHeight="1" x14ac:dyDescent="0.25">
      <c r="A369" s="657" t="s">
        <v>111</v>
      </c>
      <c r="B369" s="658"/>
      <c r="C369" s="658"/>
      <c r="D369" s="658"/>
      <c r="E369" s="658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47"/>
      <c r="AB369" s="647"/>
      <c r="AC369" s="647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65">
        <v>4680115887190</v>
      </c>
      <c r="E370" s="666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hidden="1" customHeight="1" x14ac:dyDescent="0.25">
      <c r="A371" s="54" t="s">
        <v>608</v>
      </c>
      <c r="B371" s="54" t="s">
        <v>609</v>
      </c>
      <c r="C371" s="31">
        <v>4301012233</v>
      </c>
      <c r="D371" s="665">
        <v>4680115887138</v>
      </c>
      <c r="E371" s="666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4301012016</v>
      </c>
      <c r="D372" s="665">
        <v>4680115885554</v>
      </c>
      <c r="E372" s="666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65">
        <v>4680115887220</v>
      </c>
      <c r="E373" s="666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65">
        <v>4680115885608</v>
      </c>
      <c r="E374" s="666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92"/>
      <c r="B375" s="658"/>
      <c r="C375" s="658"/>
      <c r="D375" s="658"/>
      <c r="E375" s="658"/>
      <c r="F375" s="658"/>
      <c r="G375" s="658"/>
      <c r="H375" s="658"/>
      <c r="I375" s="658"/>
      <c r="J375" s="658"/>
      <c r="K375" s="658"/>
      <c r="L375" s="658"/>
      <c r="M375" s="658"/>
      <c r="N375" s="658"/>
      <c r="O375" s="693"/>
      <c r="P375" s="659" t="s">
        <v>72</v>
      </c>
      <c r="Q375" s="660"/>
      <c r="R375" s="660"/>
      <c r="S375" s="660"/>
      <c r="T375" s="660"/>
      <c r="U375" s="660"/>
      <c r="V375" s="66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hidden="1" x14ac:dyDescent="0.2">
      <c r="A376" s="658"/>
      <c r="B376" s="658"/>
      <c r="C376" s="658"/>
      <c r="D376" s="658"/>
      <c r="E376" s="658"/>
      <c r="F376" s="658"/>
      <c r="G376" s="658"/>
      <c r="H376" s="658"/>
      <c r="I376" s="658"/>
      <c r="J376" s="658"/>
      <c r="K376" s="658"/>
      <c r="L376" s="658"/>
      <c r="M376" s="658"/>
      <c r="N376" s="658"/>
      <c r="O376" s="693"/>
      <c r="P376" s="659" t="s">
        <v>72</v>
      </c>
      <c r="Q376" s="660"/>
      <c r="R376" s="660"/>
      <c r="S376" s="660"/>
      <c r="T376" s="660"/>
      <c r="U376" s="660"/>
      <c r="V376" s="66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hidden="1" customHeight="1" x14ac:dyDescent="0.25">
      <c r="A377" s="657" t="s">
        <v>62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47"/>
      <c r="AB377" s="647"/>
      <c r="AC377" s="647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65">
        <v>4607091387193</v>
      </c>
      <c r="E378" s="666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80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4301031153</v>
      </c>
      <c r="D379" s="665">
        <v>4607091387230</v>
      </c>
      <c r="E379" s="666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6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65">
        <v>4607091387292</v>
      </c>
      <c r="E380" s="666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65">
        <v>4607091387285</v>
      </c>
      <c r="E381" s="666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65">
        <v>4607091389845</v>
      </c>
      <c r="E382" s="666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65">
        <v>4680115887442</v>
      </c>
      <c r="E383" s="666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65">
        <v>4607091383836</v>
      </c>
      <c r="E384" s="666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4"/>
      <c r="V384" s="34"/>
      <c r="W384" s="35" t="s">
        <v>67</v>
      </c>
      <c r="X384" s="651">
        <v>15</v>
      </c>
      <c r="Y384" s="652">
        <f t="shared" si="60"/>
        <v>16.2</v>
      </c>
      <c r="Z384" s="36">
        <f>IFERROR(IF(Y384=0,"",ROUNDUP(Y384/H384,0)*0.00651),"")</f>
        <v>5.8590000000000003E-2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16.900000000000002</v>
      </c>
      <c r="BN384" s="64">
        <f t="shared" si="62"/>
        <v>18.251999999999999</v>
      </c>
      <c r="BO384" s="64">
        <f t="shared" si="63"/>
        <v>4.5787545787545791E-2</v>
      </c>
      <c r="BP384" s="64">
        <f t="shared" si="64"/>
        <v>4.9450549450549455E-2</v>
      </c>
    </row>
    <row r="385" spans="1:68" x14ac:dyDescent="0.2">
      <c r="A385" s="692"/>
      <c r="B385" s="658"/>
      <c r="C385" s="658"/>
      <c r="D385" s="658"/>
      <c r="E385" s="658"/>
      <c r="F385" s="658"/>
      <c r="G385" s="658"/>
      <c r="H385" s="658"/>
      <c r="I385" s="658"/>
      <c r="J385" s="658"/>
      <c r="K385" s="658"/>
      <c r="L385" s="658"/>
      <c r="M385" s="658"/>
      <c r="N385" s="658"/>
      <c r="O385" s="693"/>
      <c r="P385" s="659" t="s">
        <v>72</v>
      </c>
      <c r="Q385" s="660"/>
      <c r="R385" s="660"/>
      <c r="S385" s="660"/>
      <c r="T385" s="660"/>
      <c r="U385" s="660"/>
      <c r="V385" s="66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8.3333333333333339</v>
      </c>
      <c r="Y385" s="653">
        <f>IFERROR(Y378/H378,"0")+IFERROR(Y379/H379,"0")+IFERROR(Y380/H380,"0")+IFERROR(Y381/H381,"0")+IFERROR(Y382/H382,"0")+IFERROR(Y383/H383,"0")+IFERROR(Y384/H384,"0")</f>
        <v>9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5.8590000000000003E-2</v>
      </c>
      <c r="AA385" s="654"/>
      <c r="AB385" s="654"/>
      <c r="AC385" s="654"/>
    </row>
    <row r="386" spans="1:68" x14ac:dyDescent="0.2">
      <c r="A386" s="658"/>
      <c r="B386" s="658"/>
      <c r="C386" s="658"/>
      <c r="D386" s="658"/>
      <c r="E386" s="658"/>
      <c r="F386" s="658"/>
      <c r="G386" s="658"/>
      <c r="H386" s="658"/>
      <c r="I386" s="658"/>
      <c r="J386" s="658"/>
      <c r="K386" s="658"/>
      <c r="L386" s="658"/>
      <c r="M386" s="658"/>
      <c r="N386" s="658"/>
      <c r="O386" s="693"/>
      <c r="P386" s="659" t="s">
        <v>72</v>
      </c>
      <c r="Q386" s="660"/>
      <c r="R386" s="660"/>
      <c r="S386" s="660"/>
      <c r="T386" s="660"/>
      <c r="U386" s="660"/>
      <c r="V386" s="661"/>
      <c r="W386" s="37" t="s">
        <v>67</v>
      </c>
      <c r="X386" s="653">
        <f>IFERROR(SUM(X378:X384),"0")</f>
        <v>15</v>
      </c>
      <c r="Y386" s="653">
        <f>IFERROR(SUM(Y378:Y384),"0")</f>
        <v>16.2</v>
      </c>
      <c r="Z386" s="37"/>
      <c r="AA386" s="654"/>
      <c r="AB386" s="654"/>
      <c r="AC386" s="654"/>
    </row>
    <row r="387" spans="1:68" ht="14.25" hidden="1" customHeight="1" x14ac:dyDescent="0.25">
      <c r="A387" s="657" t="s">
        <v>74</v>
      </c>
      <c r="B387" s="658"/>
      <c r="C387" s="658"/>
      <c r="D387" s="658"/>
      <c r="E387" s="658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47"/>
      <c r="AB387" s="647"/>
      <c r="AC387" s="647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65">
        <v>4607091387766</v>
      </c>
      <c r="E388" s="666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65">
        <v>4607091387957</v>
      </c>
      <c r="E389" s="666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65">
        <v>4607091387964</v>
      </c>
      <c r="E390" s="666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65">
        <v>4680115884588</v>
      </c>
      <c r="E391" s="666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92"/>
      <c r="B392" s="658"/>
      <c r="C392" s="658"/>
      <c r="D392" s="658"/>
      <c r="E392" s="658"/>
      <c r="F392" s="658"/>
      <c r="G392" s="658"/>
      <c r="H392" s="658"/>
      <c r="I392" s="658"/>
      <c r="J392" s="658"/>
      <c r="K392" s="658"/>
      <c r="L392" s="658"/>
      <c r="M392" s="658"/>
      <c r="N392" s="658"/>
      <c r="O392" s="693"/>
      <c r="P392" s="659" t="s">
        <v>72</v>
      </c>
      <c r="Q392" s="660"/>
      <c r="R392" s="660"/>
      <c r="S392" s="660"/>
      <c r="T392" s="660"/>
      <c r="U392" s="660"/>
      <c r="V392" s="66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58"/>
      <c r="B393" s="658"/>
      <c r="C393" s="658"/>
      <c r="D393" s="658"/>
      <c r="E393" s="658"/>
      <c r="F393" s="658"/>
      <c r="G393" s="658"/>
      <c r="H393" s="658"/>
      <c r="I393" s="658"/>
      <c r="J393" s="658"/>
      <c r="K393" s="658"/>
      <c r="L393" s="658"/>
      <c r="M393" s="658"/>
      <c r="N393" s="658"/>
      <c r="O393" s="693"/>
      <c r="P393" s="659" t="s">
        <v>72</v>
      </c>
      <c r="Q393" s="660"/>
      <c r="R393" s="660"/>
      <c r="S393" s="660"/>
      <c r="T393" s="660"/>
      <c r="U393" s="660"/>
      <c r="V393" s="66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57" t="s">
        <v>162</v>
      </c>
      <c r="B394" s="658"/>
      <c r="C394" s="658"/>
      <c r="D394" s="658"/>
      <c r="E394" s="658"/>
      <c r="F394" s="658"/>
      <c r="G394" s="658"/>
      <c r="H394" s="658"/>
      <c r="I394" s="658"/>
      <c r="J394" s="658"/>
      <c r="K394" s="658"/>
      <c r="L394" s="658"/>
      <c r="M394" s="658"/>
      <c r="N394" s="658"/>
      <c r="O394" s="658"/>
      <c r="P394" s="658"/>
      <c r="Q394" s="658"/>
      <c r="R394" s="658"/>
      <c r="S394" s="658"/>
      <c r="T394" s="658"/>
      <c r="U394" s="658"/>
      <c r="V394" s="658"/>
      <c r="W394" s="658"/>
      <c r="X394" s="658"/>
      <c r="Y394" s="658"/>
      <c r="Z394" s="658"/>
      <c r="AA394" s="647"/>
      <c r="AB394" s="647"/>
      <c r="AC394" s="647"/>
    </row>
    <row r="395" spans="1:68" ht="27" hidden="1" customHeight="1" x14ac:dyDescent="0.25">
      <c r="A395" s="54" t="s">
        <v>649</v>
      </c>
      <c r="B395" s="54" t="s">
        <v>650</v>
      </c>
      <c r="C395" s="31">
        <v>4301060387</v>
      </c>
      <c r="D395" s="665">
        <v>4607091380880</v>
      </c>
      <c r="E395" s="666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65">
        <v>4607091384482</v>
      </c>
      <c r="E396" s="666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4"/>
      <c r="V396" s="34"/>
      <c r="W396" s="35" t="s">
        <v>67</v>
      </c>
      <c r="X396" s="651">
        <v>50</v>
      </c>
      <c r="Y396" s="652">
        <f>IFERROR(IF(X396="",0,CEILING((X396/$H396),1)*$H396),"")</f>
        <v>54.6</v>
      </c>
      <c r="Z396" s="36">
        <f>IFERROR(IF(Y396=0,"",ROUNDUP(Y396/H396,0)*0.01898),"")</f>
        <v>0.13286000000000001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53.166666666666671</v>
      </c>
      <c r="BN396" s="64">
        <f>IFERROR(Y396*I396/H396,"0")</f>
        <v>58.058000000000007</v>
      </c>
      <c r="BO396" s="64">
        <f>IFERROR(1/J396*(X396/H396),"0")</f>
        <v>0.10016025641025642</v>
      </c>
      <c r="BP396" s="64">
        <f>IFERROR(1/J396*(Y396/H396),"0")</f>
        <v>0.109375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65">
        <v>4607091380897</v>
      </c>
      <c r="E397" s="666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4"/>
      <c r="V397" s="34"/>
      <c r="W397" s="35" t="s">
        <v>67</v>
      </c>
      <c r="X397" s="651">
        <v>114</v>
      </c>
      <c r="Y397" s="652">
        <f>IFERROR(IF(X397="",0,CEILING((X397/$H397),1)*$H397),"")</f>
        <v>117.60000000000001</v>
      </c>
      <c r="Z397" s="36">
        <f>IFERROR(IF(Y397=0,"",ROUNDUP(Y397/H397,0)*0.01898),"")</f>
        <v>0.26572000000000001</v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120.70428571428572</v>
      </c>
      <c r="BN397" s="64">
        <f>IFERROR(Y397*I397/H397,"0")</f>
        <v>124.51600000000001</v>
      </c>
      <c r="BO397" s="64">
        <f>IFERROR(1/J397*(X397/H397),"0")</f>
        <v>0.21205357142857142</v>
      </c>
      <c r="BP397" s="64">
        <f>IFERROR(1/J397*(Y397/H397),"0")</f>
        <v>0.21875</v>
      </c>
    </row>
    <row r="398" spans="1:68" x14ac:dyDescent="0.2">
      <c r="A398" s="692"/>
      <c r="B398" s="658"/>
      <c r="C398" s="658"/>
      <c r="D398" s="658"/>
      <c r="E398" s="658"/>
      <c r="F398" s="658"/>
      <c r="G398" s="658"/>
      <c r="H398" s="658"/>
      <c r="I398" s="658"/>
      <c r="J398" s="658"/>
      <c r="K398" s="658"/>
      <c r="L398" s="658"/>
      <c r="M398" s="658"/>
      <c r="N398" s="658"/>
      <c r="O398" s="693"/>
      <c r="P398" s="659" t="s">
        <v>72</v>
      </c>
      <c r="Q398" s="660"/>
      <c r="R398" s="660"/>
      <c r="S398" s="660"/>
      <c r="T398" s="660"/>
      <c r="U398" s="660"/>
      <c r="V398" s="661"/>
      <c r="W398" s="37" t="s">
        <v>73</v>
      </c>
      <c r="X398" s="653">
        <f>IFERROR(X395/H395,"0")+IFERROR(X396/H396,"0")+IFERROR(X397/H397,"0")</f>
        <v>19.981684981684982</v>
      </c>
      <c r="Y398" s="653">
        <f>IFERROR(Y395/H395,"0")+IFERROR(Y396/H396,"0")+IFERROR(Y397/H397,"0")</f>
        <v>21</v>
      </c>
      <c r="Z398" s="653">
        <f>IFERROR(IF(Z395="",0,Z395),"0")+IFERROR(IF(Z396="",0,Z396),"0")+IFERROR(IF(Z397="",0,Z397),"0")</f>
        <v>0.39858000000000005</v>
      </c>
      <c r="AA398" s="654"/>
      <c r="AB398" s="654"/>
      <c r="AC398" s="654"/>
    </row>
    <row r="399" spans="1:68" x14ac:dyDescent="0.2">
      <c r="A399" s="658"/>
      <c r="B399" s="658"/>
      <c r="C399" s="658"/>
      <c r="D399" s="658"/>
      <c r="E399" s="658"/>
      <c r="F399" s="658"/>
      <c r="G399" s="658"/>
      <c r="H399" s="658"/>
      <c r="I399" s="658"/>
      <c r="J399" s="658"/>
      <c r="K399" s="658"/>
      <c r="L399" s="658"/>
      <c r="M399" s="658"/>
      <c r="N399" s="658"/>
      <c r="O399" s="693"/>
      <c r="P399" s="659" t="s">
        <v>72</v>
      </c>
      <c r="Q399" s="660"/>
      <c r="R399" s="660"/>
      <c r="S399" s="660"/>
      <c r="T399" s="660"/>
      <c r="U399" s="660"/>
      <c r="V399" s="661"/>
      <c r="W399" s="37" t="s">
        <v>67</v>
      </c>
      <c r="X399" s="653">
        <f>IFERROR(SUM(X395:X397),"0")</f>
        <v>164</v>
      </c>
      <c r="Y399" s="653">
        <f>IFERROR(SUM(Y395:Y397),"0")</f>
        <v>172.20000000000002</v>
      </c>
      <c r="Z399" s="37"/>
      <c r="AA399" s="654"/>
      <c r="AB399" s="654"/>
      <c r="AC399" s="654"/>
    </row>
    <row r="400" spans="1:68" ht="14.25" hidden="1" customHeight="1" x14ac:dyDescent="0.25">
      <c r="A400" s="657" t="s">
        <v>283</v>
      </c>
      <c r="B400" s="658"/>
      <c r="C400" s="658"/>
      <c r="D400" s="658"/>
      <c r="E400" s="658"/>
      <c r="F400" s="658"/>
      <c r="G400" s="658"/>
      <c r="H400" s="658"/>
      <c r="I400" s="658"/>
      <c r="J400" s="658"/>
      <c r="K400" s="658"/>
      <c r="L400" s="658"/>
      <c r="M400" s="658"/>
      <c r="N400" s="658"/>
      <c r="O400" s="658"/>
      <c r="P400" s="658"/>
      <c r="Q400" s="658"/>
      <c r="R400" s="658"/>
      <c r="S400" s="658"/>
      <c r="T400" s="658"/>
      <c r="U400" s="658"/>
      <c r="V400" s="658"/>
      <c r="W400" s="658"/>
      <c r="X400" s="658"/>
      <c r="Y400" s="658"/>
      <c r="Z400" s="658"/>
      <c r="AA400" s="647"/>
      <c r="AB400" s="647"/>
      <c r="AC400" s="647"/>
    </row>
    <row r="401" spans="1:68" ht="27" hidden="1" customHeight="1" x14ac:dyDescent="0.25">
      <c r="A401" s="54" t="s">
        <v>658</v>
      </c>
      <c r="B401" s="54" t="s">
        <v>659</v>
      </c>
      <c r="C401" s="31">
        <v>4301030235</v>
      </c>
      <c r="D401" s="665">
        <v>4607091388381</v>
      </c>
      <c r="E401" s="666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661</v>
      </c>
      <c r="B402" s="54" t="s">
        <v>662</v>
      </c>
      <c r="C402" s="31">
        <v>4301030232</v>
      </c>
      <c r="D402" s="665">
        <v>4607091388374</v>
      </c>
      <c r="E402" s="666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663</v>
      </c>
      <c r="B403" s="54" t="s">
        <v>664</v>
      </c>
      <c r="C403" s="31">
        <v>4301032015</v>
      </c>
      <c r="D403" s="665">
        <v>4607091383102</v>
      </c>
      <c r="E403" s="666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4"/>
      <c r="V403" s="34"/>
      <c r="W403" s="35" t="s">
        <v>67</v>
      </c>
      <c r="X403" s="651">
        <v>0</v>
      </c>
      <c r="Y403" s="65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65">
        <v>4607091388404</v>
      </c>
      <c r="E404" s="666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4"/>
      <c r="V404" s="34"/>
      <c r="W404" s="35" t="s">
        <v>67</v>
      </c>
      <c r="X404" s="651">
        <v>17</v>
      </c>
      <c r="Y404" s="652">
        <f>IFERROR(IF(X404="",0,CEILING((X404/$H404),1)*$H404),"")</f>
        <v>17.849999999999998</v>
      </c>
      <c r="Z404" s="36">
        <f>IFERROR(IF(Y404=0,"",ROUNDUP(Y404/H404,0)*0.00651),"")</f>
        <v>4.5569999999999999E-2</v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19.200000000000003</v>
      </c>
      <c r="BN404" s="64">
        <f>IFERROR(Y404*I404/H404,"0")</f>
        <v>20.16</v>
      </c>
      <c r="BO404" s="64">
        <f>IFERROR(1/J404*(X404/H404),"0")</f>
        <v>3.6630036630036632E-2</v>
      </c>
      <c r="BP404" s="64">
        <f>IFERROR(1/J404*(Y404/H404),"0")</f>
        <v>3.8461538461538464E-2</v>
      </c>
    </row>
    <row r="405" spans="1:68" x14ac:dyDescent="0.2">
      <c r="A405" s="692"/>
      <c r="B405" s="658"/>
      <c r="C405" s="658"/>
      <c r="D405" s="658"/>
      <c r="E405" s="658"/>
      <c r="F405" s="658"/>
      <c r="G405" s="658"/>
      <c r="H405" s="658"/>
      <c r="I405" s="658"/>
      <c r="J405" s="658"/>
      <c r="K405" s="658"/>
      <c r="L405" s="658"/>
      <c r="M405" s="658"/>
      <c r="N405" s="658"/>
      <c r="O405" s="693"/>
      <c r="P405" s="659" t="s">
        <v>72</v>
      </c>
      <c r="Q405" s="660"/>
      <c r="R405" s="660"/>
      <c r="S405" s="660"/>
      <c r="T405" s="660"/>
      <c r="U405" s="660"/>
      <c r="V405" s="661"/>
      <c r="W405" s="37" t="s">
        <v>73</v>
      </c>
      <c r="X405" s="653">
        <f>IFERROR(X401/H401,"0")+IFERROR(X402/H402,"0")+IFERROR(X403/H403,"0")+IFERROR(X404/H404,"0")</f>
        <v>6.666666666666667</v>
      </c>
      <c r="Y405" s="653">
        <f>IFERROR(Y401/H401,"0")+IFERROR(Y402/H402,"0")+IFERROR(Y403/H403,"0")+IFERROR(Y404/H404,"0")</f>
        <v>7</v>
      </c>
      <c r="Z405" s="653">
        <f>IFERROR(IF(Z401="",0,Z401),"0")+IFERROR(IF(Z402="",0,Z402),"0")+IFERROR(IF(Z403="",0,Z403),"0")+IFERROR(IF(Z404="",0,Z404),"0")</f>
        <v>4.5569999999999999E-2</v>
      </c>
      <c r="AA405" s="654"/>
      <c r="AB405" s="654"/>
      <c r="AC405" s="654"/>
    </row>
    <row r="406" spans="1:68" x14ac:dyDescent="0.2">
      <c r="A406" s="658"/>
      <c r="B406" s="658"/>
      <c r="C406" s="658"/>
      <c r="D406" s="658"/>
      <c r="E406" s="658"/>
      <c r="F406" s="658"/>
      <c r="G406" s="658"/>
      <c r="H406" s="658"/>
      <c r="I406" s="658"/>
      <c r="J406" s="658"/>
      <c r="K406" s="658"/>
      <c r="L406" s="658"/>
      <c r="M406" s="658"/>
      <c r="N406" s="658"/>
      <c r="O406" s="693"/>
      <c r="P406" s="659" t="s">
        <v>72</v>
      </c>
      <c r="Q406" s="660"/>
      <c r="R406" s="660"/>
      <c r="S406" s="660"/>
      <c r="T406" s="660"/>
      <c r="U406" s="660"/>
      <c r="V406" s="661"/>
      <c r="W406" s="37" t="s">
        <v>67</v>
      </c>
      <c r="X406" s="653">
        <f>IFERROR(SUM(X401:X404),"0")</f>
        <v>17</v>
      </c>
      <c r="Y406" s="653">
        <f>IFERROR(SUM(Y401:Y404),"0")</f>
        <v>17.849999999999998</v>
      </c>
      <c r="Z406" s="37"/>
      <c r="AA406" s="654"/>
      <c r="AB406" s="654"/>
      <c r="AC406" s="654"/>
    </row>
    <row r="407" spans="1:68" ht="14.25" hidden="1" customHeight="1" x14ac:dyDescent="0.25">
      <c r="A407" s="657" t="s">
        <v>667</v>
      </c>
      <c r="B407" s="658"/>
      <c r="C407" s="658"/>
      <c r="D407" s="658"/>
      <c r="E407" s="658"/>
      <c r="F407" s="658"/>
      <c r="G407" s="658"/>
      <c r="H407" s="658"/>
      <c r="I407" s="658"/>
      <c r="J407" s="658"/>
      <c r="K407" s="658"/>
      <c r="L407" s="658"/>
      <c r="M407" s="658"/>
      <c r="N407" s="658"/>
      <c r="O407" s="658"/>
      <c r="P407" s="658"/>
      <c r="Q407" s="658"/>
      <c r="R407" s="658"/>
      <c r="S407" s="658"/>
      <c r="T407" s="658"/>
      <c r="U407" s="658"/>
      <c r="V407" s="658"/>
      <c r="W407" s="658"/>
      <c r="X407" s="658"/>
      <c r="Y407" s="658"/>
      <c r="Z407" s="658"/>
      <c r="AA407" s="647"/>
      <c r="AB407" s="647"/>
      <c r="AC407" s="647"/>
    </row>
    <row r="408" spans="1:68" ht="16.5" hidden="1" customHeight="1" x14ac:dyDescent="0.25">
      <c r="A408" s="54" t="s">
        <v>668</v>
      </c>
      <c r="B408" s="54" t="s">
        <v>669</v>
      </c>
      <c r="C408" s="31">
        <v>4301180007</v>
      </c>
      <c r="D408" s="665">
        <v>4680115881808</v>
      </c>
      <c r="E408" s="666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4"/>
      <c r="V408" s="34"/>
      <c r="W408" s="35" t="s">
        <v>67</v>
      </c>
      <c r="X408" s="651">
        <v>0</v>
      </c>
      <c r="Y408" s="652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672</v>
      </c>
      <c r="B409" s="54" t="s">
        <v>673</v>
      </c>
      <c r="C409" s="31">
        <v>4301180006</v>
      </c>
      <c r="D409" s="665">
        <v>4680115881822</v>
      </c>
      <c r="E409" s="666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10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4"/>
      <c r="V409" s="34"/>
      <c r="W409" s="35" t="s">
        <v>67</v>
      </c>
      <c r="X409" s="651">
        <v>0</v>
      </c>
      <c r="Y409" s="652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674</v>
      </c>
      <c r="B410" s="54" t="s">
        <v>675</v>
      </c>
      <c r="C410" s="31">
        <v>4301180001</v>
      </c>
      <c r="D410" s="665">
        <v>4680115880016</v>
      </c>
      <c r="E410" s="666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4"/>
      <c r="V410" s="34"/>
      <c r="W410" s="35" t="s">
        <v>67</v>
      </c>
      <c r="X410" s="651">
        <v>0</v>
      </c>
      <c r="Y410" s="652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92"/>
      <c r="B411" s="658"/>
      <c r="C411" s="658"/>
      <c r="D411" s="658"/>
      <c r="E411" s="658"/>
      <c r="F411" s="658"/>
      <c r="G411" s="658"/>
      <c r="H411" s="658"/>
      <c r="I411" s="658"/>
      <c r="J411" s="658"/>
      <c r="K411" s="658"/>
      <c r="L411" s="658"/>
      <c r="M411" s="658"/>
      <c r="N411" s="658"/>
      <c r="O411" s="693"/>
      <c r="P411" s="659" t="s">
        <v>72</v>
      </c>
      <c r="Q411" s="660"/>
      <c r="R411" s="660"/>
      <c r="S411" s="660"/>
      <c r="T411" s="660"/>
      <c r="U411" s="660"/>
      <c r="V411" s="661"/>
      <c r="W411" s="37" t="s">
        <v>73</v>
      </c>
      <c r="X411" s="653">
        <f>IFERROR(X408/H408,"0")+IFERROR(X409/H409,"0")+IFERROR(X410/H410,"0")</f>
        <v>0</v>
      </c>
      <c r="Y411" s="653">
        <f>IFERROR(Y408/H408,"0")+IFERROR(Y409/H409,"0")+IFERROR(Y410/H410,"0")</f>
        <v>0</v>
      </c>
      <c r="Z411" s="653">
        <f>IFERROR(IF(Z408="",0,Z408),"0")+IFERROR(IF(Z409="",0,Z409),"0")+IFERROR(IF(Z410="",0,Z410),"0")</f>
        <v>0</v>
      </c>
      <c r="AA411" s="654"/>
      <c r="AB411" s="654"/>
      <c r="AC411" s="654"/>
    </row>
    <row r="412" spans="1:68" hidden="1" x14ac:dyDescent="0.2">
      <c r="A412" s="658"/>
      <c r="B412" s="658"/>
      <c r="C412" s="658"/>
      <c r="D412" s="658"/>
      <c r="E412" s="658"/>
      <c r="F412" s="658"/>
      <c r="G412" s="658"/>
      <c r="H412" s="658"/>
      <c r="I412" s="658"/>
      <c r="J412" s="658"/>
      <c r="K412" s="658"/>
      <c r="L412" s="658"/>
      <c r="M412" s="658"/>
      <c r="N412" s="658"/>
      <c r="O412" s="693"/>
      <c r="P412" s="659" t="s">
        <v>72</v>
      </c>
      <c r="Q412" s="660"/>
      <c r="R412" s="660"/>
      <c r="S412" s="660"/>
      <c r="T412" s="660"/>
      <c r="U412" s="660"/>
      <c r="V412" s="661"/>
      <c r="W412" s="37" t="s">
        <v>67</v>
      </c>
      <c r="X412" s="653">
        <f>IFERROR(SUM(X408:X410),"0")</f>
        <v>0</v>
      </c>
      <c r="Y412" s="653">
        <f>IFERROR(SUM(Y408:Y410),"0")</f>
        <v>0</v>
      </c>
      <c r="Z412" s="37"/>
      <c r="AA412" s="654"/>
      <c r="AB412" s="654"/>
      <c r="AC412" s="654"/>
    </row>
    <row r="413" spans="1:68" ht="14.25" hidden="1" customHeight="1" x14ac:dyDescent="0.25">
      <c r="A413" s="657" t="s">
        <v>676</v>
      </c>
      <c r="B413" s="658"/>
      <c r="C413" s="658"/>
      <c r="D413" s="658"/>
      <c r="E413" s="658"/>
      <c r="F413" s="658"/>
      <c r="G413" s="658"/>
      <c r="H413" s="658"/>
      <c r="I413" s="658"/>
      <c r="J413" s="658"/>
      <c r="K413" s="658"/>
      <c r="L413" s="658"/>
      <c r="M413" s="658"/>
      <c r="N413" s="658"/>
      <c r="O413" s="658"/>
      <c r="P413" s="658"/>
      <c r="Q413" s="658"/>
      <c r="R413" s="658"/>
      <c r="S413" s="658"/>
      <c r="T413" s="658"/>
      <c r="U413" s="658"/>
      <c r="V413" s="658"/>
      <c r="W413" s="658"/>
      <c r="X413" s="658"/>
      <c r="Y413" s="658"/>
      <c r="Z413" s="658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65">
        <v>4680115888678</v>
      </c>
      <c r="E414" s="666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4"/>
      <c r="V414" s="34"/>
      <c r="W414" s="35" t="s">
        <v>67</v>
      </c>
      <c r="X414" s="651">
        <v>57</v>
      </c>
      <c r="Y414" s="652">
        <f>IFERROR(IF(X414="",0,CEILING((X414/$H414),1)*$H414),"")</f>
        <v>57</v>
      </c>
      <c r="Z414" s="36">
        <f>IFERROR(IF(Y414=0,"",ROUNDUP(Y414/H414,0)*0.0045),"")</f>
        <v>8.5499999999999993E-2</v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61.180000000000007</v>
      </c>
      <c r="BN414" s="64">
        <f>IFERROR(Y414*I414/H414,"0")</f>
        <v>61.180000000000007</v>
      </c>
      <c r="BO414" s="64">
        <f>IFERROR(1/J414*(X414/H414),"0")</f>
        <v>8.4821428571428562E-2</v>
      </c>
      <c r="BP414" s="64">
        <f>IFERROR(1/J414*(Y414/H414),"0")</f>
        <v>8.4821428571428562E-2</v>
      </c>
    </row>
    <row r="415" spans="1:68" ht="27" hidden="1" customHeight="1" x14ac:dyDescent="0.25">
      <c r="A415" s="54" t="s">
        <v>680</v>
      </c>
      <c r="B415" s="54" t="s">
        <v>681</v>
      </c>
      <c r="C415" s="31">
        <v>4301220001</v>
      </c>
      <c r="D415" s="665">
        <v>4680115888654</v>
      </c>
      <c r="E415" s="666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65">
        <v>4680115888753</v>
      </c>
      <c r="E416" s="666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4"/>
      <c r="V416" s="34"/>
      <c r="W416" s="35" t="s">
        <v>67</v>
      </c>
      <c r="X416" s="651">
        <v>19</v>
      </c>
      <c r="Y416" s="652">
        <f>IFERROR(IF(X416="",0,CEILING((X416/$H416),1)*$H416),"")</f>
        <v>21</v>
      </c>
      <c r="Z416" s="36">
        <f>IFERROR(IF(Y416=0,"",ROUNDUP(Y416/H416,0)*0.0045),"")</f>
        <v>3.15E-2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20.393333333333334</v>
      </c>
      <c r="BN416" s="64">
        <f>IFERROR(Y416*I416/H416,"0")</f>
        <v>22.540000000000003</v>
      </c>
      <c r="BO416" s="64">
        <f>IFERROR(1/J416*(X416/H416),"0")</f>
        <v>2.8273809523809521E-2</v>
      </c>
      <c r="BP416" s="64">
        <f>IFERROR(1/J416*(Y416/H416),"0")</f>
        <v>3.125E-2</v>
      </c>
    </row>
    <row r="417" spans="1:68" x14ac:dyDescent="0.2">
      <c r="A417" s="692"/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93"/>
      <c r="P417" s="659" t="s">
        <v>72</v>
      </c>
      <c r="Q417" s="660"/>
      <c r="R417" s="660"/>
      <c r="S417" s="660"/>
      <c r="T417" s="660"/>
      <c r="U417" s="660"/>
      <c r="V417" s="661"/>
      <c r="W417" s="37" t="s">
        <v>73</v>
      </c>
      <c r="X417" s="653">
        <f>IFERROR(X414/H414,"0")+IFERROR(X415/H415,"0")+IFERROR(X416/H416,"0")</f>
        <v>25.333333333333332</v>
      </c>
      <c r="Y417" s="653">
        <f>IFERROR(Y414/H414,"0")+IFERROR(Y415/H415,"0")+IFERROR(Y416/H416,"0")</f>
        <v>26</v>
      </c>
      <c r="Z417" s="653">
        <f>IFERROR(IF(Z414="",0,Z414),"0")+IFERROR(IF(Z415="",0,Z415),"0")+IFERROR(IF(Z416="",0,Z416),"0")</f>
        <v>0.11699999999999999</v>
      </c>
      <c r="AA417" s="654"/>
      <c r="AB417" s="654"/>
      <c r="AC417" s="654"/>
    </row>
    <row r="418" spans="1:68" x14ac:dyDescent="0.2">
      <c r="A418" s="658"/>
      <c r="B418" s="658"/>
      <c r="C418" s="658"/>
      <c r="D418" s="658"/>
      <c r="E418" s="658"/>
      <c r="F418" s="658"/>
      <c r="G418" s="658"/>
      <c r="H418" s="658"/>
      <c r="I418" s="658"/>
      <c r="J418" s="658"/>
      <c r="K418" s="658"/>
      <c r="L418" s="658"/>
      <c r="M418" s="658"/>
      <c r="N418" s="658"/>
      <c r="O418" s="693"/>
      <c r="P418" s="659" t="s">
        <v>72</v>
      </c>
      <c r="Q418" s="660"/>
      <c r="R418" s="660"/>
      <c r="S418" s="660"/>
      <c r="T418" s="660"/>
      <c r="U418" s="660"/>
      <c r="V418" s="661"/>
      <c r="W418" s="37" t="s">
        <v>67</v>
      </c>
      <c r="X418" s="653">
        <f>IFERROR(SUM(X414:X416),"0")</f>
        <v>76</v>
      </c>
      <c r="Y418" s="653">
        <f>IFERROR(SUM(Y414:Y416),"0")</f>
        <v>78</v>
      </c>
      <c r="Z418" s="37"/>
      <c r="AA418" s="654"/>
      <c r="AB418" s="654"/>
      <c r="AC418" s="654"/>
    </row>
    <row r="419" spans="1:68" ht="16.5" hidden="1" customHeight="1" x14ac:dyDescent="0.25">
      <c r="A419" s="662" t="s">
        <v>685</v>
      </c>
      <c r="B419" s="658"/>
      <c r="C419" s="658"/>
      <c r="D419" s="658"/>
      <c r="E419" s="658"/>
      <c r="F419" s="658"/>
      <c r="G419" s="658"/>
      <c r="H419" s="658"/>
      <c r="I419" s="658"/>
      <c r="J419" s="658"/>
      <c r="K419" s="658"/>
      <c r="L419" s="658"/>
      <c r="M419" s="658"/>
      <c r="N419" s="658"/>
      <c r="O419" s="658"/>
      <c r="P419" s="658"/>
      <c r="Q419" s="658"/>
      <c r="R419" s="658"/>
      <c r="S419" s="658"/>
      <c r="T419" s="658"/>
      <c r="U419" s="658"/>
      <c r="V419" s="658"/>
      <c r="W419" s="658"/>
      <c r="X419" s="658"/>
      <c r="Y419" s="658"/>
      <c r="Z419" s="658"/>
      <c r="AA419" s="646"/>
      <c r="AB419" s="646"/>
      <c r="AC419" s="646"/>
    </row>
    <row r="420" spans="1:68" ht="14.25" hidden="1" customHeight="1" x14ac:dyDescent="0.25">
      <c r="A420" s="657" t="s">
        <v>74</v>
      </c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8"/>
      <c r="P420" s="658"/>
      <c r="Q420" s="658"/>
      <c r="R420" s="658"/>
      <c r="S420" s="658"/>
      <c r="T420" s="658"/>
      <c r="U420" s="658"/>
      <c r="V420" s="658"/>
      <c r="W420" s="658"/>
      <c r="X420" s="658"/>
      <c r="Y420" s="658"/>
      <c r="Z420" s="658"/>
      <c r="AA420" s="647"/>
      <c r="AB420" s="647"/>
      <c r="AC420" s="647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65">
        <v>4680115889415</v>
      </c>
      <c r="E421" s="666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65">
        <v>4680115889422</v>
      </c>
      <c r="E422" s="666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92"/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93"/>
      <c r="P423" s="659" t="s">
        <v>72</v>
      </c>
      <c r="Q423" s="660"/>
      <c r="R423" s="660"/>
      <c r="S423" s="660"/>
      <c r="T423" s="660"/>
      <c r="U423" s="660"/>
      <c r="V423" s="66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58"/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93"/>
      <c r="P424" s="659" t="s">
        <v>72</v>
      </c>
      <c r="Q424" s="660"/>
      <c r="R424" s="660"/>
      <c r="S424" s="660"/>
      <c r="T424" s="660"/>
      <c r="U424" s="660"/>
      <c r="V424" s="66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62" t="s">
        <v>692</v>
      </c>
      <c r="B425" s="658"/>
      <c r="C425" s="658"/>
      <c r="D425" s="658"/>
      <c r="E425" s="658"/>
      <c r="F425" s="658"/>
      <c r="G425" s="658"/>
      <c r="H425" s="658"/>
      <c r="I425" s="658"/>
      <c r="J425" s="658"/>
      <c r="K425" s="658"/>
      <c r="L425" s="658"/>
      <c r="M425" s="658"/>
      <c r="N425" s="658"/>
      <c r="O425" s="658"/>
      <c r="P425" s="658"/>
      <c r="Q425" s="658"/>
      <c r="R425" s="658"/>
      <c r="S425" s="658"/>
      <c r="T425" s="658"/>
      <c r="U425" s="658"/>
      <c r="V425" s="658"/>
      <c r="W425" s="658"/>
      <c r="X425" s="658"/>
      <c r="Y425" s="658"/>
      <c r="Z425" s="658"/>
      <c r="AA425" s="646"/>
      <c r="AB425" s="646"/>
      <c r="AC425" s="646"/>
    </row>
    <row r="426" spans="1:68" ht="14.25" hidden="1" customHeight="1" x14ac:dyDescent="0.25">
      <c r="A426" s="657" t="s">
        <v>74</v>
      </c>
      <c r="B426" s="658"/>
      <c r="C426" s="658"/>
      <c r="D426" s="658"/>
      <c r="E426" s="658"/>
      <c r="F426" s="658"/>
      <c r="G426" s="658"/>
      <c r="H426" s="658"/>
      <c r="I426" s="658"/>
      <c r="J426" s="658"/>
      <c r="K426" s="658"/>
      <c r="L426" s="658"/>
      <c r="M426" s="658"/>
      <c r="N426" s="658"/>
      <c r="O426" s="658"/>
      <c r="P426" s="658"/>
      <c r="Q426" s="658"/>
      <c r="R426" s="658"/>
      <c r="S426" s="658"/>
      <c r="T426" s="658"/>
      <c r="U426" s="658"/>
      <c r="V426" s="658"/>
      <c r="W426" s="658"/>
      <c r="X426" s="658"/>
      <c r="Y426" s="658"/>
      <c r="Z426" s="658"/>
      <c r="AA426" s="647"/>
      <c r="AB426" s="647"/>
      <c r="AC426" s="647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65">
        <v>4607091387919</v>
      </c>
      <c r="E427" s="666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65">
        <v>4680115883604</v>
      </c>
      <c r="E428" s="666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4"/>
      <c r="V428" s="34"/>
      <c r="W428" s="35" t="s">
        <v>67</v>
      </c>
      <c r="X428" s="651">
        <v>7</v>
      </c>
      <c r="Y428" s="652">
        <f>IFERROR(IF(X428="",0,CEILING((X428/$H428),1)*$H428),"")</f>
        <v>8.4</v>
      </c>
      <c r="Z428" s="36">
        <f>IFERROR(IF(Y428=0,"",ROUNDUP(Y428/H428,0)*0.00651),"")</f>
        <v>2.6040000000000001E-2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7.839999999999999</v>
      </c>
      <c r="BN428" s="64">
        <f>IFERROR(Y428*I428/H428,"0")</f>
        <v>9.4079999999999995</v>
      </c>
      <c r="BO428" s="64">
        <f>IFERROR(1/J428*(X428/H428),"0")</f>
        <v>1.8315018315018316E-2</v>
      </c>
      <c r="BP428" s="64">
        <f>IFERROR(1/J428*(Y428/H428),"0")</f>
        <v>2.197802197802198E-2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65">
        <v>4680115883567</v>
      </c>
      <c r="E429" s="666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4"/>
      <c r="V429" s="34"/>
      <c r="W429" s="35" t="s">
        <v>67</v>
      </c>
      <c r="X429" s="651">
        <v>7</v>
      </c>
      <c r="Y429" s="652">
        <f>IFERROR(IF(X429="",0,CEILING((X429/$H429),1)*$H429),"")</f>
        <v>8.4</v>
      </c>
      <c r="Z429" s="36">
        <f>IFERROR(IF(Y429=0,"",ROUNDUP(Y429/H429,0)*0.00651),"")</f>
        <v>2.6040000000000001E-2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7.7999999999999989</v>
      </c>
      <c r="BN429" s="64">
        <f>IFERROR(Y429*I429/H429,"0")</f>
        <v>9.36</v>
      </c>
      <c r="BO429" s="64">
        <f>IFERROR(1/J429*(X429/H429),"0")</f>
        <v>1.8315018315018316E-2</v>
      </c>
      <c r="BP429" s="64">
        <f>IFERROR(1/J429*(Y429/H429),"0")</f>
        <v>2.197802197802198E-2</v>
      </c>
    </row>
    <row r="430" spans="1:68" x14ac:dyDescent="0.2">
      <c r="A430" s="692"/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93"/>
      <c r="P430" s="659" t="s">
        <v>72</v>
      </c>
      <c r="Q430" s="660"/>
      <c r="R430" s="660"/>
      <c r="S430" s="660"/>
      <c r="T430" s="660"/>
      <c r="U430" s="660"/>
      <c r="V430" s="661"/>
      <c r="W430" s="37" t="s">
        <v>73</v>
      </c>
      <c r="X430" s="653">
        <f>IFERROR(X427/H427,"0")+IFERROR(X428/H428,"0")+IFERROR(X429/H429,"0")</f>
        <v>6.6666666666666661</v>
      </c>
      <c r="Y430" s="653">
        <f>IFERROR(Y427/H427,"0")+IFERROR(Y428/H428,"0")+IFERROR(Y429/H429,"0")</f>
        <v>8</v>
      </c>
      <c r="Z430" s="653">
        <f>IFERROR(IF(Z427="",0,Z427),"0")+IFERROR(IF(Z428="",0,Z428),"0")+IFERROR(IF(Z429="",0,Z429),"0")</f>
        <v>5.2080000000000001E-2</v>
      </c>
      <c r="AA430" s="654"/>
      <c r="AB430" s="654"/>
      <c r="AC430" s="654"/>
    </row>
    <row r="431" spans="1:68" x14ac:dyDescent="0.2">
      <c r="A431" s="658"/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93"/>
      <c r="P431" s="659" t="s">
        <v>72</v>
      </c>
      <c r="Q431" s="660"/>
      <c r="R431" s="660"/>
      <c r="S431" s="660"/>
      <c r="T431" s="660"/>
      <c r="U431" s="660"/>
      <c r="V431" s="661"/>
      <c r="W431" s="37" t="s">
        <v>67</v>
      </c>
      <c r="X431" s="653">
        <f>IFERROR(SUM(X427:X429),"0")</f>
        <v>14</v>
      </c>
      <c r="Y431" s="653">
        <f>IFERROR(SUM(Y427:Y429),"0")</f>
        <v>16.8</v>
      </c>
      <c r="Z431" s="37"/>
      <c r="AA431" s="654"/>
      <c r="AB431" s="654"/>
      <c r="AC431" s="654"/>
    </row>
    <row r="432" spans="1:68" ht="27.75" hidden="1" customHeight="1" x14ac:dyDescent="0.2">
      <c r="A432" s="655" t="s">
        <v>702</v>
      </c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6"/>
      <c r="P432" s="656"/>
      <c r="Q432" s="656"/>
      <c r="R432" s="656"/>
      <c r="S432" s="656"/>
      <c r="T432" s="656"/>
      <c r="U432" s="656"/>
      <c r="V432" s="656"/>
      <c r="W432" s="656"/>
      <c r="X432" s="656"/>
      <c r="Y432" s="656"/>
      <c r="Z432" s="656"/>
      <c r="AA432" s="48"/>
      <c r="AB432" s="48"/>
      <c r="AC432" s="48"/>
    </row>
    <row r="433" spans="1:68" ht="16.5" hidden="1" customHeight="1" x14ac:dyDescent="0.25">
      <c r="A433" s="662" t="s">
        <v>703</v>
      </c>
      <c r="B433" s="658"/>
      <c r="C433" s="658"/>
      <c r="D433" s="658"/>
      <c r="E433" s="658"/>
      <c r="F433" s="658"/>
      <c r="G433" s="658"/>
      <c r="H433" s="658"/>
      <c r="I433" s="658"/>
      <c r="J433" s="658"/>
      <c r="K433" s="658"/>
      <c r="L433" s="658"/>
      <c r="M433" s="658"/>
      <c r="N433" s="658"/>
      <c r="O433" s="658"/>
      <c r="P433" s="658"/>
      <c r="Q433" s="658"/>
      <c r="R433" s="658"/>
      <c r="S433" s="658"/>
      <c r="T433" s="658"/>
      <c r="U433" s="658"/>
      <c r="V433" s="658"/>
      <c r="W433" s="658"/>
      <c r="X433" s="658"/>
      <c r="Y433" s="658"/>
      <c r="Z433" s="658"/>
      <c r="AA433" s="646"/>
      <c r="AB433" s="646"/>
      <c r="AC433" s="646"/>
    </row>
    <row r="434" spans="1:68" ht="14.25" hidden="1" customHeight="1" x14ac:dyDescent="0.25">
      <c r="A434" s="657" t="s">
        <v>111</v>
      </c>
      <c r="B434" s="658"/>
      <c r="C434" s="658"/>
      <c r="D434" s="658"/>
      <c r="E434" s="658"/>
      <c r="F434" s="658"/>
      <c r="G434" s="658"/>
      <c r="H434" s="658"/>
      <c r="I434" s="658"/>
      <c r="J434" s="658"/>
      <c r="K434" s="658"/>
      <c r="L434" s="658"/>
      <c r="M434" s="658"/>
      <c r="N434" s="658"/>
      <c r="O434" s="658"/>
      <c r="P434" s="658"/>
      <c r="Q434" s="658"/>
      <c r="R434" s="658"/>
      <c r="S434" s="658"/>
      <c r="T434" s="658"/>
      <c r="U434" s="658"/>
      <c r="V434" s="658"/>
      <c r="W434" s="658"/>
      <c r="X434" s="658"/>
      <c r="Y434" s="658"/>
      <c r="Z434" s="658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65">
        <v>4680115888401</v>
      </c>
      <c r="E435" s="666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4"/>
      <c r="V435" s="34"/>
      <c r="W435" s="35" t="s">
        <v>67</v>
      </c>
      <c r="X435" s="651">
        <v>31</v>
      </c>
      <c r="Y435" s="652">
        <f t="shared" ref="Y435:Y442" si="65">IFERROR(IF(X435="",0,CEILING((X435/$H435),1)*$H435),"")</f>
        <v>45</v>
      </c>
      <c r="Z435" s="36">
        <f>IFERROR(IF(Y435=0,"",ROUNDUP(Y435/H435,0)*0.02175),"")</f>
        <v>6.5250000000000002E-2</v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31.971333333333334</v>
      </c>
      <c r="BN435" s="64">
        <f t="shared" ref="BN435:BN442" si="67">IFERROR(Y435*I435/H435,"0")</f>
        <v>46.41</v>
      </c>
      <c r="BO435" s="64">
        <f t="shared" ref="BO435:BO442" si="68">IFERROR(1/J435*(X435/H435),"0")</f>
        <v>4.3055555555555555E-2</v>
      </c>
      <c r="BP435" s="64">
        <f t="shared" ref="BP435:BP442" si="69">IFERROR(1/J435*(Y435/H435),"0")</f>
        <v>6.25E-2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65">
        <v>4680115884847</v>
      </c>
      <c r="E436" s="666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4"/>
      <c r="V436" s="34"/>
      <c r="W436" s="35" t="s">
        <v>67</v>
      </c>
      <c r="X436" s="651">
        <v>2404</v>
      </c>
      <c r="Y436" s="652">
        <f t="shared" si="65"/>
        <v>2415</v>
      </c>
      <c r="Z436" s="36">
        <f>IFERROR(IF(Y436=0,"",ROUNDUP(Y436/H436,0)*0.02175),"")</f>
        <v>3.5017499999999999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2479.3253333333337</v>
      </c>
      <c r="BN436" s="64">
        <f t="shared" si="67"/>
        <v>2490.67</v>
      </c>
      <c r="BO436" s="64">
        <f t="shared" si="68"/>
        <v>3.338888888888889</v>
      </c>
      <c r="BP436" s="64">
        <f t="shared" si="69"/>
        <v>3.3541666666666665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65">
        <v>4680115884854</v>
      </c>
      <c r="E437" s="666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4"/>
      <c r="V437" s="34"/>
      <c r="W437" s="35" t="s">
        <v>67</v>
      </c>
      <c r="X437" s="651">
        <v>1938</v>
      </c>
      <c r="Y437" s="652">
        <f t="shared" si="65"/>
        <v>1950</v>
      </c>
      <c r="Z437" s="36">
        <f>IFERROR(IF(Y437=0,"",ROUNDUP(Y437/H437,0)*0.02175),"")</f>
        <v>2.8274999999999997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1998.7239999999999</v>
      </c>
      <c r="BN437" s="64">
        <f t="shared" si="67"/>
        <v>2011.1</v>
      </c>
      <c r="BO437" s="64">
        <f t="shared" si="68"/>
        <v>2.6916666666666664</v>
      </c>
      <c r="BP437" s="64">
        <f t="shared" si="69"/>
        <v>2.708333333333333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65">
        <v>4680115884830</v>
      </c>
      <c r="E438" s="666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4"/>
      <c r="V438" s="34"/>
      <c r="W438" s="35" t="s">
        <v>67</v>
      </c>
      <c r="X438" s="651">
        <v>882</v>
      </c>
      <c r="Y438" s="652">
        <f t="shared" si="65"/>
        <v>885</v>
      </c>
      <c r="Z438" s="36">
        <f>IFERROR(IF(Y438=0,"",ROUNDUP(Y438/H438,0)*0.02175),"")</f>
        <v>1.28325</v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909.63600000000008</v>
      </c>
      <c r="BN438" s="64">
        <f t="shared" si="67"/>
        <v>912.73</v>
      </c>
      <c r="BO438" s="64">
        <f t="shared" si="68"/>
        <v>1.2249999999999999</v>
      </c>
      <c r="BP438" s="64">
        <f t="shared" si="69"/>
        <v>1.2291666666666665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65">
        <v>4680115889231</v>
      </c>
      <c r="E439" s="666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4"/>
      <c r="V439" s="34"/>
      <c r="W439" s="35" t="s">
        <v>67</v>
      </c>
      <c r="X439" s="651">
        <v>2205</v>
      </c>
      <c r="Y439" s="652">
        <f t="shared" si="65"/>
        <v>2205</v>
      </c>
      <c r="Z439" s="36">
        <f>IFERROR(IF(Y439=0,"",ROUNDUP(Y439/H439,0)*0.02175),"")</f>
        <v>3.1972499999999999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2274.0899999999997</v>
      </c>
      <c r="BN439" s="64">
        <f t="shared" si="67"/>
        <v>2274.0899999999997</v>
      </c>
      <c r="BO439" s="64">
        <f t="shared" si="68"/>
        <v>3.0625</v>
      </c>
      <c r="BP439" s="64">
        <f t="shared" si="69"/>
        <v>3.0625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65">
        <v>4680115882638</v>
      </c>
      <c r="E440" s="666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65">
        <v>4680115884922</v>
      </c>
      <c r="E441" s="666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65">
        <v>4680115884861</v>
      </c>
      <c r="E442" s="666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92"/>
      <c r="B443" s="658"/>
      <c r="C443" s="658"/>
      <c r="D443" s="658"/>
      <c r="E443" s="658"/>
      <c r="F443" s="658"/>
      <c r="G443" s="658"/>
      <c r="H443" s="658"/>
      <c r="I443" s="658"/>
      <c r="J443" s="658"/>
      <c r="K443" s="658"/>
      <c r="L443" s="658"/>
      <c r="M443" s="658"/>
      <c r="N443" s="658"/>
      <c r="O443" s="693"/>
      <c r="P443" s="659" t="s">
        <v>72</v>
      </c>
      <c r="Q443" s="660"/>
      <c r="R443" s="660"/>
      <c r="S443" s="660"/>
      <c r="T443" s="660"/>
      <c r="U443" s="660"/>
      <c r="V443" s="66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497.33333333333331</v>
      </c>
      <c r="Y443" s="653">
        <f>IFERROR(Y435/H435,"0")+IFERROR(Y436/H436,"0")+IFERROR(Y437/H437,"0")+IFERROR(Y438/H438,"0")+IFERROR(Y439/H439,"0")+IFERROR(Y440/H440,"0")+IFERROR(Y441/H441,"0")+IFERROR(Y442/H442,"0")</f>
        <v>500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10.874999999999998</v>
      </c>
      <c r="AA443" s="654"/>
      <c r="AB443" s="654"/>
      <c r="AC443" s="654"/>
    </row>
    <row r="444" spans="1:68" x14ac:dyDescent="0.2">
      <c r="A444" s="658"/>
      <c r="B444" s="658"/>
      <c r="C444" s="658"/>
      <c r="D444" s="658"/>
      <c r="E444" s="658"/>
      <c r="F444" s="658"/>
      <c r="G444" s="658"/>
      <c r="H444" s="658"/>
      <c r="I444" s="658"/>
      <c r="J444" s="658"/>
      <c r="K444" s="658"/>
      <c r="L444" s="658"/>
      <c r="M444" s="658"/>
      <c r="N444" s="658"/>
      <c r="O444" s="693"/>
      <c r="P444" s="659" t="s">
        <v>72</v>
      </c>
      <c r="Q444" s="660"/>
      <c r="R444" s="660"/>
      <c r="S444" s="660"/>
      <c r="T444" s="660"/>
      <c r="U444" s="660"/>
      <c r="V444" s="661"/>
      <c r="W444" s="37" t="s">
        <v>67</v>
      </c>
      <c r="X444" s="653">
        <f>IFERROR(SUM(X435:X442),"0")</f>
        <v>7460</v>
      </c>
      <c r="Y444" s="653">
        <f>IFERROR(SUM(Y435:Y442),"0")</f>
        <v>7500</v>
      </c>
      <c r="Z444" s="37"/>
      <c r="AA444" s="654"/>
      <c r="AB444" s="654"/>
      <c r="AC444" s="654"/>
    </row>
    <row r="445" spans="1:68" ht="14.25" hidden="1" customHeight="1" x14ac:dyDescent="0.25">
      <c r="A445" s="657" t="s">
        <v>144</v>
      </c>
      <c r="B445" s="658"/>
      <c r="C445" s="658"/>
      <c r="D445" s="658"/>
      <c r="E445" s="658"/>
      <c r="F445" s="658"/>
      <c r="G445" s="658"/>
      <c r="H445" s="658"/>
      <c r="I445" s="658"/>
      <c r="J445" s="658"/>
      <c r="K445" s="658"/>
      <c r="L445" s="658"/>
      <c r="M445" s="658"/>
      <c r="N445" s="658"/>
      <c r="O445" s="658"/>
      <c r="P445" s="658"/>
      <c r="Q445" s="658"/>
      <c r="R445" s="658"/>
      <c r="S445" s="658"/>
      <c r="T445" s="658"/>
      <c r="U445" s="658"/>
      <c r="V445" s="658"/>
      <c r="W445" s="658"/>
      <c r="X445" s="658"/>
      <c r="Y445" s="658"/>
      <c r="Z445" s="658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65">
        <v>4607091383980</v>
      </c>
      <c r="E446" s="666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4"/>
      <c r="V446" s="34"/>
      <c r="W446" s="35" t="s">
        <v>67</v>
      </c>
      <c r="X446" s="651">
        <v>3151</v>
      </c>
      <c r="Y446" s="652">
        <f>IFERROR(IF(X446="",0,CEILING((X446/$H446),1)*$H446),"")</f>
        <v>3165</v>
      </c>
      <c r="Z446" s="36">
        <f>IFERROR(IF(Y446=0,"",ROUNDUP(Y446/H446,0)*0.02175),"")</f>
        <v>4.5892499999999998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3249.7313333333336</v>
      </c>
      <c r="BN446" s="64">
        <f>IFERROR(Y446*I446/H446,"0")</f>
        <v>3264.17</v>
      </c>
      <c r="BO446" s="64">
        <f>IFERROR(1/J446*(X446/H446),"0")</f>
        <v>4.3763888888888882</v>
      </c>
      <c r="BP446" s="64">
        <f>IFERROR(1/J446*(Y446/H446),"0")</f>
        <v>4.395833333333333</v>
      </c>
    </row>
    <row r="447" spans="1:68" ht="27" hidden="1" customHeight="1" x14ac:dyDescent="0.25">
      <c r="A447" s="54" t="s">
        <v>731</v>
      </c>
      <c r="B447" s="54" t="s">
        <v>732</v>
      </c>
      <c r="C447" s="31">
        <v>4301020355</v>
      </c>
      <c r="D447" s="665">
        <v>4680115888425</v>
      </c>
      <c r="E447" s="666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2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65">
        <v>4607091384178</v>
      </c>
      <c r="E448" s="666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92"/>
      <c r="B449" s="658"/>
      <c r="C449" s="658"/>
      <c r="D449" s="658"/>
      <c r="E449" s="658"/>
      <c r="F449" s="658"/>
      <c r="G449" s="658"/>
      <c r="H449" s="658"/>
      <c r="I449" s="658"/>
      <c r="J449" s="658"/>
      <c r="K449" s="658"/>
      <c r="L449" s="658"/>
      <c r="M449" s="658"/>
      <c r="N449" s="658"/>
      <c r="O449" s="693"/>
      <c r="P449" s="659" t="s">
        <v>72</v>
      </c>
      <c r="Q449" s="660"/>
      <c r="R449" s="660"/>
      <c r="S449" s="660"/>
      <c r="T449" s="660"/>
      <c r="U449" s="660"/>
      <c r="V449" s="661"/>
      <c r="W449" s="37" t="s">
        <v>73</v>
      </c>
      <c r="X449" s="653">
        <f>IFERROR(X446/H446,"0")+IFERROR(X447/H447,"0")+IFERROR(X448/H448,"0")</f>
        <v>210.06666666666666</v>
      </c>
      <c r="Y449" s="653">
        <f>IFERROR(Y446/H446,"0")+IFERROR(Y447/H447,"0")+IFERROR(Y448/H448,"0")</f>
        <v>211</v>
      </c>
      <c r="Z449" s="653">
        <f>IFERROR(IF(Z446="",0,Z446),"0")+IFERROR(IF(Z447="",0,Z447),"0")+IFERROR(IF(Z448="",0,Z448),"0")</f>
        <v>4.5892499999999998</v>
      </c>
      <c r="AA449" s="654"/>
      <c r="AB449" s="654"/>
      <c r="AC449" s="654"/>
    </row>
    <row r="450" spans="1:68" x14ac:dyDescent="0.2">
      <c r="A450" s="658"/>
      <c r="B450" s="658"/>
      <c r="C450" s="658"/>
      <c r="D450" s="658"/>
      <c r="E450" s="658"/>
      <c r="F450" s="658"/>
      <c r="G450" s="658"/>
      <c r="H450" s="658"/>
      <c r="I450" s="658"/>
      <c r="J450" s="658"/>
      <c r="K450" s="658"/>
      <c r="L450" s="658"/>
      <c r="M450" s="658"/>
      <c r="N450" s="658"/>
      <c r="O450" s="693"/>
      <c r="P450" s="659" t="s">
        <v>72</v>
      </c>
      <c r="Q450" s="660"/>
      <c r="R450" s="660"/>
      <c r="S450" s="660"/>
      <c r="T450" s="660"/>
      <c r="U450" s="660"/>
      <c r="V450" s="661"/>
      <c r="W450" s="37" t="s">
        <v>67</v>
      </c>
      <c r="X450" s="653">
        <f>IFERROR(SUM(X446:X448),"0")</f>
        <v>3151</v>
      </c>
      <c r="Y450" s="653">
        <f>IFERROR(SUM(Y446:Y448),"0")</f>
        <v>3165</v>
      </c>
      <c r="Z450" s="37"/>
      <c r="AA450" s="654"/>
      <c r="AB450" s="654"/>
      <c r="AC450" s="654"/>
    </row>
    <row r="451" spans="1:68" ht="14.25" hidden="1" customHeight="1" x14ac:dyDescent="0.25">
      <c r="A451" s="657" t="s">
        <v>74</v>
      </c>
      <c r="B451" s="658"/>
      <c r="C451" s="658"/>
      <c r="D451" s="658"/>
      <c r="E451" s="658"/>
      <c r="F451" s="658"/>
      <c r="G451" s="658"/>
      <c r="H451" s="658"/>
      <c r="I451" s="658"/>
      <c r="J451" s="658"/>
      <c r="K451" s="658"/>
      <c r="L451" s="658"/>
      <c r="M451" s="658"/>
      <c r="N451" s="658"/>
      <c r="O451" s="658"/>
      <c r="P451" s="658"/>
      <c r="Q451" s="658"/>
      <c r="R451" s="658"/>
      <c r="S451" s="658"/>
      <c r="T451" s="658"/>
      <c r="U451" s="658"/>
      <c r="V451" s="658"/>
      <c r="W451" s="658"/>
      <c r="X451" s="658"/>
      <c r="Y451" s="658"/>
      <c r="Z451" s="658"/>
      <c r="AA451" s="647"/>
      <c r="AB451" s="647"/>
      <c r="AC451" s="647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65">
        <v>4607091383928</v>
      </c>
      <c r="E452" s="666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740</v>
      </c>
      <c r="B453" s="54" t="s">
        <v>741</v>
      </c>
      <c r="C453" s="31">
        <v>4301051897</v>
      </c>
      <c r="D453" s="665">
        <v>4607091384260</v>
      </c>
      <c r="E453" s="666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65">
        <v>4680115889538</v>
      </c>
      <c r="E454" s="666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8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92"/>
      <c r="B455" s="658"/>
      <c r="C455" s="658"/>
      <c r="D455" s="658"/>
      <c r="E455" s="658"/>
      <c r="F455" s="658"/>
      <c r="G455" s="658"/>
      <c r="H455" s="658"/>
      <c r="I455" s="658"/>
      <c r="J455" s="658"/>
      <c r="K455" s="658"/>
      <c r="L455" s="658"/>
      <c r="M455" s="658"/>
      <c r="N455" s="658"/>
      <c r="O455" s="693"/>
      <c r="P455" s="659" t="s">
        <v>72</v>
      </c>
      <c r="Q455" s="660"/>
      <c r="R455" s="660"/>
      <c r="S455" s="660"/>
      <c r="T455" s="660"/>
      <c r="U455" s="660"/>
      <c r="V455" s="66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hidden="1" x14ac:dyDescent="0.2">
      <c r="A456" s="658"/>
      <c r="B456" s="658"/>
      <c r="C456" s="658"/>
      <c r="D456" s="658"/>
      <c r="E456" s="658"/>
      <c r="F456" s="658"/>
      <c r="G456" s="658"/>
      <c r="H456" s="658"/>
      <c r="I456" s="658"/>
      <c r="J456" s="658"/>
      <c r="K456" s="658"/>
      <c r="L456" s="658"/>
      <c r="M456" s="658"/>
      <c r="N456" s="658"/>
      <c r="O456" s="693"/>
      <c r="P456" s="659" t="s">
        <v>72</v>
      </c>
      <c r="Q456" s="660"/>
      <c r="R456" s="660"/>
      <c r="S456" s="660"/>
      <c r="T456" s="660"/>
      <c r="U456" s="660"/>
      <c r="V456" s="66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hidden="1" customHeight="1" x14ac:dyDescent="0.25">
      <c r="A457" s="657" t="s">
        <v>162</v>
      </c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8"/>
      <c r="P457" s="658"/>
      <c r="Q457" s="658"/>
      <c r="R457" s="658"/>
      <c r="S457" s="658"/>
      <c r="T457" s="658"/>
      <c r="U457" s="658"/>
      <c r="V457" s="658"/>
      <c r="W457" s="658"/>
      <c r="X457" s="658"/>
      <c r="Y457" s="658"/>
      <c r="Z457" s="658"/>
      <c r="AA457" s="647"/>
      <c r="AB457" s="647"/>
      <c r="AC457" s="647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65">
        <v>4680115889545</v>
      </c>
      <c r="E458" s="666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3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65">
        <v>4607091384673</v>
      </c>
      <c r="E459" s="666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4"/>
      <c r="V459" s="34"/>
      <c r="W459" s="35" t="s">
        <v>67</v>
      </c>
      <c r="X459" s="651">
        <v>50</v>
      </c>
      <c r="Y459" s="652">
        <f>IFERROR(IF(X459="",0,CEILING((X459/$H459),1)*$H459),"")</f>
        <v>54</v>
      </c>
      <c r="Z459" s="36">
        <f>IFERROR(IF(Y459=0,"",ROUNDUP(Y459/H459,0)*0.01898),"")</f>
        <v>0.11388000000000001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52.74444444444444</v>
      </c>
      <c r="BN459" s="64">
        <f>IFERROR(Y459*I459/H459,"0")</f>
        <v>56.963999999999992</v>
      </c>
      <c r="BO459" s="64">
        <f>IFERROR(1/J459*(X459/H459),"0")</f>
        <v>8.6805555555555552E-2</v>
      </c>
      <c r="BP459" s="64">
        <f>IFERROR(1/J459*(Y459/H459),"0")</f>
        <v>9.375E-2</v>
      </c>
    </row>
    <row r="460" spans="1:68" x14ac:dyDescent="0.2">
      <c r="A460" s="692"/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93"/>
      <c r="P460" s="659" t="s">
        <v>72</v>
      </c>
      <c r="Q460" s="660"/>
      <c r="R460" s="660"/>
      <c r="S460" s="660"/>
      <c r="T460" s="660"/>
      <c r="U460" s="660"/>
      <c r="V460" s="661"/>
      <c r="W460" s="37" t="s">
        <v>73</v>
      </c>
      <c r="X460" s="653">
        <f>IFERROR(X458/H458,"0")+IFERROR(X459/H459,"0")</f>
        <v>5.5555555555555554</v>
      </c>
      <c r="Y460" s="653">
        <f>IFERROR(Y458/H458,"0")+IFERROR(Y459/H459,"0")</f>
        <v>6</v>
      </c>
      <c r="Z460" s="653">
        <f>IFERROR(IF(Z458="",0,Z458),"0")+IFERROR(IF(Z459="",0,Z459),"0")</f>
        <v>0.11388000000000001</v>
      </c>
      <c r="AA460" s="654"/>
      <c r="AB460" s="654"/>
      <c r="AC460" s="654"/>
    </row>
    <row r="461" spans="1:68" x14ac:dyDescent="0.2">
      <c r="A461" s="658"/>
      <c r="B461" s="658"/>
      <c r="C461" s="658"/>
      <c r="D461" s="658"/>
      <c r="E461" s="658"/>
      <c r="F461" s="658"/>
      <c r="G461" s="658"/>
      <c r="H461" s="658"/>
      <c r="I461" s="658"/>
      <c r="J461" s="658"/>
      <c r="K461" s="658"/>
      <c r="L461" s="658"/>
      <c r="M461" s="658"/>
      <c r="N461" s="658"/>
      <c r="O461" s="693"/>
      <c r="P461" s="659" t="s">
        <v>72</v>
      </c>
      <c r="Q461" s="660"/>
      <c r="R461" s="660"/>
      <c r="S461" s="660"/>
      <c r="T461" s="660"/>
      <c r="U461" s="660"/>
      <c r="V461" s="661"/>
      <c r="W461" s="37" t="s">
        <v>67</v>
      </c>
      <c r="X461" s="653">
        <f>IFERROR(SUM(X458:X459),"0")</f>
        <v>50</v>
      </c>
      <c r="Y461" s="653">
        <f>IFERROR(SUM(Y458:Y459),"0")</f>
        <v>54</v>
      </c>
      <c r="Z461" s="37"/>
      <c r="AA461" s="654"/>
      <c r="AB461" s="654"/>
      <c r="AC461" s="654"/>
    </row>
    <row r="462" spans="1:68" ht="16.5" hidden="1" customHeight="1" x14ac:dyDescent="0.25">
      <c r="A462" s="662" t="s">
        <v>752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46"/>
      <c r="AB462" s="646"/>
      <c r="AC462" s="646"/>
    </row>
    <row r="463" spans="1:68" ht="14.25" hidden="1" customHeight="1" x14ac:dyDescent="0.25">
      <c r="A463" s="657" t="s">
        <v>111</v>
      </c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8"/>
      <c r="P463" s="658"/>
      <c r="Q463" s="658"/>
      <c r="R463" s="658"/>
      <c r="S463" s="658"/>
      <c r="T463" s="658"/>
      <c r="U463" s="658"/>
      <c r="V463" s="658"/>
      <c r="W463" s="658"/>
      <c r="X463" s="658"/>
      <c r="Y463" s="658"/>
      <c r="Z463" s="658"/>
      <c r="AA463" s="647"/>
      <c r="AB463" s="647"/>
      <c r="AC463" s="647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65">
        <v>4680115884885</v>
      </c>
      <c r="E464" s="666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65">
        <v>4680115884908</v>
      </c>
      <c r="E465" s="666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2"/>
      <c r="B466" s="658"/>
      <c r="C466" s="658"/>
      <c r="D466" s="658"/>
      <c r="E466" s="658"/>
      <c r="F466" s="658"/>
      <c r="G466" s="658"/>
      <c r="H466" s="658"/>
      <c r="I466" s="658"/>
      <c r="J466" s="658"/>
      <c r="K466" s="658"/>
      <c r="L466" s="658"/>
      <c r="M466" s="658"/>
      <c r="N466" s="658"/>
      <c r="O466" s="693"/>
      <c r="P466" s="659" t="s">
        <v>72</v>
      </c>
      <c r="Q466" s="660"/>
      <c r="R466" s="660"/>
      <c r="S466" s="660"/>
      <c r="T466" s="660"/>
      <c r="U466" s="660"/>
      <c r="V466" s="66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58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93"/>
      <c r="P467" s="659" t="s">
        <v>72</v>
      </c>
      <c r="Q467" s="660"/>
      <c r="R467" s="660"/>
      <c r="S467" s="660"/>
      <c r="T467" s="660"/>
      <c r="U467" s="660"/>
      <c r="V467" s="66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57" t="s">
        <v>62</v>
      </c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8"/>
      <c r="P468" s="658"/>
      <c r="Q468" s="658"/>
      <c r="R468" s="658"/>
      <c r="S468" s="658"/>
      <c r="T468" s="658"/>
      <c r="U468" s="658"/>
      <c r="V468" s="658"/>
      <c r="W468" s="658"/>
      <c r="X468" s="658"/>
      <c r="Y468" s="658"/>
      <c r="Z468" s="658"/>
      <c r="AA468" s="647"/>
      <c r="AB468" s="647"/>
      <c r="AC468" s="647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65">
        <v>4607091384802</v>
      </c>
      <c r="E469" s="666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92"/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93"/>
      <c r="P470" s="659" t="s">
        <v>72</v>
      </c>
      <c r="Q470" s="660"/>
      <c r="R470" s="660"/>
      <c r="S470" s="660"/>
      <c r="T470" s="660"/>
      <c r="U470" s="660"/>
      <c r="V470" s="66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58"/>
      <c r="B471" s="658"/>
      <c r="C471" s="658"/>
      <c r="D471" s="658"/>
      <c r="E471" s="658"/>
      <c r="F471" s="658"/>
      <c r="G471" s="658"/>
      <c r="H471" s="658"/>
      <c r="I471" s="658"/>
      <c r="J471" s="658"/>
      <c r="K471" s="658"/>
      <c r="L471" s="658"/>
      <c r="M471" s="658"/>
      <c r="N471" s="658"/>
      <c r="O471" s="693"/>
      <c r="P471" s="659" t="s">
        <v>72</v>
      </c>
      <c r="Q471" s="660"/>
      <c r="R471" s="660"/>
      <c r="S471" s="660"/>
      <c r="T471" s="660"/>
      <c r="U471" s="660"/>
      <c r="V471" s="66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57" t="s">
        <v>74</v>
      </c>
      <c r="B472" s="658"/>
      <c r="C472" s="658"/>
      <c r="D472" s="658"/>
      <c r="E472" s="658"/>
      <c r="F472" s="658"/>
      <c r="G472" s="658"/>
      <c r="H472" s="658"/>
      <c r="I472" s="658"/>
      <c r="J472" s="658"/>
      <c r="K472" s="658"/>
      <c r="L472" s="658"/>
      <c r="M472" s="658"/>
      <c r="N472" s="658"/>
      <c r="O472" s="658"/>
      <c r="P472" s="658"/>
      <c r="Q472" s="658"/>
      <c r="R472" s="658"/>
      <c r="S472" s="658"/>
      <c r="T472" s="658"/>
      <c r="U472" s="658"/>
      <c r="V472" s="658"/>
      <c r="W472" s="658"/>
      <c r="X472" s="658"/>
      <c r="Y472" s="658"/>
      <c r="Z472" s="658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65">
        <v>4607091384246</v>
      </c>
      <c r="E473" s="666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4"/>
      <c r="V473" s="34"/>
      <c r="W473" s="35" t="s">
        <v>67</v>
      </c>
      <c r="X473" s="651">
        <v>700</v>
      </c>
      <c r="Y473" s="652">
        <f>IFERROR(IF(X473="",0,CEILING((X473/$H473),1)*$H473),"")</f>
        <v>702</v>
      </c>
      <c r="Z473" s="36">
        <f>IFERROR(IF(Y473=0,"",ROUNDUP(Y473/H473,0)*0.01898),"")</f>
        <v>1.48044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738.42222222222222</v>
      </c>
      <c r="BN473" s="64">
        <f>IFERROR(Y473*I473/H473,"0")</f>
        <v>740.53199999999993</v>
      </c>
      <c r="BO473" s="64">
        <f>IFERROR(1/J473*(X473/H473),"0")</f>
        <v>1.2152777777777777</v>
      </c>
      <c r="BP473" s="64">
        <f>IFERROR(1/J473*(Y473/H473),"0")</f>
        <v>1.21875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65">
        <v>4607091384253</v>
      </c>
      <c r="E474" s="666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4"/>
      <c r="V474" s="34"/>
      <c r="W474" s="35" t="s">
        <v>67</v>
      </c>
      <c r="X474" s="651">
        <v>16</v>
      </c>
      <c r="Y474" s="652">
        <f>IFERROR(IF(X474="",0,CEILING((X474/$H474),1)*$H474),"")</f>
        <v>16.8</v>
      </c>
      <c r="Z474" s="36">
        <f>IFERROR(IF(Y474=0,"",ROUNDUP(Y474/H474,0)*0.00651),"")</f>
        <v>4.5569999999999999E-2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17.760000000000002</v>
      </c>
      <c r="BN474" s="64">
        <f>IFERROR(Y474*I474/H474,"0")</f>
        <v>18.648000000000003</v>
      </c>
      <c r="BO474" s="64">
        <f>IFERROR(1/J474*(X474/H474),"0")</f>
        <v>3.6630036630036632E-2</v>
      </c>
      <c r="BP474" s="64">
        <f>IFERROR(1/J474*(Y474/H474),"0")</f>
        <v>3.8461538461538471E-2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65">
        <v>4607091384253</v>
      </c>
      <c r="E475" s="666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92"/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93"/>
      <c r="P476" s="659" t="s">
        <v>72</v>
      </c>
      <c r="Q476" s="660"/>
      <c r="R476" s="660"/>
      <c r="S476" s="660"/>
      <c r="T476" s="660"/>
      <c r="U476" s="660"/>
      <c r="V476" s="661"/>
      <c r="W476" s="37" t="s">
        <v>73</v>
      </c>
      <c r="X476" s="653">
        <f>IFERROR(X473/H473,"0")+IFERROR(X474/H474,"0")+IFERROR(X475/H475,"0")</f>
        <v>84.444444444444443</v>
      </c>
      <c r="Y476" s="653">
        <f>IFERROR(Y473/H473,"0")+IFERROR(Y474/H474,"0")+IFERROR(Y475/H475,"0")</f>
        <v>85</v>
      </c>
      <c r="Z476" s="653">
        <f>IFERROR(IF(Z473="",0,Z473),"0")+IFERROR(IF(Z474="",0,Z474),"0")+IFERROR(IF(Z475="",0,Z475),"0")</f>
        <v>1.5260099999999999</v>
      </c>
      <c r="AA476" s="654"/>
      <c r="AB476" s="654"/>
      <c r="AC476" s="654"/>
    </row>
    <row r="477" spans="1:68" x14ac:dyDescent="0.2">
      <c r="A477" s="658"/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93"/>
      <c r="P477" s="659" t="s">
        <v>72</v>
      </c>
      <c r="Q477" s="660"/>
      <c r="R477" s="660"/>
      <c r="S477" s="660"/>
      <c r="T477" s="660"/>
      <c r="U477" s="660"/>
      <c r="V477" s="661"/>
      <c r="W477" s="37" t="s">
        <v>67</v>
      </c>
      <c r="X477" s="653">
        <f>IFERROR(SUM(X473:X475),"0")</f>
        <v>716</v>
      </c>
      <c r="Y477" s="653">
        <f>IFERROR(SUM(Y473:Y475),"0")</f>
        <v>718.8</v>
      </c>
      <c r="Z477" s="37"/>
      <c r="AA477" s="654"/>
      <c r="AB477" s="654"/>
      <c r="AC477" s="654"/>
    </row>
    <row r="478" spans="1:68" ht="27.75" hidden="1" customHeight="1" x14ac:dyDescent="0.2">
      <c r="A478" s="655" t="s">
        <v>768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48"/>
      <c r="AB478" s="48"/>
      <c r="AC478" s="48"/>
    </row>
    <row r="479" spans="1:68" ht="16.5" hidden="1" customHeight="1" x14ac:dyDescent="0.25">
      <c r="A479" s="662" t="s">
        <v>769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46"/>
      <c r="AB479" s="646"/>
      <c r="AC479" s="646"/>
    </row>
    <row r="480" spans="1:68" ht="14.25" hidden="1" customHeight="1" x14ac:dyDescent="0.25">
      <c r="A480" s="657" t="s">
        <v>62</v>
      </c>
      <c r="B480" s="658"/>
      <c r="C480" s="658"/>
      <c r="D480" s="658"/>
      <c r="E480" s="658"/>
      <c r="F480" s="658"/>
      <c r="G480" s="658"/>
      <c r="H480" s="658"/>
      <c r="I480" s="658"/>
      <c r="J480" s="658"/>
      <c r="K480" s="658"/>
      <c r="L480" s="658"/>
      <c r="M480" s="658"/>
      <c r="N480" s="658"/>
      <c r="O480" s="658"/>
      <c r="P480" s="658"/>
      <c r="Q480" s="658"/>
      <c r="R480" s="658"/>
      <c r="S480" s="658"/>
      <c r="T480" s="658"/>
      <c r="U480" s="658"/>
      <c r="V480" s="658"/>
      <c r="W480" s="658"/>
      <c r="X480" s="658"/>
      <c r="Y480" s="658"/>
      <c r="Z480" s="658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65">
        <v>4680115886100</v>
      </c>
      <c r="E481" s="666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4"/>
      <c r="V481" s="34"/>
      <c r="W481" s="35" t="s">
        <v>67</v>
      </c>
      <c r="X481" s="651">
        <v>100</v>
      </c>
      <c r="Y481" s="652">
        <f t="shared" ref="Y481:Y486" si="70">IFERROR(IF(X481="",0,CEILING((X481/$H481),1)*$H481),"")</f>
        <v>102.60000000000001</v>
      </c>
      <c r="Z481" s="36">
        <f>IFERROR(IF(Y481=0,"",ROUNDUP(Y481/H481,0)*0.00902),"")</f>
        <v>0.17138</v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103.5185185185185</v>
      </c>
      <c r="BN481" s="64">
        <f t="shared" ref="BN481:BN486" si="72">IFERROR(Y481*I481/H481,"0")</f>
        <v>106.21</v>
      </c>
      <c r="BO481" s="64">
        <f t="shared" ref="BO481:BO486" si="73">IFERROR(1/J481*(X481/H481),"0")</f>
        <v>0.14029180695847362</v>
      </c>
      <c r="BP481" s="64">
        <f t="shared" ref="BP481:BP486" si="74">IFERROR(1/J481*(Y481/H481),"0")</f>
        <v>0.14393939393939395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65">
        <v>4680115886124</v>
      </c>
      <c r="E482" s="666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65">
        <v>4607091384338</v>
      </c>
      <c r="E483" s="666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65">
        <v>4680115883161</v>
      </c>
      <c r="E484" s="666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65">
        <v>4607091389531</v>
      </c>
      <c r="E485" s="666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65">
        <v>4607091384345</v>
      </c>
      <c r="E486" s="666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92"/>
      <c r="B487" s="658"/>
      <c r="C487" s="658"/>
      <c r="D487" s="658"/>
      <c r="E487" s="658"/>
      <c r="F487" s="658"/>
      <c r="G487" s="658"/>
      <c r="H487" s="658"/>
      <c r="I487" s="658"/>
      <c r="J487" s="658"/>
      <c r="K487" s="658"/>
      <c r="L487" s="658"/>
      <c r="M487" s="658"/>
      <c r="N487" s="658"/>
      <c r="O487" s="693"/>
      <c r="P487" s="659" t="s">
        <v>72</v>
      </c>
      <c r="Q487" s="660"/>
      <c r="R487" s="660"/>
      <c r="S487" s="660"/>
      <c r="T487" s="660"/>
      <c r="U487" s="660"/>
      <c r="V487" s="661"/>
      <c r="W487" s="37" t="s">
        <v>73</v>
      </c>
      <c r="X487" s="653">
        <f>IFERROR(X481/H481,"0")+IFERROR(X482/H482,"0")+IFERROR(X483/H483,"0")+IFERROR(X484/H484,"0")+IFERROR(X485/H485,"0")+IFERROR(X486/H486,"0")</f>
        <v>18.518518518518519</v>
      </c>
      <c r="Y487" s="653">
        <f>IFERROR(Y481/H481,"0")+IFERROR(Y482/H482,"0")+IFERROR(Y483/H483,"0")+IFERROR(Y484/H484,"0")+IFERROR(Y485/H485,"0")+IFERROR(Y486/H486,"0")</f>
        <v>19</v>
      </c>
      <c r="Z487" s="653">
        <f>IFERROR(IF(Z481="",0,Z481),"0")+IFERROR(IF(Z482="",0,Z482),"0")+IFERROR(IF(Z483="",0,Z483),"0")+IFERROR(IF(Z484="",0,Z484),"0")+IFERROR(IF(Z485="",0,Z485),"0")+IFERROR(IF(Z486="",0,Z486),"0")</f>
        <v>0.17138</v>
      </c>
      <c r="AA487" s="654"/>
      <c r="AB487" s="654"/>
      <c r="AC487" s="654"/>
    </row>
    <row r="488" spans="1:68" x14ac:dyDescent="0.2">
      <c r="A488" s="658"/>
      <c r="B488" s="658"/>
      <c r="C488" s="658"/>
      <c r="D488" s="658"/>
      <c r="E488" s="658"/>
      <c r="F488" s="658"/>
      <c r="G488" s="658"/>
      <c r="H488" s="658"/>
      <c r="I488" s="658"/>
      <c r="J488" s="658"/>
      <c r="K488" s="658"/>
      <c r="L488" s="658"/>
      <c r="M488" s="658"/>
      <c r="N488" s="658"/>
      <c r="O488" s="693"/>
      <c r="P488" s="659" t="s">
        <v>72</v>
      </c>
      <c r="Q488" s="660"/>
      <c r="R488" s="660"/>
      <c r="S488" s="660"/>
      <c r="T488" s="660"/>
      <c r="U488" s="660"/>
      <c r="V488" s="661"/>
      <c r="W488" s="37" t="s">
        <v>67</v>
      </c>
      <c r="X488" s="653">
        <f>IFERROR(SUM(X481:X486),"0")</f>
        <v>100</v>
      </c>
      <c r="Y488" s="653">
        <f>IFERROR(SUM(Y481:Y486),"0")</f>
        <v>102.60000000000001</v>
      </c>
      <c r="Z488" s="37"/>
      <c r="AA488" s="654"/>
      <c r="AB488" s="654"/>
      <c r="AC488" s="654"/>
    </row>
    <row r="489" spans="1:68" ht="14.25" hidden="1" customHeight="1" x14ac:dyDescent="0.25">
      <c r="A489" s="657" t="s">
        <v>74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47"/>
      <c r="AB489" s="647"/>
      <c r="AC489" s="647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65">
        <v>4607091384352</v>
      </c>
      <c r="E490" s="666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65">
        <v>4607091389654</v>
      </c>
      <c r="E491" s="666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92"/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93"/>
      <c r="P492" s="659" t="s">
        <v>72</v>
      </c>
      <c r="Q492" s="660"/>
      <c r="R492" s="660"/>
      <c r="S492" s="660"/>
      <c r="T492" s="660"/>
      <c r="U492" s="660"/>
      <c r="V492" s="66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58"/>
      <c r="B493" s="658"/>
      <c r="C493" s="658"/>
      <c r="D493" s="658"/>
      <c r="E493" s="658"/>
      <c r="F493" s="658"/>
      <c r="G493" s="658"/>
      <c r="H493" s="658"/>
      <c r="I493" s="658"/>
      <c r="J493" s="658"/>
      <c r="K493" s="658"/>
      <c r="L493" s="658"/>
      <c r="M493" s="658"/>
      <c r="N493" s="658"/>
      <c r="O493" s="693"/>
      <c r="P493" s="659" t="s">
        <v>72</v>
      </c>
      <c r="Q493" s="660"/>
      <c r="R493" s="660"/>
      <c r="S493" s="660"/>
      <c r="T493" s="660"/>
      <c r="U493" s="660"/>
      <c r="V493" s="66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62" t="s">
        <v>792</v>
      </c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8"/>
      <c r="P494" s="658"/>
      <c r="Q494" s="658"/>
      <c r="R494" s="658"/>
      <c r="S494" s="658"/>
      <c r="T494" s="658"/>
      <c r="U494" s="658"/>
      <c r="V494" s="658"/>
      <c r="W494" s="658"/>
      <c r="X494" s="658"/>
      <c r="Y494" s="658"/>
      <c r="Z494" s="658"/>
      <c r="AA494" s="646"/>
      <c r="AB494" s="646"/>
      <c r="AC494" s="646"/>
    </row>
    <row r="495" spans="1:68" ht="14.25" hidden="1" customHeight="1" x14ac:dyDescent="0.25">
      <c r="A495" s="657" t="s">
        <v>144</v>
      </c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8"/>
      <c r="P495" s="658"/>
      <c r="Q495" s="658"/>
      <c r="R495" s="658"/>
      <c r="S495" s="658"/>
      <c r="T495" s="658"/>
      <c r="U495" s="658"/>
      <c r="V495" s="658"/>
      <c r="W495" s="658"/>
      <c r="X495" s="658"/>
      <c r="Y495" s="658"/>
      <c r="Z495" s="658"/>
      <c r="AA495" s="647"/>
      <c r="AB495" s="647"/>
      <c r="AC495" s="647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65">
        <v>4680115885240</v>
      </c>
      <c r="E496" s="666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3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92"/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93"/>
      <c r="P497" s="659" t="s">
        <v>72</v>
      </c>
      <c r="Q497" s="660"/>
      <c r="R497" s="660"/>
      <c r="S497" s="660"/>
      <c r="T497" s="660"/>
      <c r="U497" s="660"/>
      <c r="V497" s="66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58"/>
      <c r="B498" s="658"/>
      <c r="C498" s="658"/>
      <c r="D498" s="658"/>
      <c r="E498" s="658"/>
      <c r="F498" s="658"/>
      <c r="G498" s="658"/>
      <c r="H498" s="658"/>
      <c r="I498" s="658"/>
      <c r="J498" s="658"/>
      <c r="K498" s="658"/>
      <c r="L498" s="658"/>
      <c r="M498" s="658"/>
      <c r="N498" s="658"/>
      <c r="O498" s="693"/>
      <c r="P498" s="659" t="s">
        <v>72</v>
      </c>
      <c r="Q498" s="660"/>
      <c r="R498" s="660"/>
      <c r="S498" s="660"/>
      <c r="T498" s="660"/>
      <c r="U498" s="660"/>
      <c r="V498" s="66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57" t="s">
        <v>62</v>
      </c>
      <c r="B499" s="658"/>
      <c r="C499" s="658"/>
      <c r="D499" s="658"/>
      <c r="E499" s="658"/>
      <c r="F499" s="658"/>
      <c r="G499" s="658"/>
      <c r="H499" s="658"/>
      <c r="I499" s="658"/>
      <c r="J499" s="658"/>
      <c r="K499" s="658"/>
      <c r="L499" s="658"/>
      <c r="M499" s="658"/>
      <c r="N499" s="658"/>
      <c r="O499" s="658"/>
      <c r="P499" s="658"/>
      <c r="Q499" s="658"/>
      <c r="R499" s="658"/>
      <c r="S499" s="658"/>
      <c r="T499" s="658"/>
      <c r="U499" s="658"/>
      <c r="V499" s="658"/>
      <c r="W499" s="658"/>
      <c r="X499" s="658"/>
      <c r="Y499" s="658"/>
      <c r="Z499" s="658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65">
        <v>4680115886094</v>
      </c>
      <c r="E500" s="666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4"/>
      <c r="V500" s="34"/>
      <c r="W500" s="35" t="s">
        <v>67</v>
      </c>
      <c r="X500" s="651">
        <v>20</v>
      </c>
      <c r="Y500" s="652">
        <f>IFERROR(IF(X500="",0,CEILING((X500/$H500),1)*$H500),"")</f>
        <v>21.6</v>
      </c>
      <c r="Z500" s="36">
        <f>IFERROR(IF(Y500=0,"",ROUNDUP(Y500/H500,0)*0.00902),"")</f>
        <v>3.6080000000000001E-2</v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20.703703703703702</v>
      </c>
      <c r="BN500" s="64">
        <f>IFERROR(Y500*I500/H500,"0")</f>
        <v>22.36</v>
      </c>
      <c r="BO500" s="64">
        <f>IFERROR(1/J500*(X500/H500),"0")</f>
        <v>2.8058361391694722E-2</v>
      </c>
      <c r="BP500" s="64">
        <f>IFERROR(1/J500*(Y500/H500),"0")</f>
        <v>3.0303030303030304E-2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65">
        <v>4680115880771</v>
      </c>
      <c r="E501" s="666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65">
        <v>4607091389500</v>
      </c>
      <c r="E502" s="666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92"/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93"/>
      <c r="P503" s="659" t="s">
        <v>72</v>
      </c>
      <c r="Q503" s="660"/>
      <c r="R503" s="660"/>
      <c r="S503" s="660"/>
      <c r="T503" s="660"/>
      <c r="U503" s="660"/>
      <c r="V503" s="661"/>
      <c r="W503" s="37" t="s">
        <v>73</v>
      </c>
      <c r="X503" s="653">
        <f>IFERROR(X500/H500,"0")+IFERROR(X501/H501,"0")+IFERROR(X502/H502,"0")</f>
        <v>3.7037037037037033</v>
      </c>
      <c r="Y503" s="653">
        <f>IFERROR(Y500/H500,"0")+IFERROR(Y501/H501,"0")+IFERROR(Y502/H502,"0")</f>
        <v>4</v>
      </c>
      <c r="Z503" s="653">
        <f>IFERROR(IF(Z500="",0,Z500),"0")+IFERROR(IF(Z501="",0,Z501),"0")+IFERROR(IF(Z502="",0,Z502),"0")</f>
        <v>3.6080000000000001E-2</v>
      </c>
      <c r="AA503" s="654"/>
      <c r="AB503" s="654"/>
      <c r="AC503" s="654"/>
    </row>
    <row r="504" spans="1:68" x14ac:dyDescent="0.2">
      <c r="A504" s="658"/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93"/>
      <c r="P504" s="659" t="s">
        <v>72</v>
      </c>
      <c r="Q504" s="660"/>
      <c r="R504" s="660"/>
      <c r="S504" s="660"/>
      <c r="T504" s="660"/>
      <c r="U504" s="660"/>
      <c r="V504" s="661"/>
      <c r="W504" s="37" t="s">
        <v>67</v>
      </c>
      <c r="X504" s="653">
        <f>IFERROR(SUM(X500:X502),"0")</f>
        <v>20</v>
      </c>
      <c r="Y504" s="653">
        <f>IFERROR(SUM(Y500:Y502),"0")</f>
        <v>21.6</v>
      </c>
      <c r="Z504" s="37"/>
      <c r="AA504" s="654"/>
      <c r="AB504" s="654"/>
      <c r="AC504" s="654"/>
    </row>
    <row r="505" spans="1:68" ht="27.75" hidden="1" customHeight="1" x14ac:dyDescent="0.2">
      <c r="A505" s="655" t="s">
        <v>804</v>
      </c>
      <c r="B505" s="656"/>
      <c r="C505" s="656"/>
      <c r="D505" s="656"/>
      <c r="E505" s="656"/>
      <c r="F505" s="656"/>
      <c r="G505" s="656"/>
      <c r="H505" s="656"/>
      <c r="I505" s="656"/>
      <c r="J505" s="656"/>
      <c r="K505" s="656"/>
      <c r="L505" s="656"/>
      <c r="M505" s="656"/>
      <c r="N505" s="656"/>
      <c r="O505" s="656"/>
      <c r="P505" s="656"/>
      <c r="Q505" s="656"/>
      <c r="R505" s="656"/>
      <c r="S505" s="656"/>
      <c r="T505" s="656"/>
      <c r="U505" s="656"/>
      <c r="V505" s="656"/>
      <c r="W505" s="656"/>
      <c r="X505" s="656"/>
      <c r="Y505" s="656"/>
      <c r="Z505" s="656"/>
      <c r="AA505" s="48"/>
      <c r="AB505" s="48"/>
      <c r="AC505" s="48"/>
    </row>
    <row r="506" spans="1:68" ht="16.5" hidden="1" customHeight="1" x14ac:dyDescent="0.25">
      <c r="A506" s="662" t="s">
        <v>804</v>
      </c>
      <c r="B506" s="658"/>
      <c r="C506" s="658"/>
      <c r="D506" s="658"/>
      <c r="E506" s="658"/>
      <c r="F506" s="658"/>
      <c r="G506" s="658"/>
      <c r="H506" s="658"/>
      <c r="I506" s="658"/>
      <c r="J506" s="658"/>
      <c r="K506" s="658"/>
      <c r="L506" s="658"/>
      <c r="M506" s="658"/>
      <c r="N506" s="658"/>
      <c r="O506" s="658"/>
      <c r="P506" s="658"/>
      <c r="Q506" s="658"/>
      <c r="R506" s="658"/>
      <c r="S506" s="658"/>
      <c r="T506" s="658"/>
      <c r="U506" s="658"/>
      <c r="V506" s="658"/>
      <c r="W506" s="658"/>
      <c r="X506" s="658"/>
      <c r="Y506" s="658"/>
      <c r="Z506" s="658"/>
      <c r="AA506" s="646"/>
      <c r="AB506" s="646"/>
      <c r="AC506" s="646"/>
    </row>
    <row r="507" spans="1:68" ht="14.25" hidden="1" customHeight="1" x14ac:dyDescent="0.25">
      <c r="A507" s="657" t="s">
        <v>111</v>
      </c>
      <c r="B507" s="658"/>
      <c r="C507" s="658"/>
      <c r="D507" s="658"/>
      <c r="E507" s="658"/>
      <c r="F507" s="658"/>
      <c r="G507" s="658"/>
      <c r="H507" s="658"/>
      <c r="I507" s="658"/>
      <c r="J507" s="658"/>
      <c r="K507" s="658"/>
      <c r="L507" s="658"/>
      <c r="M507" s="658"/>
      <c r="N507" s="658"/>
      <c r="O507" s="658"/>
      <c r="P507" s="658"/>
      <c r="Q507" s="658"/>
      <c r="R507" s="658"/>
      <c r="S507" s="658"/>
      <c r="T507" s="658"/>
      <c r="U507" s="658"/>
      <c r="V507" s="658"/>
      <c r="W507" s="658"/>
      <c r="X507" s="658"/>
      <c r="Y507" s="658"/>
      <c r="Z507" s="658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65">
        <v>4607091389067</v>
      </c>
      <c r="E508" s="666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4"/>
      <c r="V508" s="34"/>
      <c r="W508" s="35" t="s">
        <v>67</v>
      </c>
      <c r="X508" s="651">
        <v>100</v>
      </c>
      <c r="Y508" s="652">
        <f t="shared" ref="Y508:Y516" si="75">IFERROR(IF(X508="",0,CEILING((X508/$H508),1)*$H508),"")</f>
        <v>100.32000000000001</v>
      </c>
      <c r="Z508" s="36">
        <f t="shared" ref="Z508:Z513" si="76">IFERROR(IF(Y508=0,"",ROUNDUP(Y508/H508,0)*0.01196),"")</f>
        <v>0.22724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106.62878787878788</v>
      </c>
      <c r="BN508" s="64">
        <f t="shared" ref="BN508:BN516" si="78">IFERROR(Y508*I508/H508,"0")</f>
        <v>106.97</v>
      </c>
      <c r="BO508" s="64">
        <f t="shared" ref="BO508:BO516" si="79">IFERROR(1/J508*(X508/H508),"0")</f>
        <v>0.18210955710955709</v>
      </c>
      <c r="BP508" s="64">
        <f t="shared" ref="BP508:BP516" si="80">IFERROR(1/J508*(Y508/H508),"0")</f>
        <v>0.18269230769230771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65">
        <v>4680115889576</v>
      </c>
      <c r="E509" s="666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65">
        <v>4680115885271</v>
      </c>
      <c r="E510" s="666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4"/>
      <c r="V510" s="34"/>
      <c r="W510" s="35" t="s">
        <v>67</v>
      </c>
      <c r="X510" s="651">
        <v>60</v>
      </c>
      <c r="Y510" s="652">
        <f t="shared" si="75"/>
        <v>63.36</v>
      </c>
      <c r="Z510" s="36">
        <f t="shared" si="76"/>
        <v>0.14352000000000001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63.977272727272727</v>
      </c>
      <c r="BN510" s="64">
        <f t="shared" si="78"/>
        <v>67.559999999999988</v>
      </c>
      <c r="BO510" s="64">
        <f t="shared" si="79"/>
        <v>0.10926573426573427</v>
      </c>
      <c r="BP510" s="64">
        <f t="shared" si="80"/>
        <v>0.11538461538461539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65">
        <v>4680115885226</v>
      </c>
      <c r="E511" s="666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4"/>
      <c r="V511" s="34"/>
      <c r="W511" s="35" t="s">
        <v>67</v>
      </c>
      <c r="X511" s="651">
        <v>91</v>
      </c>
      <c r="Y511" s="652">
        <f t="shared" si="75"/>
        <v>95.04</v>
      </c>
      <c r="Z511" s="36">
        <f t="shared" si="76"/>
        <v>0.21528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97.032196969696969</v>
      </c>
      <c r="BN511" s="64">
        <f t="shared" si="78"/>
        <v>101.33999999999999</v>
      </c>
      <c r="BO511" s="64">
        <f t="shared" si="79"/>
        <v>0.16571969696969696</v>
      </c>
      <c r="BP511" s="64">
        <f t="shared" si="80"/>
        <v>0.17307692307692307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65">
        <v>4680115884502</v>
      </c>
      <c r="E512" s="666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65">
        <v>4607091389104</v>
      </c>
      <c r="E513" s="666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4"/>
      <c r="V513" s="34"/>
      <c r="W513" s="35" t="s">
        <v>67</v>
      </c>
      <c r="X513" s="651">
        <v>400</v>
      </c>
      <c r="Y513" s="652">
        <f t="shared" si="75"/>
        <v>401.28000000000003</v>
      </c>
      <c r="Z513" s="36">
        <f t="shared" si="76"/>
        <v>0.90895999999999999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426.5151515151515</v>
      </c>
      <c r="BN513" s="64">
        <f t="shared" si="78"/>
        <v>427.88</v>
      </c>
      <c r="BO513" s="64">
        <f t="shared" si="79"/>
        <v>0.72843822843822836</v>
      </c>
      <c r="BP513" s="64">
        <f t="shared" si="80"/>
        <v>0.73076923076923084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65">
        <v>4680115886391</v>
      </c>
      <c r="E514" s="666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824</v>
      </c>
      <c r="B515" s="54" t="s">
        <v>825</v>
      </c>
      <c r="C515" s="31">
        <v>4301012048</v>
      </c>
      <c r="D515" s="665">
        <v>4680115880603</v>
      </c>
      <c r="E515" s="666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hidden="1" customHeight="1" x14ac:dyDescent="0.25">
      <c r="A516" s="54" t="s">
        <v>826</v>
      </c>
      <c r="B516" s="54" t="s">
        <v>827</v>
      </c>
      <c r="C516" s="31">
        <v>4301012034</v>
      </c>
      <c r="D516" s="665">
        <v>4607091389982</v>
      </c>
      <c r="E516" s="666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4"/>
      <c r="V516" s="34"/>
      <c r="W516" s="35" t="s">
        <v>67</v>
      </c>
      <c r="X516" s="651">
        <v>0</v>
      </c>
      <c r="Y516" s="652">
        <f t="shared" si="75"/>
        <v>0</v>
      </c>
      <c r="Z516" s="36" t="str">
        <f>IFERROR(IF(Y516=0,"",ROUNDUP(Y516/H516,0)*0.00902),"")</f>
        <v/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0</v>
      </c>
      <c r="BN516" s="64">
        <f t="shared" si="78"/>
        <v>0</v>
      </c>
      <c r="BO516" s="64">
        <f t="shared" si="79"/>
        <v>0</v>
      </c>
      <c r="BP516" s="64">
        <f t="shared" si="80"/>
        <v>0</v>
      </c>
    </row>
    <row r="517" spans="1:68" x14ac:dyDescent="0.2">
      <c r="A517" s="692"/>
      <c r="B517" s="658"/>
      <c r="C517" s="658"/>
      <c r="D517" s="658"/>
      <c r="E517" s="658"/>
      <c r="F517" s="658"/>
      <c r="G517" s="658"/>
      <c r="H517" s="658"/>
      <c r="I517" s="658"/>
      <c r="J517" s="658"/>
      <c r="K517" s="658"/>
      <c r="L517" s="658"/>
      <c r="M517" s="658"/>
      <c r="N517" s="658"/>
      <c r="O517" s="693"/>
      <c r="P517" s="659" t="s">
        <v>72</v>
      </c>
      <c r="Q517" s="660"/>
      <c r="R517" s="660"/>
      <c r="S517" s="660"/>
      <c r="T517" s="660"/>
      <c r="U517" s="660"/>
      <c r="V517" s="66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123.29545454545453</v>
      </c>
      <c r="Y517" s="653">
        <f>IFERROR(Y508/H508,"0")+IFERROR(Y509/H509,"0")+IFERROR(Y510/H510,"0")+IFERROR(Y511/H511,"0")+IFERROR(Y512/H512,"0")+IFERROR(Y513/H513,"0")+IFERROR(Y514/H514,"0")+IFERROR(Y515/H515,"0")+IFERROR(Y516/H516,"0")</f>
        <v>125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1.4950000000000001</v>
      </c>
      <c r="AA517" s="654"/>
      <c r="AB517" s="654"/>
      <c r="AC517" s="654"/>
    </row>
    <row r="518" spans="1:68" x14ac:dyDescent="0.2">
      <c r="A518" s="658"/>
      <c r="B518" s="658"/>
      <c r="C518" s="658"/>
      <c r="D518" s="658"/>
      <c r="E518" s="658"/>
      <c r="F518" s="658"/>
      <c r="G518" s="658"/>
      <c r="H518" s="658"/>
      <c r="I518" s="658"/>
      <c r="J518" s="658"/>
      <c r="K518" s="658"/>
      <c r="L518" s="658"/>
      <c r="M518" s="658"/>
      <c r="N518" s="658"/>
      <c r="O518" s="693"/>
      <c r="P518" s="659" t="s">
        <v>72</v>
      </c>
      <c r="Q518" s="660"/>
      <c r="R518" s="660"/>
      <c r="S518" s="660"/>
      <c r="T518" s="660"/>
      <c r="U518" s="660"/>
      <c r="V518" s="661"/>
      <c r="W518" s="37" t="s">
        <v>67</v>
      </c>
      <c r="X518" s="653">
        <f>IFERROR(SUM(X508:X516),"0")</f>
        <v>651</v>
      </c>
      <c r="Y518" s="653">
        <f>IFERROR(SUM(Y508:Y516),"0")</f>
        <v>660</v>
      </c>
      <c r="Z518" s="37"/>
      <c r="AA518" s="654"/>
      <c r="AB518" s="654"/>
      <c r="AC518" s="654"/>
    </row>
    <row r="519" spans="1:68" ht="14.25" hidden="1" customHeight="1" x14ac:dyDescent="0.25">
      <c r="A519" s="657" t="s">
        <v>144</v>
      </c>
      <c r="B519" s="658"/>
      <c r="C519" s="658"/>
      <c r="D519" s="658"/>
      <c r="E519" s="658"/>
      <c r="F519" s="658"/>
      <c r="G519" s="658"/>
      <c r="H519" s="658"/>
      <c r="I519" s="658"/>
      <c r="J519" s="658"/>
      <c r="K519" s="658"/>
      <c r="L519" s="658"/>
      <c r="M519" s="658"/>
      <c r="N519" s="658"/>
      <c r="O519" s="658"/>
      <c r="P519" s="658"/>
      <c r="Q519" s="658"/>
      <c r="R519" s="658"/>
      <c r="S519" s="658"/>
      <c r="T519" s="658"/>
      <c r="U519" s="658"/>
      <c r="V519" s="658"/>
      <c r="W519" s="658"/>
      <c r="X519" s="658"/>
      <c r="Y519" s="658"/>
      <c r="Z519" s="658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65">
        <v>4607091388930</v>
      </c>
      <c r="E520" s="666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4"/>
      <c r="V520" s="34"/>
      <c r="W520" s="35" t="s">
        <v>67</v>
      </c>
      <c r="X520" s="651">
        <v>500</v>
      </c>
      <c r="Y520" s="652">
        <f>IFERROR(IF(X520="",0,CEILING((X520/$H520),1)*$H520),"")</f>
        <v>501.6</v>
      </c>
      <c r="Z520" s="36">
        <f>IFERROR(IF(Y520=0,"",ROUNDUP(Y520/H520,0)*0.01196),"")</f>
        <v>1.1362000000000001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533.14393939393938</v>
      </c>
      <c r="BN520" s="64">
        <f>IFERROR(Y520*I520/H520,"0")</f>
        <v>534.85</v>
      </c>
      <c r="BO520" s="64">
        <f>IFERROR(1/J520*(X520/H520),"0")</f>
        <v>0.91054778554778548</v>
      </c>
      <c r="BP520" s="64">
        <f>IFERROR(1/J520*(Y520/H520),"0")</f>
        <v>0.91346153846153855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65">
        <v>4680115886407</v>
      </c>
      <c r="E521" s="666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833</v>
      </c>
      <c r="B522" s="54" t="s">
        <v>834</v>
      </c>
      <c r="C522" s="31">
        <v>4301020385</v>
      </c>
      <c r="D522" s="665">
        <v>4680115880054</v>
      </c>
      <c r="E522" s="666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4"/>
      <c r="V522" s="34"/>
      <c r="W522" s="35" t="s">
        <v>67</v>
      </c>
      <c r="X522" s="651">
        <v>0</v>
      </c>
      <c r="Y522" s="652">
        <f>IFERROR(IF(X522="",0,CEILING((X522/$H522),1)*$H522),"")</f>
        <v>0</v>
      </c>
      <c r="Z522" s="36" t="str">
        <f>IFERROR(IF(Y522=0,"",ROUNDUP(Y522/H522,0)*0.00902),"")</f>
        <v/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92"/>
      <c r="B523" s="658"/>
      <c r="C523" s="658"/>
      <c r="D523" s="658"/>
      <c r="E523" s="658"/>
      <c r="F523" s="658"/>
      <c r="G523" s="658"/>
      <c r="H523" s="658"/>
      <c r="I523" s="658"/>
      <c r="J523" s="658"/>
      <c r="K523" s="658"/>
      <c r="L523" s="658"/>
      <c r="M523" s="658"/>
      <c r="N523" s="658"/>
      <c r="O523" s="693"/>
      <c r="P523" s="659" t="s">
        <v>72</v>
      </c>
      <c r="Q523" s="660"/>
      <c r="R523" s="660"/>
      <c r="S523" s="660"/>
      <c r="T523" s="660"/>
      <c r="U523" s="660"/>
      <c r="V523" s="661"/>
      <c r="W523" s="37" t="s">
        <v>73</v>
      </c>
      <c r="X523" s="653">
        <f>IFERROR(X520/H520,"0")+IFERROR(X521/H521,"0")+IFERROR(X522/H522,"0")</f>
        <v>94.696969696969688</v>
      </c>
      <c r="Y523" s="653">
        <f>IFERROR(Y520/H520,"0")+IFERROR(Y521/H521,"0")+IFERROR(Y522/H522,"0")</f>
        <v>95</v>
      </c>
      <c r="Z523" s="653">
        <f>IFERROR(IF(Z520="",0,Z520),"0")+IFERROR(IF(Z521="",0,Z521),"0")+IFERROR(IF(Z522="",0,Z522),"0")</f>
        <v>1.1362000000000001</v>
      </c>
      <c r="AA523" s="654"/>
      <c r="AB523" s="654"/>
      <c r="AC523" s="654"/>
    </row>
    <row r="524" spans="1:68" x14ac:dyDescent="0.2">
      <c r="A524" s="658"/>
      <c r="B524" s="658"/>
      <c r="C524" s="658"/>
      <c r="D524" s="658"/>
      <c r="E524" s="658"/>
      <c r="F524" s="658"/>
      <c r="G524" s="658"/>
      <c r="H524" s="658"/>
      <c r="I524" s="658"/>
      <c r="J524" s="658"/>
      <c r="K524" s="658"/>
      <c r="L524" s="658"/>
      <c r="M524" s="658"/>
      <c r="N524" s="658"/>
      <c r="O524" s="693"/>
      <c r="P524" s="659" t="s">
        <v>72</v>
      </c>
      <c r="Q524" s="660"/>
      <c r="R524" s="660"/>
      <c r="S524" s="660"/>
      <c r="T524" s="660"/>
      <c r="U524" s="660"/>
      <c r="V524" s="661"/>
      <c r="W524" s="37" t="s">
        <v>67</v>
      </c>
      <c r="X524" s="653">
        <f>IFERROR(SUM(X520:X522),"0")</f>
        <v>500</v>
      </c>
      <c r="Y524" s="653">
        <f>IFERROR(SUM(Y520:Y522),"0")</f>
        <v>501.6</v>
      </c>
      <c r="Z524" s="37"/>
      <c r="AA524" s="654"/>
      <c r="AB524" s="654"/>
      <c r="AC524" s="654"/>
    </row>
    <row r="525" spans="1:68" ht="14.25" hidden="1" customHeight="1" x14ac:dyDescent="0.25">
      <c r="A525" s="657" t="s">
        <v>62</v>
      </c>
      <c r="B525" s="658"/>
      <c r="C525" s="658"/>
      <c r="D525" s="658"/>
      <c r="E525" s="658"/>
      <c r="F525" s="658"/>
      <c r="G525" s="658"/>
      <c r="H525" s="658"/>
      <c r="I525" s="658"/>
      <c r="J525" s="658"/>
      <c r="K525" s="658"/>
      <c r="L525" s="658"/>
      <c r="M525" s="658"/>
      <c r="N525" s="658"/>
      <c r="O525" s="658"/>
      <c r="P525" s="658"/>
      <c r="Q525" s="658"/>
      <c r="R525" s="658"/>
      <c r="S525" s="658"/>
      <c r="T525" s="658"/>
      <c r="U525" s="658"/>
      <c r="V525" s="658"/>
      <c r="W525" s="658"/>
      <c r="X525" s="658"/>
      <c r="Y525" s="658"/>
      <c r="Z525" s="658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65">
        <v>4680115883116</v>
      </c>
      <c r="E526" s="666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4"/>
      <c r="V526" s="34"/>
      <c r="W526" s="35" t="s">
        <v>67</v>
      </c>
      <c r="X526" s="651">
        <v>4</v>
      </c>
      <c r="Y526" s="652">
        <f t="shared" ref="Y526:Y532" si="81">IFERROR(IF(X526="",0,CEILING((X526/$H526),1)*$H526),"")</f>
        <v>5.28</v>
      </c>
      <c r="Z526" s="36">
        <f>IFERROR(IF(Y526=0,"",ROUNDUP(Y526/H526,0)*0.01196),"")</f>
        <v>1.196E-2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4.2651515151515147</v>
      </c>
      <c r="BN526" s="64">
        <f t="shared" ref="BN526:BN532" si="83">IFERROR(Y526*I526/H526,"0")</f>
        <v>5.63</v>
      </c>
      <c r="BO526" s="64">
        <f t="shared" ref="BO526:BO532" si="84">IFERROR(1/J526*(X526/H526),"0")</f>
        <v>7.2843822843822849E-3</v>
      </c>
      <c r="BP526" s="64">
        <f t="shared" ref="BP526:BP532" si="85">IFERROR(1/J526*(Y526/H526),"0")</f>
        <v>9.6153846153846159E-3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65">
        <v>4680115883093</v>
      </c>
      <c r="E527" s="666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4"/>
      <c r="V527" s="34"/>
      <c r="W527" s="35" t="s">
        <v>67</v>
      </c>
      <c r="X527" s="651">
        <v>180</v>
      </c>
      <c r="Y527" s="652">
        <f t="shared" si="81"/>
        <v>184.8</v>
      </c>
      <c r="Z527" s="36">
        <f>IFERROR(IF(Y527=0,"",ROUNDUP(Y527/H527,0)*0.01196),"")</f>
        <v>0.41860000000000003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191.93181818181816</v>
      </c>
      <c r="BN527" s="64">
        <f t="shared" si="83"/>
        <v>197.04999999999998</v>
      </c>
      <c r="BO527" s="64">
        <f t="shared" si="84"/>
        <v>0.32779720279720276</v>
      </c>
      <c r="BP527" s="64">
        <f t="shared" si="85"/>
        <v>0.33653846153846156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65">
        <v>4680115883109</v>
      </c>
      <c r="E528" s="666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4"/>
      <c r="V528" s="34"/>
      <c r="W528" s="35" t="s">
        <v>67</v>
      </c>
      <c r="X528" s="651">
        <v>100</v>
      </c>
      <c r="Y528" s="652">
        <f t="shared" si="81"/>
        <v>100.32000000000001</v>
      </c>
      <c r="Z528" s="36">
        <f>IFERROR(IF(Y528=0,"",ROUNDUP(Y528/H528,0)*0.01196),"")</f>
        <v>0.22724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106.62878787878788</v>
      </c>
      <c r="BN528" s="64">
        <f t="shared" si="83"/>
        <v>106.97</v>
      </c>
      <c r="BO528" s="64">
        <f t="shared" si="84"/>
        <v>0.18210955710955709</v>
      </c>
      <c r="BP528" s="64">
        <f t="shared" si="85"/>
        <v>0.18269230769230771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65">
        <v>4680115882072</v>
      </c>
      <c r="E529" s="666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65">
        <v>4680115882102</v>
      </c>
      <c r="E530" s="666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9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65">
        <v>4680115882102</v>
      </c>
      <c r="E531" s="666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hidden="1" customHeight="1" x14ac:dyDescent="0.25">
      <c r="A532" s="54" t="s">
        <v>849</v>
      </c>
      <c r="B532" s="54" t="s">
        <v>850</v>
      </c>
      <c r="C532" s="31">
        <v>4301031417</v>
      </c>
      <c r="D532" s="665">
        <v>4680115882096</v>
      </c>
      <c r="E532" s="666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92"/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93"/>
      <c r="P533" s="659" t="s">
        <v>72</v>
      </c>
      <c r="Q533" s="660"/>
      <c r="R533" s="660"/>
      <c r="S533" s="660"/>
      <c r="T533" s="660"/>
      <c r="U533" s="660"/>
      <c r="V533" s="66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53.787878787878782</v>
      </c>
      <c r="Y533" s="653">
        <f>IFERROR(Y526/H526,"0")+IFERROR(Y527/H527,"0")+IFERROR(Y528/H528,"0")+IFERROR(Y529/H529,"0")+IFERROR(Y530/H530,"0")+IFERROR(Y531/H531,"0")+IFERROR(Y532/H532,"0")</f>
        <v>55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0.65780000000000005</v>
      </c>
      <c r="AA533" s="654"/>
      <c r="AB533" s="654"/>
      <c r="AC533" s="654"/>
    </row>
    <row r="534" spans="1:68" x14ac:dyDescent="0.2">
      <c r="A534" s="658"/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93"/>
      <c r="P534" s="659" t="s">
        <v>72</v>
      </c>
      <c r="Q534" s="660"/>
      <c r="R534" s="660"/>
      <c r="S534" s="660"/>
      <c r="T534" s="660"/>
      <c r="U534" s="660"/>
      <c r="V534" s="661"/>
      <c r="W534" s="37" t="s">
        <v>67</v>
      </c>
      <c r="X534" s="653">
        <f>IFERROR(SUM(X526:X532),"0")</f>
        <v>284</v>
      </c>
      <c r="Y534" s="653">
        <f>IFERROR(SUM(Y526:Y532),"0")</f>
        <v>290.40000000000003</v>
      </c>
      <c r="Z534" s="37"/>
      <c r="AA534" s="654"/>
      <c r="AB534" s="654"/>
      <c r="AC534" s="654"/>
    </row>
    <row r="535" spans="1:68" ht="27.75" hidden="1" customHeight="1" x14ac:dyDescent="0.2">
      <c r="A535" s="655" t="s">
        <v>851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48"/>
      <c r="AB535" s="48"/>
      <c r="AC535" s="48"/>
    </row>
    <row r="536" spans="1:68" ht="16.5" hidden="1" customHeight="1" x14ac:dyDescent="0.25">
      <c r="A536" s="662" t="s">
        <v>851</v>
      </c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8"/>
      <c r="P536" s="658"/>
      <c r="Q536" s="658"/>
      <c r="R536" s="658"/>
      <c r="S536" s="658"/>
      <c r="T536" s="658"/>
      <c r="U536" s="658"/>
      <c r="V536" s="658"/>
      <c r="W536" s="658"/>
      <c r="X536" s="658"/>
      <c r="Y536" s="658"/>
      <c r="Z536" s="658"/>
      <c r="AA536" s="646"/>
      <c r="AB536" s="646"/>
      <c r="AC536" s="646"/>
    </row>
    <row r="537" spans="1:68" ht="14.25" hidden="1" customHeight="1" x14ac:dyDescent="0.25">
      <c r="A537" s="657" t="s">
        <v>111</v>
      </c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8"/>
      <c r="P537" s="658"/>
      <c r="Q537" s="658"/>
      <c r="R537" s="658"/>
      <c r="S537" s="658"/>
      <c r="T537" s="658"/>
      <c r="U537" s="658"/>
      <c r="V537" s="658"/>
      <c r="W537" s="658"/>
      <c r="X537" s="658"/>
      <c r="Y537" s="658"/>
      <c r="Z537" s="658"/>
      <c r="AA537" s="647"/>
      <c r="AB537" s="647"/>
      <c r="AC537" s="647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65">
        <v>4640242180564</v>
      </c>
      <c r="E538" s="666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92"/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93"/>
      <c r="P539" s="659" t="s">
        <v>72</v>
      </c>
      <c r="Q539" s="660"/>
      <c r="R539" s="660"/>
      <c r="S539" s="660"/>
      <c r="T539" s="660"/>
      <c r="U539" s="660"/>
      <c r="V539" s="66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58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93"/>
      <c r="P540" s="659" t="s">
        <v>72</v>
      </c>
      <c r="Q540" s="660"/>
      <c r="R540" s="660"/>
      <c r="S540" s="660"/>
      <c r="T540" s="660"/>
      <c r="U540" s="660"/>
      <c r="V540" s="66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57" t="s">
        <v>144</v>
      </c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8"/>
      <c r="P541" s="658"/>
      <c r="Q541" s="658"/>
      <c r="R541" s="658"/>
      <c r="S541" s="658"/>
      <c r="T541" s="658"/>
      <c r="U541" s="658"/>
      <c r="V541" s="658"/>
      <c r="W541" s="658"/>
      <c r="X541" s="658"/>
      <c r="Y541" s="658"/>
      <c r="Z541" s="658"/>
      <c r="AA541" s="647"/>
      <c r="AB541" s="647"/>
      <c r="AC541" s="647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65">
        <v>4640242180519</v>
      </c>
      <c r="E542" s="666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92"/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93"/>
      <c r="P543" s="659" t="s">
        <v>72</v>
      </c>
      <c r="Q543" s="660"/>
      <c r="R543" s="660"/>
      <c r="S543" s="660"/>
      <c r="T543" s="660"/>
      <c r="U543" s="660"/>
      <c r="V543" s="66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58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93"/>
      <c r="P544" s="659" t="s">
        <v>72</v>
      </c>
      <c r="Q544" s="660"/>
      <c r="R544" s="660"/>
      <c r="S544" s="660"/>
      <c r="T544" s="660"/>
      <c r="U544" s="660"/>
      <c r="V544" s="66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57" t="s">
        <v>62</v>
      </c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8"/>
      <c r="P545" s="658"/>
      <c r="Q545" s="658"/>
      <c r="R545" s="658"/>
      <c r="S545" s="658"/>
      <c r="T545" s="658"/>
      <c r="U545" s="658"/>
      <c r="V545" s="658"/>
      <c r="W545" s="658"/>
      <c r="X545" s="658"/>
      <c r="Y545" s="658"/>
      <c r="Z545" s="658"/>
      <c r="AA545" s="647"/>
      <c r="AB545" s="647"/>
      <c r="AC545" s="647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65">
        <v>4640242180595</v>
      </c>
      <c r="E546" s="666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2"/>
      <c r="B547" s="658"/>
      <c r="C547" s="658"/>
      <c r="D547" s="658"/>
      <c r="E547" s="658"/>
      <c r="F547" s="658"/>
      <c r="G547" s="658"/>
      <c r="H547" s="658"/>
      <c r="I547" s="658"/>
      <c r="J547" s="658"/>
      <c r="K547" s="658"/>
      <c r="L547" s="658"/>
      <c r="M547" s="658"/>
      <c r="N547" s="658"/>
      <c r="O547" s="693"/>
      <c r="P547" s="659" t="s">
        <v>72</v>
      </c>
      <c r="Q547" s="660"/>
      <c r="R547" s="660"/>
      <c r="S547" s="660"/>
      <c r="T547" s="660"/>
      <c r="U547" s="660"/>
      <c r="V547" s="66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58"/>
      <c r="B548" s="658"/>
      <c r="C548" s="658"/>
      <c r="D548" s="658"/>
      <c r="E548" s="658"/>
      <c r="F548" s="658"/>
      <c r="G548" s="658"/>
      <c r="H548" s="658"/>
      <c r="I548" s="658"/>
      <c r="J548" s="658"/>
      <c r="K548" s="658"/>
      <c r="L548" s="658"/>
      <c r="M548" s="658"/>
      <c r="N548" s="658"/>
      <c r="O548" s="693"/>
      <c r="P548" s="659" t="s">
        <v>72</v>
      </c>
      <c r="Q548" s="660"/>
      <c r="R548" s="660"/>
      <c r="S548" s="660"/>
      <c r="T548" s="660"/>
      <c r="U548" s="660"/>
      <c r="V548" s="66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57" t="s">
        <v>74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65">
        <v>4640242180533</v>
      </c>
      <c r="E550" s="666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4"/>
      <c r="V550" s="34"/>
      <c r="W550" s="35" t="s">
        <v>67</v>
      </c>
      <c r="X550" s="651">
        <v>100</v>
      </c>
      <c r="Y550" s="652">
        <f>IFERROR(IF(X550="",0,CEILING((X550/$H550),1)*$H550),"")</f>
        <v>108</v>
      </c>
      <c r="Z550" s="36">
        <f>IFERROR(IF(Y550=0,"",ROUNDUP(Y550/H550,0)*0.01898),"")</f>
        <v>0.22776000000000002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105.48888888888888</v>
      </c>
      <c r="BN550" s="64">
        <f>IFERROR(Y550*I550/H550,"0")</f>
        <v>113.92799999999998</v>
      </c>
      <c r="BO550" s="64">
        <f>IFERROR(1/J550*(X550/H550),"0")</f>
        <v>0.1736111111111111</v>
      </c>
      <c r="BP550" s="64">
        <f>IFERROR(1/J550*(Y550/H550),"0")</f>
        <v>0.1875</v>
      </c>
    </row>
    <row r="551" spans="1:68" x14ac:dyDescent="0.2">
      <c r="A551" s="692"/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93"/>
      <c r="P551" s="659" t="s">
        <v>72</v>
      </c>
      <c r="Q551" s="660"/>
      <c r="R551" s="660"/>
      <c r="S551" s="660"/>
      <c r="T551" s="660"/>
      <c r="U551" s="660"/>
      <c r="V551" s="661"/>
      <c r="W551" s="37" t="s">
        <v>73</v>
      </c>
      <c r="X551" s="653">
        <f>IFERROR(X550/H550,"0")</f>
        <v>11.111111111111111</v>
      </c>
      <c r="Y551" s="653">
        <f>IFERROR(Y550/H550,"0")</f>
        <v>12</v>
      </c>
      <c r="Z551" s="653">
        <f>IFERROR(IF(Z550="",0,Z550),"0")</f>
        <v>0.22776000000000002</v>
      </c>
      <c r="AA551" s="654"/>
      <c r="AB551" s="654"/>
      <c r="AC551" s="654"/>
    </row>
    <row r="552" spans="1:68" x14ac:dyDescent="0.2">
      <c r="A552" s="658"/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93"/>
      <c r="P552" s="659" t="s">
        <v>72</v>
      </c>
      <c r="Q552" s="660"/>
      <c r="R552" s="660"/>
      <c r="S552" s="660"/>
      <c r="T552" s="660"/>
      <c r="U552" s="660"/>
      <c r="V552" s="661"/>
      <c r="W552" s="37" t="s">
        <v>67</v>
      </c>
      <c r="X552" s="653">
        <f>IFERROR(SUM(X550:X550),"0")</f>
        <v>100</v>
      </c>
      <c r="Y552" s="653">
        <f>IFERROR(SUM(Y550:Y550),"0")</f>
        <v>108</v>
      </c>
      <c r="Z552" s="37"/>
      <c r="AA552" s="654"/>
      <c r="AB552" s="654"/>
      <c r="AC552" s="654"/>
    </row>
    <row r="553" spans="1:68" ht="14.25" hidden="1" customHeight="1" x14ac:dyDescent="0.25">
      <c r="A553" s="657" t="s">
        <v>162</v>
      </c>
      <c r="B553" s="658"/>
      <c r="C553" s="658"/>
      <c r="D553" s="658"/>
      <c r="E553" s="658"/>
      <c r="F553" s="658"/>
      <c r="G553" s="658"/>
      <c r="H553" s="658"/>
      <c r="I553" s="658"/>
      <c r="J553" s="658"/>
      <c r="K553" s="658"/>
      <c r="L553" s="658"/>
      <c r="M553" s="658"/>
      <c r="N553" s="658"/>
      <c r="O553" s="658"/>
      <c r="P553" s="658"/>
      <c r="Q553" s="658"/>
      <c r="R553" s="658"/>
      <c r="S553" s="658"/>
      <c r="T553" s="658"/>
      <c r="U553" s="658"/>
      <c r="V553" s="658"/>
      <c r="W553" s="658"/>
      <c r="X553" s="658"/>
      <c r="Y553" s="658"/>
      <c r="Z553" s="658"/>
      <c r="AA553" s="647"/>
      <c r="AB553" s="647"/>
      <c r="AC553" s="647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65">
        <v>4640242180120</v>
      </c>
      <c r="E554" s="666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65">
        <v>4640242180137</v>
      </c>
      <c r="E555" s="666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92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693"/>
      <c r="P556" s="659" t="s">
        <v>72</v>
      </c>
      <c r="Q556" s="660"/>
      <c r="R556" s="660"/>
      <c r="S556" s="660"/>
      <c r="T556" s="660"/>
      <c r="U556" s="660"/>
      <c r="V556" s="66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693"/>
      <c r="P557" s="659" t="s">
        <v>72</v>
      </c>
      <c r="Q557" s="660"/>
      <c r="R557" s="660"/>
      <c r="S557" s="660"/>
      <c r="T557" s="660"/>
      <c r="U557" s="660"/>
      <c r="V557" s="66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62" t="s">
        <v>870</v>
      </c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658"/>
      <c r="P558" s="658"/>
      <c r="Q558" s="658"/>
      <c r="R558" s="658"/>
      <c r="S558" s="658"/>
      <c r="T558" s="658"/>
      <c r="U558" s="658"/>
      <c r="V558" s="658"/>
      <c r="W558" s="658"/>
      <c r="X558" s="658"/>
      <c r="Y558" s="658"/>
      <c r="Z558" s="658"/>
      <c r="AA558" s="646"/>
      <c r="AB558" s="646"/>
      <c r="AC558" s="646"/>
    </row>
    <row r="559" spans="1:68" ht="14.25" hidden="1" customHeight="1" x14ac:dyDescent="0.25">
      <c r="A559" s="657" t="s">
        <v>144</v>
      </c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658"/>
      <c r="P559" s="658"/>
      <c r="Q559" s="658"/>
      <c r="R559" s="658"/>
      <c r="S559" s="658"/>
      <c r="T559" s="658"/>
      <c r="U559" s="658"/>
      <c r="V559" s="658"/>
      <c r="W559" s="658"/>
      <c r="X559" s="658"/>
      <c r="Y559" s="658"/>
      <c r="Z559" s="658"/>
      <c r="AA559" s="647"/>
      <c r="AB559" s="647"/>
      <c r="AC559" s="647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65">
        <v>4640242180090</v>
      </c>
      <c r="E560" s="666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92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693"/>
      <c r="P561" s="659" t="s">
        <v>72</v>
      </c>
      <c r="Q561" s="660"/>
      <c r="R561" s="660"/>
      <c r="S561" s="660"/>
      <c r="T561" s="660"/>
      <c r="U561" s="660"/>
      <c r="V561" s="66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58"/>
      <c r="B562" s="658"/>
      <c r="C562" s="658"/>
      <c r="D562" s="658"/>
      <c r="E562" s="658"/>
      <c r="F562" s="658"/>
      <c r="G562" s="658"/>
      <c r="H562" s="658"/>
      <c r="I562" s="658"/>
      <c r="J562" s="658"/>
      <c r="K562" s="658"/>
      <c r="L562" s="658"/>
      <c r="M562" s="658"/>
      <c r="N562" s="658"/>
      <c r="O562" s="693"/>
      <c r="P562" s="659" t="s">
        <v>72</v>
      </c>
      <c r="Q562" s="660"/>
      <c r="R562" s="660"/>
      <c r="S562" s="660"/>
      <c r="T562" s="660"/>
      <c r="U562" s="660"/>
      <c r="V562" s="66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18"/>
      <c r="B563" s="658"/>
      <c r="C563" s="658"/>
      <c r="D563" s="658"/>
      <c r="E563" s="658"/>
      <c r="F563" s="658"/>
      <c r="G563" s="658"/>
      <c r="H563" s="658"/>
      <c r="I563" s="658"/>
      <c r="J563" s="658"/>
      <c r="K563" s="658"/>
      <c r="L563" s="658"/>
      <c r="M563" s="658"/>
      <c r="N563" s="658"/>
      <c r="O563" s="819"/>
      <c r="P563" s="710" t="s">
        <v>874</v>
      </c>
      <c r="Q563" s="711"/>
      <c r="R563" s="711"/>
      <c r="S563" s="711"/>
      <c r="T563" s="711"/>
      <c r="U563" s="711"/>
      <c r="V563" s="712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17529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17727.21</v>
      </c>
      <c r="Z563" s="37"/>
      <c r="AA563" s="654"/>
      <c r="AB563" s="654"/>
      <c r="AC563" s="654"/>
    </row>
    <row r="564" spans="1:32" x14ac:dyDescent="0.2">
      <c r="A564" s="658"/>
      <c r="B564" s="658"/>
      <c r="C564" s="658"/>
      <c r="D564" s="658"/>
      <c r="E564" s="658"/>
      <c r="F564" s="658"/>
      <c r="G564" s="658"/>
      <c r="H564" s="658"/>
      <c r="I564" s="658"/>
      <c r="J564" s="658"/>
      <c r="K564" s="658"/>
      <c r="L564" s="658"/>
      <c r="M564" s="658"/>
      <c r="N564" s="658"/>
      <c r="O564" s="819"/>
      <c r="P564" s="710" t="s">
        <v>875</v>
      </c>
      <c r="Q564" s="711"/>
      <c r="R564" s="711"/>
      <c r="S564" s="711"/>
      <c r="T564" s="711"/>
      <c r="U564" s="711"/>
      <c r="V564" s="712"/>
      <c r="W564" s="37" t="s">
        <v>67</v>
      </c>
      <c r="X564" s="653">
        <f>IFERROR(SUM(BM22:BM560),"0")</f>
        <v>18302.403558114725</v>
      </c>
      <c r="Y564" s="653">
        <f>IFERROR(SUM(BN22:BN560),"0")</f>
        <v>18511.285000000003</v>
      </c>
      <c r="Z564" s="37"/>
      <c r="AA564" s="654"/>
      <c r="AB564" s="654"/>
      <c r="AC564" s="654"/>
    </row>
    <row r="565" spans="1:32" x14ac:dyDescent="0.2">
      <c r="A565" s="658"/>
      <c r="B565" s="658"/>
      <c r="C565" s="658"/>
      <c r="D565" s="658"/>
      <c r="E565" s="658"/>
      <c r="F565" s="658"/>
      <c r="G565" s="658"/>
      <c r="H565" s="658"/>
      <c r="I565" s="658"/>
      <c r="J565" s="658"/>
      <c r="K565" s="658"/>
      <c r="L565" s="658"/>
      <c r="M565" s="658"/>
      <c r="N565" s="658"/>
      <c r="O565" s="819"/>
      <c r="P565" s="710" t="s">
        <v>876</v>
      </c>
      <c r="Q565" s="711"/>
      <c r="R565" s="711"/>
      <c r="S565" s="711"/>
      <c r="T565" s="711"/>
      <c r="U565" s="711"/>
      <c r="V565" s="712"/>
      <c r="W565" s="37" t="s">
        <v>877</v>
      </c>
      <c r="X565" s="38">
        <f>ROUNDUP(SUM(BO22:BO560),0)</f>
        <v>28</v>
      </c>
      <c r="Y565" s="38">
        <f>ROUNDUP(SUM(BP22:BP560),0)</f>
        <v>29</v>
      </c>
      <c r="Z565" s="37"/>
      <c r="AA565" s="654"/>
      <c r="AB565" s="654"/>
      <c r="AC565" s="654"/>
    </row>
    <row r="566" spans="1:32" x14ac:dyDescent="0.2">
      <c r="A566" s="658"/>
      <c r="B566" s="658"/>
      <c r="C566" s="658"/>
      <c r="D566" s="658"/>
      <c r="E566" s="658"/>
      <c r="F566" s="658"/>
      <c r="G566" s="658"/>
      <c r="H566" s="658"/>
      <c r="I566" s="658"/>
      <c r="J566" s="658"/>
      <c r="K566" s="658"/>
      <c r="L566" s="658"/>
      <c r="M566" s="658"/>
      <c r="N566" s="658"/>
      <c r="O566" s="819"/>
      <c r="P566" s="710" t="s">
        <v>878</v>
      </c>
      <c r="Q566" s="711"/>
      <c r="R566" s="711"/>
      <c r="S566" s="711"/>
      <c r="T566" s="711"/>
      <c r="U566" s="711"/>
      <c r="V566" s="712"/>
      <c r="W566" s="37" t="s">
        <v>67</v>
      </c>
      <c r="X566" s="653">
        <f>GrossWeightTotal+PalletQtyTotal*25</f>
        <v>19002.403558114725</v>
      </c>
      <c r="Y566" s="653">
        <f>GrossWeightTotalR+PalletQtyTotalR*25</f>
        <v>19236.285000000003</v>
      </c>
      <c r="Z566" s="37"/>
      <c r="AA566" s="654"/>
      <c r="AB566" s="654"/>
      <c r="AC566" s="654"/>
    </row>
    <row r="567" spans="1:32" x14ac:dyDescent="0.2">
      <c r="A567" s="658"/>
      <c r="B567" s="658"/>
      <c r="C567" s="658"/>
      <c r="D567" s="658"/>
      <c r="E567" s="658"/>
      <c r="F567" s="658"/>
      <c r="G567" s="658"/>
      <c r="H567" s="658"/>
      <c r="I567" s="658"/>
      <c r="J567" s="658"/>
      <c r="K567" s="658"/>
      <c r="L567" s="658"/>
      <c r="M567" s="658"/>
      <c r="N567" s="658"/>
      <c r="O567" s="819"/>
      <c r="P567" s="710" t="s">
        <v>879</v>
      </c>
      <c r="Q567" s="711"/>
      <c r="R567" s="711"/>
      <c r="S567" s="711"/>
      <c r="T567" s="711"/>
      <c r="U567" s="711"/>
      <c r="V567" s="712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2252.7628254461588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2288</v>
      </c>
      <c r="Z567" s="37"/>
      <c r="AA567" s="654"/>
      <c r="AB567" s="654"/>
      <c r="AC567" s="654"/>
    </row>
    <row r="568" spans="1:32" ht="14.25" hidden="1" customHeight="1" x14ac:dyDescent="0.2">
      <c r="A568" s="658"/>
      <c r="B568" s="658"/>
      <c r="C568" s="658"/>
      <c r="D568" s="658"/>
      <c r="E568" s="658"/>
      <c r="F568" s="658"/>
      <c r="G568" s="658"/>
      <c r="H568" s="658"/>
      <c r="I568" s="658"/>
      <c r="J568" s="658"/>
      <c r="K568" s="658"/>
      <c r="L568" s="658"/>
      <c r="M568" s="658"/>
      <c r="N568" s="658"/>
      <c r="O568" s="819"/>
      <c r="P568" s="710" t="s">
        <v>880</v>
      </c>
      <c r="Q568" s="711"/>
      <c r="R568" s="711"/>
      <c r="S568" s="711"/>
      <c r="T568" s="711"/>
      <c r="U568" s="711"/>
      <c r="V568" s="712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31.413459999999997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742"/>
      <c r="F570" s="742"/>
      <c r="G570" s="742"/>
      <c r="H570" s="742"/>
      <c r="I570" s="742"/>
      <c r="J570" s="743"/>
      <c r="K570" s="682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82" t="s">
        <v>702</v>
      </c>
      <c r="X570" s="743"/>
      <c r="Y570" s="682" t="s">
        <v>768</v>
      </c>
      <c r="Z570" s="743"/>
      <c r="AA570" s="648" t="s">
        <v>804</v>
      </c>
      <c r="AB570" s="682" t="s">
        <v>851</v>
      </c>
      <c r="AC570" s="743"/>
      <c r="AF570" s="649"/>
    </row>
    <row r="571" spans="1:32" ht="14.25" customHeight="1" thickTop="1" x14ac:dyDescent="0.2">
      <c r="A571" s="909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910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302.40000000000003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386.8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240.3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853.2</v>
      </c>
      <c r="H573" s="46">
        <f>IFERROR(Y140*1,"0")+IFERROR(Y141*1,"0")+IFERROR(Y145*1,"0")+IFERROR(Y146*1,"0")+IFERROR(Y150*1,"0")+IFERROR(Y151*1,"0")</f>
        <v>76.960000000000008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312.82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185.58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1677.2999999999997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5.4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52.8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210.6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284.25</v>
      </c>
      <c r="U573" s="46">
        <f>IFERROR(Y421*1,"0")+IFERROR(Y422*1,"0")</f>
        <v>0</v>
      </c>
      <c r="V573" s="46">
        <f>IFERROR(Y427*1,"0")+IFERROR(Y428*1,"0")+IFERROR(Y429*1,"0")</f>
        <v>16.8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10719</v>
      </c>
      <c r="X573" s="46">
        <f>IFERROR(Y464*1,"0")+IFERROR(Y465*1,"0")+IFERROR(Y469*1,"0")+IFERROR(Y473*1,"0")+IFERROR(Y474*1,"0")+IFERROR(Y475*1,"0")</f>
        <v>718.8</v>
      </c>
      <c r="Y573" s="46">
        <f>IFERROR(Y481*1,"0")+IFERROR(Y482*1,"0")+IFERROR(Y483*1,"0")+IFERROR(Y484*1,"0")+IFERROR(Y485*1,"0")+IFERROR(Y486*1,"0")+IFERROR(Y490*1,"0")+IFERROR(Y491*1,"0")</f>
        <v>102.60000000000001</v>
      </c>
      <c r="Z573" s="46">
        <f>IFERROR(Y496*1,"0")+IFERROR(Y500*1,"0")+IFERROR(Y501*1,"0")+IFERROR(Y502*1,"0")</f>
        <v>21.6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1451.9999999999998</v>
      </c>
      <c r="AB573" s="46">
        <f>IFERROR(Y538*1,"0")+IFERROR(Y542*1,"0")+IFERROR(Y546*1,"0")+IFERROR(Y550*1,"0")+IFERROR(Y554*1,"0")+IFERROR(Y555*1,"0")</f>
        <v>108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938,00"/>
        <filter val="10,00"/>
        <filter val="100,00"/>
        <filter val="106,00"/>
        <filter val="11,11"/>
        <filter val="111,00"/>
        <filter val="111,73"/>
        <filter val="114,00"/>
        <filter val="12,00"/>
        <filter val="12,35"/>
        <filter val="120,00"/>
        <filter val="122,14"/>
        <filter val="123,30"/>
        <filter val="13,33"/>
        <filter val="131,00"/>
        <filter val="132,41"/>
        <filter val="135,00"/>
        <filter val="14,00"/>
        <filter val="140,00"/>
        <filter val="15,00"/>
        <filter val="150,00"/>
        <filter val="155,00"/>
        <filter val="16,00"/>
        <filter val="164,00"/>
        <filter val="17 529,00"/>
        <filter val="17,00"/>
        <filter val="172,00"/>
        <filter val="18 302,40"/>
        <filter val="18,00"/>
        <filter val="18,52"/>
        <filter val="18,94"/>
        <filter val="180,00"/>
        <filter val="19 002,40"/>
        <filter val="19,00"/>
        <filter val="19,23"/>
        <filter val="19,98"/>
        <filter val="196,00"/>
        <filter val="2 205,00"/>
        <filter val="2 252,76"/>
        <filter val="2 404,00"/>
        <filter val="2,00"/>
        <filter val="2,22"/>
        <filter val="20,00"/>
        <filter val="21,25"/>
        <filter val="210,07"/>
        <filter val="216,00"/>
        <filter val="240,00"/>
        <filter val="25,13"/>
        <filter val="25,33"/>
        <filter val="27,78"/>
        <filter val="28"/>
        <filter val="284,00"/>
        <filter val="29,11"/>
        <filter val="3 151,00"/>
        <filter val="3,00"/>
        <filter val="3,70"/>
        <filter val="3,75"/>
        <filter val="30,00"/>
        <filter val="30,30"/>
        <filter val="300,00"/>
        <filter val="304,00"/>
        <filter val="31,00"/>
        <filter val="32,00"/>
        <filter val="320,00"/>
        <filter val="379,83"/>
        <filter val="39,00"/>
        <filter val="4,00"/>
        <filter val="400,00"/>
        <filter val="42,00"/>
        <filter val="48,00"/>
        <filter val="497,33"/>
        <filter val="5,00"/>
        <filter val="5,56"/>
        <filter val="50,00"/>
        <filter val="500,00"/>
        <filter val="51,00"/>
        <filter val="53,79"/>
        <filter val="54,00"/>
        <filter val="57,00"/>
        <filter val="59,00"/>
        <filter val="59,11"/>
        <filter val="6,00"/>
        <filter val="6,67"/>
        <filter val="60,00"/>
        <filter val="62,00"/>
        <filter val="625,00"/>
        <filter val="635,00"/>
        <filter val="65,00"/>
        <filter val="651,00"/>
        <filter val="67,00"/>
        <filter val="7 460,00"/>
        <filter val="7,00"/>
        <filter val="700,00"/>
        <filter val="716,00"/>
        <filter val="76,00"/>
        <filter val="8,33"/>
        <filter val="84,44"/>
        <filter val="882,00"/>
        <filter val="9,00"/>
        <filter val="91,00"/>
        <filter val="94,70"/>
        <filter val="989,00"/>
      </filters>
    </filterColumn>
    <filterColumn colId="29" showButton="0"/>
    <filterColumn colId="30" showButton="0"/>
  </autoFilter>
  <mergeCells count="1011"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P470:V470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D276:E276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A323:O324"/>
    <mergeCell ref="P363:T363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A112:O113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H10:M10"/>
    <mergeCell ref="P554:T554"/>
    <mergeCell ref="D364:E364"/>
    <mergeCell ref="A299:O300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554:E554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P513:T513"/>
    <mergeCell ref="A356:Z356"/>
    <mergeCell ref="P538:T538"/>
    <mergeCell ref="A90:O91"/>
    <mergeCell ref="D435:E435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P50:T50"/>
    <mergeCell ref="A301:Z301"/>
    <mergeCell ref="D186:E186"/>
    <mergeCell ref="P109:T109"/>
    <mergeCell ref="D217:E217"/>
    <mergeCell ref="D484:E484"/>
    <mergeCell ref="A114:Z114"/>
    <mergeCell ref="P68:V68"/>
    <mergeCell ref="P439:T439"/>
    <mergeCell ref="D249:E249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