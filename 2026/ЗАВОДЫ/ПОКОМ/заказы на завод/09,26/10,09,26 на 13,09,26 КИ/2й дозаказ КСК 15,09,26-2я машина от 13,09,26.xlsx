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8106E92-C384-4E07-A3AA-22D9F48BDDF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64" i="2" l="1"/>
  <c r="BN157" i="2"/>
  <c r="BN277" i="2"/>
  <c r="BN299" i="2"/>
  <c r="BN306" i="2"/>
  <c r="BN393" i="2"/>
  <c r="Z58" i="2"/>
  <c r="BN60" i="2"/>
  <c r="BN80" i="2"/>
  <c r="BP85" i="2"/>
  <c r="BN86" i="2"/>
  <c r="BN106" i="2"/>
  <c r="Z195" i="2"/>
  <c r="BN232" i="2"/>
  <c r="Z236" i="2"/>
  <c r="BN285" i="2"/>
  <c r="Y300" i="2"/>
  <c r="BN347" i="2"/>
  <c r="Z349" i="2"/>
  <c r="BN349" i="2"/>
  <c r="BN360" i="2"/>
  <c r="BP385" i="2"/>
  <c r="BN387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1" i="2" s="1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355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198" i="2" s="1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52" i="2" s="1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2" i="2" s="1"/>
  <c r="Z39" i="2"/>
  <c r="Z85" i="2"/>
  <c r="Z90" i="2" s="1"/>
  <c r="Y91" i="2"/>
  <c r="Z98" i="2"/>
  <c r="Z99" i="2" s="1"/>
  <c r="Z114" i="2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4" i="2" s="1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18" i="2" s="1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81" i="2" l="1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<sst xmlns="http://schemas.openxmlformats.org/spreadsheetml/2006/main" count="4310" uniqueCount="900">
  <si>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</si>
  <si>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</si>
  <si>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</si>
  <si>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</si>
  <si>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</si>
  <si>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</si>
  <si>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</si>
  <si>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</si>
  <si>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</si>
  <si>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</si>
  <si>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</si>
  <si>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</si>
  <si>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</si>
  <si>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</si>
  <si>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</si>
  <si>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</si>
  <si>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</si>
  <si>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</si>
  <si>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</si>
  <si>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</si>
  <si>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</si>
  <si>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</si>
  <si>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</si>
  <si>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</si>
  <si>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</si>
  <si>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</si>
  <si>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</si>
  <si>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</si>
  <si>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</si>
  <si>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</si>
  <si>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</si>
  <si>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</si>
  <si>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</si>
  <si>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</si>
  <si>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</si>
  <si>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</si>
  <si>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</si>
  <si>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</si>
  <si>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</si>
  <si>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</si>
  <si>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</si>
  <si>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</si>
  <si>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</si>
  <si>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</si>
  <si>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</si>
  <si>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</si>
  <si>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</si>
  <si>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</si>
  <si>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</si>
  <si>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</si>
  <si>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</si>
  <si>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</si>
  <si>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</si>
  <si>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</si>
  <si>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</si>
  <si>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</si>
  <si>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</si>
  <si>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</si>
  <si>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</si>
  <si>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</si>
  <si>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</si>
  <si>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</si>
  <si>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</si>
  <si>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</si>
  <si>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</si>
  <si>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</si>
  <si>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</si>
  <si>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</si>
  <si>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</si>
  <si>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</si>
  <si>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</si>
  <si>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</si>
  <si>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</si>
  <si>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</si>
  <si>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</si>
  <si>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</si>
  <si>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</si>
  <si>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</si>
  <si>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</si>
  <si>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</si>
  <si>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</si>
  <si>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</si>
  <si>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</si>
  <si>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</si>
  <si>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</si>
  <si>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</si>
  <si>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</si>
  <si>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</si>
  <si>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</si>
  <si>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</si>
  <si>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</si>
  <si>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</si>
  <si>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</si>
  <si>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</si>
  <si>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</si>
  <si>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</si>
  <si>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</si>
  <si>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</si>
  <si>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</si>
  <si>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</si>
  <si>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</si>
  <si>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</si>
  <si>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</si>
  <si>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</si>
  <si>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</si>
  <si>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</si>
  <si>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</si>
  <si>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</si>
  <si>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</si>
  <si>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</si>
  <si>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</si>
  <si>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</si>
  <si>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</si>
  <si>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</si>
  <si>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</si>
  <si>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</si>
  <si>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</si>
  <si>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</si>
  <si>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</si>
  <si>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</si>
  <si>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</si>
  <si>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</si>
  <si>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</si>
  <si>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</si>
  <si>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</si>
  <si>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</si>
  <si>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</si>
  <si>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</si>
  <si>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</si>
  <si>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</si>
  <si>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</si>
  <si>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</si>
  <si>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</si>
  <si>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</si>
  <si>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</si>
  <si>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</si>
  <si>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</si>
  <si>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</si>
  <si>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</si>
  <si>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</si>
  <si>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</si>
  <si>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</si>
  <si>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</si>
  <si>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</si>
  <si>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</si>
  <si>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</si>
  <si>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</si>
  <si>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</si>
  <si>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</si>
  <si>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</si>
  <si>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</si>
  <si>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</si>
  <si>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</si>
  <si>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</si>
  <si>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</si>
  <si>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</si>
  <si>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</si>
  <si>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</si>
  <si>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</si>
  <si>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</si>
  <si>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</si>
  <si>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</si>
  <si>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</si>
  <si>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</si>
  <si>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</si>
  <si>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</si>
  <si>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</si>
  <si>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</si>
  <si>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</si>
  <si>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</si>
  <si>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</si>
  <si>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</si>
  <si>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</si>
  <si>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</si>
  <si>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</si>
  <si>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</si>
  <si>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</si>
  <si>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</si>
  <si>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</si>
  <si>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</si>
  <si>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</si>
  <si>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</si>
  <si>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</si>
  <si>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</si>
  <si>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</si>
  <si>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</si>
  <si>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</si>
  <si>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</si>
  <si>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</si>
  <si>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</si>
  <si>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</si>
  <si>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</si>
  <si>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</si>
  <si>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</si>
  <si>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</si>
  <si>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</si>
  <si>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</si>
  <si>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</si>
  <si>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</si>
  <si>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</si>
  <si>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</si>
  <si>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</si>
  <si>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</si>
  <si>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</si>
  <si>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</si>
  <si>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</si>
  <si>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</si>
  <si>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</si>
  <si>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</si>
  <si>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</si>
  <si>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</si>
  <si>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</si>
  <si>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</si>
  <si>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</si>
  <si>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</si>
  <si>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</si>
  <si>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</si>
  <si>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</si>
  <si>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</si>
  <si>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</si>
  <si>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</si>
  <si>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</si>
  <si>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</si>
  <si>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</si>
  <si>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</si>
  <si>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</si>
  <si>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</si>
  <si>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</si>
  <si>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</si>
  <si>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</si>
  <si>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</si>
  <si>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</si>
  <si>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</si>
  <si>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</si>
  <si>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</si>
  <si>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</si>
  <si>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</si>
  <si>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</si>
  <si>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</si>
  <si>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</si>
  <si>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</si>
  <si>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</si>
  <si>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</si>
  <si>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</si>
  <si>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</si>
  <si>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</si>
  <si>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</si>
  <si>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</si>
  <si>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</si>
  <si>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</si>
  <si>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</si>
  <si>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</si>
  <si>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</si>
  <si>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</si>
  <si>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</si>
  <si>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</si>
  <si>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</si>
  <si>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</si>
  <si>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</si>
  <si>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</si>
  <si>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</si>
  <si>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</si>
  <si>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</si>
  <si>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</si>
  <si>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</si>
  <si>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</si>
  <si>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</si>
  <si>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</si>
  <si>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</si>
  <si>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</si>
  <si>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</si>
  <si>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</si>
  <si>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</si>
  <si>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</si>
  <si>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</si>
  <si>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</si>
  <si>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</si>
  <si>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</si>
  <si>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</si>
  <si>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</si>
  <si>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</si>
  <si>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</si>
  <si>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</si>
  <si>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</si>
  <si>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</si>
  <si>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</si>
  <si>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</si>
  <si>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</si>
  <si>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</si>
  <si>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</si>
  <si>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</si>
  <si>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</si>
  <si>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</si>
  <si>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</si>
  <si>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</si>
  <si>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</si>
  <si>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</si>
  <si>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</si>
  <si>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</si>
  <si>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</si>
  <si>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</si>
  <si>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</si>
  <si>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</si>
  <si>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</si>
  <si>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</si>
  <si>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</si>
  <si>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</si>
  <si>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</si>
  <si>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</si>
  <si>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</si>
  <si>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</si>
  <si>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</si>
  <si>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</si>
  <si>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</si>
  <si>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</si>
  <si>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</si>
  <si>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</si>
  <si>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</si>
  <si>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</si>
  <si>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</si>
  <si>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</si>
  <si>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</si>
  <si>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</si>
  <si>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</si>
  <si>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</si>
  <si>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</si>
  <si>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</si>
  <si>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</si>
  <si>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</si>
  <si>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</si>
  <si>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</si>
  <si>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</si>
  <si>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</si>
  <si>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</si>
  <si>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</si>
  <si>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</si>
  <si>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</si>
  <si>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</si>
  <si>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</si>
  <si>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</si>
  <si>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</si>
  <si>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</si>
  <si>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</si>
  <si>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</si>
  <si>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</si>
  <si>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</si>
  <si>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</si>
  <si>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</si>
  <si>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</si>
  <si>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</si>
  <si>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</si>
  <si>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</si>
  <si>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</si>
  <si>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</si>
  <si>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</si>
  <si>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</si>
  <si>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</si>
  <si>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</si>
  <si>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</si>
  <si>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</si>
  <si>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</si>
  <si>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</si>
  <si>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</si>
  <si>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</si>
  <si>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</si>
  <si>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</si>
  <si>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</si>
  <si>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</si>
  <si>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</si>
  <si>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</si>
  <si>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</si>
  <si>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</si>
  <si>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</si>
  <si>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</si>
  <si>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</si>
  <si>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</si>
  <si>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</si>
  <si>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</si>
  <si>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</si>
  <si>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</si>
  <si>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</si>
  <si>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</si>
  <si>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</si>
  <si>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</si>
  <si>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</si>
  <si>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</si>
  <si>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</si>
  <si>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</si>
  <si>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</si>
  <si>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</si>
  <si>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</si>
  <si>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</si>
  <si>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</si>
  <si>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</si>
  <si>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</si>
  <si>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</si>
  <si>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</si>
  <si>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</si>
  <si>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</si>
  <si>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</si>
  <si>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</si>
  <si>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</si>
  <si>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</si>
  <si>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</si>
  <si>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</si>
  <si>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</si>
  <si>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</si>
  <si>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</si>
  <si>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</si>
  <si>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</si>
  <si>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</si>
  <si>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</si>
  <si>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</si>
  <si>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</si>
  <si>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</si>
  <si>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</si>
  <si>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</si>
  <si>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</si>
  <si>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</si>
  <si>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</si>
  <si>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</si>
  <si>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</si>
  <si>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</si>
  <si>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</si>
  <si>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</si>
  <si>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</si>
  <si>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</si>
  <si>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</si>
  <si>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</si>
  <si>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</si>
  <si>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</si>
  <si>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</si>
  <si>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</si>
  <si>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</si>
  <si>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</si>
  <si>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</si>
  <si>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</si>
  <si>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</si>
  <si>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</si>
  <si>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</si>
  <si>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</si>
  <si>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</si>
  <si>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</si>
  <si>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</si>
  <si>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</si>
  <si>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</si>
  <si>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</si>
  <si>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</si>
  <si>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</si>
  <si>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</si>
  <si>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</si>
  <si>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</si>
  <si>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</si>
  <si>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</si>
  <si>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</si>
  <si>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</si>
  <si>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</si>
  <si>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</si>
  <si>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</si>
  <si>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</si>
  <si>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</si>
  <si>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</si>
  <si>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</si>
  <si>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</si>
  <si>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</si>
  <si>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</si>
  <si>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</si>
  <si>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</si>
  <si>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</si>
  <si>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</si>
  <si>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</si>
  <si>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</si>
  <si>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</si>
  <si>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</si>
  <si>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</si>
  <si>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</si>
  <si>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</si>
  <si>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</si>
  <si>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</si>
  <si>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</si>
  <si>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</si>
  <si>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</si>
  <si>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</si>
  <si>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</si>
  <si>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</si>
  <si>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</si>
  <si>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</si>
  <si>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</si>
  <si>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</si>
  <si>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</si>
  <si>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</si>
  <si>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</si>
  <si>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</si>
  <si>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</si>
  <si>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</si>
  <si>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</si>
  <si>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</si>
  <si>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</si>
  <si>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</si>
  <si>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</si>
  <si>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</si>
  <si>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</si>
  <si>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</si>
  <si>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</si>
  <si>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</si>
  <si>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</si>
  <si>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</si>
  <si>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</si>
  <si>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</si>
  <si>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</si>
  <si>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</si>
  <si>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</si>
  <si>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</si>
  <si>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</si>
  <si>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</si>
  <si>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</si>
  <si>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</si>
  <si>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</si>
  <si>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</si>
  <si>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</si>
  <si>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</si>
  <si>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</si>
  <si>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</si>
  <si>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</si>
  <si>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</si>
  <si>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</si>
  <si>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</si>
  <si>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</si>
  <si>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</si>
  <si>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</si>
  <si>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</si>
  <si>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</si>
  <si>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</si>
  <si>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</si>
  <si>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</si>
  <si>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</si>
  <si>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</si>
  <si>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</si>
  <si>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</si>
  <si>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</si>
  <si>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</si>
  <si>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</si>
  <si>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</si>
  <si>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</si>
  <si>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</si>
  <si>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</si>
  <si>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</si>
  <si>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</si>
  <si>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</si>
  <si>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</si>
  <si>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</si>
  <si>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</si>
  <si>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</si>
  <si>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</si>
  <si>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</si>
  <si>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</si>
  <si>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</si>
  <si>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</si>
  <si>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</si>
  <si>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</si>
  <si>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</si>
  <si>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</si>
  <si>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</si>
  <si>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</si>
  <si>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</si>
  <si>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</si>
  <si>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</si>
  <si>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</si>
  <si>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</si>
  <si>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</si>
  <si>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</si>
  <si>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</si>
  <si>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</si>
  <si>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</si>
  <si>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</si>
  <si>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</si>
  <si>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</si>
  <si>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</si>
  <si>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</si>
  <si>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</si>
  <si>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</si>
  <si>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</si>
  <si>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</si>
  <si>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</si>
  <si>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</si>
  <si>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</si>
  <si>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</si>
  <si>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</si>
  <si>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</si>
  <si>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</si>
  <si>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</si>
  <si>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</si>
  <si>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</si>
  <si>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</si>
  <si>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</si>
  <si>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</si>
  <si>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</si>
  <si>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</si>
  <si>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</si>
  <si>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</si>
  <si>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</si>
  <si>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</si>
  <si>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</si>
  <si>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</si>
  <si>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</si>
  <si>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</si>
  <si>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</si>
  <si>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</si>
  <si>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</si>
  <si>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</si>
  <si>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</si>
  <si>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</si>
  <si>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</si>
  <si>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</si>
  <si>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</si>
  <si>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</si>
  <si>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</si>
  <si>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</si>
  <si>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</si>
  <si>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</si>
  <si>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</si>
  <si>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</si>
  <si>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</si>
  <si>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</si>
  <si>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</si>
  <si>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</si>
  <si>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</si>
  <si>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</si>
  <si>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</si>
  <si>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</si>
  <si>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</si>
  <si>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</si>
  <si>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</si>
  <si>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</si>
  <si>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</si>
  <si>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</si>
  <si>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</si>
  <si>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</si>
  <si>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</si>
  <si>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</si>
  <si>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</si>
  <si>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</si>
  <si>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</si>
  <si>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</si>
  <si>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</si>
  <si>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</si>
  <si>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</si>
  <si>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</si>
  <si>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</si>
  <si>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</si>
  <si>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</si>
  <si>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</si>
  <si>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</si>
  <si>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</si>
  <si>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</si>
  <si>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</si>
  <si>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</si>
  <si>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</si>
  <si>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</si>
  <si>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</si>
  <si>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</si>
  <si>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</si>
  <si>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</si>
  <si>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</si>
  <si>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</si>
  <si>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</si>
  <si>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</si>
  <si>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</si>
  <si>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</si>
  <si>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</si>
  <si>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</si>
  <si>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</si>
  <si>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</si>
  <si>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</si>
  <si>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</si>
  <si>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</si>
  <si>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</si>
  <si>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</si>
  <si>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</si>
  <si>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</si>
  <si>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</si>
  <si>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</si>
  <si>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</si>
  <si>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</si>
  <si>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</si>
  <si>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</si>
  <si>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</si>
  <si>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</si>
  <si>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</si>
  <si>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</si>
  <si>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</si>
  <si>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</si>
  <si>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</si>
  <si>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</si>
  <si>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</si>
  <si>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</si>
  <si>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</si>
  <si>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</si>
  <si>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</si>
  <si>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</si>
  <si>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</si>
  <si>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</si>
  <si>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</si>
  <si>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</si>
  <si>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</si>
  <si>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</si>
  <si>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</si>
  <si>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</si>
  <si>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</si>
  <si>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</si>
  <si>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</si>
  <si>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</si>
  <si>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</si>
  <si>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</si>
  <si>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</si>
  <si>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</si>
  <si>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</si>
  <si>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</si>
  <si>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</si>
  <si>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</si>
  <si>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</si>
  <si>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</si>
  <si>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</si>
  <si>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</si>
  <si>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</si>
  <si>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</si>
  <si>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</si>
  <si>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</si>
  <si>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</si>
  <si>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</si>
  <si>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</si>
  <si>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</si>
  <si>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</si>
  <si>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</si>
  <si>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</si>
  <si>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</si>
  <si>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</si>
  <si>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</si>
  <si>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</si>
  <si>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</si>
  <si>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</si>
  <si>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</si>
  <si>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</si>
  <si>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</si>
  <si>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</si>
  <si>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</si>
  <si>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</si>
  <si>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</si>
  <si>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</si>
  <si>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</si>
  <si>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</si>
  <si>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</si>
  <si>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</si>
  <si>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</si>
  <si>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</si>
  <si>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</si>
  <si>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</si>
  <si>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</si>
  <si>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</si>
  <si>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</si>
  <si>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</si>
  <si>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</si>
  <si>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</si>
  <si>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</si>
  <si>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</si>
  <si>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</si>
  <si>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</si>
  <si>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</si>
  <si>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</si>
  <si>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</si>
  <si>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</si>
  <si>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</si>
  <si>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</si>
  <si>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</si>
  <si>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</si>
  <si>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</si>
  <si>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</si>
  <si>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</si>
  <si>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</si>
  <si>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</si>
  <si>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</si>
  <si>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</si>
  <si>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</si>
  <si>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</si>
  <si>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</si>
  <si>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</si>
  <si>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</si>
  <si>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</si>
  <si>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</si>
  <si>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</si>
  <si>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</si>
  <si>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</si>
  <si>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</si>
  <si>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</si>
  <si>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</si>
  <si>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</si>
  <si>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</si>
  <si>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</si>
  <si>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</si>
  <si>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</si>
  <si>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</si>
  <si>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</si>
  <si>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</si>
  <si>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</si>
  <si>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</si>
  <si>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</si>
  <si>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</si>
  <si>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</si>
  <si>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</si>
  <si>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</si>
  <si>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</si>
  <si>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</si>
  <si>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</si>
  <si>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</si>
  <si>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</si>
  <si>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</si>
  <si>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</si>
  <si>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</si>
  <si>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</si>
  <si>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</si>
  <si>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</si>
  <si>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</si>
  <si>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</si>
  <si>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</si>
  <si>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</si>
  <si>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</si>
  <si>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</si>
  <si>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</si>
  <si>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</si>
  <si>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</si>
  <si>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</si>
  <si>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</si>
  <si>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</si>
  <si>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</si>
  <si>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</si>
  <si>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</si>
  <si>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</si>
  <si>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</si>
  <si>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</si>
  <si>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</si>
  <si>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</si>
  <si>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</si>
  <si>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</si>
  <si>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</si>
  <si>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</si>
  <si>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</si>
  <si>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</si>
  <si>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</si>
  <si>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</si>
  <si>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</si>
  <si>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</si>
  <si>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</si>
  <si>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</si>
  <si>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</si>
  <si>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</si>
  <si>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</si>
  <si>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</si>
  <si>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</si>
  <si>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</si>
  <si>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</si>
  <si>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</si>
  <si>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</si>
  <si>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</si>
  <si>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</si>
  <si>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</si>
  <si>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</si>
  <si>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</si>
  <si>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</si>
  <si>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</si>
  <si>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</si>
  <si>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</si>
  <si>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</si>
  <si>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</si>
  <si>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</si>
  <si>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</si>
  <si>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</si>
  <si>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</si>
  <si>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</si>
  <si>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</si>
  <si>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</si>
  <si>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</si>
  <si>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</si>
  <si>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</si>
  <si>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</si>
  <si>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</si>
  <si>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</si>
  <si>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</si>
  <si>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</si>
  <si>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</si>
  <si>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</si>
  <si>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</si>
  <si>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</si>
  <si>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</si>
  <si>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</si>
  <si>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</si>
  <si>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</si>
  <si>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</si>
  <si>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</si>
  <si>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</si>
  <si>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от 13,09 на 2-00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</si>
</sst>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899</v>
      </c>
      <c r="I5" s="1001"/>
      <c r="J5" s="1001"/>
      <c r="K5" s="1001"/>
      <c r="L5" s="1001"/>
      <c r="M5" s="1001"/>
      <c r="N5" s="72"/>
      <c r="P5" s="27" t="s">
        <v>4</v>
      </c>
      <c r="Q5" s="1003">
        <v>46280</v>
      </c>
      <c r="R5" s="1003"/>
      <c r="T5" s="1004" t="s">
        <v>3</v>
      </c>
      <c r="U5" s="1005"/>
      <c r="V5" s="1006" t="s">
        <v>879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880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Вторник</v>
      </c>
      <c r="R6" s="1009"/>
      <c r="T6" s="1010" t="s">
        <v>5</v>
      </c>
      <c r="U6" s="1011"/>
      <c r="V6" s="1012" t="s">
        <v>69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57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0.5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70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898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71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72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74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60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58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65</v>
      </c>
      <c r="L17" s="955" t="s">
        <v>63</v>
      </c>
      <c r="M17" s="955" t="s">
        <v>2</v>
      </c>
      <c r="N17" s="955" t="s">
        <v>62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55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59</v>
      </c>
      <c r="AB17" s="961" t="s">
        <v>19</v>
      </c>
      <c r="AC17" s="961" t="s">
        <v>64</v>
      </c>
      <c r="AD17" s="963" t="s">
        <v>56</v>
      </c>
      <c r="AE17" s="964"/>
      <c r="AF17" s="965"/>
      <c r="AG17" s="82"/>
      <c r="BD17" s="81" t="s">
        <v>61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75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76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85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103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85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120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121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136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121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154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85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181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121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4" t="s">
        <v>189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85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5" t="s">
        <v>198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8" t="s">
        <v>204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208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0" t="s">
        <v>222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154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85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4" t="s">
        <v>242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7" t="s">
        <v>248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9" t="s">
        <v>253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172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90" t="s">
        <v>258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259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121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76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85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272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85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288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119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121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154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76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60" t="s">
        <v>323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2" t="s">
        <v>329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85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288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355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360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121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154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76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85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288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445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448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121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154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76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85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516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121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154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538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355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549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121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565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574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76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85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595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121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604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121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76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85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172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670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679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688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85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695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85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705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706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121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400</v>
      </c>
      <c r="Y433" s="55">
        <f t="shared" si="68"/>
        <v>405</v>
      </c>
      <c r="Z433" s="41">
        <f>IFERROR(IF(Y433=0,"",ROUNDUP(Y433/H433,0)*0.02175),"")</f>
        <v>0.58724999999999994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412.53333333333336</v>
      </c>
      <c r="BN433" s="78">
        <f t="shared" si="70"/>
        <v>417.69</v>
      </c>
      <c r="BO433" s="78">
        <f t="shared" si="71"/>
        <v>0.55555555555555558</v>
      </c>
      <c r="BP433" s="78">
        <f t="shared" si="72"/>
        <v>0.5625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300</v>
      </c>
      <c r="Y434" s="55">
        <f t="shared" si="68"/>
        <v>300</v>
      </c>
      <c r="Z434" s="41">
        <f>IFERROR(IF(Y434=0,"",ROUNDUP(Y434/H434,0)*0.02175),"")</f>
        <v>0.43499999999999994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309.39999999999998</v>
      </c>
      <c r="BN434" s="78">
        <f t="shared" si="70"/>
        <v>309.39999999999998</v>
      </c>
      <c r="BO434" s="78">
        <f t="shared" si="71"/>
        <v>0.41666666666666663</v>
      </c>
      <c r="BP434" s="78">
        <f t="shared" si="72"/>
        <v>0.41666666666666663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400</v>
      </c>
      <c r="Y435" s="55">
        <f t="shared" si="68"/>
        <v>405</v>
      </c>
      <c r="Z435" s="41">
        <f>IFERROR(IF(Y435=0,"",ROUNDUP(Y435/H435,0)*0.02175),"")</f>
        <v>0.58724999999999994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412.53333333333336</v>
      </c>
      <c r="BN435" s="78">
        <f t="shared" si="70"/>
        <v>417.69</v>
      </c>
      <c r="BO435" s="78">
        <f t="shared" si="71"/>
        <v>0.55555555555555558</v>
      </c>
      <c r="BP435" s="78">
        <f t="shared" si="72"/>
        <v>0.5625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200</v>
      </c>
      <c r="Y436" s="55">
        <f t="shared" si="68"/>
        <v>210</v>
      </c>
      <c r="Z436" s="41">
        <f>IFERROR(IF(Y436=0,"",ROUNDUP(Y436/H436,0)*0.02175),"")</f>
        <v>0.30449999999999999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206.26666666666668</v>
      </c>
      <c r="BN436" s="78">
        <f t="shared" si="70"/>
        <v>216.58</v>
      </c>
      <c r="BO436" s="78">
        <f t="shared" si="71"/>
        <v>0.27777777777777779</v>
      </c>
      <c r="BP436" s="78">
        <f t="shared" si="72"/>
        <v>0.29166666666666663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86.666666666666671</v>
      </c>
      <c r="Y440" s="43">
        <f>IFERROR(Y432/H432,"0")+IFERROR(Y433/H433,"0")+IFERROR(Y434/H434,"0")+IFERROR(Y435/H435,"0")+IFERROR(Y436/H436,"0")+IFERROR(Y437/H437,"0")+IFERROR(Y438/H438,"0")+IFERROR(Y439/H439,"0")</f>
        <v>88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1.9139999999999997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1300</v>
      </c>
      <c r="Y441" s="43">
        <f>IFERROR(SUM(Y432:Y439),"0")</f>
        <v>1320</v>
      </c>
      <c r="Z441" s="42"/>
      <c r="AA441" s="67"/>
      <c r="AB441" s="67"/>
      <c r="AC441" s="67"/>
    </row>
    <row r="442" spans="1:68" ht="14.25" hidden="1" customHeight="1" x14ac:dyDescent="0.25">
      <c r="A442" s="664" t="s">
        <v>154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300</v>
      </c>
      <c r="Y443" s="55">
        <f>IFERROR(IF(X443="",0,CEILING((X443/$H443),1)*$H443),"")</f>
        <v>300</v>
      </c>
      <c r="Z443" s="41">
        <f>IFERROR(IF(Y443=0,"",ROUNDUP(Y443/H443,0)*0.02175),"")</f>
        <v>0.43499999999999994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309.39999999999998</v>
      </c>
      <c r="BN443" s="78">
        <f>IFERROR(Y443*I443/H443,"0")</f>
        <v>309.39999999999998</v>
      </c>
      <c r="BO443" s="78">
        <f>IFERROR(1/J443*(X443/H443),"0")</f>
        <v>0.41666666666666663</v>
      </c>
      <c r="BP443" s="78">
        <f>IFERROR(1/J443*(Y443/H443),"0")</f>
        <v>0.41666666666666663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20</v>
      </c>
      <c r="Y446" s="43">
        <f>IFERROR(Y443/H443,"0")+IFERROR(Y444/H444,"0")+IFERROR(Y445/H445,"0")</f>
        <v>20</v>
      </c>
      <c r="Z446" s="43">
        <f>IFERROR(IF(Z443="",0,Z443),"0")+IFERROR(IF(Z444="",0,Z444),"0")+IFERROR(IF(Z445="",0,Z445),"0")</f>
        <v>0.43499999999999994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300</v>
      </c>
      <c r="Y447" s="43">
        <f>IFERROR(SUM(Y443:Y445),"0")</f>
        <v>300</v>
      </c>
      <c r="Z447" s="42"/>
      <c r="AA447" s="67"/>
      <c r="AB447" s="67"/>
      <c r="AC447" s="67"/>
    </row>
    <row r="448" spans="1:68" ht="14.25" hidden="1" customHeight="1" x14ac:dyDescent="0.25">
      <c r="A448" s="664" t="s">
        <v>85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172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755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121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76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85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771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772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76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85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795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154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76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807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807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121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154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76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854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854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121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76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85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172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873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154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1600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1620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1650.1333333333332</v>
      </c>
      <c r="Y561" s="43">
        <f>IFERROR(SUM(BN22:BN557),"0")</f>
        <v>1670.7599999999998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3</v>
      </c>
      <c r="Y562" s="44">
        <f>ROUNDUP(SUM(BP22:BP557),0)</f>
        <v>3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1725.1333333333332</v>
      </c>
      <c r="Y563" s="43">
        <f>GrossWeightTotalR+PalletQtyTotalR*25</f>
        <v>1745.7599999999998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106.66666666666667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108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2.3489999999999998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654" t="s">
        <v>119</v>
      </c>
      <c r="E567" s="654" t="s">
        <v>119</v>
      </c>
      <c r="F567" s="654" t="s">
        <v>119</v>
      </c>
      <c r="G567" s="654" t="s">
        <v>119</v>
      </c>
      <c r="H567" s="654" t="s">
        <v>119</v>
      </c>
      <c r="I567" s="654" t="s">
        <v>119</v>
      </c>
      <c r="J567" s="654" t="s">
        <v>119</v>
      </c>
      <c r="K567" s="654" t="s">
        <v>359</v>
      </c>
      <c r="L567" s="654" t="s">
        <v>359</v>
      </c>
      <c r="M567" s="654" t="s">
        <v>359</v>
      </c>
      <c r="N567" s="655"/>
      <c r="O567" s="654" t="s">
        <v>359</v>
      </c>
      <c r="P567" s="654" t="s">
        <v>359</v>
      </c>
      <c r="Q567" s="654" t="s">
        <v>359</v>
      </c>
      <c r="R567" s="654" t="s">
        <v>359</v>
      </c>
      <c r="S567" s="654" t="s">
        <v>359</v>
      </c>
      <c r="T567" s="654" t="s">
        <v>359</v>
      </c>
      <c r="U567" s="654" t="s">
        <v>359</v>
      </c>
      <c r="V567" s="654" t="s">
        <v>359</v>
      </c>
      <c r="W567" s="654" t="s">
        <v>705</v>
      </c>
      <c r="X567" s="654" t="s">
        <v>705</v>
      </c>
      <c r="Y567" s="654" t="s">
        <v>771</v>
      </c>
      <c r="Z567" s="654" t="s">
        <v>771</v>
      </c>
      <c r="AA567" s="85" t="s">
        <v>807</v>
      </c>
      <c r="AB567" s="654" t="s">
        <v>854</v>
      </c>
      <c r="AC567" s="654" t="s">
        <v>854</v>
      </c>
      <c r="AF567" s="1"/>
    </row>
    <row r="568" spans="1:32" ht="14.25" customHeight="1" thickTop="1" x14ac:dyDescent="0.2">
      <c r="A568" s="656" t="s">
        <v>10</v>
      </c>
      <c r="B568" s="654" t="s">
        <v>75</v>
      </c>
      <c r="C568" s="654" t="s">
        <v>103</v>
      </c>
      <c r="D568" s="654" t="s">
        <v>120</v>
      </c>
      <c r="E568" s="654" t="s">
        <v>136</v>
      </c>
      <c r="F568" s="654" t="s">
        <v>181</v>
      </c>
      <c r="G568" s="654" t="s">
        <v>208</v>
      </c>
      <c r="H568" s="654" t="s">
        <v>259</v>
      </c>
      <c r="I568" s="654" t="s">
        <v>272</v>
      </c>
      <c r="J568" s="654" t="s">
        <v>119</v>
      </c>
      <c r="K568" s="654" t="s">
        <v>360</v>
      </c>
      <c r="L568" s="654" t="s">
        <v>381</v>
      </c>
      <c r="M568" s="654" t="s">
        <v>448</v>
      </c>
      <c r="N568" s="1"/>
      <c r="O568" s="654" t="s">
        <v>516</v>
      </c>
      <c r="P568" s="654" t="s">
        <v>549</v>
      </c>
      <c r="Q568" s="654" t="s">
        <v>565</v>
      </c>
      <c r="R568" s="654" t="s">
        <v>574</v>
      </c>
      <c r="S568" s="654" t="s">
        <v>595</v>
      </c>
      <c r="T568" s="654" t="s">
        <v>604</v>
      </c>
      <c r="U568" s="654" t="s">
        <v>688</v>
      </c>
      <c r="V568" s="654" t="s">
        <v>695</v>
      </c>
      <c r="W568" s="654" t="s">
        <v>706</v>
      </c>
      <c r="X568" s="654" t="s">
        <v>755</v>
      </c>
      <c r="Y568" s="654" t="s">
        <v>772</v>
      </c>
      <c r="Z568" s="654" t="s">
        <v>795</v>
      </c>
      <c r="AA568" s="654" t="s">
        <v>807</v>
      </c>
      <c r="AB568" s="654" t="s">
        <v>854</v>
      </c>
      <c r="AC568" s="654" t="s">
        <v>873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1620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600,00"/>
        <filter val="1 650,13"/>
        <filter val="1 725,13"/>
        <filter val="106,67"/>
        <filter val="20,00"/>
        <filter val="200,00"/>
        <filter val="3"/>
        <filter val="300,00"/>
        <filter val="400,00"/>
        <filter val="86,67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2026-09-15T08:46:21Z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