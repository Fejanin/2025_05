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9A7043-0E42-4905-A10B-6511D161C36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<sst xmlns="http://schemas.openxmlformats.org/spreadsheetml/2006/main" count="4310" uniqueCount="900">
  <si>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</si>
  <si>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</si>
  <si>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</si>
  <si>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</si>
  <si>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</si>
  <si>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</si>
  <si>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</si>
  <si>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</si>
  <si>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</si>
  <si>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</si>
  <si>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</si>
  <si>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</si>
  <si>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</si>
  <si>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</si>
  <si>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</si>
  <si>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</si>
  <si>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</si>
  <si>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</si>
  <si>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</si>
  <si>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</si>
  <si>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</si>
  <si>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</si>
  <si>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</si>
  <si>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</si>
  <si>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</si>
  <si>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</si>
  <si>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</si>
  <si>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</si>
  <si>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</si>
  <si>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</si>
  <si>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</si>
  <si>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</si>
  <si>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</si>
  <si>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</si>
  <si>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</si>
  <si>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</si>
  <si>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</si>
  <si>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</si>
  <si>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</si>
  <si>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</si>
  <si>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</si>
  <si>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</si>
  <si>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</si>
  <si>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</si>
  <si>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</si>
  <si>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</si>
  <si>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</si>
  <si>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</si>
  <si>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</si>
  <si>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</si>
  <si>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</si>
  <si>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</si>
  <si>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</si>
  <si>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</si>
  <si>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</si>
  <si>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</si>
  <si>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</si>
  <si>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</si>
  <si>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</si>
  <si>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</si>
  <si>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</si>
  <si>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</si>
  <si>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</si>
  <si>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</si>
  <si>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</si>
  <si>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</si>
  <si>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</si>
  <si>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</si>
  <si>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</si>
  <si>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</si>
  <si>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</si>
  <si>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</si>
  <si>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</si>
  <si>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</si>
  <si>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</si>
  <si>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</si>
  <si>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</si>
  <si>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</si>
  <si>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</si>
  <si>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</si>
  <si>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</si>
  <si>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</si>
  <si>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</si>
  <si>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</si>
  <si>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</si>
  <si>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</si>
  <si>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</si>
  <si>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</si>
  <si>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</si>
  <si>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</si>
  <si>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</si>
  <si>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</si>
  <si>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</si>
  <si>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</si>
  <si>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</si>
  <si>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</si>
  <si>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</si>
  <si>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</si>
  <si>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</si>
  <si>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</si>
  <si>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</si>
  <si>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</si>
  <si>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</si>
  <si>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</si>
  <si>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</si>
  <si>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</si>
  <si>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</si>
  <si>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</si>
  <si>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</si>
  <si>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</si>
  <si>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</si>
  <si>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</si>
  <si>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</si>
  <si>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</si>
  <si>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</si>
  <si>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</si>
  <si>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</si>
  <si>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</si>
  <si>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</si>
  <si>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</si>
  <si>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</si>
  <si>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</si>
  <si>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</si>
  <si>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</si>
  <si>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</si>
  <si>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</si>
  <si>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</si>
  <si>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</si>
  <si>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</si>
  <si>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</si>
  <si>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</si>
  <si>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</si>
  <si>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</si>
  <si>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</si>
  <si>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</si>
  <si>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</si>
  <si>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</si>
  <si>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</si>
  <si>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</si>
  <si>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</si>
  <si>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</si>
  <si>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</si>
  <si>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</si>
  <si>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</si>
  <si>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</si>
  <si>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</si>
  <si>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</si>
  <si>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</si>
  <si>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</si>
  <si>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</si>
  <si>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</si>
  <si>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</si>
  <si>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</si>
  <si>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</si>
  <si>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</si>
  <si>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</si>
  <si>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</si>
  <si>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</si>
  <si>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</si>
  <si>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</si>
  <si>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</si>
  <si>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</si>
  <si>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</si>
  <si>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</si>
  <si>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</si>
  <si>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</si>
  <si>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</si>
  <si>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</si>
  <si>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</si>
  <si>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</si>
  <si>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</si>
  <si>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</si>
  <si>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</si>
  <si>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</si>
  <si>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</si>
  <si>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</si>
  <si>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</si>
  <si>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</si>
  <si>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</si>
  <si>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</si>
  <si>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</si>
  <si>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</si>
  <si>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</si>
  <si>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</si>
  <si>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</si>
  <si>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</si>
  <si>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</si>
  <si>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</si>
  <si>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</si>
  <si>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</si>
  <si>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</si>
  <si>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</si>
  <si>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</si>
  <si>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</si>
  <si>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</si>
  <si>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</si>
  <si>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</si>
  <si>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</si>
  <si>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</si>
  <si>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</si>
  <si>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</si>
  <si>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</si>
  <si>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</si>
  <si>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</si>
  <si>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</si>
  <si>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</si>
  <si>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</si>
  <si>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</si>
  <si>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</si>
  <si>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</si>
  <si>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</si>
  <si>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</si>
  <si>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</si>
  <si>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</si>
  <si>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</si>
  <si>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</si>
  <si>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</si>
  <si>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</si>
  <si>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</si>
  <si>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</si>
  <si>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</si>
  <si>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</si>
  <si>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</si>
  <si>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</si>
  <si>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</si>
  <si>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</si>
  <si>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</si>
  <si>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</si>
  <si>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</si>
  <si>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</si>
  <si>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</si>
  <si>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</si>
  <si>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</si>
  <si>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</si>
  <si>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</si>
  <si>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</si>
  <si>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</si>
  <si>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</si>
  <si>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</si>
  <si>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</si>
  <si>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</si>
  <si>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</si>
  <si>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</si>
  <si>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</si>
  <si>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</si>
  <si>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</si>
  <si>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</si>
  <si>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</si>
  <si>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</si>
  <si>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</si>
  <si>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</si>
  <si>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</si>
  <si>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</si>
  <si>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</si>
  <si>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</si>
  <si>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</si>
  <si>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</si>
  <si>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</si>
  <si>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</si>
  <si>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</si>
  <si>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</si>
  <si>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</si>
  <si>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</si>
  <si>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</si>
  <si>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</si>
  <si>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</si>
  <si>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</si>
  <si>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</si>
  <si>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</si>
  <si>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</si>
  <si>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</si>
  <si>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</si>
  <si>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</si>
  <si>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</si>
  <si>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</si>
  <si>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</si>
  <si>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</si>
  <si>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</si>
  <si>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</si>
  <si>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</si>
  <si>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</si>
  <si>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</si>
  <si>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</si>
  <si>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</si>
  <si>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</si>
  <si>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</si>
  <si>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</si>
  <si>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</si>
  <si>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</si>
  <si>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</si>
  <si>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</si>
  <si>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</si>
  <si>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</si>
  <si>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</si>
  <si>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</si>
  <si>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</si>
  <si>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</si>
  <si>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</si>
  <si>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</si>
  <si>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</si>
  <si>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</si>
  <si>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</si>
  <si>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</si>
  <si>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</si>
  <si>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</si>
  <si>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</si>
  <si>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</si>
  <si>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</si>
  <si>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</si>
  <si>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</si>
  <si>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</si>
  <si>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</si>
  <si>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</si>
  <si>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</si>
  <si>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</si>
  <si>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</si>
  <si>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</si>
  <si>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</si>
  <si>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</si>
  <si>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</si>
  <si>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</si>
  <si>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</si>
  <si>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</si>
  <si>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</si>
  <si>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</si>
  <si>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</si>
  <si>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</si>
  <si>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</si>
  <si>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</si>
  <si>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</si>
  <si>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</si>
  <si>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</si>
  <si>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</si>
  <si>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</si>
  <si>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</si>
  <si>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</si>
  <si>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</si>
  <si>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</si>
  <si>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</si>
  <si>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</si>
  <si>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</si>
  <si>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</si>
  <si>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</si>
  <si>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</si>
  <si>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</si>
  <si>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</si>
  <si>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</si>
  <si>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</si>
  <si>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</si>
  <si>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</si>
  <si>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</si>
  <si>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</si>
  <si>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</si>
  <si>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</si>
  <si>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</si>
  <si>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</si>
  <si>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</si>
  <si>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</si>
  <si>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</si>
  <si>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</si>
  <si>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</si>
  <si>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</si>
  <si>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</si>
  <si>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</si>
  <si>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</si>
  <si>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</si>
  <si>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</si>
  <si>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</si>
  <si>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</si>
  <si>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</si>
  <si>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</si>
  <si>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</si>
  <si>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</si>
  <si>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</si>
  <si>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</si>
  <si>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</si>
  <si>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</si>
  <si>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</si>
  <si>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</si>
  <si>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</si>
  <si>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</si>
  <si>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</si>
  <si>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</si>
  <si>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</si>
  <si>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</si>
  <si>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</si>
  <si>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</si>
  <si>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</si>
  <si>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</si>
  <si>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</si>
  <si>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</si>
  <si>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</si>
  <si>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</si>
  <si>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</si>
  <si>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</si>
  <si>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</si>
  <si>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</si>
  <si>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</si>
  <si>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</si>
  <si>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</si>
  <si>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</si>
  <si>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</si>
  <si>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</si>
  <si>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</si>
  <si>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</si>
  <si>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</si>
  <si>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</si>
  <si>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</si>
  <si>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</si>
  <si>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</si>
  <si>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</si>
  <si>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</si>
  <si>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</si>
  <si>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</si>
  <si>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</si>
  <si>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</si>
  <si>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</si>
  <si>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</si>
  <si>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</si>
  <si>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</si>
  <si>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</si>
  <si>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</si>
  <si>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</si>
  <si>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</si>
  <si>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</si>
  <si>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</si>
  <si>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</si>
  <si>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</si>
  <si>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</si>
  <si>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</si>
  <si>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</si>
  <si>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</si>
  <si>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</si>
  <si>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</si>
  <si>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</si>
  <si>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</si>
  <si>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</si>
  <si>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</si>
  <si>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</si>
  <si>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</si>
  <si>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</si>
  <si>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</si>
  <si>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</si>
  <si>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</si>
  <si>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</si>
  <si>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</si>
  <si>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</si>
  <si>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</si>
  <si>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</si>
  <si>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</si>
  <si>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</si>
  <si>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</si>
  <si>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</si>
  <si>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</si>
  <si>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</si>
  <si>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</si>
  <si>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</si>
  <si>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</si>
  <si>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</si>
  <si>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</si>
  <si>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</si>
  <si>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</si>
  <si>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</si>
  <si>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</si>
  <si>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</si>
  <si>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</si>
  <si>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</si>
  <si>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</si>
  <si>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</si>
  <si>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</si>
  <si>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</si>
  <si>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</si>
  <si>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</si>
  <si>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</si>
  <si>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</si>
  <si>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</si>
  <si>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</si>
  <si>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</si>
  <si>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</si>
  <si>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</si>
  <si>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</si>
  <si>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</si>
  <si>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</si>
  <si>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</si>
  <si>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</si>
  <si>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</si>
  <si>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</si>
  <si>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</si>
  <si>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</si>
  <si>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</si>
  <si>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</si>
  <si>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</si>
  <si>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</si>
  <si>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</si>
  <si>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</si>
  <si>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</si>
  <si>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</si>
  <si>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</si>
  <si>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</si>
  <si>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</si>
  <si>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</si>
  <si>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</si>
  <si>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</si>
  <si>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</si>
  <si>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</si>
  <si>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</si>
  <si>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</si>
  <si>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</si>
  <si>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</si>
  <si>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</si>
  <si>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</si>
  <si>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</si>
  <si>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</si>
  <si>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</si>
  <si>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</si>
  <si>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</si>
  <si>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</si>
  <si>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</si>
  <si>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</si>
  <si>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</si>
  <si>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</si>
  <si>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</si>
  <si>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</si>
  <si>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</si>
  <si>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</si>
  <si>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</si>
  <si>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</si>
  <si>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</si>
  <si>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</si>
  <si>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</si>
  <si>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</si>
  <si>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</si>
  <si>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</si>
  <si>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</si>
  <si>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</si>
  <si>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</si>
  <si>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</si>
  <si>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</si>
  <si>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</si>
  <si>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</si>
  <si>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</si>
  <si>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</si>
  <si>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</si>
  <si>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</si>
  <si>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</si>
  <si>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</si>
  <si>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</si>
  <si>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</si>
  <si>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</si>
  <si>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</si>
  <si>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</si>
  <si>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</si>
  <si>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</si>
  <si>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</si>
  <si>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</si>
  <si>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</si>
  <si>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</si>
  <si>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</si>
  <si>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</si>
  <si>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</si>
  <si>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</si>
  <si>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</si>
  <si>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</si>
  <si>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</si>
  <si>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</si>
  <si>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</si>
  <si>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</si>
  <si>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</si>
  <si>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</si>
  <si>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</si>
  <si>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</si>
  <si>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</si>
  <si>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</si>
  <si>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</si>
  <si>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</si>
  <si>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</si>
  <si>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</si>
  <si>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</si>
  <si>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</si>
  <si>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</si>
  <si>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</si>
  <si>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</si>
  <si>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</si>
  <si>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</si>
  <si>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</si>
  <si>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</si>
  <si>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</si>
  <si>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</si>
  <si>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</si>
  <si>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</si>
  <si>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</si>
  <si>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</si>
  <si>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</si>
  <si>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</si>
  <si>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</si>
  <si>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</si>
  <si>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</si>
  <si>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</si>
  <si>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</si>
  <si>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</si>
  <si>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</si>
  <si>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</si>
  <si>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</si>
  <si>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</si>
  <si>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</si>
  <si>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</si>
  <si>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</si>
  <si>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</si>
  <si>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</si>
  <si>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</si>
  <si>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</si>
  <si>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</si>
  <si>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</si>
  <si>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</si>
  <si>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</si>
  <si>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</si>
  <si>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</si>
  <si>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</si>
  <si>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</si>
  <si>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</si>
  <si>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</si>
  <si>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</si>
  <si>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</si>
  <si>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</si>
  <si>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</si>
  <si>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</si>
  <si>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</si>
  <si>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</si>
  <si>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</si>
  <si>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</si>
  <si>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</si>
  <si>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</si>
  <si>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</si>
  <si>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</si>
  <si>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</si>
  <si>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</si>
  <si>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</si>
  <si>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</si>
  <si>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</si>
  <si>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</si>
  <si>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</si>
  <si>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</si>
  <si>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</si>
  <si>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</si>
  <si>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</si>
  <si>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</si>
  <si>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</si>
  <si>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</si>
  <si>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</si>
  <si>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</si>
  <si>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</si>
  <si>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</si>
  <si>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</si>
  <si>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</si>
  <si>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</si>
  <si>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</si>
  <si>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</si>
  <si>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</si>
  <si>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</si>
  <si>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</si>
  <si>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</si>
  <si>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</si>
  <si>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</si>
  <si>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</si>
  <si>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</si>
  <si>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</si>
  <si>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</si>
  <si>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</si>
  <si>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</si>
  <si>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</si>
  <si>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</si>
  <si>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</si>
  <si>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</si>
  <si>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</si>
  <si>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</si>
  <si>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</si>
  <si>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</si>
  <si>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</si>
  <si>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</si>
  <si>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</si>
  <si>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</si>
  <si>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</si>
  <si>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</si>
  <si>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</si>
  <si>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</si>
  <si>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</si>
  <si>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</si>
  <si>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</si>
  <si>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</si>
  <si>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</si>
  <si>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</si>
  <si>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</si>
  <si>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</si>
  <si>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</si>
  <si>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</si>
  <si>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</si>
  <si>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</si>
  <si>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</si>
  <si>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</si>
  <si>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</si>
  <si>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</si>
  <si>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</si>
  <si>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</si>
  <si>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</si>
  <si>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</si>
  <si>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</si>
  <si>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</si>
  <si>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</si>
  <si>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</si>
  <si>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</si>
  <si>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</si>
  <si>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</si>
  <si>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</si>
  <si>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</si>
  <si>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</si>
  <si>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</si>
  <si>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</si>
  <si>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</si>
  <si>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</si>
  <si>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</si>
  <si>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</si>
  <si>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</si>
  <si>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</si>
  <si>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</si>
  <si>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</si>
  <si>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</si>
  <si>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</si>
  <si>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</si>
  <si>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</si>
  <si>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</si>
  <si>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</si>
  <si>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</si>
  <si>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</si>
  <si>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</si>
  <si>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</si>
  <si>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</si>
  <si>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</si>
  <si>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</si>
  <si>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</si>
  <si>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</si>
  <si>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</si>
  <si>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</si>
  <si>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</si>
  <si>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</si>
  <si>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</si>
  <si>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</si>
  <si>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</si>
  <si>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</si>
  <si>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</si>
  <si>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</si>
  <si>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</si>
  <si>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</si>
  <si>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</si>
  <si>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</si>
  <si>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</si>
  <si>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</si>
  <si>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</si>
  <si>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</si>
  <si>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</si>
  <si>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</si>
  <si>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</si>
  <si>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</si>
  <si>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</si>
  <si>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</si>
  <si>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</si>
  <si>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</si>
  <si>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</si>
  <si>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</si>
  <si>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</si>
  <si>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</si>
  <si>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</si>
  <si>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</si>
  <si>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</si>
  <si>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</si>
  <si>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</si>
  <si>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</si>
  <si>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</si>
  <si>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</si>
  <si>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</si>
  <si>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</si>
  <si>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</si>
  <si>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</si>
  <si>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</si>
  <si>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</si>
  <si>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</si>
  <si>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</si>
  <si>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</si>
  <si>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</si>
  <si>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</si>
  <si>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</si>
  <si>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</si>
  <si>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</si>
  <si>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</si>
  <si>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</si>
  <si>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</si>
  <si>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</si>
  <si>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</si>
  <si>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</si>
  <si>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</si>
  <si>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</si>
  <si>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</si>
  <si>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</si>
  <si>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</si>
  <si>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</si>
  <si>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</si>
  <si>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</si>
  <si>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</si>
  <si>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</si>
  <si>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</si>
  <si>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</si>
  <si>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</si>
  <si>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</si>
  <si>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</si>
  <si>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</si>
  <si>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</si>
  <si>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</si>
  <si>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</si>
  <si>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</si>
  <si>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</si>
  <si>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</si>
  <si>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</si>
  <si>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</si>
  <si>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</si>
  <si>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</si>
  <si>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</si>
  <si>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</si>
  <si>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</si>
  <si>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</si>
  <si>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</si>
  <si>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</si>
  <si>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</si>
  <si>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</si>
  <si>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</si>
  <si>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</si>
  <si>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</si>
  <si>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</si>
  <si>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</si>
  <si>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</si>
  <si>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</si>
  <si>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</si>
  <si>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</si>
  <si>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</si>
  <si>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</si>
  <si>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</si>
  <si>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</si>
  <si>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</si>
  <si>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</si>
  <si>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</si>
  <si>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</si>
  <si>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</si>
  <si>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</si>
  <si>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</si>
  <si>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</si>
  <si>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</si>
  <si>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</si>
  <si>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</si>
  <si>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</si>
  <si>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</si>
  <si>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</si>
  <si>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</si>
  <si>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</si>
  <si>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</si>
  <si>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</si>
  <si>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</si>
  <si>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</si>
  <si>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</si>
  <si>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</si>
  <si>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</si>
  <si>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</si>
  <si>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</si>
  <si>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</si>
  <si>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</si>
  <si>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</si>
  <si>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</si>
  <si>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</si>
  <si>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</si>
  <si>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</si>
  <si>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</si>
  <si>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</si>
  <si>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</si>
  <si>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</si>
  <si>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</si>
  <si>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</si>
  <si>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</si>
  <si>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</si>
  <si>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</si>
  <si>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</si>
  <si>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</si>
  <si>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</si>
  <si>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</si>
  <si>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</si>
  <si>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</si>
  <si>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</si>
  <si>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</si>
  <si>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</si>
  <si>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</si>
  <si>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</si>
  <si>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</si>
  <si>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</si>
  <si>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13,03 на 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</si>
</sst>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46279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Понедельник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0.66666666666666663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300</v>
      </c>
      <c r="Y433" s="55">
        <f t="shared" si="68"/>
        <v>300</v>
      </c>
      <c r="Z433" s="41">
        <f>IFERROR(IF(Y433=0,"",ROUNDUP(Y433/H433,0)*0.02175),"")</f>
        <v>0.43499999999999994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309.39999999999998</v>
      </c>
      <c r="BN433" s="78">
        <f t="shared" si="70"/>
        <v>309.39999999999998</v>
      </c>
      <c r="BO433" s="78">
        <f t="shared" si="71"/>
        <v>0.41666666666666663</v>
      </c>
      <c r="BP433" s="78">
        <f t="shared" si="72"/>
        <v>0.41666666666666663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300</v>
      </c>
      <c r="Y434" s="55">
        <f t="shared" si="68"/>
        <v>300</v>
      </c>
      <c r="Z434" s="41">
        <f>IFERROR(IF(Y434=0,"",ROUNDUP(Y434/H434,0)*0.02175),"")</f>
        <v>0.43499999999999994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309.39999999999998</v>
      </c>
      <c r="BN434" s="78">
        <f t="shared" si="70"/>
        <v>309.39999999999998</v>
      </c>
      <c r="BO434" s="78">
        <f t="shared" si="71"/>
        <v>0.41666666666666663</v>
      </c>
      <c r="BP434" s="78">
        <f t="shared" si="72"/>
        <v>0.41666666666666663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300</v>
      </c>
      <c r="Y435" s="55">
        <f t="shared" si="68"/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309.39999999999998</v>
      </c>
      <c r="BN435" s="78">
        <f t="shared" si="70"/>
        <v>309.39999999999998</v>
      </c>
      <c r="BO435" s="78">
        <f t="shared" si="71"/>
        <v>0.41666666666666663</v>
      </c>
      <c r="BP435" s="78">
        <f t="shared" si="72"/>
        <v>0.41666666666666663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73.333333333333329</v>
      </c>
      <c r="Y440" s="43">
        <f>IFERROR(Y432/H432,"0")+IFERROR(Y433/H433,"0")+IFERROR(Y434/H434,"0")+IFERROR(Y435/H435,"0")+IFERROR(Y436/H436,"0")+IFERROR(Y437/H437,"0")+IFERROR(Y438/H438,"0")+IFERROR(Y439/H439,"0")</f>
        <v>74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1.6094999999999997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1100</v>
      </c>
      <c r="Y441" s="43">
        <f>IFERROR(SUM(Y432:Y439),"0")</f>
        <v>1110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300</v>
      </c>
      <c r="Y443" s="55">
        <f>IFERROR(IF(X443="",0,CEILING((X443/$H443),1)*$H443),"")</f>
        <v>300</v>
      </c>
      <c r="Z443" s="41">
        <f>IFERROR(IF(Y443=0,"",ROUNDUP(Y443/H443,0)*0.02175),"")</f>
        <v>0.43499999999999994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309.39999999999998</v>
      </c>
      <c r="BN443" s="78">
        <f>IFERROR(Y443*I443/H443,"0")</f>
        <v>309.39999999999998</v>
      </c>
      <c r="BO443" s="78">
        <f>IFERROR(1/J443*(X443/H443),"0")</f>
        <v>0.41666666666666663</v>
      </c>
      <c r="BP443" s="78">
        <f>IFERROR(1/J443*(Y443/H443),"0")</f>
        <v>0.41666666666666663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20</v>
      </c>
      <c r="Y446" s="43">
        <f>IFERROR(Y443/H443,"0")+IFERROR(Y444/H444,"0")+IFERROR(Y445/H445,"0")</f>
        <v>20</v>
      </c>
      <c r="Z446" s="43">
        <f>IFERROR(IF(Z443="",0,Z443),"0")+IFERROR(IF(Z444="",0,Z444),"0")+IFERROR(IF(Z445="",0,Z445),"0")</f>
        <v>0.43499999999999994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300</v>
      </c>
      <c r="Y447" s="43">
        <f>IFERROR(SUM(Y443:Y445),"0")</f>
        <v>300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1400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1410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1443.8666666666668</v>
      </c>
      <c r="Y561" s="43">
        <f>IFERROR(SUM(BN22:BN557),"0")</f>
        <v>1454.1799999999998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1493.8666666666668</v>
      </c>
      <c r="Y563" s="43">
        <f>GrossWeightTotalR+PalletQtyTotalR*25</f>
        <v>1504.1799999999998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93.333333333333329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94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2.0444999999999998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1410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400,00"/>
        <filter val="1 443,87"/>
        <filter val="1 493,87"/>
        <filter val="2"/>
        <filter val="20,00"/>
        <filter val="200,00"/>
        <filter val="300,00"/>
        <filter val="73,33"/>
        <filter val="93,33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2026-09-14T13:19:03Z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