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3E32B35-7502-43E9-974B-766BA7C7B40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P513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P453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N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P398" i="2"/>
  <c r="BO398" i="2"/>
  <c r="BM398" i="2"/>
  <c r="Y398" i="2"/>
  <c r="P398" i="2"/>
  <c r="BO397" i="2"/>
  <c r="BM397" i="2"/>
  <c r="Z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P385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N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Z327" i="2"/>
  <c r="Y327" i="2"/>
  <c r="BP327" i="2" s="1"/>
  <c r="P327" i="2"/>
  <c r="BO326" i="2"/>
  <c r="BN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Z241" i="2"/>
  <c r="Y241" i="2"/>
  <c r="BP241" i="2" s="1"/>
  <c r="P241" i="2"/>
  <c r="BO240" i="2"/>
  <c r="BN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Z104" i="2" s="1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221" i="2" l="1"/>
  <c r="Z277" i="2"/>
  <c r="Z512" i="2"/>
  <c r="BP50" i="2"/>
  <c r="BP173" i="2"/>
  <c r="Z240" i="2"/>
  <c r="Z326" i="2"/>
  <c r="BN327" i="2"/>
  <c r="Z328" i="2"/>
  <c r="BN397" i="2"/>
  <c r="Z374" i="2"/>
  <c r="Y399" i="2"/>
  <c r="Z436" i="2"/>
  <c r="BN512" i="2"/>
  <c r="Z28" i="2"/>
  <c r="BN28" i="2"/>
  <c r="Z77" i="2"/>
  <c r="BN77" i="2"/>
  <c r="Y136" i="2"/>
  <c r="Z199" i="2"/>
  <c r="BN199" i="2"/>
  <c r="Z205" i="2"/>
  <c r="Z206" i="2" s="1"/>
  <c r="Z231" i="2"/>
  <c r="Z261" i="2"/>
  <c r="Z262" i="2" s="1"/>
  <c r="Z293" i="2"/>
  <c r="BN293" i="2"/>
  <c r="Z295" i="2"/>
  <c r="Z363" i="2"/>
  <c r="Z396" i="2"/>
  <c r="Z486" i="2"/>
  <c r="BN486" i="2"/>
  <c r="Z532" i="2"/>
  <c r="Y179" i="2"/>
  <c r="BN187" i="2"/>
  <c r="BN194" i="2"/>
  <c r="BN266" i="2"/>
  <c r="BN292" i="2"/>
  <c r="BN298" i="2"/>
  <c r="BN313" i="2"/>
  <c r="Z318" i="2"/>
  <c r="Z319" i="2" s="1"/>
  <c r="BP333" i="2"/>
  <c r="BN336" i="2"/>
  <c r="Z337" i="2"/>
  <c r="BN343" i="2"/>
  <c r="Z349" i="2"/>
  <c r="BN351" i="2"/>
  <c r="Z353" i="2"/>
  <c r="BN382" i="2"/>
  <c r="BP396" i="2"/>
  <c r="Z404" i="2"/>
  <c r="BN410" i="2"/>
  <c r="Z415" i="2"/>
  <c r="BN416" i="2"/>
  <c r="Z440" i="2"/>
  <c r="Z442" i="2"/>
  <c r="BN442" i="2"/>
  <c r="BN455" i="2"/>
  <c r="Z466" i="2"/>
  <c r="BN466" i="2"/>
  <c r="Z474" i="2"/>
  <c r="BN474" i="2"/>
  <c r="Z476" i="2"/>
  <c r="BN503" i="2"/>
  <c r="BN516" i="2"/>
  <c r="Z521" i="2"/>
  <c r="BN521" i="2"/>
  <c r="Y33" i="2"/>
  <c r="Z31" i="2"/>
  <c r="BN31" i="2"/>
  <c r="BP38" i="2"/>
  <c r="BN41" i="2"/>
  <c r="Z48" i="2"/>
  <c r="Y82" i="2"/>
  <c r="BP80" i="2"/>
  <c r="Z86" i="2"/>
  <c r="BN86" i="2"/>
  <c r="Z93" i="2"/>
  <c r="BN93" i="2"/>
  <c r="BP98" i="2"/>
  <c r="Y112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Z185" i="2"/>
  <c r="BN185" i="2"/>
  <c r="Z191" i="2"/>
  <c r="BN191" i="2"/>
  <c r="BN218" i="2"/>
  <c r="Z219" i="2"/>
  <c r="Z230" i="2"/>
  <c r="Z233" i="2"/>
  <c r="BN233" i="2"/>
  <c r="Z242" i="2"/>
  <c r="Y252" i="2"/>
  <c r="BN250" i="2"/>
  <c r="Z251" i="2"/>
  <c r="Y366" i="2"/>
  <c r="BN372" i="2"/>
  <c r="BN384" i="2"/>
  <c r="BN392" i="2"/>
  <c r="BN443" i="2"/>
  <c r="BN454" i="2"/>
  <c r="BN460" i="2"/>
  <c r="Y462" i="2"/>
  <c r="BN502" i="2"/>
  <c r="BN510" i="2"/>
  <c r="BN515" i="2"/>
  <c r="BN530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7" i="2" s="1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Z354" i="2" s="1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31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Z399" i="2" s="1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456" i="2" s="1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Z345" i="2" s="1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2" i="2" l="1"/>
  <c r="Z338" i="2"/>
  <c r="Z534" i="2"/>
  <c r="Z386" i="2"/>
  <c r="Z174" i="2"/>
  <c r="Z120" i="2"/>
  <c r="Z444" i="2"/>
  <c r="Z147" i="2"/>
  <c r="Z142" i="2"/>
  <c r="Z418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<sst xmlns="http://schemas.openxmlformats.org/spreadsheetml/2006/main" count="4366" uniqueCount="910">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</sst>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909</v>
      </c>
      <c r="I5" s="667"/>
      <c r="J5" s="667"/>
      <c r="K5" s="667"/>
      <c r="L5" s="667"/>
      <c r="M5" s="667"/>
      <c r="N5" s="72"/>
      <c r="P5" s="27" t="s">
        <v>4</v>
      </c>
      <c r="Q5" s="669">
        <v>46278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891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Воскресенье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8.3333333333333329E-2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71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55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72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73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74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75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61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59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66</v>
      </c>
      <c r="L17" s="708" t="s">
        <v>64</v>
      </c>
      <c r="M17" s="708" t="s">
        <v>2</v>
      </c>
      <c r="N17" s="708" t="s">
        <v>63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56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60</v>
      </c>
      <c r="AB17" s="722" t="s">
        <v>19</v>
      </c>
      <c r="AC17" s="722" t="s">
        <v>65</v>
      </c>
      <c r="AD17" s="724" t="s">
        <v>57</v>
      </c>
      <c r="AE17" s="725"/>
      <c r="AF17" s="726"/>
      <c r="AG17" s="82"/>
      <c r="BD17" s="81" t="s">
        <v>62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hidden="1" customHeight="1" x14ac:dyDescent="0.2">
      <c r="A19" s="730" t="s">
        <v>76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hidden="1" customHeight="1" x14ac:dyDescent="0.25">
      <c r="A20" s="731" t="s">
        <v>76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hidden="1" customHeight="1" x14ac:dyDescent="0.25">
      <c r="A21" s="732" t="s">
        <v>77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2" t="s">
        <v>86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hidden="1" customHeight="1" x14ac:dyDescent="0.25">
      <c r="A35" s="731" t="s">
        <v>104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hidden="1" customHeight="1" x14ac:dyDescent="0.25">
      <c r="A36" s="732" t="s">
        <v>86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0" t="s">
        <v>120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hidden="1" customHeight="1" x14ac:dyDescent="0.25">
      <c r="A45" s="731" t="s">
        <v>121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hidden="1" customHeight="1" x14ac:dyDescent="0.25">
      <c r="A46" s="732" t="s">
        <v>122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30</v>
      </c>
      <c r="Y47" s="55">
        <f>IFERROR(IF(X47="",0,CEILING((X47/$H47),1)*$H47),"")</f>
        <v>32.400000000000006</v>
      </c>
      <c r="Z47" s="41">
        <f>IFERROR(IF(Y47=0,"",ROUNDUP(Y47/H47,0)*0.01898),"")</f>
        <v>5.6940000000000004E-2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31.138888888888889</v>
      </c>
      <c r="BN47" s="78">
        <f>IFERROR(Y47*I47/H47,"0")</f>
        <v>33.630000000000003</v>
      </c>
      <c r="BO47" s="78">
        <f>IFERROR(1/J47*(X47/H47),"0")</f>
        <v>4.3402777777777776E-2</v>
      </c>
      <c r="BP47" s="78">
        <f>IFERROR(1/J47*(Y47/H47),"0")</f>
        <v>4.6875000000000007E-2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2.7777777777777777</v>
      </c>
      <c r="Y51" s="43">
        <f>IFERROR(Y47/H47,"0")+IFERROR(Y48/H48,"0")+IFERROR(Y49/H49,"0")+IFERROR(Y50/H50,"0")</f>
        <v>3.0000000000000004</v>
      </c>
      <c r="Z51" s="43">
        <f>IFERROR(IF(Z47="",0,Z47),"0")+IFERROR(IF(Z48="",0,Z48),"0")+IFERROR(IF(Z49="",0,Z49),"0")+IFERROR(IF(Z50="",0,Z50),"0")</f>
        <v>5.6940000000000004E-2</v>
      </c>
      <c r="AA51" s="67"/>
      <c r="AB51" s="67"/>
      <c r="AC51" s="67"/>
    </row>
    <row r="52" spans="1:68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30</v>
      </c>
      <c r="Y52" s="43">
        <f>IFERROR(SUM(Y47:Y50),"0")</f>
        <v>32.400000000000006</v>
      </c>
      <c r="Z52" s="42"/>
      <c r="AA52" s="67"/>
      <c r="AB52" s="67"/>
      <c r="AC52" s="67"/>
    </row>
    <row r="53" spans="1:68" ht="16.5" hidden="1" customHeight="1" x14ac:dyDescent="0.25">
      <c r="A53" s="731" t="s">
        <v>137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hidden="1" customHeight="1" x14ac:dyDescent="0.25">
      <c r="A54" s="732" t="s">
        <v>122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150</v>
      </c>
      <c r="Y56" s="55">
        <f t="shared" si="0"/>
        <v>151.20000000000002</v>
      </c>
      <c r="Z56" s="41">
        <f>IFERROR(IF(Y56=0,"",ROUNDUP(Y56/H56,0)*0.01898),"")</f>
        <v>0.26572000000000001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155.69444444444446</v>
      </c>
      <c r="BN56" s="78">
        <f t="shared" si="2"/>
        <v>156.94</v>
      </c>
      <c r="BO56" s="78">
        <f t="shared" si="3"/>
        <v>0.21701388888888887</v>
      </c>
      <c r="BP56" s="78">
        <f t="shared" si="4"/>
        <v>0.21875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>
        <v>67.5</v>
      </c>
      <c r="Y60" s="55">
        <f t="shared" si="0"/>
        <v>67.5</v>
      </c>
      <c r="Z60" s="41">
        <f>IFERROR(IF(Y60=0,"",ROUNDUP(Y60/H60,0)*0.00902),"")</f>
        <v>0.1353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70.350000000000009</v>
      </c>
      <c r="BN60" s="78">
        <f t="shared" si="2"/>
        <v>70.350000000000009</v>
      </c>
      <c r="BO60" s="78">
        <f t="shared" si="3"/>
        <v>0.11363636363636365</v>
      </c>
      <c r="BP60" s="78">
        <f t="shared" si="4"/>
        <v>0.11363636363636365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28.888888888888886</v>
      </c>
      <c r="Y61" s="43">
        <f>IFERROR(Y55/H55,"0")+IFERROR(Y56/H56,"0")+IFERROR(Y57/H57,"0")+IFERROR(Y58/H58,"0")+IFERROR(Y59/H59,"0")+IFERROR(Y60/H60,"0")</f>
        <v>29</v>
      </c>
      <c r="Z61" s="43">
        <f>IFERROR(IF(Z55="",0,Z55),"0")+IFERROR(IF(Z56="",0,Z56),"0")+IFERROR(IF(Z57="",0,Z57),"0")+IFERROR(IF(Z58="",0,Z58),"0")+IFERROR(IF(Z59="",0,Z59),"0")+IFERROR(IF(Z60="",0,Z60),"0")</f>
        <v>0.40102000000000004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217.5</v>
      </c>
      <c r="Y62" s="43">
        <f>IFERROR(SUM(Y55:Y60),"0")</f>
        <v>218.70000000000002</v>
      </c>
      <c r="Z62" s="42"/>
      <c r="AA62" s="67"/>
      <c r="AB62" s="67"/>
      <c r="AC62" s="67"/>
    </row>
    <row r="63" spans="1:68" ht="14.25" hidden="1" customHeight="1" x14ac:dyDescent="0.25">
      <c r="A63" s="732" t="s">
        <v>155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2" t="s">
        <v>86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2" t="s">
        <v>173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1" t="s">
        <v>182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hidden="1" customHeight="1" x14ac:dyDescent="0.25">
      <c r="A84" s="732" t="s">
        <v>122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/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6" t="s">
        <v>190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>
        <v>45</v>
      </c>
      <c r="Y89" s="55">
        <f>IFERROR(IF(X89="",0,CEILING((X89/$H89),1)*$H89),"")</f>
        <v>45</v>
      </c>
      <c r="Z89" s="41">
        <f>IFERROR(IF(Y89=0,"",ROUNDUP(Y89/H89,0)*0.00902),"")</f>
        <v>9.0200000000000002E-2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46.900000000000006</v>
      </c>
      <c r="BN89" s="78">
        <f>IFERROR(Y89*I89/H89,"0")</f>
        <v>46.900000000000006</v>
      </c>
      <c r="BO89" s="78">
        <f>IFERROR(1/J89*(X89/H89),"0")</f>
        <v>7.575757575757576E-2</v>
      </c>
      <c r="BP89" s="78">
        <f>IFERROR(1/J89*(Y89/H89),"0")</f>
        <v>7.575757575757576E-2</v>
      </c>
    </row>
    <row r="90" spans="1:68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10</v>
      </c>
      <c r="Y90" s="43">
        <f>IFERROR(Y85/H85,"0")+IFERROR(Y86/H86,"0")+IFERROR(Y87/H87,"0")+IFERROR(Y88/H88,"0")+IFERROR(Y89/H89,"0")</f>
        <v>10</v>
      </c>
      <c r="Z90" s="43">
        <f>IFERROR(IF(Z85="",0,Z85),"0")+IFERROR(IF(Z86="",0,Z86),"0")+IFERROR(IF(Z87="",0,Z87),"0")+IFERROR(IF(Z88="",0,Z88),"0")+IFERROR(IF(Z89="",0,Z89),"0")</f>
        <v>9.0200000000000002E-2</v>
      </c>
      <c r="AA90" s="67"/>
      <c r="AB90" s="67"/>
      <c r="AC90" s="67"/>
    </row>
    <row r="91" spans="1:68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45</v>
      </c>
      <c r="Y91" s="43">
        <f>IFERROR(SUM(Y85:Y89),"0")</f>
        <v>45</v>
      </c>
      <c r="Z91" s="42"/>
      <c r="AA91" s="67"/>
      <c r="AB91" s="67"/>
      <c r="AC91" s="67"/>
    </row>
    <row r="92" spans="1:68" ht="14.25" hidden="1" customHeight="1" x14ac:dyDescent="0.25">
      <c r="A92" s="732" t="s">
        <v>86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0" t="s">
        <v>199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2" t="s">
        <v>203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4" t="s">
        <v>208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1" t="s">
        <v>212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hidden="1" customHeight="1" x14ac:dyDescent="0.25">
      <c r="A103" s="732" t="s">
        <v>122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20</v>
      </c>
      <c r="Y104" s="55">
        <f t="shared" ref="Y104:Y111" si="10">IFERROR(IF(X104="",0,CEILING((X104/$H104),1)*$H104),"")</f>
        <v>21.6</v>
      </c>
      <c r="Z104" s="41">
        <f>IFERROR(IF(Y104=0,"",ROUNDUP(Y104/H104,0)*0.01898),"")</f>
        <v>3.7960000000000001E-2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20.75925925925926</v>
      </c>
      <c r="BN104" s="78">
        <f t="shared" ref="BN104:BN111" si="12">IFERROR(Y104*I104/H104,"0")</f>
        <v>22.42</v>
      </c>
      <c r="BO104" s="78">
        <f t="shared" ref="BO104:BO111" si="13">IFERROR(1/J104*(X104/H104),"0")</f>
        <v>2.8935185185185182E-2</v>
      </c>
      <c r="BP104" s="78">
        <f t="shared" ref="BP104:BP111" si="14">IFERROR(1/J104*(Y104/H104),"0")</f>
        <v>3.125E-2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2" t="s">
        <v>226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1.8518518518518516</v>
      </c>
      <c r="Y112" s="43">
        <f>IFERROR(Y104/H104,"0")+IFERROR(Y105/H105,"0")+IFERROR(Y106/H106,"0")+IFERROR(Y107/H107,"0")+IFERROR(Y108/H108,"0")+IFERROR(Y109/H109,"0")+IFERROR(Y110/H110,"0")+IFERROR(Y111/H111,"0")</f>
        <v>2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3.7960000000000001E-2</v>
      </c>
      <c r="AA112" s="67"/>
      <c r="AB112" s="67"/>
      <c r="AC112" s="67"/>
    </row>
    <row r="113" spans="1:68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20</v>
      </c>
      <c r="Y113" s="43">
        <f>IFERROR(SUM(Y104:Y111),"0")</f>
        <v>21.6</v>
      </c>
      <c r="Z113" s="42"/>
      <c r="AA113" s="67"/>
      <c r="AB113" s="67"/>
      <c r="AC113" s="67"/>
    </row>
    <row r="114" spans="1:68" ht="14.25" hidden="1" customHeight="1" x14ac:dyDescent="0.25">
      <c r="A114" s="732" t="s">
        <v>155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2" t="s">
        <v>86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0" t="s">
        <v>246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2" t="s">
        <v>250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4" t="s">
        <v>254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6" t="s">
        <v>259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2" t="s">
        <v>173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8" t="s">
        <v>264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1" t="s">
        <v>265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hidden="1" customHeight="1" x14ac:dyDescent="0.25">
      <c r="A139" s="732" t="s">
        <v>122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2" t="s">
        <v>77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2" t="s">
        <v>86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1" t="s">
        <v>278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hidden="1" customHeight="1" x14ac:dyDescent="0.25">
      <c r="A155" s="732" t="s">
        <v>86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2" t="s">
        <v>294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1" t="s">
        <v>120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hidden="1" customHeight="1" x14ac:dyDescent="0.25">
      <c r="A170" s="732" t="s">
        <v>122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2" t="s">
        <v>155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2" t="s">
        <v>77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30</v>
      </c>
      <c r="Y182" s="55">
        <f t="shared" ref="Y182:Y195" si="27">IFERROR(IF(X182="",0,CEILING((X182/$H182),1)*$H182),"")</f>
        <v>31.5</v>
      </c>
      <c r="Z182" s="41">
        <f t="shared" ref="Z182:Z187" si="28">IFERROR(IF(Y182=0,"",ROUNDUP(Y182/H182,0)*0.00902),"")</f>
        <v>8.1180000000000002E-2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31.62857142857143</v>
      </c>
      <c r="BN182" s="78">
        <f t="shared" ref="BN182:BN195" si="30">IFERROR(Y182*I182/H182,"0")</f>
        <v>33.21</v>
      </c>
      <c r="BO182" s="78">
        <f t="shared" ref="BO182:BO195" si="31">IFERROR(1/J182*(X182/H182),"0")</f>
        <v>6.4935064935064929E-2</v>
      </c>
      <c r="BP182" s="78">
        <f t="shared" ref="BP182:BP195" si="32">IFERROR(1/J182*(Y182/H182),"0")</f>
        <v>6.8181818181818177E-2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150</v>
      </c>
      <c r="Y184" s="55">
        <f t="shared" si="27"/>
        <v>150.5</v>
      </c>
      <c r="Z184" s="41">
        <f t="shared" si="28"/>
        <v>0.38785999999999998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158.14285714285714</v>
      </c>
      <c r="BN184" s="78">
        <f t="shared" si="30"/>
        <v>158.67000000000002</v>
      </c>
      <c r="BO184" s="78">
        <f t="shared" si="31"/>
        <v>0.32467532467532467</v>
      </c>
      <c r="BP184" s="78">
        <f t="shared" si="32"/>
        <v>0.32575757575757575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1" t="s">
        <v>326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/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3" t="s">
        <v>332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5" t="s">
        <v>338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>
        <v>3.36</v>
      </c>
      <c r="Y190" s="55">
        <f t="shared" si="27"/>
        <v>3.36</v>
      </c>
      <c r="Z190" s="41">
        <f>IFERROR(IF(Y190=0,"",ROUNDUP(Y190/H190,0)*0.00502),"")</f>
        <v>1.004E-2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3.5599999999999996</v>
      </c>
      <c r="BN190" s="78">
        <f t="shared" si="30"/>
        <v>3.5599999999999996</v>
      </c>
      <c r="BO190" s="78">
        <f t="shared" si="31"/>
        <v>8.5470085470085479E-3</v>
      </c>
      <c r="BP190" s="78">
        <f t="shared" si="32"/>
        <v>8.5470085470085479E-3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5.04</v>
      </c>
      <c r="Y192" s="55">
        <f t="shared" si="27"/>
        <v>5.04</v>
      </c>
      <c r="Z192" s="41">
        <f>IFERROR(IF(Y192=0,"",ROUNDUP(Y192/H192,0)*0.00502),"")</f>
        <v>1.506E-2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5.34</v>
      </c>
      <c r="BN192" s="78">
        <f t="shared" si="30"/>
        <v>5.34</v>
      </c>
      <c r="BO192" s="78">
        <f t="shared" si="31"/>
        <v>1.2820512820512822E-2</v>
      </c>
      <c r="BP192" s="78">
        <f t="shared" si="32"/>
        <v>1.2820512820512822E-2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9" t="s">
        <v>347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>
        <v>3.36</v>
      </c>
      <c r="Y195" s="55">
        <f t="shared" si="27"/>
        <v>3.36</v>
      </c>
      <c r="Z195" s="41">
        <f>IFERROR(IF(Y195=0,"",ROUNDUP(Y195/H195,0)*0.00502),"")</f>
        <v>1.004E-2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3.5599999999999996</v>
      </c>
      <c r="BN195" s="78">
        <f t="shared" si="30"/>
        <v>3.5599999999999996</v>
      </c>
      <c r="BO195" s="78">
        <f t="shared" si="31"/>
        <v>8.5470085470085479E-3</v>
      </c>
      <c r="BP195" s="78">
        <f t="shared" si="32"/>
        <v>8.5470085470085479E-3</v>
      </c>
    </row>
    <row r="196" spans="1:68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58.428571428571423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59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0.50418000000000007</v>
      </c>
      <c r="AA196" s="67"/>
      <c r="AB196" s="67"/>
      <c r="AC196" s="67"/>
    </row>
    <row r="197" spans="1:68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191.76000000000002</v>
      </c>
      <c r="Y197" s="43">
        <f>IFERROR(SUM(Y182:Y195),"0")</f>
        <v>193.76000000000002</v>
      </c>
      <c r="Z197" s="42"/>
      <c r="AA197" s="67"/>
      <c r="AB197" s="67"/>
      <c r="AC197" s="67"/>
    </row>
    <row r="198" spans="1:68" ht="14.25" hidden="1" customHeight="1" x14ac:dyDescent="0.25">
      <c r="A198" s="732" t="s">
        <v>86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>
        <v>2.52</v>
      </c>
      <c r="Y200" s="55">
        <f>IFERROR(IF(X200="",0,CEILING((X200/$H200),1)*$H200),"")</f>
        <v>2.52</v>
      </c>
      <c r="Z200" s="41">
        <f>IFERROR(IF(Y200=0,"",ROUNDUP(Y200/H200,0)*0.00651),"")</f>
        <v>6.5100000000000002E-3</v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2.766</v>
      </c>
      <c r="BN200" s="78">
        <f>IFERROR(Y200*I200/H200,"0")</f>
        <v>2.766</v>
      </c>
      <c r="BO200" s="78">
        <f>IFERROR(1/J200*(X200/H200),"0")</f>
        <v>5.4945054945054949E-3</v>
      </c>
      <c r="BP200" s="78">
        <f>IFERROR(1/J200*(Y200/H200),"0")</f>
        <v>5.4945054945054949E-3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1</v>
      </c>
      <c r="Y202" s="43">
        <f>IFERROR(Y199/H199,"0")+IFERROR(Y200/H200,"0")+IFERROR(Y201/H201,"0")</f>
        <v>1</v>
      </c>
      <c r="Z202" s="43">
        <f>IFERROR(IF(Z199="",0,Z199),"0")+IFERROR(IF(Z200="",0,Z200),"0")+IFERROR(IF(Z201="",0,Z201),"0")</f>
        <v>6.5100000000000002E-3</v>
      </c>
      <c r="AA202" s="67"/>
      <c r="AB202" s="67"/>
      <c r="AC202" s="67"/>
    </row>
    <row r="203" spans="1:68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2.52</v>
      </c>
      <c r="Y203" s="43">
        <f>IFERROR(SUM(Y199:Y201),"0")</f>
        <v>2.52</v>
      </c>
      <c r="Z203" s="42"/>
      <c r="AA203" s="67"/>
      <c r="AB203" s="67"/>
      <c r="AC203" s="67"/>
    </row>
    <row r="204" spans="1:68" ht="14.25" hidden="1" customHeight="1" x14ac:dyDescent="0.25">
      <c r="A204" s="732" t="s">
        <v>294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2" t="s">
        <v>366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0" t="s">
        <v>370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hidden="1" customHeight="1" x14ac:dyDescent="0.25">
      <c r="A213" s="731" t="s">
        <v>371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hidden="1" customHeight="1" x14ac:dyDescent="0.25">
      <c r="A214" s="732" t="s">
        <v>122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1" t="s">
        <v>392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hidden="1" customHeight="1" x14ac:dyDescent="0.25">
      <c r="A225" s="732" t="s">
        <v>155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2" t="s">
        <v>77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2" t="s">
        <v>86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>
        <v>4.8</v>
      </c>
      <c r="Y247" s="55">
        <f>IFERROR(IF(X247="",0,CEILING((X247/$H247),1)*$H247),"")</f>
        <v>4.8</v>
      </c>
      <c r="Z247" s="41">
        <f>IFERROR(IF(Y247=0,"",ROUNDUP(Y247/H247,0)*0.01196),"")</f>
        <v>1.196E-2</v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5.2220000000000004</v>
      </c>
      <c r="BN247" s="78">
        <f>IFERROR(Y247*I247/H247,"0")</f>
        <v>5.2220000000000004</v>
      </c>
      <c r="BO247" s="78">
        <f>IFERROR(1/J247*(X247/H247),"0")</f>
        <v>9.6153846153846159E-3</v>
      </c>
      <c r="BP247" s="78">
        <f>IFERROR(1/J247*(Y247/H247),"0")</f>
        <v>9.6153846153846159E-3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>
        <v>4.8</v>
      </c>
      <c r="Y248" s="55">
        <f>IFERROR(IF(X248="",0,CEILING((X248/$H248),1)*$H248),"")</f>
        <v>4.8</v>
      </c>
      <c r="Z248" s="41">
        <f>IFERROR(IF(Y248=0,"",ROUNDUP(Y248/H248,0)*0.01196),"")</f>
        <v>1.196E-2</v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5.2220000000000004</v>
      </c>
      <c r="BN248" s="78">
        <f>IFERROR(Y248*I248/H248,"0")</f>
        <v>5.2220000000000004</v>
      </c>
      <c r="BO248" s="78">
        <f>IFERROR(1/J248*(X248/H248),"0")</f>
        <v>9.6153846153846159E-3</v>
      </c>
      <c r="BP248" s="78">
        <f>IFERROR(1/J248*(Y248/H248),"0")</f>
        <v>9.6153846153846159E-3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2</v>
      </c>
      <c r="Y252" s="43">
        <f>IFERROR(Y247/H247,"0")+IFERROR(Y248/H248,"0")+IFERROR(Y249/H249,"0")+IFERROR(Y250/H250,"0")+IFERROR(Y251/H251,"0")</f>
        <v>2</v>
      </c>
      <c r="Z252" s="43">
        <f>IFERROR(IF(Z247="",0,Z247),"0")+IFERROR(IF(Z248="",0,Z248),"0")+IFERROR(IF(Z249="",0,Z249),"0")+IFERROR(IF(Z250="",0,Z250),"0")+IFERROR(IF(Z251="",0,Z251),"0")</f>
        <v>2.392E-2</v>
      </c>
      <c r="AA252" s="67"/>
      <c r="AB252" s="67"/>
      <c r="AC252" s="67"/>
    </row>
    <row r="253" spans="1:68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9.6</v>
      </c>
      <c r="Y253" s="43">
        <f>IFERROR(SUM(Y247:Y251),"0")</f>
        <v>9.6</v>
      </c>
      <c r="Z253" s="42"/>
      <c r="AA253" s="67"/>
      <c r="AB253" s="67"/>
      <c r="AC253" s="67"/>
    </row>
    <row r="254" spans="1:68" ht="14.25" hidden="1" customHeight="1" x14ac:dyDescent="0.25">
      <c r="A254" s="732" t="s">
        <v>294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2" t="s">
        <v>456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1" t="s">
        <v>459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hidden="1" customHeight="1" x14ac:dyDescent="0.25">
      <c r="A265" s="732" t="s">
        <v>122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2" t="s">
        <v>155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2" t="s">
        <v>77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100</v>
      </c>
      <c r="Y276" s="55">
        <f t="shared" ref="Y276:Y283" si="45">IFERROR(IF(X276="",0,CEILING((X276/$H276),1)*$H276),"")</f>
        <v>102.60000000000001</v>
      </c>
      <c r="Z276" s="41">
        <f>IFERROR(IF(Y276=0,"",ROUNDUP(Y276/H276,0)*0.00902),"")</f>
        <v>0.17138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103.5185185185185</v>
      </c>
      <c r="BN276" s="78">
        <f t="shared" ref="BN276:BN283" si="47">IFERROR(Y276*I276/H276,"0")</f>
        <v>106.21</v>
      </c>
      <c r="BO276" s="78">
        <f t="shared" ref="BO276:BO283" si="48">IFERROR(1/J276*(X276/H276),"0")</f>
        <v>0.14029180695847362</v>
      </c>
      <c r="BP276" s="78">
        <f t="shared" ref="BP276:BP283" si="49">IFERROR(1/J276*(Y276/H276),"0")</f>
        <v>0.14393939393939395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/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80</v>
      </c>
      <c r="Y278" s="55">
        <f t="shared" si="45"/>
        <v>81</v>
      </c>
      <c r="Z278" s="41">
        <f>IFERROR(IF(Y278=0,"",ROUNDUP(Y278/H278,0)*0.00902),"")</f>
        <v>0.1353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82.81481481481481</v>
      </c>
      <c r="BN278" s="78">
        <f t="shared" si="47"/>
        <v>83.85</v>
      </c>
      <c r="BO278" s="78">
        <f t="shared" si="48"/>
        <v>0.11223344556677889</v>
      </c>
      <c r="BP278" s="78">
        <f t="shared" si="49"/>
        <v>0.11363636363636363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/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33.333333333333329</v>
      </c>
      <c r="Y284" s="43">
        <f>IFERROR(Y276/H276,"0")+IFERROR(Y277/H277,"0")+IFERROR(Y278/H278,"0")+IFERROR(Y279/H279,"0")+IFERROR(Y280/H280,"0")+IFERROR(Y281/H281,"0")+IFERROR(Y282/H282,"0")+IFERROR(Y283/H283,"0")</f>
        <v>34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0.30668000000000001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180</v>
      </c>
      <c r="Y285" s="43">
        <f>IFERROR(SUM(Y276:Y283),"0")</f>
        <v>183.60000000000002</v>
      </c>
      <c r="Z285" s="42"/>
      <c r="AA285" s="67"/>
      <c r="AB285" s="67"/>
      <c r="AC285" s="67"/>
    </row>
    <row r="286" spans="1:68" ht="14.25" hidden="1" customHeight="1" x14ac:dyDescent="0.25">
      <c r="A286" s="732" t="s">
        <v>86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>
        <v>16</v>
      </c>
      <c r="Y287" s="55">
        <f t="shared" ref="Y287:Y298" si="50">IFERROR(IF(X287="",0,CEILING((X287/$H287),1)*$H287),"")</f>
        <v>16.2</v>
      </c>
      <c r="Z287" s="41">
        <f>IFERROR(IF(Y287=0,"",ROUNDUP(Y287/H287,0)*0.01898),"")</f>
        <v>3.7960000000000001E-2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16.975802469135804</v>
      </c>
      <c r="BN287" s="78">
        <f t="shared" ref="BN287:BN298" si="52">IFERROR(Y287*I287/H287,"0")</f>
        <v>17.187999999999999</v>
      </c>
      <c r="BO287" s="78">
        <f t="shared" ref="BO287:BO298" si="53">IFERROR(1/J287*(X287/H287),"0")</f>
        <v>3.0864197530864199E-2</v>
      </c>
      <c r="BP287" s="78">
        <f t="shared" ref="BP287:BP298" si="54">IFERROR(1/J287*(Y287/H287),"0")</f>
        <v>3.125E-2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>
        <v>40</v>
      </c>
      <c r="Y288" s="55">
        <f t="shared" si="50"/>
        <v>40.5</v>
      </c>
      <c r="Z288" s="41">
        <f>IFERROR(IF(Y288=0,"",ROUNDUP(Y288/H288,0)*0.01898),"")</f>
        <v>9.4899999999999998E-2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42.350617283950619</v>
      </c>
      <c r="BN288" s="78">
        <f t="shared" si="52"/>
        <v>42.88</v>
      </c>
      <c r="BO288" s="78">
        <f t="shared" si="53"/>
        <v>7.7160493827160503E-2</v>
      </c>
      <c r="BP288" s="78">
        <f t="shared" si="54"/>
        <v>7.8125E-2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>
        <v>4.8</v>
      </c>
      <c r="Y290" s="55">
        <f t="shared" si="50"/>
        <v>4.8</v>
      </c>
      <c r="Z290" s="41">
        <f>IFERROR(IF(Y290=0,"",ROUNDUP(Y290/H290,0)*0.00651),"")</f>
        <v>1.302E-2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5.34</v>
      </c>
      <c r="BN290" s="78">
        <f t="shared" si="52"/>
        <v>5.34</v>
      </c>
      <c r="BO290" s="78">
        <f t="shared" si="53"/>
        <v>1.098901098901099E-2</v>
      </c>
      <c r="BP290" s="78">
        <f t="shared" si="54"/>
        <v>1.098901098901099E-2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8.9135802469135808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9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0.14588000000000001</v>
      </c>
      <c r="AA299" s="67"/>
      <c r="AB299" s="67"/>
      <c r="AC299" s="67"/>
    </row>
    <row r="300" spans="1:68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60.8</v>
      </c>
      <c r="Y300" s="43">
        <f>IFERROR(SUM(Y287:Y298),"0")</f>
        <v>61.5</v>
      </c>
      <c r="Z300" s="42"/>
      <c r="AA300" s="67"/>
      <c r="AB300" s="67"/>
      <c r="AC300" s="67"/>
    </row>
    <row r="301" spans="1:68" ht="14.25" hidden="1" customHeight="1" x14ac:dyDescent="0.25">
      <c r="A301" s="732" t="s">
        <v>173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1" t="s">
        <v>527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hidden="1" customHeight="1" x14ac:dyDescent="0.25">
      <c r="A307" s="732" t="s">
        <v>122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2" t="s">
        <v>155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2" t="s">
        <v>549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2" t="s">
        <v>366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1" t="s">
        <v>560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hidden="1" customHeight="1" x14ac:dyDescent="0.25">
      <c r="A332" s="732" t="s">
        <v>122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/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1" t="s">
        <v>576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hidden="1" customHeight="1" x14ac:dyDescent="0.25">
      <c r="A341" s="732" t="s">
        <v>86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1" t="s">
        <v>585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hidden="1" customHeight="1" x14ac:dyDescent="0.25">
      <c r="A348" s="732" t="s">
        <v>77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2" t="s">
        <v>86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1" t="s">
        <v>606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hidden="1" customHeight="1" x14ac:dyDescent="0.25">
      <c r="A362" s="732" t="s">
        <v>122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/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/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1" t="s">
        <v>615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hidden="1" customHeight="1" x14ac:dyDescent="0.25">
      <c r="A369" s="732" t="s">
        <v>122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2" t="s">
        <v>77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30</v>
      </c>
      <c r="Y379" s="55">
        <f t="shared" ref="Y379:Y385" si="65">IFERROR(IF(X379="",0,CEILING((X379/$H379),1)*$H379),"")</f>
        <v>33.6</v>
      </c>
      <c r="Z379" s="41">
        <f>IFERROR(IF(Y379=0,"",ROUNDUP(Y379/H379,0)*0.00902),"")</f>
        <v>7.2160000000000002E-2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31.785714285714285</v>
      </c>
      <c r="BN379" s="78">
        <f t="shared" ref="BN379:BN385" si="67">IFERROR(Y379*I379/H379,"0")</f>
        <v>35.6</v>
      </c>
      <c r="BO379" s="78">
        <f t="shared" ref="BO379:BO385" si="68">IFERROR(1/J379*(X379/H379),"0")</f>
        <v>5.4112554112554112E-2</v>
      </c>
      <c r="BP379" s="78">
        <f t="shared" ref="BP379:BP385" si="69">IFERROR(1/J379*(Y379/H379),"0")</f>
        <v>6.0606060606060608E-2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10</v>
      </c>
      <c r="Y380" s="55">
        <f t="shared" si="65"/>
        <v>12.600000000000001</v>
      </c>
      <c r="Z380" s="41">
        <f>IFERROR(IF(Y380=0,"",ROUNDUP(Y380/H380,0)*0.00902),"")</f>
        <v>2.7060000000000001E-2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10.595238095238095</v>
      </c>
      <c r="BN380" s="78">
        <f t="shared" si="67"/>
        <v>13.350000000000001</v>
      </c>
      <c r="BO380" s="78">
        <f t="shared" si="68"/>
        <v>1.8037518037518036E-2</v>
      </c>
      <c r="BP380" s="78">
        <f t="shared" si="69"/>
        <v>2.2727272727272728E-2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9.5238095238095237</v>
      </c>
      <c r="Y386" s="43">
        <f>IFERROR(Y379/H379,"0")+IFERROR(Y380/H380,"0")+IFERROR(Y381/H381,"0")+IFERROR(Y382/H382,"0")+IFERROR(Y383/H383,"0")+IFERROR(Y384/H384,"0")+IFERROR(Y385/H385,"0")</f>
        <v>11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9.9220000000000003E-2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40</v>
      </c>
      <c r="Y387" s="43">
        <f>IFERROR(SUM(Y379:Y385),"0")</f>
        <v>46.2</v>
      </c>
      <c r="Z387" s="42"/>
      <c r="AA387" s="67"/>
      <c r="AB387" s="67"/>
      <c r="AC387" s="67"/>
    </row>
    <row r="388" spans="1:68" ht="14.25" hidden="1" customHeight="1" x14ac:dyDescent="0.25">
      <c r="A388" s="732" t="s">
        <v>86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>
        <v>30</v>
      </c>
      <c r="Y389" s="55">
        <f>IFERROR(IF(X389="",0,CEILING((X389/$H389),1)*$H389),"")</f>
        <v>31.2</v>
      </c>
      <c r="Z389" s="41">
        <f>IFERROR(IF(Y389=0,"",ROUNDUP(Y389/H389,0)*0.01898),"")</f>
        <v>7.5920000000000001E-2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31.876923076923081</v>
      </c>
      <c r="BN389" s="78">
        <f>IFERROR(Y389*I389/H389,"0")</f>
        <v>33.152000000000001</v>
      </c>
      <c r="BO389" s="78">
        <f>IFERROR(1/J389*(X389/H389),"0")</f>
        <v>6.0096153846153848E-2</v>
      </c>
      <c r="BP389" s="78">
        <f>IFERROR(1/J389*(Y389/H389),"0")</f>
        <v>6.25E-2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3.8461538461538463</v>
      </c>
      <c r="Y393" s="43">
        <f>IFERROR(Y389/H389,"0")+IFERROR(Y390/H390,"0")+IFERROR(Y391/H391,"0")+IFERROR(Y392/H392,"0")</f>
        <v>4</v>
      </c>
      <c r="Z393" s="43">
        <f>IFERROR(IF(Z389="",0,Z389),"0")+IFERROR(IF(Z390="",0,Z390),"0")+IFERROR(IF(Z391="",0,Z391),"0")+IFERROR(IF(Z392="",0,Z392),"0")</f>
        <v>7.5920000000000001E-2</v>
      </c>
      <c r="AA393" s="67"/>
      <c r="AB393" s="67"/>
      <c r="AC393" s="67"/>
    </row>
    <row r="394" spans="1:68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30</v>
      </c>
      <c r="Y394" s="43">
        <f>IFERROR(SUM(Y389:Y392),"0")</f>
        <v>31.2</v>
      </c>
      <c r="Z394" s="42"/>
      <c r="AA394" s="67"/>
      <c r="AB394" s="67"/>
      <c r="AC394" s="67"/>
    </row>
    <row r="395" spans="1:68" ht="14.25" hidden="1" customHeight="1" x14ac:dyDescent="0.25">
      <c r="A395" s="732" t="s">
        <v>173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>
        <v>39</v>
      </c>
      <c r="Y397" s="55">
        <f>IFERROR(IF(X397="",0,CEILING((X397/$H397),1)*$H397),"")</f>
        <v>39</v>
      </c>
      <c r="Z397" s="41">
        <f>IFERROR(IF(Y397=0,"",ROUNDUP(Y397/H397,0)*0.01898),"")</f>
        <v>9.4899999999999998E-2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41.47</v>
      </c>
      <c r="BN397" s="78">
        <f>IFERROR(Y397*I397/H397,"0")</f>
        <v>41.47</v>
      </c>
      <c r="BO397" s="78">
        <f>IFERROR(1/J397*(X397/H397),"0")</f>
        <v>7.8125E-2</v>
      </c>
      <c r="BP397" s="78">
        <f>IFERROR(1/J397*(Y397/H397),"0")</f>
        <v>7.8125E-2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5</v>
      </c>
      <c r="Y399" s="43">
        <f>IFERROR(Y396/H396,"0")+IFERROR(Y397/H397,"0")+IFERROR(Y398/H398,"0")</f>
        <v>5</v>
      </c>
      <c r="Z399" s="43">
        <f>IFERROR(IF(Z396="",0,Z396),"0")+IFERROR(IF(Z397="",0,Z397),"0")+IFERROR(IF(Z398="",0,Z398),"0")</f>
        <v>9.4899999999999998E-2</v>
      </c>
      <c r="AA399" s="67"/>
      <c r="AB399" s="67"/>
      <c r="AC399" s="67"/>
    </row>
    <row r="400" spans="1:68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39</v>
      </c>
      <c r="Y400" s="43">
        <f>IFERROR(SUM(Y396:Y398),"0")</f>
        <v>39</v>
      </c>
      <c r="Z400" s="42"/>
      <c r="AA400" s="67"/>
      <c r="AB400" s="67"/>
      <c r="AC400" s="67"/>
    </row>
    <row r="401" spans="1:68" ht="14.25" hidden="1" customHeight="1" x14ac:dyDescent="0.25">
      <c r="A401" s="732" t="s">
        <v>294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2" t="s">
        <v>681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2" t="s">
        <v>690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>
        <v>12</v>
      </c>
      <c r="Y417" s="55">
        <f>IFERROR(IF(X417="",0,CEILING((X417/$H417),1)*$H417),"")</f>
        <v>12</v>
      </c>
      <c r="Z417" s="41">
        <f>IFERROR(IF(Y417=0,"",ROUNDUP(Y417/H417,0)*0.0045),"")</f>
        <v>1.7999999999999999E-2</v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12.88</v>
      </c>
      <c r="BN417" s="78">
        <f>IFERROR(Y417*I417/H417,"0")</f>
        <v>12.88</v>
      </c>
      <c r="BO417" s="78">
        <f>IFERROR(1/J417*(X417/H417),"0")</f>
        <v>1.7857142857142856E-2</v>
      </c>
      <c r="BP417" s="78">
        <f>IFERROR(1/J417*(Y417/H417),"0")</f>
        <v>1.7857142857142856E-2</v>
      </c>
    </row>
    <row r="418" spans="1:68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4</v>
      </c>
      <c r="Y418" s="43">
        <f>IFERROR(Y415/H415,"0")+IFERROR(Y416/H416,"0")+IFERROR(Y417/H417,"0")</f>
        <v>4</v>
      </c>
      <c r="Z418" s="43">
        <f>IFERROR(IF(Z415="",0,Z415),"0")+IFERROR(IF(Z416="",0,Z416),"0")+IFERROR(IF(Z417="",0,Z417),"0")</f>
        <v>1.7999999999999999E-2</v>
      </c>
      <c r="AA418" s="67"/>
      <c r="AB418" s="67"/>
      <c r="AC418" s="67"/>
    </row>
    <row r="419" spans="1:68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12</v>
      </c>
      <c r="Y419" s="43">
        <f>IFERROR(SUM(Y415:Y417),"0")</f>
        <v>12</v>
      </c>
      <c r="Z419" s="42"/>
      <c r="AA419" s="67"/>
      <c r="AB419" s="67"/>
      <c r="AC419" s="67"/>
    </row>
    <row r="420" spans="1:68" ht="16.5" hidden="1" customHeight="1" x14ac:dyDescent="0.25">
      <c r="A420" s="731" t="s">
        <v>699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hidden="1" customHeight="1" x14ac:dyDescent="0.25">
      <c r="A421" s="732" t="s">
        <v>86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>
        <v>39</v>
      </c>
      <c r="Y422" s="55">
        <f>IFERROR(IF(X422="",0,CEILING((X422/$H422),1)*$H422),"")</f>
        <v>39</v>
      </c>
      <c r="Z422" s="41">
        <f>IFERROR(IF(Y422=0,"",ROUNDUP(Y422/H422,0)*0.01898),"")</f>
        <v>9.4899999999999998E-2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41.050000000000011</v>
      </c>
      <c r="BN422" s="78">
        <f>IFERROR(Y422*I422/H422,"0")</f>
        <v>41.050000000000011</v>
      </c>
      <c r="BO422" s="78">
        <f>IFERROR(1/J422*(X422/H422),"0")</f>
        <v>7.8125E-2</v>
      </c>
      <c r="BP422" s="78">
        <f>IFERROR(1/J422*(Y422/H422),"0")</f>
        <v>7.8125E-2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>
        <v>15</v>
      </c>
      <c r="Y423" s="55">
        <f>IFERROR(IF(X423="",0,CEILING((X423/$H423),1)*$H423),"")</f>
        <v>15.6</v>
      </c>
      <c r="Z423" s="41">
        <f>IFERROR(IF(Y423=0,"",ROUNDUP(Y423/H423,0)*0.01898),"")</f>
        <v>3.7960000000000001E-2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15.78846153846154</v>
      </c>
      <c r="BN423" s="78">
        <f>IFERROR(Y423*I423/H423,"0")</f>
        <v>16.420000000000002</v>
      </c>
      <c r="BO423" s="78">
        <f>IFERROR(1/J423*(X423/H423),"0")</f>
        <v>3.0048076923076924E-2</v>
      </c>
      <c r="BP423" s="78">
        <f>IFERROR(1/J423*(Y423/H423),"0")</f>
        <v>3.125E-2</v>
      </c>
    </row>
    <row r="424" spans="1:68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6.9230769230769234</v>
      </c>
      <c r="Y424" s="43">
        <f>IFERROR(Y422/H422,"0")+IFERROR(Y423/H423,"0")</f>
        <v>7</v>
      </c>
      <c r="Z424" s="43">
        <f>IFERROR(IF(Z422="",0,Z422),"0")+IFERROR(IF(Z423="",0,Z423),"0")</f>
        <v>0.13286000000000001</v>
      </c>
      <c r="AA424" s="67"/>
      <c r="AB424" s="67"/>
      <c r="AC424" s="67"/>
    </row>
    <row r="425" spans="1:68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54</v>
      </c>
      <c r="Y425" s="43">
        <f>IFERROR(SUM(Y422:Y423),"0")</f>
        <v>54.6</v>
      </c>
      <c r="Z425" s="42"/>
      <c r="AA425" s="67"/>
      <c r="AB425" s="67"/>
      <c r="AC425" s="67"/>
    </row>
    <row r="426" spans="1:68" ht="16.5" hidden="1" customHeight="1" x14ac:dyDescent="0.25">
      <c r="A426" s="731" t="s">
        <v>706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hidden="1" customHeight="1" x14ac:dyDescent="0.25">
      <c r="A427" s="732" t="s">
        <v>86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12.6</v>
      </c>
      <c r="Y429" s="55">
        <f>IFERROR(IF(X429="",0,CEILING((X429/$H429),1)*$H429),"")</f>
        <v>12.600000000000001</v>
      </c>
      <c r="Z429" s="41">
        <f>IFERROR(IF(Y429=0,"",ROUNDUP(Y429/H429,0)*0.00651),"")</f>
        <v>3.9059999999999997E-2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14.111999999999998</v>
      </c>
      <c r="BN429" s="78">
        <f>IFERROR(Y429*I429/H429,"0")</f>
        <v>14.112</v>
      </c>
      <c r="BO429" s="78">
        <f>IFERROR(1/J429*(X429/H429),"0")</f>
        <v>3.2967032967032968E-2</v>
      </c>
      <c r="BP429" s="78">
        <f>IFERROR(1/J429*(Y429/H429),"0")</f>
        <v>3.2967032967032968E-2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>
        <v>2.1</v>
      </c>
      <c r="Y430" s="55">
        <f>IFERROR(IF(X430="",0,CEILING((X430/$H430),1)*$H430),"")</f>
        <v>2.1</v>
      </c>
      <c r="Z430" s="41">
        <f>IFERROR(IF(Y430=0,"",ROUNDUP(Y430/H430,0)*0.00651),"")</f>
        <v>6.5100000000000002E-3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2.34</v>
      </c>
      <c r="BN430" s="78">
        <f>IFERROR(Y430*I430/H430,"0")</f>
        <v>2.34</v>
      </c>
      <c r="BO430" s="78">
        <f>IFERROR(1/J430*(X430/H430),"0")</f>
        <v>5.4945054945054949E-3</v>
      </c>
      <c r="BP430" s="78">
        <f>IFERROR(1/J430*(Y430/H430),"0")</f>
        <v>5.4945054945054949E-3</v>
      </c>
    </row>
    <row r="431" spans="1:68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7</v>
      </c>
      <c r="Y431" s="43">
        <f>IFERROR(Y428/H428,"0")+IFERROR(Y429/H429,"0")+IFERROR(Y430/H430,"0")</f>
        <v>7</v>
      </c>
      <c r="Z431" s="43">
        <f>IFERROR(IF(Z428="",0,Z428),"0")+IFERROR(IF(Z429="",0,Z429),"0")+IFERROR(IF(Z430="",0,Z430),"0")</f>
        <v>4.5569999999999999E-2</v>
      </c>
      <c r="AA431" s="67"/>
      <c r="AB431" s="67"/>
      <c r="AC431" s="67"/>
    </row>
    <row r="432" spans="1:68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14.7</v>
      </c>
      <c r="Y432" s="43">
        <f>IFERROR(SUM(Y428:Y430),"0")</f>
        <v>14.700000000000001</v>
      </c>
      <c r="Z432" s="42"/>
      <c r="AA432" s="67"/>
      <c r="AB432" s="67"/>
      <c r="AC432" s="67"/>
    </row>
    <row r="433" spans="1:68" ht="27.75" hidden="1" customHeight="1" x14ac:dyDescent="0.2">
      <c r="A433" s="730" t="s">
        <v>716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hidden="1" customHeight="1" x14ac:dyDescent="0.25">
      <c r="A434" s="731" t="s">
        <v>717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hidden="1" customHeight="1" x14ac:dyDescent="0.25">
      <c r="A435" s="732" t="s">
        <v>122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>
        <v>100</v>
      </c>
      <c r="Y437" s="55">
        <f t="shared" si="70"/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103.13333333333334</v>
      </c>
      <c r="BN437" s="78">
        <f t="shared" si="72"/>
        <v>108.29</v>
      </c>
      <c r="BO437" s="78">
        <f t="shared" si="73"/>
        <v>0.1388888888888889</v>
      </c>
      <c r="BP437" s="78">
        <f t="shared" si="74"/>
        <v>0.14583333333333331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100</v>
      </c>
      <c r="Y438" s="55">
        <f t="shared" si="70"/>
        <v>105</v>
      </c>
      <c r="Z438" s="41">
        <f>IFERROR(IF(Y438=0,"",ROUNDUP(Y438/H438,0)*0.02175),"")</f>
        <v>0.15225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103.13333333333334</v>
      </c>
      <c r="BN438" s="78">
        <f t="shared" si="72"/>
        <v>108.29</v>
      </c>
      <c r="BO438" s="78">
        <f t="shared" si="73"/>
        <v>0.1388888888888889</v>
      </c>
      <c r="BP438" s="78">
        <f t="shared" si="74"/>
        <v>0.14583333333333331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300</v>
      </c>
      <c r="Y439" s="55">
        <f t="shared" si="70"/>
        <v>300</v>
      </c>
      <c r="Z439" s="41">
        <f>IFERROR(IF(Y439=0,"",ROUNDUP(Y439/H439,0)*0.02175),"")</f>
        <v>0.43499999999999994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309.39999999999998</v>
      </c>
      <c r="BN439" s="78">
        <f t="shared" si="72"/>
        <v>309.39999999999998</v>
      </c>
      <c r="BO439" s="78">
        <f t="shared" si="73"/>
        <v>0.41666666666666663</v>
      </c>
      <c r="BP439" s="78">
        <f t="shared" si="74"/>
        <v>0.41666666666666663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33.333333333333336</v>
      </c>
      <c r="Y444" s="43">
        <f>IFERROR(Y436/H436,"0")+IFERROR(Y437/H437,"0")+IFERROR(Y438/H438,"0")+IFERROR(Y439/H439,"0")+IFERROR(Y440/H440,"0")+IFERROR(Y441/H441,"0")+IFERROR(Y442/H442,"0")+IFERROR(Y443/H443,"0")</f>
        <v>34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0.73949999999999994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500</v>
      </c>
      <c r="Y445" s="43">
        <f>IFERROR(SUM(Y436:Y443),"0")</f>
        <v>510</v>
      </c>
      <c r="Z445" s="42"/>
      <c r="AA445" s="67"/>
      <c r="AB445" s="67"/>
      <c r="AC445" s="67"/>
    </row>
    <row r="446" spans="1:68" ht="14.25" hidden="1" customHeight="1" x14ac:dyDescent="0.25">
      <c r="A446" s="732" t="s">
        <v>155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200</v>
      </c>
      <c r="Y447" s="55">
        <f>IFERROR(IF(X447="",0,CEILING((X447/$H447),1)*$H447),"")</f>
        <v>210</v>
      </c>
      <c r="Z447" s="41">
        <f>IFERROR(IF(Y447=0,"",ROUNDUP(Y447/H447,0)*0.02175),"")</f>
        <v>0.30449999999999999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206.26666666666668</v>
      </c>
      <c r="BN447" s="78">
        <f>IFERROR(Y447*I447/H447,"0")</f>
        <v>216.58</v>
      </c>
      <c r="BO447" s="78">
        <f>IFERROR(1/J447*(X447/H447),"0")</f>
        <v>0.27777777777777779</v>
      </c>
      <c r="BP447" s="78">
        <f>IFERROR(1/J447*(Y447/H447),"0")</f>
        <v>0.29166666666666663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13.333333333333334</v>
      </c>
      <c r="Y450" s="43">
        <f>IFERROR(Y447/H447,"0")+IFERROR(Y448/H448,"0")+IFERROR(Y449/H449,"0")</f>
        <v>14</v>
      </c>
      <c r="Z450" s="43">
        <f>IFERROR(IF(Z447="",0,Z447),"0")+IFERROR(IF(Z448="",0,Z448),"0")+IFERROR(IF(Z449="",0,Z449),"0")</f>
        <v>0.30449999999999999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200</v>
      </c>
      <c r="Y451" s="43">
        <f>IFERROR(SUM(Y447:Y449),"0")</f>
        <v>210</v>
      </c>
      <c r="Z451" s="42"/>
      <c r="AA451" s="67"/>
      <c r="AB451" s="67"/>
      <c r="AC451" s="67"/>
    </row>
    <row r="452" spans="1:68" ht="14.25" hidden="1" customHeight="1" x14ac:dyDescent="0.25">
      <c r="A452" s="732" t="s">
        <v>86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2" t="s">
        <v>173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1" t="s">
        <v>766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hidden="1" customHeight="1" x14ac:dyDescent="0.25">
      <c r="A464" s="732" t="s">
        <v>122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/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2" t="s">
        <v>77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2" t="s">
        <v>86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0" t="s">
        <v>782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hidden="1" customHeight="1" x14ac:dyDescent="0.25">
      <c r="A480" s="731" t="s">
        <v>783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hidden="1" customHeight="1" x14ac:dyDescent="0.25">
      <c r="A481" s="732" t="s">
        <v>77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>
        <v>30</v>
      </c>
      <c r="Y482" s="55">
        <f t="shared" ref="Y482:Y487" si="75">IFERROR(IF(X482="",0,CEILING((X482/$H482),1)*$H482),"")</f>
        <v>32.400000000000006</v>
      </c>
      <c r="Z482" s="41">
        <f>IFERROR(IF(Y482=0,"",ROUNDUP(Y482/H482,0)*0.00902),"")</f>
        <v>5.4120000000000001E-2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31.05555555555555</v>
      </c>
      <c r="BN482" s="78">
        <f t="shared" ref="BN482:BN487" si="77">IFERROR(Y482*I482/H482,"0")</f>
        <v>33.54</v>
      </c>
      <c r="BO482" s="78">
        <f t="shared" ref="BO482:BO487" si="78">IFERROR(1/J482*(X482/H482),"0")</f>
        <v>4.208754208754209E-2</v>
      </c>
      <c r="BP482" s="78">
        <f t="shared" ref="BP482:BP487" si="79">IFERROR(1/J482*(Y482/H482),"0")</f>
        <v>4.5454545454545463E-2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>
        <v>35</v>
      </c>
      <c r="Y483" s="55">
        <f t="shared" si="75"/>
        <v>37.800000000000004</v>
      </c>
      <c r="Z483" s="41">
        <f>IFERROR(IF(Y483=0,"",ROUNDUP(Y483/H483,0)*0.00902),"")</f>
        <v>6.3140000000000002E-2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36.231481481481481</v>
      </c>
      <c r="BN483" s="78">
        <f t="shared" si="77"/>
        <v>39.130000000000003</v>
      </c>
      <c r="BO483" s="78">
        <f t="shared" si="78"/>
        <v>4.9102132435465767E-2</v>
      </c>
      <c r="BP483" s="78">
        <f t="shared" si="79"/>
        <v>5.3030303030303032E-2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12.037037037037036</v>
      </c>
      <c r="Y488" s="43">
        <f>IFERROR(Y482/H482,"0")+IFERROR(Y483/H483,"0")+IFERROR(Y484/H484,"0")+IFERROR(Y485/H485,"0")+IFERROR(Y486/H486,"0")+IFERROR(Y487/H487,"0")</f>
        <v>13</v>
      </c>
      <c r="Z488" s="43">
        <f>IFERROR(IF(Z482="",0,Z482),"0")+IFERROR(IF(Z483="",0,Z483),"0")+IFERROR(IF(Z484="",0,Z484),"0")+IFERROR(IF(Z485="",0,Z485),"0")+IFERROR(IF(Z486="",0,Z486),"0")+IFERROR(IF(Z487="",0,Z487),"0")</f>
        <v>0.11726</v>
      </c>
      <c r="AA488" s="67"/>
      <c r="AB488" s="67"/>
      <c r="AC488" s="67"/>
    </row>
    <row r="489" spans="1:68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65</v>
      </c>
      <c r="Y489" s="43">
        <f>IFERROR(SUM(Y482:Y487),"0")</f>
        <v>70.200000000000017</v>
      </c>
      <c r="Z489" s="42"/>
      <c r="AA489" s="67"/>
      <c r="AB489" s="67"/>
      <c r="AC489" s="67"/>
    </row>
    <row r="490" spans="1:68" ht="14.25" hidden="1" customHeight="1" x14ac:dyDescent="0.25">
      <c r="A490" s="732" t="s">
        <v>86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1" t="s">
        <v>806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hidden="1" customHeight="1" x14ac:dyDescent="0.25">
      <c r="A496" s="732" t="s">
        <v>155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2" t="s">
        <v>77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>
        <v>40</v>
      </c>
      <c r="Y501" s="55">
        <f>IFERROR(IF(X501="",0,CEILING((X501/$H501),1)*$H501),"")</f>
        <v>43.2</v>
      </c>
      <c r="Z501" s="41">
        <f>IFERROR(IF(Y501=0,"",ROUNDUP(Y501/H501,0)*0.00902),"")</f>
        <v>7.2160000000000002E-2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41.407407407407405</v>
      </c>
      <c r="BN501" s="78">
        <f>IFERROR(Y501*I501/H501,"0")</f>
        <v>44.72</v>
      </c>
      <c r="BO501" s="78">
        <f>IFERROR(1/J501*(X501/H501),"0")</f>
        <v>5.6116722783389444E-2</v>
      </c>
      <c r="BP501" s="78">
        <f>IFERROR(1/J501*(Y501/H501),"0")</f>
        <v>6.0606060606060608E-2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7.4074074074074066</v>
      </c>
      <c r="Y504" s="43">
        <f>IFERROR(Y501/H501,"0")+IFERROR(Y502/H502,"0")+IFERROR(Y503/H503,"0")</f>
        <v>8</v>
      </c>
      <c r="Z504" s="43">
        <f>IFERROR(IF(Z501="",0,Z501),"0")+IFERROR(IF(Z502="",0,Z502),"0")+IFERROR(IF(Z503="",0,Z503),"0")</f>
        <v>7.2160000000000002E-2</v>
      </c>
      <c r="AA504" s="67"/>
      <c r="AB504" s="67"/>
      <c r="AC504" s="67"/>
    </row>
    <row r="505" spans="1:68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40</v>
      </c>
      <c r="Y505" s="43">
        <f>IFERROR(SUM(Y501:Y503),"0")</f>
        <v>43.2</v>
      </c>
      <c r="Z505" s="42"/>
      <c r="AA505" s="67"/>
      <c r="AB505" s="67"/>
      <c r="AC505" s="67"/>
    </row>
    <row r="506" spans="1:68" ht="27.75" hidden="1" customHeight="1" x14ac:dyDescent="0.2">
      <c r="A506" s="730" t="s">
        <v>818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hidden="1" customHeight="1" x14ac:dyDescent="0.25">
      <c r="A507" s="731" t="s">
        <v>818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hidden="1" customHeight="1" x14ac:dyDescent="0.25">
      <c r="A508" s="732" t="s">
        <v>122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>
        <v>30</v>
      </c>
      <c r="Y509" s="55">
        <f t="shared" ref="Y509:Y517" si="80">IFERROR(IF(X509="",0,CEILING((X509/$H509),1)*$H509),"")</f>
        <v>31.68</v>
      </c>
      <c r="Z509" s="41">
        <f t="shared" ref="Z509:Z514" si="81">IFERROR(IF(Y509=0,"",ROUNDUP(Y509/H509,0)*0.01196),"")</f>
        <v>7.1760000000000004E-2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31.988636363636363</v>
      </c>
      <c r="BN509" s="78">
        <f t="shared" ref="BN509:BN517" si="83">IFERROR(Y509*I509/H509,"0")</f>
        <v>33.779999999999994</v>
      </c>
      <c r="BO509" s="78">
        <f t="shared" ref="BO509:BO517" si="84">IFERROR(1/J509*(X509/H509),"0")</f>
        <v>5.4632867132867136E-2</v>
      </c>
      <c r="BP509" s="78">
        <f t="shared" ref="BP509:BP517" si="85">IFERROR(1/J509*(Y509/H509),"0")</f>
        <v>5.7692307692307696E-2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/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145</v>
      </c>
      <c r="Y512" s="55">
        <f t="shared" si="80"/>
        <v>147.84</v>
      </c>
      <c r="Z512" s="41">
        <f t="shared" si="81"/>
        <v>0.33488000000000001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154.61174242424241</v>
      </c>
      <c r="BN512" s="78">
        <f t="shared" si="83"/>
        <v>157.63999999999999</v>
      </c>
      <c r="BO512" s="78">
        <f t="shared" si="84"/>
        <v>0.26405885780885779</v>
      </c>
      <c r="BP512" s="78">
        <f t="shared" si="85"/>
        <v>0.26923076923076927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>
        <v>125</v>
      </c>
      <c r="Y514" s="55">
        <f t="shared" si="80"/>
        <v>126.72</v>
      </c>
      <c r="Z514" s="41">
        <f t="shared" si="81"/>
        <v>0.28704000000000002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133.28598484848484</v>
      </c>
      <c r="BN514" s="78">
        <f t="shared" si="83"/>
        <v>135.11999999999998</v>
      </c>
      <c r="BO514" s="78">
        <f t="shared" si="84"/>
        <v>0.22763694638694637</v>
      </c>
      <c r="BP514" s="78">
        <f t="shared" si="85"/>
        <v>0.23076923076923078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56.818181818181813</v>
      </c>
      <c r="Y518" s="43">
        <f>IFERROR(Y509/H509,"0")+IFERROR(Y510/H510,"0")+IFERROR(Y511/H511,"0")+IFERROR(Y512/H512,"0")+IFERROR(Y513/H513,"0")+IFERROR(Y514/H514,"0")+IFERROR(Y515/H515,"0")+IFERROR(Y516/H516,"0")+IFERROR(Y517/H517,"0")</f>
        <v>58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0.69368000000000007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300</v>
      </c>
      <c r="Y519" s="43">
        <f>IFERROR(SUM(Y509:Y517),"0")</f>
        <v>306.24</v>
      </c>
      <c r="Z519" s="42"/>
      <c r="AA519" s="67"/>
      <c r="AB519" s="67"/>
      <c r="AC519" s="67"/>
    </row>
    <row r="520" spans="1:68" ht="14.25" hidden="1" customHeight="1" x14ac:dyDescent="0.25">
      <c r="A520" s="732" t="s">
        <v>155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/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32" t="s">
        <v>77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15</v>
      </c>
      <c r="Y527" s="55">
        <f t="shared" ref="Y527:Y533" si="86">IFERROR(IF(X527="",0,CEILING((X527/$H527),1)*$H527),"")</f>
        <v>15.84</v>
      </c>
      <c r="Z527" s="41">
        <f>IFERROR(IF(Y527=0,"",ROUNDUP(Y527/H527,0)*0.01196),"")</f>
        <v>3.5880000000000002E-2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15.994318181818182</v>
      </c>
      <c r="BN527" s="78">
        <f t="shared" ref="BN527:BN533" si="88">IFERROR(Y527*I527/H527,"0")</f>
        <v>16.889999999999997</v>
      </c>
      <c r="BO527" s="78">
        <f t="shared" ref="BO527:BO533" si="89">IFERROR(1/J527*(X527/H527),"0")</f>
        <v>2.7316433566433568E-2</v>
      </c>
      <c r="BP527" s="78">
        <f t="shared" ref="BP527:BP533" si="90">IFERROR(1/J527*(Y527/H527),"0")</f>
        <v>2.8846153846153848E-2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>
        <v>20</v>
      </c>
      <c r="Y528" s="55">
        <f t="shared" si="86"/>
        <v>21.12</v>
      </c>
      <c r="Z528" s="41">
        <f>IFERROR(IF(Y528=0,"",ROUNDUP(Y528/H528,0)*0.01196),"")</f>
        <v>4.7840000000000001E-2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21.325757575757574</v>
      </c>
      <c r="BN528" s="78">
        <f t="shared" si="88"/>
        <v>22.52</v>
      </c>
      <c r="BO528" s="78">
        <f t="shared" si="89"/>
        <v>3.6421911421911424E-2</v>
      </c>
      <c r="BP528" s="78">
        <f t="shared" si="90"/>
        <v>3.8461538461538464E-2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50</v>
      </c>
      <c r="Y529" s="55">
        <f t="shared" si="86"/>
        <v>52.800000000000004</v>
      </c>
      <c r="Z529" s="41">
        <f>IFERROR(IF(Y529=0,"",ROUNDUP(Y529/H529,0)*0.01196),"")</f>
        <v>0.1196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53.314393939393938</v>
      </c>
      <c r="BN529" s="78">
        <f t="shared" si="88"/>
        <v>56.3</v>
      </c>
      <c r="BO529" s="78">
        <f t="shared" si="89"/>
        <v>9.1054778554778545E-2</v>
      </c>
      <c r="BP529" s="78">
        <f t="shared" si="90"/>
        <v>9.6153846153846159E-2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16.098484848484848</v>
      </c>
      <c r="Y534" s="43">
        <f>IFERROR(Y527/H527,"0")+IFERROR(Y528/H528,"0")+IFERROR(Y529/H529,"0")+IFERROR(Y530/H530,"0")+IFERROR(Y531/H531,"0")+IFERROR(Y532/H532,"0")+IFERROR(Y533/H533,"0")</f>
        <v>17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0.20332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85</v>
      </c>
      <c r="Y535" s="43">
        <f>IFERROR(SUM(Y527:Y533),"0")</f>
        <v>89.76</v>
      </c>
      <c r="Z535" s="42"/>
      <c r="AA535" s="67"/>
      <c r="AB535" s="67"/>
      <c r="AC535" s="67"/>
    </row>
    <row r="536" spans="1:68" ht="27.75" hidden="1" customHeight="1" x14ac:dyDescent="0.2">
      <c r="A536" s="730" t="s">
        <v>865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hidden="1" customHeight="1" x14ac:dyDescent="0.25">
      <c r="A537" s="731" t="s">
        <v>865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hidden="1" customHeight="1" x14ac:dyDescent="0.25">
      <c r="A538" s="732" t="s">
        <v>122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>
        <v>10</v>
      </c>
      <c r="Y539" s="55">
        <f>IFERROR(IF(X539="",0,CEILING((X539/$H539),1)*$H539),"")</f>
        <v>12</v>
      </c>
      <c r="Z539" s="41">
        <f>IFERROR(IF(Y539=0,"",ROUNDUP(Y539/H539,0)*0.01898),"")</f>
        <v>1.898E-2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10.341666666666667</v>
      </c>
      <c r="BN539" s="78">
        <f>IFERROR(Y539*I539/H539,"0")</f>
        <v>12.410000000000002</v>
      </c>
      <c r="BO539" s="78">
        <f>IFERROR(1/J539*(X539/H539),"0")</f>
        <v>1.3020833333333334E-2</v>
      </c>
      <c r="BP539" s="78">
        <f>IFERROR(1/J539*(Y539/H539),"0")</f>
        <v>1.5625E-2</v>
      </c>
    </row>
    <row r="540" spans="1:68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0.83333333333333337</v>
      </c>
      <c r="Y540" s="43">
        <f>IFERROR(Y539/H539,"0")</f>
        <v>1</v>
      </c>
      <c r="Z540" s="43">
        <f>IFERROR(IF(Z539="",0,Z539),"0")</f>
        <v>1.898E-2</v>
      </c>
      <c r="AA540" s="67"/>
      <c r="AB540" s="67"/>
      <c r="AC540" s="67"/>
    </row>
    <row r="541" spans="1:68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10</v>
      </c>
      <c r="Y541" s="43">
        <f>IFERROR(SUM(Y539:Y539),"0")</f>
        <v>12</v>
      </c>
      <c r="Z541" s="42"/>
      <c r="AA541" s="67"/>
      <c r="AB541" s="67"/>
      <c r="AC541" s="67"/>
    </row>
    <row r="542" spans="1:68" ht="14.25" hidden="1" customHeight="1" x14ac:dyDescent="0.25">
      <c r="A542" s="732" t="s">
        <v>155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2" t="s">
        <v>77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2" t="s">
        <v>86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>
        <v>100</v>
      </c>
      <c r="Y551" s="55">
        <f>IFERROR(IF(X551="",0,CEILING((X551/$H551),1)*$H551),"")</f>
        <v>108</v>
      </c>
      <c r="Z551" s="41">
        <f>IFERROR(IF(Y551=0,"",ROUNDUP(Y551/H551,0)*0.01898),"")</f>
        <v>0.22776000000000002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105.48888888888888</v>
      </c>
      <c r="BN551" s="78">
        <f>IFERROR(Y551*I551/H551,"0")</f>
        <v>113.92799999999998</v>
      </c>
      <c r="BO551" s="78">
        <f>IFERROR(1/J551*(X551/H551),"0")</f>
        <v>0.1736111111111111</v>
      </c>
      <c r="BP551" s="78">
        <f>IFERROR(1/J551*(Y551/H551),"0")</f>
        <v>0.1875</v>
      </c>
    </row>
    <row r="552" spans="1:68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11.111111111111111</v>
      </c>
      <c r="Y552" s="43">
        <f>IFERROR(Y551/H551,"0")</f>
        <v>12</v>
      </c>
      <c r="Z552" s="43">
        <f>IFERROR(IF(Z551="",0,Z551),"0")</f>
        <v>0.22776000000000002</v>
      </c>
      <c r="AA552" s="67"/>
      <c r="AB552" s="67"/>
      <c r="AC552" s="67"/>
    </row>
    <row r="553" spans="1:68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100</v>
      </c>
      <c r="Y553" s="43">
        <f>IFERROR(SUM(Y551:Y551),"0")</f>
        <v>108</v>
      </c>
      <c r="Z553" s="42"/>
      <c r="AA553" s="67"/>
      <c r="AB553" s="67"/>
      <c r="AC553" s="67"/>
    </row>
    <row r="554" spans="1:68" ht="14.25" hidden="1" customHeight="1" x14ac:dyDescent="0.25">
      <c r="A554" s="732" t="s">
        <v>173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1" t="s">
        <v>884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hidden="1" customHeight="1" x14ac:dyDescent="0.25">
      <c r="A560" s="732" t="s">
        <v>155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2246.88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2315.7800000000007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2350.1612779134448</v>
      </c>
      <c r="Y565" s="43">
        <f>IFERROR(SUM(BN22:BN561),"0")</f>
        <v>2422.1699999999996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2450.1612779134448</v>
      </c>
      <c r="Y567" s="43">
        <f>GrossWeightTotalR+PalletQtyTotalR*25</f>
        <v>2522.1699999999996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334.45926604259938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344</v>
      </c>
      <c r="Z568" s="42"/>
      <c r="AA568" s="67"/>
      <c r="AB568" s="67"/>
      <c r="AC568" s="67"/>
    </row>
    <row r="569" spans="1:68" ht="14.25" hidden="1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4.4169200000000002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8" t="s">
        <v>120</v>
      </c>
      <c r="E571" s="1028" t="s">
        <v>120</v>
      </c>
      <c r="F571" s="1028" t="s">
        <v>120</v>
      </c>
      <c r="G571" s="1028" t="s">
        <v>120</v>
      </c>
      <c r="H571" s="1028" t="s">
        <v>120</v>
      </c>
      <c r="I571" s="1028" t="s">
        <v>120</v>
      </c>
      <c r="J571" s="1028" t="s">
        <v>120</v>
      </c>
      <c r="K571" s="1028" t="s">
        <v>370</v>
      </c>
      <c r="L571" s="1028" t="s">
        <v>370</v>
      </c>
      <c r="M571" s="1028" t="s">
        <v>370</v>
      </c>
      <c r="N571" s="1034"/>
      <c r="O571" s="1028" t="s">
        <v>370</v>
      </c>
      <c r="P571" s="1028" t="s">
        <v>370</v>
      </c>
      <c r="Q571" s="1028" t="s">
        <v>370</v>
      </c>
      <c r="R571" s="1028" t="s">
        <v>370</v>
      </c>
      <c r="S571" s="1028" t="s">
        <v>370</v>
      </c>
      <c r="T571" s="1028" t="s">
        <v>370</v>
      </c>
      <c r="U571" s="1028" t="s">
        <v>370</v>
      </c>
      <c r="V571" s="1028" t="s">
        <v>370</v>
      </c>
      <c r="W571" s="1028" t="s">
        <v>716</v>
      </c>
      <c r="X571" s="1028" t="s">
        <v>716</v>
      </c>
      <c r="Y571" s="1028" t="s">
        <v>782</v>
      </c>
      <c r="Z571" s="1028" t="s">
        <v>782</v>
      </c>
      <c r="AA571" s="85" t="s">
        <v>818</v>
      </c>
      <c r="AB571" s="1028" t="s">
        <v>865</v>
      </c>
      <c r="AC571" s="1028" t="s">
        <v>865</v>
      </c>
      <c r="AF571" s="1"/>
    </row>
    <row r="572" spans="1:68" ht="14.25" customHeight="1" thickTop="1" x14ac:dyDescent="0.2">
      <c r="A572" s="1035" t="s">
        <v>10</v>
      </c>
      <c r="B572" s="1028" t="s">
        <v>76</v>
      </c>
      <c r="C572" s="1028" t="s">
        <v>104</v>
      </c>
      <c r="D572" s="1028" t="s">
        <v>121</v>
      </c>
      <c r="E572" s="1028" t="s">
        <v>137</v>
      </c>
      <c r="F572" s="1028" t="s">
        <v>182</v>
      </c>
      <c r="G572" s="1028" t="s">
        <v>212</v>
      </c>
      <c r="H572" s="1028" t="s">
        <v>265</v>
      </c>
      <c r="I572" s="1028" t="s">
        <v>278</v>
      </c>
      <c r="J572" s="1028" t="s">
        <v>120</v>
      </c>
      <c r="K572" s="1028" t="s">
        <v>371</v>
      </c>
      <c r="L572" s="1028" t="s">
        <v>392</v>
      </c>
      <c r="M572" s="1028" t="s">
        <v>459</v>
      </c>
      <c r="N572" s="1"/>
      <c r="O572" s="1028" t="s">
        <v>527</v>
      </c>
      <c r="P572" s="1028" t="s">
        <v>560</v>
      </c>
      <c r="Q572" s="1028" t="s">
        <v>576</v>
      </c>
      <c r="R572" s="1028" t="s">
        <v>585</v>
      </c>
      <c r="S572" s="1028" t="s">
        <v>606</v>
      </c>
      <c r="T572" s="1028" t="s">
        <v>615</v>
      </c>
      <c r="U572" s="1028" t="s">
        <v>699</v>
      </c>
      <c r="V572" s="1028" t="s">
        <v>706</v>
      </c>
      <c r="W572" s="1028" t="s">
        <v>717</v>
      </c>
      <c r="X572" s="1028" t="s">
        <v>766</v>
      </c>
      <c r="Y572" s="1028" t="s">
        <v>783</v>
      </c>
      <c r="Z572" s="1028" t="s">
        <v>806</v>
      </c>
      <c r="AA572" s="1028" t="s">
        <v>818</v>
      </c>
      <c r="AB572" s="1028" t="s">
        <v>865</v>
      </c>
      <c r="AC572" s="1028" t="s">
        <v>884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32.400000000000006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218.70000000000002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45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21.6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196.28000000000003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9.6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245.10000000000002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128.4</v>
      </c>
      <c r="U574" s="52">
        <f>IFERROR(Y422*1,"0")+IFERROR(Y423*1,"0")</f>
        <v>54.6</v>
      </c>
      <c r="V574" s="52">
        <f>IFERROR(Y428*1,"0")+IFERROR(Y429*1,"0")+IFERROR(Y430*1,"0")</f>
        <v>14.700000000000001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720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70.200000000000017</v>
      </c>
      <c r="Z574" s="52">
        <f>IFERROR(Y497*1,"0")+IFERROR(Y501*1,"0")+IFERROR(Y502*1,"0")+IFERROR(Y503*1,"0")</f>
        <v>43.2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396</v>
      </c>
      <c r="AB574" s="52">
        <f>IFERROR(Y539*1,"0")+IFERROR(Y543*1,"0")+IFERROR(Y547*1,"0")+IFERROR(Y551*1,"0")+IFERROR(Y555*1,"0")+IFERROR(Y556*1,"0")</f>
        <v>120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00"/>
        <filter val="1,85"/>
        <filter val="10,00"/>
        <filter val="100,00"/>
        <filter val="11,11"/>
        <filter val="12,00"/>
        <filter val="12,04"/>
        <filter val="12,60"/>
        <filter val="125,00"/>
        <filter val="13,33"/>
        <filter val="14,70"/>
        <filter val="145,00"/>
        <filter val="15,00"/>
        <filter val="150,00"/>
        <filter val="16,00"/>
        <filter val="16,10"/>
        <filter val="180,00"/>
        <filter val="191,76"/>
        <filter val="2 246,88"/>
        <filter val="2 350,16"/>
        <filter val="2 450,16"/>
        <filter val="2,00"/>
        <filter val="2,10"/>
        <filter val="2,52"/>
        <filter val="2,78"/>
        <filter val="20,00"/>
        <filter val="200,00"/>
        <filter val="217,50"/>
        <filter val="28,89"/>
        <filter val="3,36"/>
        <filter val="3,85"/>
        <filter val="30,00"/>
        <filter val="300,00"/>
        <filter val="33,33"/>
        <filter val="334,46"/>
        <filter val="35,00"/>
        <filter val="39,00"/>
        <filter val="4"/>
        <filter val="4,00"/>
        <filter val="4,80"/>
        <filter val="40,00"/>
        <filter val="45,00"/>
        <filter val="5,00"/>
        <filter val="5,04"/>
        <filter val="50,00"/>
        <filter val="500,00"/>
        <filter val="54,00"/>
        <filter val="56,82"/>
        <filter val="58,43"/>
        <filter val="6,92"/>
        <filter val="60,80"/>
        <filter val="65,00"/>
        <filter val="67,50"/>
        <filter val="7,00"/>
        <filter val="7,41"/>
        <filter val="8,91"/>
        <filter val="80,00"/>
        <filter val="85,00"/>
        <filter val="9,52"/>
        <filter val="9,6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