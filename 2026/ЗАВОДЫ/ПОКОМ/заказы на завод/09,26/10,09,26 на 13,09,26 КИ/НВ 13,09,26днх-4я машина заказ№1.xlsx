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D6556B2-AAF7-43D3-9CEF-BA06111C341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AB573" i="1" s="1"/>
  <c r="P538" i="1"/>
  <c r="X534" i="1"/>
  <c r="X533" i="1"/>
  <c r="BO532" i="1"/>
  <c r="BM532" i="1"/>
  <c r="Y532" i="1"/>
  <c r="P532" i="1"/>
  <c r="BO531" i="1"/>
  <c r="BM531" i="1"/>
  <c r="Z531" i="1"/>
  <c r="Y531" i="1"/>
  <c r="BN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P482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O464" i="1"/>
  <c r="BM464" i="1"/>
  <c r="Z464" i="1"/>
  <c r="Y464" i="1"/>
  <c r="BN464" i="1" s="1"/>
  <c r="P464" i="1"/>
  <c r="X461" i="1"/>
  <c r="Y460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Z447" i="1"/>
  <c r="Y447" i="1"/>
  <c r="BN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N435" i="1" s="1"/>
  <c r="P435" i="1"/>
  <c r="X431" i="1"/>
  <c r="X430" i="1"/>
  <c r="BO429" i="1"/>
  <c r="BM429" i="1"/>
  <c r="Y429" i="1"/>
  <c r="P429" i="1"/>
  <c r="BO428" i="1"/>
  <c r="BM428" i="1"/>
  <c r="Y428" i="1"/>
  <c r="BP428" i="1" s="1"/>
  <c r="P428" i="1"/>
  <c r="BO427" i="1"/>
  <c r="BM427" i="1"/>
  <c r="Y427" i="1"/>
  <c r="BN427" i="1" s="1"/>
  <c r="P427" i="1"/>
  <c r="X424" i="1"/>
  <c r="X423" i="1"/>
  <c r="BO422" i="1"/>
  <c r="BM422" i="1"/>
  <c r="Y422" i="1"/>
  <c r="BN422" i="1" s="1"/>
  <c r="P422" i="1"/>
  <c r="BO421" i="1"/>
  <c r="BM421" i="1"/>
  <c r="Y421" i="1"/>
  <c r="U573" i="1" s="1"/>
  <c r="P421" i="1"/>
  <c r="X418" i="1"/>
  <c r="X417" i="1"/>
  <c r="BO416" i="1"/>
  <c r="BM416" i="1"/>
  <c r="Y416" i="1"/>
  <c r="BP416" i="1" s="1"/>
  <c r="P416" i="1"/>
  <c r="BP415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BP404" i="1" s="1"/>
  <c r="P404" i="1"/>
  <c r="BO403" i="1"/>
  <c r="BM403" i="1"/>
  <c r="Y403" i="1"/>
  <c r="BN403" i="1" s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BN397" i="1" s="1"/>
  <c r="P397" i="1"/>
  <c r="BO396" i="1"/>
  <c r="BM396" i="1"/>
  <c r="Y396" i="1"/>
  <c r="BP396" i="1" s="1"/>
  <c r="P396" i="1"/>
  <c r="BO395" i="1"/>
  <c r="BM395" i="1"/>
  <c r="Y395" i="1"/>
  <c r="P395" i="1"/>
  <c r="X393" i="1"/>
  <c r="X392" i="1"/>
  <c r="BO391" i="1"/>
  <c r="BM391" i="1"/>
  <c r="Y391" i="1"/>
  <c r="BN391" i="1" s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BN383" i="1" s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O379" i="1"/>
  <c r="BM379" i="1"/>
  <c r="Z379" i="1"/>
  <c r="Y379" i="1"/>
  <c r="BN379" i="1" s="1"/>
  <c r="P379" i="1"/>
  <c r="BO378" i="1"/>
  <c r="BM378" i="1"/>
  <c r="Y378" i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P372" i="1" s="1"/>
  <c r="P372" i="1"/>
  <c r="BP371" i="1"/>
  <c r="BO371" i="1"/>
  <c r="BM371" i="1"/>
  <c r="Y371" i="1"/>
  <c r="P371" i="1"/>
  <c r="BO370" i="1"/>
  <c r="BM370" i="1"/>
  <c r="Y370" i="1"/>
  <c r="P370" i="1"/>
  <c r="X367" i="1"/>
  <c r="X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BN357" i="1" s="1"/>
  <c r="P357" i="1"/>
  <c r="X355" i="1"/>
  <c r="X354" i="1"/>
  <c r="BO353" i="1"/>
  <c r="BM353" i="1"/>
  <c r="Y353" i="1"/>
  <c r="BN353" i="1" s="1"/>
  <c r="P353" i="1"/>
  <c r="BO352" i="1"/>
  <c r="BM352" i="1"/>
  <c r="Y352" i="1"/>
  <c r="BP352" i="1" s="1"/>
  <c r="P352" i="1"/>
  <c r="BO351" i="1"/>
  <c r="BM351" i="1"/>
  <c r="Y351" i="1"/>
  <c r="BN351" i="1" s="1"/>
  <c r="P351" i="1"/>
  <c r="BO350" i="1"/>
  <c r="BM350" i="1"/>
  <c r="Y350" i="1"/>
  <c r="BP350" i="1" s="1"/>
  <c r="P350" i="1"/>
  <c r="BO349" i="1"/>
  <c r="BM349" i="1"/>
  <c r="Y349" i="1"/>
  <c r="P349" i="1"/>
  <c r="X346" i="1"/>
  <c r="X345" i="1"/>
  <c r="BO344" i="1"/>
  <c r="BM344" i="1"/>
  <c r="Y344" i="1"/>
  <c r="BN344" i="1" s="1"/>
  <c r="P344" i="1"/>
  <c r="BO343" i="1"/>
  <c r="BM343" i="1"/>
  <c r="Y343" i="1"/>
  <c r="P343" i="1"/>
  <c r="BO342" i="1"/>
  <c r="BM342" i="1"/>
  <c r="Y342" i="1"/>
  <c r="BN342" i="1" s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BN335" i="1" s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O328" i="1"/>
  <c r="BM328" i="1"/>
  <c r="Y328" i="1"/>
  <c r="BN328" i="1" s="1"/>
  <c r="P328" i="1"/>
  <c r="BO327" i="1"/>
  <c r="BM327" i="1"/>
  <c r="Y327" i="1"/>
  <c r="Y329" i="1" s="1"/>
  <c r="P327" i="1"/>
  <c r="BP326" i="1"/>
  <c r="BO326" i="1"/>
  <c r="BN326" i="1"/>
  <c r="BM326" i="1"/>
  <c r="Z326" i="1"/>
  <c r="Y326" i="1"/>
  <c r="P326" i="1"/>
  <c r="X324" i="1"/>
  <c r="X323" i="1"/>
  <c r="BO322" i="1"/>
  <c r="BM322" i="1"/>
  <c r="Y322" i="1"/>
  <c r="Z322" i="1" s="1"/>
  <c r="Z323" i="1" s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BN314" i="1" s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BP310" i="1"/>
  <c r="BO310" i="1"/>
  <c r="BM310" i="1"/>
  <c r="Y310" i="1"/>
  <c r="P310" i="1"/>
  <c r="BO309" i="1"/>
  <c r="BM309" i="1"/>
  <c r="Y309" i="1"/>
  <c r="P309" i="1"/>
  <c r="BO308" i="1"/>
  <c r="BM308" i="1"/>
  <c r="Z308" i="1"/>
  <c r="Y308" i="1"/>
  <c r="BN308" i="1" s="1"/>
  <c r="P308" i="1"/>
  <c r="X305" i="1"/>
  <c r="X304" i="1"/>
  <c r="BO303" i="1"/>
  <c r="BM303" i="1"/>
  <c r="Y303" i="1"/>
  <c r="P303" i="1"/>
  <c r="BO302" i="1"/>
  <c r="BM302" i="1"/>
  <c r="Y302" i="1"/>
  <c r="Y304" i="1" s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BN295" i="1" s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Z287" i="1" s="1"/>
  <c r="P287" i="1"/>
  <c r="X285" i="1"/>
  <c r="X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O281" i="1"/>
  <c r="BM281" i="1"/>
  <c r="Y281" i="1"/>
  <c r="BN281" i="1" s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BN277" i="1" s="1"/>
  <c r="P277" i="1"/>
  <c r="BO276" i="1"/>
  <c r="BM276" i="1"/>
  <c r="Y276" i="1"/>
  <c r="Y285" i="1" s="1"/>
  <c r="P276" i="1"/>
  <c r="X274" i="1"/>
  <c r="X273" i="1"/>
  <c r="BO272" i="1"/>
  <c r="BM272" i="1"/>
  <c r="Y272" i="1"/>
  <c r="P272" i="1"/>
  <c r="BO271" i="1"/>
  <c r="BM271" i="1"/>
  <c r="Y271" i="1"/>
  <c r="P271" i="1"/>
  <c r="X269" i="1"/>
  <c r="X268" i="1"/>
  <c r="BO267" i="1"/>
  <c r="BM267" i="1"/>
  <c r="Z267" i="1"/>
  <c r="Y267" i="1"/>
  <c r="BN267" i="1" s="1"/>
  <c r="P267" i="1"/>
  <c r="BO266" i="1"/>
  <c r="BM266" i="1"/>
  <c r="Y266" i="1"/>
  <c r="P266" i="1"/>
  <c r="X263" i="1"/>
  <c r="X262" i="1"/>
  <c r="BO261" i="1"/>
  <c r="BM261" i="1"/>
  <c r="Y261" i="1"/>
  <c r="Y263" i="1" s="1"/>
  <c r="P261" i="1"/>
  <c r="X259" i="1"/>
  <c r="X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Y259" i="1" s="1"/>
  <c r="P255" i="1"/>
  <c r="X253" i="1"/>
  <c r="X252" i="1"/>
  <c r="BO251" i="1"/>
  <c r="BM251" i="1"/>
  <c r="Y251" i="1"/>
  <c r="BP251" i="1" s="1"/>
  <c r="P251" i="1"/>
  <c r="BO250" i="1"/>
  <c r="BM250" i="1"/>
  <c r="Y250" i="1"/>
  <c r="BN250" i="1" s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P247" i="1"/>
  <c r="X245" i="1"/>
  <c r="X244" i="1"/>
  <c r="BO243" i="1"/>
  <c r="BM243" i="1"/>
  <c r="Y243" i="1"/>
  <c r="BP243" i="1" s="1"/>
  <c r="P243" i="1"/>
  <c r="BO242" i="1"/>
  <c r="BM242" i="1"/>
  <c r="Z242" i="1"/>
  <c r="Y242" i="1"/>
  <c r="BN242" i="1" s="1"/>
  <c r="P242" i="1"/>
  <c r="BO241" i="1"/>
  <c r="BM241" i="1"/>
  <c r="Y241" i="1"/>
  <c r="BP241" i="1" s="1"/>
  <c r="P241" i="1"/>
  <c r="BO240" i="1"/>
  <c r="BM240" i="1"/>
  <c r="Y240" i="1"/>
  <c r="BN240" i="1" s="1"/>
  <c r="P240" i="1"/>
  <c r="BO239" i="1"/>
  <c r="BM239" i="1"/>
  <c r="Y239" i="1"/>
  <c r="BP239" i="1" s="1"/>
  <c r="P239" i="1"/>
  <c r="BO238" i="1"/>
  <c r="BM238" i="1"/>
  <c r="Y238" i="1"/>
  <c r="BN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N230" i="1" s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X211" i="1"/>
  <c r="X210" i="1"/>
  <c r="BO209" i="1"/>
  <c r="BM209" i="1"/>
  <c r="Y209" i="1"/>
  <c r="Z209" i="1" s="1"/>
  <c r="Z210" i="1" s="1"/>
  <c r="P209" i="1"/>
  <c r="X207" i="1"/>
  <c r="X206" i="1"/>
  <c r="BO205" i="1"/>
  <c r="BM205" i="1"/>
  <c r="Y205" i="1"/>
  <c r="BN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N199" i="1" s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BO193" i="1"/>
  <c r="BM193" i="1"/>
  <c r="Y193" i="1"/>
  <c r="BN193" i="1" s="1"/>
  <c r="BO192" i="1"/>
  <c r="BM192" i="1"/>
  <c r="Y192" i="1"/>
  <c r="BN192" i="1" s="1"/>
  <c r="P192" i="1"/>
  <c r="BO191" i="1"/>
  <c r="BM191" i="1"/>
  <c r="Y191" i="1"/>
  <c r="BP191" i="1" s="1"/>
  <c r="P191" i="1"/>
  <c r="BO190" i="1"/>
  <c r="BM190" i="1"/>
  <c r="Y190" i="1"/>
  <c r="BP190" i="1" s="1"/>
  <c r="P190" i="1"/>
  <c r="BO189" i="1"/>
  <c r="BM189" i="1"/>
  <c r="Y189" i="1"/>
  <c r="BP189" i="1" s="1"/>
  <c r="BO188" i="1"/>
  <c r="BM188" i="1"/>
  <c r="Y188" i="1"/>
  <c r="BP188" i="1" s="1"/>
  <c r="P188" i="1"/>
  <c r="BO187" i="1"/>
  <c r="BM187" i="1"/>
  <c r="Y187" i="1"/>
  <c r="BO186" i="1"/>
  <c r="BM186" i="1"/>
  <c r="Y186" i="1"/>
  <c r="BP186" i="1" s="1"/>
  <c r="P186" i="1"/>
  <c r="BO185" i="1"/>
  <c r="BM185" i="1"/>
  <c r="Y185" i="1"/>
  <c r="BP185" i="1" s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BN177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N171" i="1" s="1"/>
  <c r="P171" i="1"/>
  <c r="X168" i="1"/>
  <c r="X167" i="1"/>
  <c r="BO166" i="1"/>
  <c r="BM166" i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BP156" i="1" s="1"/>
  <c r="P156" i="1"/>
  <c r="X153" i="1"/>
  <c r="X152" i="1"/>
  <c r="BO151" i="1"/>
  <c r="BM151" i="1"/>
  <c r="Y151" i="1"/>
  <c r="BP151" i="1" s="1"/>
  <c r="P151" i="1"/>
  <c r="BO150" i="1"/>
  <c r="BM150" i="1"/>
  <c r="Y150" i="1"/>
  <c r="P150" i="1"/>
  <c r="X148" i="1"/>
  <c r="X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BO134" i="1"/>
  <c r="BM134" i="1"/>
  <c r="Y134" i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O128" i="1"/>
  <c r="BM128" i="1"/>
  <c r="Y128" i="1"/>
  <c r="BP128" i="1" s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Y124" i="1"/>
  <c r="BP124" i="1" s="1"/>
  <c r="BP123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BP118" i="1" s="1"/>
  <c r="P118" i="1"/>
  <c r="BO117" i="1"/>
  <c r="BM117" i="1"/>
  <c r="Z117" i="1"/>
  <c r="Y117" i="1"/>
  <c r="BN117" i="1" s="1"/>
  <c r="P117" i="1"/>
  <c r="BO116" i="1"/>
  <c r="BM116" i="1"/>
  <c r="Y116" i="1"/>
  <c r="BP116" i="1" s="1"/>
  <c r="P116" i="1"/>
  <c r="BO115" i="1"/>
  <c r="BM115" i="1"/>
  <c r="Y115" i="1"/>
  <c r="Y121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Z104" i="1"/>
  <c r="Y104" i="1"/>
  <c r="BN104" i="1" s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Y96" i="1"/>
  <c r="BP96" i="1" s="1"/>
  <c r="BO95" i="1"/>
  <c r="BM95" i="1"/>
  <c r="Y95" i="1"/>
  <c r="BN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Z80" i="1"/>
  <c r="Y80" i="1"/>
  <c r="BN80" i="1" s="1"/>
  <c r="P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O72" i="1"/>
  <c r="BM72" i="1"/>
  <c r="Z72" i="1"/>
  <c r="Y72" i="1"/>
  <c r="BN72" i="1" s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Z58" i="1"/>
  <c r="Y58" i="1"/>
  <c r="BN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Z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Z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563" i="1" s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N37" i="1" l="1"/>
  <c r="BP64" i="1"/>
  <c r="BP95" i="1"/>
  <c r="BN108" i="1"/>
  <c r="BN141" i="1"/>
  <c r="BN158" i="1"/>
  <c r="BP183" i="1"/>
  <c r="BN183" i="1"/>
  <c r="Z183" i="1"/>
  <c r="BN190" i="1"/>
  <c r="BP195" i="1"/>
  <c r="BN195" i="1"/>
  <c r="Z195" i="1"/>
  <c r="BN248" i="1"/>
  <c r="Y273" i="1"/>
  <c r="Z271" i="1"/>
  <c r="BN303" i="1"/>
  <c r="Z303" i="1"/>
  <c r="BP312" i="1"/>
  <c r="BN312" i="1"/>
  <c r="Z312" i="1"/>
  <c r="Y320" i="1"/>
  <c r="Y319" i="1"/>
  <c r="BP318" i="1"/>
  <c r="BN318" i="1"/>
  <c r="Z318" i="1"/>
  <c r="Z319" i="1" s="1"/>
  <c r="BP373" i="1"/>
  <c r="BN373" i="1"/>
  <c r="Z373" i="1"/>
  <c r="BP395" i="1"/>
  <c r="BN395" i="1"/>
  <c r="Z395" i="1"/>
  <c r="BP401" i="1"/>
  <c r="BN401" i="1"/>
  <c r="Z401" i="1"/>
  <c r="BN429" i="1"/>
  <c r="Z429" i="1"/>
  <c r="BN439" i="1"/>
  <c r="Z439" i="1"/>
  <c r="BP484" i="1"/>
  <c r="BN484" i="1"/>
  <c r="Z484" i="1"/>
  <c r="BP490" i="1"/>
  <c r="BN490" i="1"/>
  <c r="Z490" i="1"/>
  <c r="BP509" i="1"/>
  <c r="BN509" i="1"/>
  <c r="Z509" i="1"/>
  <c r="BN515" i="1"/>
  <c r="Z515" i="1"/>
  <c r="BN23" i="1"/>
  <c r="Z27" i="1"/>
  <c r="BN27" i="1"/>
  <c r="BN29" i="1"/>
  <c r="BP41" i="1"/>
  <c r="BP49" i="1"/>
  <c r="E573" i="1"/>
  <c r="BP58" i="1"/>
  <c r="Z64" i="1"/>
  <c r="Z66" i="1"/>
  <c r="BN66" i="1"/>
  <c r="BP72" i="1"/>
  <c r="BP80" i="1"/>
  <c r="Z88" i="1"/>
  <c r="BN88" i="1"/>
  <c r="Z95" i="1"/>
  <c r="Z99" i="1"/>
  <c r="BN99" i="1"/>
  <c r="BP104" i="1"/>
  <c r="Z111" i="1"/>
  <c r="BN111" i="1"/>
  <c r="BP117" i="1"/>
  <c r="BP119" i="1"/>
  <c r="BN119" i="1"/>
  <c r="BN123" i="1"/>
  <c r="Z123" i="1"/>
  <c r="BN151" i="1"/>
  <c r="BN186" i="1"/>
  <c r="BP187" i="1"/>
  <c r="BN187" i="1"/>
  <c r="Z187" i="1"/>
  <c r="BP221" i="1"/>
  <c r="BN221" i="1"/>
  <c r="Z221" i="1"/>
  <c r="BP236" i="1"/>
  <c r="BN236" i="1"/>
  <c r="Z236" i="1"/>
  <c r="BP271" i="1"/>
  <c r="BP279" i="1"/>
  <c r="BN279" i="1"/>
  <c r="Z279" i="1"/>
  <c r="BP293" i="1"/>
  <c r="BN293" i="1"/>
  <c r="Z293" i="1"/>
  <c r="BN310" i="1"/>
  <c r="Z310" i="1"/>
  <c r="BN337" i="1"/>
  <c r="Z337" i="1"/>
  <c r="BP349" i="1"/>
  <c r="BN349" i="1"/>
  <c r="Z349" i="1"/>
  <c r="BN371" i="1"/>
  <c r="Z371" i="1"/>
  <c r="Y417" i="1"/>
  <c r="BN415" i="1"/>
  <c r="Z415" i="1"/>
  <c r="BP439" i="1"/>
  <c r="BP441" i="1"/>
  <c r="BN441" i="1"/>
  <c r="Z441" i="1"/>
  <c r="BN482" i="1"/>
  <c r="Z482" i="1"/>
  <c r="BP515" i="1"/>
  <c r="BN527" i="1"/>
  <c r="BN124" i="1"/>
  <c r="BN128" i="1"/>
  <c r="BN156" i="1"/>
  <c r="Y202" i="1"/>
  <c r="BN217" i="1"/>
  <c r="BN232" i="1"/>
  <c r="BP379" i="1"/>
  <c r="BP447" i="1"/>
  <c r="BN459" i="1"/>
  <c r="BP464" i="1"/>
  <c r="BN486" i="1"/>
  <c r="BN501" i="1"/>
  <c r="BN511" i="1"/>
  <c r="BP531" i="1"/>
  <c r="X564" i="1"/>
  <c r="Z23" i="1"/>
  <c r="Y33" i="1"/>
  <c r="Z29" i="1"/>
  <c r="Z37" i="1"/>
  <c r="BN64" i="1"/>
  <c r="Z108" i="1"/>
  <c r="Z124" i="1"/>
  <c r="Z128" i="1"/>
  <c r="Z151" i="1"/>
  <c r="Z158" i="1"/>
  <c r="BP171" i="1"/>
  <c r="Z171" i="1"/>
  <c r="Z186" i="1"/>
  <c r="Z190" i="1"/>
  <c r="Y206" i="1"/>
  <c r="Y222" i="1"/>
  <c r="Z219" i="1"/>
  <c r="Z232" i="1"/>
  <c r="Z248" i="1"/>
  <c r="BN271" i="1"/>
  <c r="Y274" i="1"/>
  <c r="BP314" i="1"/>
  <c r="Z314" i="1"/>
  <c r="BP328" i="1"/>
  <c r="Z328" i="1"/>
  <c r="BP344" i="1"/>
  <c r="BP353" i="1"/>
  <c r="Y359" i="1"/>
  <c r="BP357" i="1"/>
  <c r="Z357" i="1"/>
  <c r="BP383" i="1"/>
  <c r="Z383" i="1"/>
  <c r="BP397" i="1"/>
  <c r="Z397" i="1"/>
  <c r="BN437" i="1"/>
  <c r="BP437" i="1"/>
  <c r="Z437" i="1"/>
  <c r="X565" i="1"/>
  <c r="BN31" i="1"/>
  <c r="BN39" i="1"/>
  <c r="BN47" i="1"/>
  <c r="BN56" i="1"/>
  <c r="BN78" i="1"/>
  <c r="BN85" i="1"/>
  <c r="Y101" i="1"/>
  <c r="BN96" i="1"/>
  <c r="BN115" i="1"/>
  <c r="Z119" i="1"/>
  <c r="Y131" i="1"/>
  <c r="Z141" i="1"/>
  <c r="BN145" i="1"/>
  <c r="Z156" i="1"/>
  <c r="BN160" i="1"/>
  <c r="BN166" i="1"/>
  <c r="Y167" i="1"/>
  <c r="Y174" i="1"/>
  <c r="Y203" i="1"/>
  <c r="BP199" i="1"/>
  <c r="Z199" i="1"/>
  <c r="BN201" i="1"/>
  <c r="Z217" i="1"/>
  <c r="Z240" i="1"/>
  <c r="BP240" i="1"/>
  <c r="BN256" i="1"/>
  <c r="M573" i="1"/>
  <c r="BP267" i="1"/>
  <c r="Y299" i="1"/>
  <c r="BN287" i="1"/>
  <c r="BP287" i="1"/>
  <c r="BP303" i="1"/>
  <c r="BP308" i="1"/>
  <c r="Y324" i="1"/>
  <c r="Y323" i="1"/>
  <c r="BN322" i="1"/>
  <c r="BP322" i="1"/>
  <c r="Z344" i="1"/>
  <c r="Z353" i="1"/>
  <c r="BN529" i="1"/>
  <c r="BP529" i="1"/>
  <c r="Z529" i="1"/>
  <c r="BN555" i="1"/>
  <c r="BP555" i="1"/>
  <c r="Z555" i="1"/>
  <c r="Y179" i="1"/>
  <c r="BP177" i="1"/>
  <c r="Z177" i="1"/>
  <c r="BP192" i="1"/>
  <c r="Y227" i="1"/>
  <c r="BN226" i="1"/>
  <c r="BP226" i="1"/>
  <c r="Y244" i="1"/>
  <c r="BP230" i="1"/>
  <c r="Z230" i="1"/>
  <c r="BP234" i="1"/>
  <c r="BP250" i="1"/>
  <c r="BP277" i="1"/>
  <c r="Z277" i="1"/>
  <c r="BP281" i="1"/>
  <c r="BP291" i="1"/>
  <c r="Z291" i="1"/>
  <c r="BP295" i="1"/>
  <c r="BP335" i="1"/>
  <c r="Z335" i="1"/>
  <c r="BP391" i="1"/>
  <c r="Z391" i="1"/>
  <c r="BP403" i="1"/>
  <c r="Z403" i="1"/>
  <c r="BP422" i="1"/>
  <c r="BP427" i="1"/>
  <c r="Z427" i="1"/>
  <c r="BN513" i="1"/>
  <c r="BP513" i="1"/>
  <c r="Z513" i="1"/>
  <c r="BN521" i="1"/>
  <c r="BP521" i="1"/>
  <c r="Z521" i="1"/>
  <c r="B573" i="1"/>
  <c r="Z31" i="1"/>
  <c r="Z39" i="1"/>
  <c r="Z47" i="1"/>
  <c r="Z56" i="1"/>
  <c r="Z78" i="1"/>
  <c r="Z85" i="1"/>
  <c r="Z96" i="1"/>
  <c r="Z115" i="1"/>
  <c r="BP115" i="1"/>
  <c r="Z145" i="1"/>
  <c r="Z160" i="1"/>
  <c r="Z166" i="1"/>
  <c r="Z167" i="1" s="1"/>
  <c r="BP166" i="1"/>
  <c r="Y180" i="1"/>
  <c r="Z192" i="1"/>
  <c r="BP193" i="1"/>
  <c r="Z193" i="1"/>
  <c r="Z201" i="1"/>
  <c r="Y207" i="1"/>
  <c r="BP205" i="1"/>
  <c r="Z205" i="1"/>
  <c r="Z206" i="1" s="1"/>
  <c r="Y211" i="1"/>
  <c r="Y210" i="1"/>
  <c r="BN209" i="1"/>
  <c r="BP209" i="1"/>
  <c r="BP215" i="1"/>
  <c r="Z215" i="1"/>
  <c r="BP219" i="1"/>
  <c r="Z226" i="1"/>
  <c r="Z227" i="1" s="1"/>
  <c r="Y245" i="1"/>
  <c r="Z234" i="1"/>
  <c r="BP238" i="1"/>
  <c r="Z238" i="1"/>
  <c r="BP242" i="1"/>
  <c r="Y253" i="1"/>
  <c r="Z250" i="1"/>
  <c r="Z256" i="1"/>
  <c r="Z281" i="1"/>
  <c r="Z295" i="1"/>
  <c r="BP337" i="1"/>
  <c r="Y345" i="1"/>
  <c r="BP342" i="1"/>
  <c r="Z342" i="1"/>
  <c r="BP351" i="1"/>
  <c r="Z351" i="1"/>
  <c r="Z422" i="1"/>
  <c r="BP429" i="1"/>
  <c r="BP435" i="1"/>
  <c r="Z435" i="1"/>
  <c r="BN453" i="1"/>
  <c r="BP453" i="1"/>
  <c r="Z453" i="1"/>
  <c r="Y196" i="1"/>
  <c r="Y339" i="1"/>
  <c r="S573" i="1"/>
  <c r="Y393" i="1"/>
  <c r="Y399" i="1"/>
  <c r="Y405" i="1"/>
  <c r="Y411" i="1"/>
  <c r="Z459" i="1"/>
  <c r="Z486" i="1"/>
  <c r="Z501" i="1"/>
  <c r="Z511" i="1"/>
  <c r="Z527" i="1"/>
  <c r="T573" i="1"/>
  <c r="Y385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6" i="1"/>
  <c r="BP134" i="1"/>
  <c r="BN134" i="1"/>
  <c r="Z134" i="1"/>
  <c r="BP146" i="1"/>
  <c r="BN146" i="1"/>
  <c r="Z146" i="1"/>
  <c r="Z147" i="1" s="1"/>
  <c r="Y148" i="1"/>
  <c r="Y153" i="1"/>
  <c r="BP150" i="1"/>
  <c r="BN150" i="1"/>
  <c r="Z150" i="1"/>
  <c r="BP159" i="1"/>
  <c r="BN159" i="1"/>
  <c r="Z159" i="1"/>
  <c r="Y163" i="1"/>
  <c r="F9" i="1"/>
  <c r="J9" i="1"/>
  <c r="Z22" i="1"/>
  <c r="Z24" i="1" s="1"/>
  <c r="BN22" i="1"/>
  <c r="BP22" i="1"/>
  <c r="X567" i="1"/>
  <c r="Y25" i="1"/>
  <c r="Z28" i="1"/>
  <c r="BN28" i="1"/>
  <c r="Z30" i="1"/>
  <c r="BN30" i="1"/>
  <c r="C573" i="1"/>
  <c r="Z38" i="1"/>
  <c r="BN38" i="1"/>
  <c r="Z40" i="1"/>
  <c r="BN40" i="1"/>
  <c r="Y43" i="1"/>
  <c r="D573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73" i="1"/>
  <c r="Z86" i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G573" i="1"/>
  <c r="Z105" i="1"/>
  <c r="BN105" i="1"/>
  <c r="Z107" i="1"/>
  <c r="BN107" i="1"/>
  <c r="Z109" i="1"/>
  <c r="BN109" i="1"/>
  <c r="Z110" i="1"/>
  <c r="BN110" i="1"/>
  <c r="Y113" i="1"/>
  <c r="Z116" i="1"/>
  <c r="BN116" i="1"/>
  <c r="Z118" i="1"/>
  <c r="BN118" i="1"/>
  <c r="Z125" i="1"/>
  <c r="BN125" i="1"/>
  <c r="Z126" i="1"/>
  <c r="BN126" i="1"/>
  <c r="Z129" i="1"/>
  <c r="BN129" i="1"/>
  <c r="Z130" i="1"/>
  <c r="BN130" i="1"/>
  <c r="BP135" i="1"/>
  <c r="BN135" i="1"/>
  <c r="Z135" i="1"/>
  <c r="Y137" i="1"/>
  <c r="H573" i="1"/>
  <c r="Y143" i="1"/>
  <c r="BP140" i="1"/>
  <c r="BN140" i="1"/>
  <c r="Z140" i="1"/>
  <c r="Z142" i="1" s="1"/>
  <c r="Y147" i="1"/>
  <c r="Y152" i="1"/>
  <c r="BP157" i="1"/>
  <c r="BN157" i="1"/>
  <c r="Z157" i="1"/>
  <c r="BP161" i="1"/>
  <c r="BN161" i="1"/>
  <c r="Z161" i="1"/>
  <c r="Z163" i="1" s="1"/>
  <c r="I573" i="1"/>
  <c r="Y164" i="1"/>
  <c r="J573" i="1"/>
  <c r="Z172" i="1"/>
  <c r="Z174" i="1" s="1"/>
  <c r="BN172" i="1"/>
  <c r="BP172" i="1"/>
  <c r="Y175" i="1"/>
  <c r="Z178" i="1"/>
  <c r="Z179" i="1" s="1"/>
  <c r="BN178" i="1"/>
  <c r="BP178" i="1"/>
  <c r="Z182" i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Y197" i="1"/>
  <c r="Z200" i="1"/>
  <c r="BN200" i="1"/>
  <c r="BP200" i="1"/>
  <c r="K573" i="1"/>
  <c r="Z216" i="1"/>
  <c r="BN216" i="1"/>
  <c r="BP216" i="1"/>
  <c r="Z218" i="1"/>
  <c r="BN218" i="1"/>
  <c r="Z220" i="1"/>
  <c r="BN220" i="1"/>
  <c r="Y223" i="1"/>
  <c r="L573" i="1"/>
  <c r="Y228" i="1"/>
  <c r="Z231" i="1"/>
  <c r="BN231" i="1"/>
  <c r="BP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Y252" i="1"/>
  <c r="Z255" i="1"/>
  <c r="BN255" i="1"/>
  <c r="BP255" i="1"/>
  <c r="Z257" i="1"/>
  <c r="BN257" i="1"/>
  <c r="Y258" i="1"/>
  <c r="Z261" i="1"/>
  <c r="Z262" i="1" s="1"/>
  <c r="BN261" i="1"/>
  <c r="BP261" i="1"/>
  <c r="Y262" i="1"/>
  <c r="Z266" i="1"/>
  <c r="Z268" i="1" s="1"/>
  <c r="BN266" i="1"/>
  <c r="BP266" i="1"/>
  <c r="Y269" i="1"/>
  <c r="Z272" i="1"/>
  <c r="Z273" i="1" s="1"/>
  <c r="BN272" i="1"/>
  <c r="BP272" i="1"/>
  <c r="Z276" i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Y330" i="1"/>
  <c r="BP334" i="1"/>
  <c r="BN334" i="1"/>
  <c r="Z334" i="1"/>
  <c r="Y338" i="1"/>
  <c r="BP343" i="1"/>
  <c r="BN343" i="1"/>
  <c r="Z343" i="1"/>
  <c r="Z345" i="1" s="1"/>
  <c r="Y268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BP311" i="1"/>
  <c r="BN311" i="1"/>
  <c r="Z311" i="1"/>
  <c r="Y315" i="1"/>
  <c r="BP327" i="1"/>
  <c r="BN327" i="1"/>
  <c r="Z327" i="1"/>
  <c r="Z329" i="1" s="1"/>
  <c r="BP336" i="1"/>
  <c r="BN336" i="1"/>
  <c r="Z336" i="1"/>
  <c r="Y354" i="1"/>
  <c r="Y360" i="1"/>
  <c r="Y367" i="1"/>
  <c r="Y376" i="1"/>
  <c r="Y386" i="1"/>
  <c r="Y392" i="1"/>
  <c r="Y398" i="1"/>
  <c r="Y406" i="1"/>
  <c r="Y412" i="1"/>
  <c r="Y418" i="1"/>
  <c r="Y423" i="1"/>
  <c r="Y430" i="1"/>
  <c r="BP448" i="1"/>
  <c r="BN448" i="1"/>
  <c r="Z448" i="1"/>
  <c r="Y450" i="1"/>
  <c r="Y455" i="1"/>
  <c r="BP452" i="1"/>
  <c r="BN452" i="1"/>
  <c r="Z452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Z476" i="1" s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P573" i="1"/>
  <c r="X573" i="1"/>
  <c r="O573" i="1"/>
  <c r="Y316" i="1"/>
  <c r="Q573" i="1"/>
  <c r="Y346" i="1"/>
  <c r="R573" i="1"/>
  <c r="Z350" i="1"/>
  <c r="BN350" i="1"/>
  <c r="Z352" i="1"/>
  <c r="BN352" i="1"/>
  <c r="Y355" i="1"/>
  <c r="Z358" i="1"/>
  <c r="Z359" i="1" s="1"/>
  <c r="BN358" i="1"/>
  <c r="Z363" i="1"/>
  <c r="Z366" i="1" s="1"/>
  <c r="BN363" i="1"/>
  <c r="BP363" i="1"/>
  <c r="Z365" i="1"/>
  <c r="BN365" i="1"/>
  <c r="Y366" i="1"/>
  <c r="Z370" i="1"/>
  <c r="Z375" i="1" s="1"/>
  <c r="BN370" i="1"/>
  <c r="BP370" i="1"/>
  <c r="Z372" i="1"/>
  <c r="BN372" i="1"/>
  <c r="Z374" i="1"/>
  <c r="BN374" i="1"/>
  <c r="Y375" i="1"/>
  <c r="Z378" i="1"/>
  <c r="Z385" i="1" s="1"/>
  <c r="BN378" i="1"/>
  <c r="BP378" i="1"/>
  <c r="Z380" i="1"/>
  <c r="BN380" i="1"/>
  <c r="Z382" i="1"/>
  <c r="BN382" i="1"/>
  <c r="Z384" i="1"/>
  <c r="BN384" i="1"/>
  <c r="Z388" i="1"/>
  <c r="BN388" i="1"/>
  <c r="BP388" i="1"/>
  <c r="Z390" i="1"/>
  <c r="BN390" i="1"/>
  <c r="Z396" i="1"/>
  <c r="Z398" i="1" s="1"/>
  <c r="BN396" i="1"/>
  <c r="Z402" i="1"/>
  <c r="BN402" i="1"/>
  <c r="Z404" i="1"/>
  <c r="BN404" i="1"/>
  <c r="Z408" i="1"/>
  <c r="Z411" i="1" s="1"/>
  <c r="BN408" i="1"/>
  <c r="BP408" i="1"/>
  <c r="Z410" i="1"/>
  <c r="BN410" i="1"/>
  <c r="Z414" i="1"/>
  <c r="BN414" i="1"/>
  <c r="BP414" i="1"/>
  <c r="Z416" i="1"/>
  <c r="BN416" i="1"/>
  <c r="Z421" i="1"/>
  <c r="Z423" i="1" s="1"/>
  <c r="BN421" i="1"/>
  <c r="BP421" i="1"/>
  <c r="Y424" i="1"/>
  <c r="V573" i="1"/>
  <c r="Z428" i="1"/>
  <c r="Z430" i="1" s="1"/>
  <c r="BN428" i="1"/>
  <c r="Y431" i="1"/>
  <c r="W573" i="1"/>
  <c r="Y443" i="1"/>
  <c r="Z436" i="1"/>
  <c r="BN436" i="1"/>
  <c r="Z438" i="1"/>
  <c r="BN438" i="1"/>
  <c r="Z440" i="1"/>
  <c r="BN440" i="1"/>
  <c r="BP442" i="1"/>
  <c r="BN442" i="1"/>
  <c r="Z442" i="1"/>
  <c r="Y444" i="1"/>
  <c r="Y449" i="1"/>
  <c r="BP446" i="1"/>
  <c r="BN446" i="1"/>
  <c r="Z446" i="1"/>
  <c r="BP454" i="1"/>
  <c r="BN454" i="1"/>
  <c r="Z454" i="1"/>
  <c r="Y456" i="1"/>
  <c r="Y461" i="1"/>
  <c r="BP458" i="1"/>
  <c r="BN458" i="1"/>
  <c r="Z458" i="1"/>
  <c r="Y466" i="1"/>
  <c r="BP475" i="1"/>
  <c r="BN475" i="1"/>
  <c r="Z475" i="1"/>
  <c r="Y477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315" i="1" l="1"/>
  <c r="Z131" i="1"/>
  <c r="Z90" i="1"/>
  <c r="Z51" i="1"/>
  <c r="Z460" i="1"/>
  <c r="Z354" i="1"/>
  <c r="Z338" i="1"/>
  <c r="Z304" i="1"/>
  <c r="Z202" i="1"/>
  <c r="Z152" i="1"/>
  <c r="Z284" i="1"/>
  <c r="Z244" i="1"/>
  <c r="Z100" i="1"/>
  <c r="Z120" i="1"/>
  <c r="Z42" i="1"/>
  <c r="Z443" i="1"/>
  <c r="Z405" i="1"/>
  <c r="Z222" i="1"/>
  <c r="Z196" i="1"/>
  <c r="Z112" i="1"/>
  <c r="Z74" i="1"/>
  <c r="Z68" i="1"/>
  <c r="Z61" i="1"/>
  <c r="Z32" i="1"/>
  <c r="X566" i="1"/>
  <c r="Z503" i="1"/>
  <c r="Y564" i="1"/>
  <c r="Z517" i="1"/>
  <c r="Z487" i="1"/>
  <c r="Z449" i="1"/>
  <c r="Z417" i="1"/>
  <c r="Z392" i="1"/>
  <c r="Z533" i="1"/>
  <c r="Z455" i="1"/>
  <c r="Z299" i="1"/>
  <c r="Z258" i="1"/>
  <c r="Z252" i="1"/>
  <c r="Z81" i="1"/>
  <c r="Y563" i="1"/>
  <c r="Y565" i="1"/>
  <c r="Z136" i="1"/>
  <c r="Y567" i="1"/>
  <c r="Z568" i="1" l="1"/>
  <c r="Y566" i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<sst xmlns="http://schemas.openxmlformats.org/spreadsheetml/2006/main" count="2590" uniqueCount="927">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</sst>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46278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899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Воскресенье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5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0.45833333333333331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328</v>
      </c>
      <c r="Y47" s="652">
        <f>IFERROR(IF(X47="",0,CEILING((X47/$H47),1)*$H47),"")</f>
        <v>334.8</v>
      </c>
      <c r="Z47" s="36">
        <f>IFERROR(IF(Y47=0,"",ROUNDUP(Y47/H47,0)*0.01898),"")</f>
        <v>0.58838000000000001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340.45185185185181</v>
      </c>
      <c r="BN47" s="64">
        <f>IFERROR(Y47*I47/H47,"0")</f>
        <v>347.51000000000005</v>
      </c>
      <c r="BO47" s="64">
        <f>IFERROR(1/J47*(X47/H47),"0")</f>
        <v>0.47453703703703698</v>
      </c>
      <c r="BP47" s="64">
        <f>IFERROR(1/J47*(Y47/H47),"0")</f>
        <v>0.484375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30.370370370370367</v>
      </c>
      <c r="Y51" s="653">
        <f>IFERROR(Y47/H47,"0")+IFERROR(Y48/H48,"0")+IFERROR(Y49/H49,"0")+IFERROR(Y50/H50,"0")</f>
        <v>31</v>
      </c>
      <c r="Z51" s="653">
        <f>IFERROR(IF(Z47="",0,Z47),"0")+IFERROR(IF(Z48="",0,Z48),"0")+IFERROR(IF(Z49="",0,Z49),"0")+IFERROR(IF(Z50="",0,Z50),"0")</f>
        <v>0.58838000000000001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328</v>
      </c>
      <c r="Y52" s="653">
        <f>IFERROR(SUM(Y47:Y50),"0")</f>
        <v>334.8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518</v>
      </c>
      <c r="Y56" s="652">
        <f t="shared" si="0"/>
        <v>518.40000000000009</v>
      </c>
      <c r="Z56" s="36">
        <f>IFERROR(IF(Y56=0,"",ROUNDUP(Y56/H56,0)*0.01898),"")</f>
        <v>0.91104000000000007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537.6648148148148</v>
      </c>
      <c r="BN56" s="64">
        <f t="shared" si="2"/>
        <v>538.08000000000004</v>
      </c>
      <c r="BO56" s="64">
        <f t="shared" si="3"/>
        <v>0.74942129629629628</v>
      </c>
      <c r="BP56" s="64">
        <f t="shared" si="4"/>
        <v>0.75000000000000011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47.962962962962962</v>
      </c>
      <c r="Y61" s="653">
        <f>IFERROR(Y55/H55,"0")+IFERROR(Y56/H56,"0")+IFERROR(Y57/H57,"0")+IFERROR(Y58/H58,"0")+IFERROR(Y59/H59,"0")+IFERROR(Y60/H60,"0")</f>
        <v>48.000000000000007</v>
      </c>
      <c r="Z61" s="653">
        <f>IFERROR(IF(Z55="",0,Z55),"0")+IFERROR(IF(Z56="",0,Z56),"0")+IFERROR(IF(Z57="",0,Z57),"0")+IFERROR(IF(Z58="",0,Z58),"0")+IFERROR(IF(Z59="",0,Z59),"0")+IFERROR(IF(Z60="",0,Z60),"0")</f>
        <v>0.91104000000000007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518</v>
      </c>
      <c r="Y62" s="653">
        <f>IFERROR(SUM(Y55:Y60),"0")</f>
        <v>518.40000000000009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hidden="1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647</v>
      </c>
      <c r="Y85" s="652">
        <f>IFERROR(IF(X85="",0,CEILING((X85/$H85),1)*$H85),"")</f>
        <v>648</v>
      </c>
      <c r="Z85" s="36">
        <f>IFERROR(IF(Y85=0,"",ROUNDUP(Y85/H85,0)*0.01898),"")</f>
        <v>1.1388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671.56203703703704</v>
      </c>
      <c r="BN85" s="64">
        <f>IFERROR(Y85*I85/H85,"0")</f>
        <v>672.6</v>
      </c>
      <c r="BO85" s="64">
        <f>IFERROR(1/J85*(X85/H85),"0")</f>
        <v>0.9360532407407407</v>
      </c>
      <c r="BP85" s="64">
        <f>IFERROR(1/J85*(Y85/H85),"0")</f>
        <v>0.93749999999999989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87</v>
      </c>
      <c r="Y89" s="652">
        <f>IFERROR(IF(X89="",0,CEILING((X89/$H89),1)*$H89),"")</f>
        <v>90</v>
      </c>
      <c r="Z89" s="36">
        <f>IFERROR(IF(Y89=0,"",ROUNDUP(Y89/H89,0)*0.00902),"")</f>
        <v>0.1804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90.673333333333346</v>
      </c>
      <c r="BN89" s="64">
        <f>IFERROR(Y89*I89/H89,"0")</f>
        <v>93.800000000000011</v>
      </c>
      <c r="BO89" s="64">
        <f>IFERROR(1/J89*(X89/H89),"0")</f>
        <v>0.14646464646464646</v>
      </c>
      <c r="BP89" s="64">
        <f>IFERROR(1/J89*(Y89/H89),"0")</f>
        <v>0.15151515151515152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79.240740740740733</v>
      </c>
      <c r="Y90" s="653">
        <f>IFERROR(Y85/H85,"0")+IFERROR(Y86/H86,"0")+IFERROR(Y87/H87,"0")+IFERROR(Y88/H88,"0")+IFERROR(Y89/H89,"0")</f>
        <v>80</v>
      </c>
      <c r="Z90" s="653">
        <f>IFERROR(IF(Z85="",0,Z85),"0")+IFERROR(IF(Z86="",0,Z86),"0")+IFERROR(IF(Z87="",0,Z87),"0")+IFERROR(IF(Z88="",0,Z88),"0")+IFERROR(IF(Z89="",0,Z89),"0")</f>
        <v>1.3191999999999999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734</v>
      </c>
      <c r="Y91" s="653">
        <f>IFERROR(SUM(Y85:Y89),"0")</f>
        <v>738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647</v>
      </c>
      <c r="Y93" s="652">
        <f t="shared" ref="Y93:Y99" si="5">IFERROR(IF(X93="",0,CEILING((X93/$H93),1)*$H93),"")</f>
        <v>648</v>
      </c>
      <c r="Z93" s="36">
        <f>IFERROR(IF(Y93=0,"",ROUNDUP(Y93/H93,0)*0.01898),"")</f>
        <v>1.5184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686.45901234567896</v>
      </c>
      <c r="BN93" s="64">
        <f t="shared" ref="BN93:BN99" si="7">IFERROR(Y93*I93/H93,"0")</f>
        <v>687.52</v>
      </c>
      <c r="BO93" s="64">
        <f t="shared" ref="BO93:BO99" si="8">IFERROR(1/J93*(X93/H93),"0")</f>
        <v>1.248070987654321</v>
      </c>
      <c r="BP93" s="64">
        <f t="shared" ref="BP93:BP99" si="9">IFERROR(1/J93*(Y93/H93),"0")</f>
        <v>1.25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hidden="1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79.876543209876544</v>
      </c>
      <c r="Y100" s="653">
        <f>IFERROR(Y93/H93,"0")+IFERROR(Y94/H94,"0")+IFERROR(Y95/H95,"0")+IFERROR(Y96/H96,"0")+IFERROR(Y97/H97,"0")+IFERROR(Y98/H98,"0")+IFERROR(Y99/H99,"0")</f>
        <v>80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1.5184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647</v>
      </c>
      <c r="Y101" s="653">
        <f>IFERROR(SUM(Y93:Y99),"0")</f>
        <v>648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hidden="1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191</v>
      </c>
      <c r="Y109" s="652">
        <f t="shared" si="10"/>
        <v>193.5</v>
      </c>
      <c r="Z109" s="36">
        <f>IFERROR(IF(Y109=0,"",ROUNDUP(Y109/H109,0)*0.00902),"")</f>
        <v>0.38785999999999998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199.06444444444446</v>
      </c>
      <c r="BN109" s="64">
        <f t="shared" si="12"/>
        <v>201.67000000000002</v>
      </c>
      <c r="BO109" s="64">
        <f t="shared" si="13"/>
        <v>0.32154882154882153</v>
      </c>
      <c r="BP109" s="64">
        <f t="shared" si="14"/>
        <v>0.32575757575757575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42.444444444444443</v>
      </c>
      <c r="Y112" s="653">
        <f>IFERROR(Y104/H104,"0")+IFERROR(Y105/H105,"0")+IFERROR(Y106/H106,"0")+IFERROR(Y107/H107,"0")+IFERROR(Y108/H108,"0")+IFERROR(Y109/H109,"0")+IFERROR(Y110/H110,"0")+IFERROR(Y111/H111,"0")</f>
        <v>43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0.38785999999999998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191</v>
      </c>
      <c r="Y113" s="653">
        <f>IFERROR(SUM(Y104:Y111),"0")</f>
        <v>193.5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hidden="1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2070</v>
      </c>
      <c r="Y123" s="652">
        <f t="shared" ref="Y123:Y130" si="15">IFERROR(IF(X123="",0,CEILING((X123/$H123),1)*$H123),"")</f>
        <v>2073.6</v>
      </c>
      <c r="Z123" s="36">
        <f>IFERROR(IF(Y123=0,"",ROUNDUP(Y123/H123,0)*0.01898),"")</f>
        <v>4.8588800000000001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2194.7111111111112</v>
      </c>
      <c r="BN123" s="64">
        <f t="shared" ref="BN123:BN130" si="17">IFERROR(Y123*I123/H123,"0")</f>
        <v>2198.5279999999998</v>
      </c>
      <c r="BO123" s="64">
        <f t="shared" ref="BO123:BO130" si="18">IFERROR(1/J123*(X123/H123),"0")</f>
        <v>3.9930555555555558</v>
      </c>
      <c r="BP123" s="64">
        <f t="shared" ref="BP123:BP130" si="19">IFERROR(1/J123*(Y123/H123),"0")</f>
        <v>4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582</v>
      </c>
      <c r="Y127" s="652">
        <f t="shared" si="15"/>
        <v>583.20000000000005</v>
      </c>
      <c r="Z127" s="36">
        <f t="shared" si="20"/>
        <v>1.4061600000000001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636.31999999999994</v>
      </c>
      <c r="BN127" s="64">
        <f t="shared" si="17"/>
        <v>637.63199999999995</v>
      </c>
      <c r="BO127" s="64">
        <f t="shared" si="18"/>
        <v>1.1843711843711844</v>
      </c>
      <c r="BP127" s="64">
        <f t="shared" si="19"/>
        <v>1.1868131868131868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471.11111111111109</v>
      </c>
      <c r="Y131" s="653">
        <f>IFERROR(Y123/H123,"0")+IFERROR(Y124/H124,"0")+IFERROR(Y125/H125,"0")+IFERROR(Y126/H126,"0")+IFERROR(Y127/H127,"0")+IFERROR(Y128/H128,"0")+IFERROR(Y129/H129,"0")+IFERROR(Y130/H130,"0")</f>
        <v>472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6.2650399999999999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2652</v>
      </c>
      <c r="Y132" s="653">
        <f>IFERROR(SUM(Y123:Y130),"0")</f>
        <v>2656.8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hidden="1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hidden="1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hidden="1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hidden="1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hidden="1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hidden="1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10</v>
      </c>
      <c r="Y171" s="652">
        <f>IFERROR(IF(X171="",0,CEILING((X171/$H171),1)*$H171),"")</f>
        <v>12</v>
      </c>
      <c r="Z171" s="36">
        <f>IFERROR(IF(Y171=0,"",ROUNDUP(Y171/H171,0)*0.01196),"")</f>
        <v>2.392E-2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10.583333333333334</v>
      </c>
      <c r="BN171" s="64">
        <f>IFERROR(Y171*I171/H171,"0")</f>
        <v>12.699999999999998</v>
      </c>
      <c r="BO171" s="64">
        <f>IFERROR(1/J171*(X171/H171),"0")</f>
        <v>1.6025641025641028E-2</v>
      </c>
      <c r="BP171" s="64">
        <f>IFERROR(1/J171*(Y171/H171),"0")</f>
        <v>1.9230769230769232E-2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1.6666666666666667</v>
      </c>
      <c r="Y174" s="653">
        <f>IFERROR(Y171/H171,"0")+IFERROR(Y172/H172,"0")+IFERROR(Y173/H173,"0")</f>
        <v>2</v>
      </c>
      <c r="Z174" s="653">
        <f>IFERROR(IF(Z171="",0,Z171),"0")+IFERROR(IF(Z172="",0,Z172),"0")+IFERROR(IF(Z173="",0,Z173),"0")</f>
        <v>2.392E-2</v>
      </c>
      <c r="AA174" s="654"/>
      <c r="AB174" s="654"/>
      <c r="AC174" s="654"/>
    </row>
    <row r="175" spans="1:68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10</v>
      </c>
      <c r="Y175" s="653">
        <f>IFERROR(SUM(Y171:Y173),"0")</f>
        <v>12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25</v>
      </c>
      <c r="Y182" s="652">
        <f t="shared" ref="Y182:Y195" si="27">IFERROR(IF(X182="",0,CEILING((X182/$H182),1)*$H182),"")</f>
        <v>28</v>
      </c>
      <c r="Z182" s="36">
        <f t="shared" ref="Z182:Z187" si="28">IFERROR(IF(Y182=0,"",ROUNDUP(Y182/H182,0)*0.00902),"")</f>
        <v>7.2160000000000002E-2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26.357142857142858</v>
      </c>
      <c r="BN182" s="64">
        <f t="shared" ref="BN182:BN195" si="30">IFERROR(Y182*I182/H182,"0")</f>
        <v>29.52</v>
      </c>
      <c r="BO182" s="64">
        <f t="shared" ref="BO182:BO195" si="31">IFERROR(1/J182*(X182/H182),"0")</f>
        <v>5.4112554112554119E-2</v>
      </c>
      <c r="BP182" s="64">
        <f t="shared" ref="BP182:BP195" si="32">IFERROR(1/J182*(Y182/H182),"0")</f>
        <v>6.0606060606060608E-2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58</v>
      </c>
      <c r="Y184" s="652">
        <f t="shared" si="27"/>
        <v>59.5</v>
      </c>
      <c r="Z184" s="36">
        <f t="shared" si="28"/>
        <v>0.15334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61.148571428571429</v>
      </c>
      <c r="BN184" s="64">
        <f t="shared" si="30"/>
        <v>62.730000000000004</v>
      </c>
      <c r="BO184" s="64">
        <f t="shared" si="31"/>
        <v>0.12554112554112556</v>
      </c>
      <c r="BP184" s="64">
        <f t="shared" si="32"/>
        <v>0.12878787878787878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250</v>
      </c>
      <c r="Y186" s="652">
        <f t="shared" si="27"/>
        <v>252</v>
      </c>
      <c r="Z186" s="36">
        <f t="shared" si="28"/>
        <v>0.64944000000000002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263.57142857142856</v>
      </c>
      <c r="BN186" s="64">
        <f t="shared" si="30"/>
        <v>265.68</v>
      </c>
      <c r="BO186" s="64">
        <f t="shared" si="31"/>
        <v>0.54112554112554112</v>
      </c>
      <c r="BP186" s="64">
        <f t="shared" si="32"/>
        <v>0.54545454545454541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24</v>
      </c>
      <c r="Y188" s="652">
        <f t="shared" si="27"/>
        <v>24.3</v>
      </c>
      <c r="Z188" s="36">
        <f>IFERROR(IF(Y188=0,"",ROUNDUP(Y188/H188,0)*0.00417),"")</f>
        <v>0.11259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29.6</v>
      </c>
      <c r="BN188" s="64">
        <f t="shared" si="30"/>
        <v>29.970000000000002</v>
      </c>
      <c r="BO188" s="64">
        <f t="shared" si="31"/>
        <v>7.9365079365079347E-2</v>
      </c>
      <c r="BP188" s="64">
        <f t="shared" si="32"/>
        <v>8.0357142857142849E-2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98</v>
      </c>
      <c r="Y190" s="652">
        <f t="shared" si="27"/>
        <v>99.11999999999999</v>
      </c>
      <c r="Z190" s="36">
        <f>IFERROR(IF(Y190=0,"",ROUNDUP(Y190/H190,0)*0.00502),"")</f>
        <v>0.29618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103.83333333333334</v>
      </c>
      <c r="BN190" s="64">
        <f t="shared" si="30"/>
        <v>105.02</v>
      </c>
      <c r="BO190" s="64">
        <f t="shared" si="31"/>
        <v>0.24928774928774933</v>
      </c>
      <c r="BP190" s="64">
        <f t="shared" si="32"/>
        <v>0.25213675213675213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19</v>
      </c>
      <c r="Y191" s="652">
        <f t="shared" si="27"/>
        <v>19.8</v>
      </c>
      <c r="Z191" s="36">
        <f>IFERROR(IF(Y191=0,"",ROUNDUP(Y191/H191,0)*0.00417),"")</f>
        <v>9.1740000000000002E-2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23.433333333333337</v>
      </c>
      <c r="BN191" s="64">
        <f t="shared" si="30"/>
        <v>24.42</v>
      </c>
      <c r="BO191" s="64">
        <f t="shared" si="31"/>
        <v>6.283068783068782E-2</v>
      </c>
      <c r="BP191" s="64">
        <f t="shared" si="32"/>
        <v>6.5476190476190466E-2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14</v>
      </c>
      <c r="Y192" s="652">
        <f t="shared" si="27"/>
        <v>15.12</v>
      </c>
      <c r="Z192" s="36">
        <f>IFERROR(IF(Y192=0,"",ROUNDUP(Y192/H192,0)*0.00502),"")</f>
        <v>4.5179999999999998E-2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14.833333333333336</v>
      </c>
      <c r="BN192" s="64">
        <f t="shared" si="30"/>
        <v>16.02</v>
      </c>
      <c r="BO192" s="64">
        <f t="shared" si="31"/>
        <v>3.561253561253562E-2</v>
      </c>
      <c r="BP192" s="64">
        <f t="shared" si="32"/>
        <v>3.8461538461538464E-2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22</v>
      </c>
      <c r="Y194" s="652">
        <f t="shared" si="27"/>
        <v>22.5</v>
      </c>
      <c r="Z194" s="36">
        <f>IFERROR(IF(Y194=0,"",ROUNDUP(Y194/H194,0)*0.00417),"")</f>
        <v>0.10425000000000001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24.444444444444443</v>
      </c>
      <c r="BN194" s="64">
        <f t="shared" si="30"/>
        <v>25</v>
      </c>
      <c r="BO194" s="64">
        <f t="shared" si="31"/>
        <v>7.2751322751322747E-2</v>
      </c>
      <c r="BP194" s="64">
        <f t="shared" si="32"/>
        <v>7.4404761904761904E-2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98</v>
      </c>
      <c r="Y195" s="652">
        <f t="shared" si="27"/>
        <v>99.11999999999999</v>
      </c>
      <c r="Z195" s="36">
        <f>IFERROR(IF(Y195=0,"",ROUNDUP(Y195/H195,0)*0.00502),"")</f>
        <v>0.29618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103.83333333333334</v>
      </c>
      <c r="BN195" s="64">
        <f t="shared" si="30"/>
        <v>105.02</v>
      </c>
      <c r="BO195" s="64">
        <f t="shared" si="31"/>
        <v>0.24928774928774933</v>
      </c>
      <c r="BP195" s="64">
        <f t="shared" si="32"/>
        <v>0.25213675213675213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292.36507936507934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298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1.8210600000000001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608</v>
      </c>
      <c r="Y197" s="653">
        <f>IFERROR(SUM(Y182:Y195),"0")</f>
        <v>619.46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hidden="1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0</v>
      </c>
      <c r="Y232" s="652">
        <f t="shared" si="39"/>
        <v>0</v>
      </c>
      <c r="Z232" s="36" t="str">
        <f>IFERROR(IF(Y232=0,"",ROUNDUP(Y232/H232,0)*0.00902),"")</f>
        <v/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0</v>
      </c>
      <c r="BN232" s="64">
        <f t="shared" si="41"/>
        <v>0</v>
      </c>
      <c r="BO232" s="64">
        <f t="shared" si="42"/>
        <v>0</v>
      </c>
      <c r="BP232" s="64">
        <f t="shared" si="43"/>
        <v>0</v>
      </c>
    </row>
    <row r="233" spans="1:68" ht="37.5" hidden="1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0</v>
      </c>
      <c r="Y233" s="652">
        <f t="shared" si="39"/>
        <v>0</v>
      </c>
      <c r="Z233" s="36" t="str">
        <f>IFERROR(IF(Y233=0,"",ROUNDUP(Y233/H233,0)*0.00556),"")</f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0</v>
      </c>
      <c r="BN233" s="64">
        <f t="shared" si="41"/>
        <v>0</v>
      </c>
      <c r="BO233" s="64">
        <f t="shared" si="42"/>
        <v>0</v>
      </c>
      <c r="BP233" s="64">
        <f t="shared" si="43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5</v>
      </c>
      <c r="Y239" s="652">
        <f t="shared" si="39"/>
        <v>5.4</v>
      </c>
      <c r="Z239" s="36">
        <f t="shared" si="44"/>
        <v>1.506E-2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5.3611111111111116</v>
      </c>
      <c r="BN239" s="64">
        <f t="shared" si="41"/>
        <v>5.79</v>
      </c>
      <c r="BO239" s="64">
        <f t="shared" si="42"/>
        <v>1.1870845204178538E-2</v>
      </c>
      <c r="BP239" s="64">
        <f t="shared" si="43"/>
        <v>1.2820512820512822E-2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13</v>
      </c>
      <c r="Y240" s="652">
        <f t="shared" si="39"/>
        <v>13.600000000000001</v>
      </c>
      <c r="Z240" s="36">
        <f>IFERROR(IF(Y240=0,"",ROUNDUP(Y240/H240,0)*0.00417),"")</f>
        <v>7.0890000000000009E-2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16.412500000000001</v>
      </c>
      <c r="BN240" s="64">
        <f t="shared" si="41"/>
        <v>17.170000000000002</v>
      </c>
      <c r="BO240" s="64">
        <f t="shared" si="42"/>
        <v>4.8363095238095233E-2</v>
      </c>
      <c r="BP240" s="64">
        <f t="shared" si="43"/>
        <v>5.0595238095238096E-2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53</v>
      </c>
      <c r="Y241" s="652">
        <f t="shared" si="39"/>
        <v>54.6</v>
      </c>
      <c r="Z241" s="36">
        <f>IFERROR(IF(Y241=0,"",ROUNDUP(Y241/H241,0)*0.00502),"")</f>
        <v>0.13052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55.523809523809526</v>
      </c>
      <c r="BN241" s="64">
        <f t="shared" si="41"/>
        <v>57.20000000000001</v>
      </c>
      <c r="BO241" s="64">
        <f t="shared" si="42"/>
        <v>0.10785510785510787</v>
      </c>
      <c r="BP241" s="64">
        <f t="shared" si="43"/>
        <v>0.11111111111111112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44.265873015873012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46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0.21647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71</v>
      </c>
      <c r="Y245" s="653">
        <f>IFERROR(SUM(Y230:Y243),"0")</f>
        <v>73.599999999999994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2</v>
      </c>
      <c r="Y256" s="652">
        <f>IFERROR(IF(X256="",0,CEILING((X256/$H256),1)*$H256),"")</f>
        <v>2.52</v>
      </c>
      <c r="Z256" s="36">
        <f>IFERROR(IF(Y256=0,"",ROUNDUP(Y256/H256,0)*0.0059),"")</f>
        <v>1.18E-2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2.3015873015873014</v>
      </c>
      <c r="BN256" s="64">
        <f>IFERROR(Y256*I256/H256,"0")</f>
        <v>2.9</v>
      </c>
      <c r="BO256" s="64">
        <f>IFERROR(1/J256*(X256/H256),"0")</f>
        <v>7.3486184597295699E-3</v>
      </c>
      <c r="BP256" s="64">
        <f>IFERROR(1/J256*(Y256/H256),"0")</f>
        <v>9.2592592592592587E-3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5</v>
      </c>
      <c r="Y257" s="652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5.753968253968254</v>
      </c>
      <c r="BN257" s="64">
        <f>IFERROR(Y257*I257/H257,"0")</f>
        <v>5.8</v>
      </c>
      <c r="BO257" s="64">
        <f>IFERROR(1/J257*(X257/H257),"0")</f>
        <v>1.8371546149323927E-2</v>
      </c>
      <c r="BP257" s="64">
        <f>IFERROR(1/J257*(Y257/H257),"0")</f>
        <v>1.8518518518518517E-2</v>
      </c>
    </row>
    <row r="258" spans="1:68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5.5555555555555554</v>
      </c>
      <c r="Y258" s="653">
        <f>IFERROR(Y255/H255,"0")+IFERROR(Y256/H256,"0")+IFERROR(Y257/H257,"0")</f>
        <v>6</v>
      </c>
      <c r="Z258" s="653">
        <f>IFERROR(IF(Z255="",0,Z255),"0")+IFERROR(IF(Z256="",0,Z256),"0")+IFERROR(IF(Z257="",0,Z257),"0")</f>
        <v>3.5400000000000001E-2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7</v>
      </c>
      <c r="Y259" s="653">
        <f>IFERROR(SUM(Y255:Y257),"0")</f>
        <v>7.5600000000000005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2</v>
      </c>
      <c r="Y261" s="652">
        <f>IFERROR(IF(X261="",0,CEILING((X261/$H261),1)*$H261),"")</f>
        <v>2.52</v>
      </c>
      <c r="Z261" s="36">
        <f>IFERROR(IF(Y261=0,"",ROUNDUP(Y261/H261,0)*0.0059),"")</f>
        <v>1.18E-2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2.3015873015873014</v>
      </c>
      <c r="BN261" s="64">
        <f>IFERROR(Y261*I261/H261,"0")</f>
        <v>2.9</v>
      </c>
      <c r="BO261" s="64">
        <f>IFERROR(1/J261*(X261/H261),"0")</f>
        <v>7.3486184597295699E-3</v>
      </c>
      <c r="BP261" s="64">
        <f>IFERROR(1/J261*(Y261/H261),"0")</f>
        <v>9.2592592592592587E-3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1.5873015873015872</v>
      </c>
      <c r="Y262" s="653">
        <f>IFERROR(Y261/H261,"0")</f>
        <v>2</v>
      </c>
      <c r="Z262" s="653">
        <f>IFERROR(IF(Z261="",0,Z261),"0")</f>
        <v>1.18E-2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2</v>
      </c>
      <c r="Y263" s="653">
        <f>IFERROR(SUM(Y261:Y261),"0")</f>
        <v>2.52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hidden="1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0</v>
      </c>
      <c r="Y276" s="652">
        <f t="shared" ref="Y276:Y283" si="45">IFERROR(IF(X276="",0,CEILING((X276/$H276),1)*$H276),"")</f>
        <v>0</v>
      </c>
      <c r="Z276" s="36" t="str">
        <f>IFERROR(IF(Y276=0,"",ROUNDUP(Y276/H276,0)*0.00902),"")</f>
        <v/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0</v>
      </c>
      <c r="BN276" s="64">
        <f t="shared" ref="BN276:BN283" si="47">IFERROR(Y276*I276/H276,"0")</f>
        <v>0</v>
      </c>
      <c r="BO276" s="64">
        <f t="shared" ref="BO276:BO283" si="48">IFERROR(1/J276*(X276/H276),"0")</f>
        <v>0</v>
      </c>
      <c r="BP276" s="64">
        <f t="shared" ref="BP276:BP283" si="49">IFERROR(1/J276*(Y276/H276),"0")</f>
        <v>0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55</v>
      </c>
      <c r="Y277" s="652">
        <f t="shared" si="45"/>
        <v>59.400000000000006</v>
      </c>
      <c r="Z277" s="36">
        <f>IFERROR(IF(Y277=0,"",ROUNDUP(Y277/H277,0)*0.00902),"")</f>
        <v>9.9220000000000003E-2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56.935185185185176</v>
      </c>
      <c r="BN277" s="64">
        <f t="shared" si="47"/>
        <v>61.49</v>
      </c>
      <c r="BO277" s="64">
        <f t="shared" si="48"/>
        <v>7.716049382716049E-2</v>
      </c>
      <c r="BP277" s="64">
        <f t="shared" si="49"/>
        <v>8.3333333333333343E-2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150</v>
      </c>
      <c r="Y278" s="652">
        <f t="shared" si="45"/>
        <v>151.20000000000002</v>
      </c>
      <c r="Z278" s="36">
        <f>IFERROR(IF(Y278=0,"",ROUNDUP(Y278/H278,0)*0.00902),"")</f>
        <v>0.25256000000000001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155.27777777777777</v>
      </c>
      <c r="BN278" s="64">
        <f t="shared" si="47"/>
        <v>156.52000000000001</v>
      </c>
      <c r="BO278" s="64">
        <f t="shared" si="48"/>
        <v>0.21043771043771042</v>
      </c>
      <c r="BP278" s="64">
        <f t="shared" si="49"/>
        <v>0.21212121212121213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20</v>
      </c>
      <c r="Y279" s="652">
        <f t="shared" si="45"/>
        <v>21.6</v>
      </c>
      <c r="Z279" s="36">
        <f>IFERROR(IF(Y279=0,"",ROUNDUP(Y279/H279,0)*0.00902),"")</f>
        <v>3.6080000000000001E-2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20.703703703703702</v>
      </c>
      <c r="BN279" s="64">
        <f t="shared" si="47"/>
        <v>22.36</v>
      </c>
      <c r="BO279" s="64">
        <f t="shared" si="48"/>
        <v>2.8058361391694722E-2</v>
      </c>
      <c r="BP279" s="64">
        <f t="shared" si="49"/>
        <v>3.0303030303030304E-2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14</v>
      </c>
      <c r="Y280" s="652">
        <f t="shared" si="45"/>
        <v>14.4</v>
      </c>
      <c r="Z280" s="36">
        <f>IFERROR(IF(Y280=0,"",ROUNDUP(Y280/H280,0)*0.00502),"")</f>
        <v>4.0160000000000001E-2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15.011111111111111</v>
      </c>
      <c r="BN280" s="64">
        <f t="shared" si="47"/>
        <v>15.439999999999998</v>
      </c>
      <c r="BO280" s="64">
        <f t="shared" si="48"/>
        <v>3.3238366571699908E-2</v>
      </c>
      <c r="BP280" s="64">
        <f t="shared" si="49"/>
        <v>3.4188034188034191E-2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3</v>
      </c>
      <c r="Y281" s="652">
        <f t="shared" si="45"/>
        <v>3.6</v>
      </c>
      <c r="Z281" s="36">
        <f>IFERROR(IF(Y281=0,"",ROUNDUP(Y281/H281,0)*0.00502),"")</f>
        <v>1.004E-2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3.1666666666666661</v>
      </c>
      <c r="BN281" s="64">
        <f t="shared" si="47"/>
        <v>3.8</v>
      </c>
      <c r="BO281" s="64">
        <f t="shared" si="48"/>
        <v>7.1225071225071226E-3</v>
      </c>
      <c r="BP281" s="64">
        <f t="shared" si="49"/>
        <v>8.5470085470085479E-3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6</v>
      </c>
      <c r="Y283" s="652">
        <f t="shared" si="45"/>
        <v>7.2</v>
      </c>
      <c r="Z283" s="36">
        <f>IFERROR(IF(Y283=0,"",ROUNDUP(Y283/H283,0)*0.00502),"")</f>
        <v>2.0080000000000001E-2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6.3333333333333321</v>
      </c>
      <c r="BN283" s="64">
        <f t="shared" si="47"/>
        <v>7.6</v>
      </c>
      <c r="BO283" s="64">
        <f t="shared" si="48"/>
        <v>1.4245014245014245E-2</v>
      </c>
      <c r="BP283" s="64">
        <f t="shared" si="49"/>
        <v>1.7094017094017096E-2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54.444444444444443</v>
      </c>
      <c r="Y284" s="653">
        <f>IFERROR(Y276/H276,"0")+IFERROR(Y277/H277,"0")+IFERROR(Y278/H278,"0")+IFERROR(Y279/H279,"0")+IFERROR(Y280/H280,"0")+IFERROR(Y281/H281,"0")+IFERROR(Y282/H282,"0")+IFERROR(Y283/H283,"0")</f>
        <v>57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0.45813999999999994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248</v>
      </c>
      <c r="Y285" s="653">
        <f>IFERROR(SUM(Y276:Y283),"0")</f>
        <v>257.40000000000003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100</v>
      </c>
      <c r="Y287" s="652">
        <f t="shared" ref="Y287:Y298" si="50">IFERROR(IF(X287="",0,CEILING((X287/$H287),1)*$H287),"")</f>
        <v>105.3</v>
      </c>
      <c r="Z287" s="36">
        <f>IFERROR(IF(Y287=0,"",ROUNDUP(Y287/H287,0)*0.01898),"")</f>
        <v>0.24674000000000001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106.09876543209877</v>
      </c>
      <c r="BN287" s="64">
        <f t="shared" ref="BN287:BN298" si="52">IFERROR(Y287*I287/H287,"0")</f>
        <v>111.72199999999999</v>
      </c>
      <c r="BO287" s="64">
        <f t="shared" ref="BO287:BO298" si="53">IFERROR(1/J287*(X287/H287),"0")</f>
        <v>0.19290123456790123</v>
      </c>
      <c r="BP287" s="64">
        <f t="shared" ref="BP287:BP298" si="54">IFERROR(1/J287*(Y287/H287),"0")</f>
        <v>0.203125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50</v>
      </c>
      <c r="Y288" s="652">
        <f t="shared" si="50"/>
        <v>56.699999999999996</v>
      </c>
      <c r="Z288" s="36">
        <f>IFERROR(IF(Y288=0,"",ROUNDUP(Y288/H288,0)*0.01898),"")</f>
        <v>0.13286000000000001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52.938271604938272</v>
      </c>
      <c r="BN288" s="64">
        <f t="shared" si="52"/>
        <v>60.031999999999996</v>
      </c>
      <c r="BO288" s="64">
        <f t="shared" si="53"/>
        <v>9.6450617283950615E-2</v>
      </c>
      <c r="BP288" s="64">
        <f t="shared" si="54"/>
        <v>0.109375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31</v>
      </c>
      <c r="Y289" s="652">
        <f t="shared" si="50"/>
        <v>34.799999999999997</v>
      </c>
      <c r="Z289" s="36">
        <f>IFERROR(IF(Y289=0,"",ROUNDUP(Y289/H289,0)*0.01898),"")</f>
        <v>7.5920000000000001E-2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32.760229885057477</v>
      </c>
      <c r="BN289" s="64">
        <f t="shared" si="52"/>
        <v>36.776000000000003</v>
      </c>
      <c r="BO289" s="64">
        <f t="shared" si="53"/>
        <v>5.5675287356321844E-2</v>
      </c>
      <c r="BP289" s="64">
        <f t="shared" si="54"/>
        <v>6.25E-2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400</v>
      </c>
      <c r="Y290" s="652">
        <f t="shared" si="50"/>
        <v>400.8</v>
      </c>
      <c r="Z290" s="36">
        <f>IFERROR(IF(Y290=0,"",ROUNDUP(Y290/H290,0)*0.00651),"")</f>
        <v>1.08717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445</v>
      </c>
      <c r="BN290" s="64">
        <f t="shared" si="52"/>
        <v>445.89</v>
      </c>
      <c r="BO290" s="64">
        <f t="shared" si="53"/>
        <v>0.91575091575091594</v>
      </c>
      <c r="BP290" s="64">
        <f t="shared" si="54"/>
        <v>0.91758241758241765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240</v>
      </c>
      <c r="Y293" s="652">
        <f t="shared" si="50"/>
        <v>240</v>
      </c>
      <c r="Z293" s="36">
        <f>IFERROR(IF(Y293=0,"",ROUNDUP(Y293/H293,0)*0.00651),"")</f>
        <v>0.65100000000000002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265.20000000000005</v>
      </c>
      <c r="BN293" s="64">
        <f t="shared" si="52"/>
        <v>265.20000000000005</v>
      </c>
      <c r="BO293" s="64">
        <f t="shared" si="53"/>
        <v>0.5494505494505495</v>
      </c>
      <c r="BP293" s="64">
        <f t="shared" si="54"/>
        <v>0.5494505494505495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120</v>
      </c>
      <c r="Y295" s="652">
        <f t="shared" si="50"/>
        <v>120</v>
      </c>
      <c r="Z295" s="36">
        <f>IFERROR(IF(Y295=0,"",ROUNDUP(Y295/H295,0)*0.00651),"")</f>
        <v>0.32550000000000001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132.60000000000002</v>
      </c>
      <c r="BN295" s="64">
        <f t="shared" si="52"/>
        <v>132.60000000000002</v>
      </c>
      <c r="BO295" s="64">
        <f t="shared" si="53"/>
        <v>0.27472527472527475</v>
      </c>
      <c r="BP295" s="64">
        <f t="shared" si="54"/>
        <v>0.27472527472527475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160</v>
      </c>
      <c r="Y296" s="652">
        <f t="shared" si="50"/>
        <v>160.79999999999998</v>
      </c>
      <c r="Z296" s="36">
        <f>IFERROR(IF(Y296=0,"",ROUNDUP(Y296/H296,0)*0.00651),"")</f>
        <v>0.43617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176.80000000000004</v>
      </c>
      <c r="BN296" s="64">
        <f t="shared" si="52"/>
        <v>177.684</v>
      </c>
      <c r="BO296" s="64">
        <f t="shared" si="53"/>
        <v>0.36630036630036633</v>
      </c>
      <c r="BP296" s="64">
        <f t="shared" si="54"/>
        <v>0.36813186813186816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88</v>
      </c>
      <c r="Y297" s="652">
        <f t="shared" si="50"/>
        <v>88.8</v>
      </c>
      <c r="Z297" s="36">
        <f>IFERROR(IF(Y297=0,"",ROUNDUP(Y297/H297,0)*0.00651),"")</f>
        <v>0.24087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97.460000000000008</v>
      </c>
      <c r="BN297" s="64">
        <f t="shared" si="52"/>
        <v>98.346000000000004</v>
      </c>
      <c r="BO297" s="64">
        <f t="shared" si="53"/>
        <v>0.2014652014652015</v>
      </c>
      <c r="BP297" s="64">
        <f t="shared" si="54"/>
        <v>0.20329670329670332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442.08173690932318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445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3.1962300000000003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1189</v>
      </c>
      <c r="Y300" s="653">
        <f>IFERROR(SUM(Y287:Y298),"0")</f>
        <v>1207.2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hidden="1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0</v>
      </c>
      <c r="Y302" s="652">
        <f>IFERROR(IF(X302="",0,CEILING((X302/$H302),1)*$H302),"")</f>
        <v>0</v>
      </c>
      <c r="Z302" s="36" t="str">
        <f>IFERROR(IF(Y302=0,"",ROUNDUP(Y302/H302,0)*0.00651),"")</f>
        <v/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hidden="1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hidden="1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0</v>
      </c>
      <c r="Y304" s="653">
        <f>IFERROR(Y302/H302,"0")+IFERROR(Y303/H303,"0")</f>
        <v>0</v>
      </c>
      <c r="Z304" s="653">
        <f>IFERROR(IF(Z302="",0,Z302),"0")+IFERROR(IF(Z303="",0,Z303),"0")</f>
        <v>0</v>
      </c>
      <c r="AA304" s="654"/>
      <c r="AB304" s="654"/>
      <c r="AC304" s="654"/>
    </row>
    <row r="305" spans="1:68" hidden="1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0</v>
      </c>
      <c r="Y305" s="653">
        <f>IFERROR(SUM(Y302:Y303),"0")</f>
        <v>0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5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5.4861111111111107</v>
      </c>
      <c r="BN322" s="64">
        <f>IFERROR(Y322*I322/H322,"0")</f>
        <v>5.9250000000000007</v>
      </c>
      <c r="BO322" s="64">
        <f>IFERROR(1/J322*(X322/H322),"0")</f>
        <v>1.2860082304526748E-2</v>
      </c>
      <c r="BP322" s="64">
        <f>IFERROR(1/J322*(Y322/H322),"0")</f>
        <v>1.3888888888888888E-2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2.7777777777777777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5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30</v>
      </c>
      <c r="Y343" s="652">
        <f>IFERROR(IF(X343="",0,CEILING((X343/$H343),1)*$H343),"")</f>
        <v>31.2</v>
      </c>
      <c r="Z343" s="36">
        <f>IFERROR(IF(Y343=0,"",ROUNDUP(Y343/H343,0)*0.00651),"")</f>
        <v>8.4629999999999997E-2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33.150000000000006</v>
      </c>
      <c r="BN343" s="64">
        <f>IFERROR(Y343*I343/H343,"0")</f>
        <v>34.476000000000006</v>
      </c>
      <c r="BO343" s="64">
        <f>IFERROR(1/J343*(X343/H343),"0")</f>
        <v>6.8681318681318687E-2</v>
      </c>
      <c r="BP343" s="64">
        <f>IFERROR(1/J343*(Y343/H343),"0")</f>
        <v>7.1428571428571438E-2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59</v>
      </c>
      <c r="Y344" s="652">
        <f>IFERROR(IF(X344="",0,CEILING((X344/$H344),1)*$H344),"")</f>
        <v>60</v>
      </c>
      <c r="Z344" s="36">
        <f>IFERROR(IF(Y344=0,"",ROUNDUP(Y344/H344,0)*0.00651),"")</f>
        <v>0.16275000000000001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63.425000000000004</v>
      </c>
      <c r="BN344" s="64">
        <f>IFERROR(Y344*I344/H344,"0")</f>
        <v>64.500000000000014</v>
      </c>
      <c r="BO344" s="64">
        <f>IFERROR(1/J344*(X344/H344),"0")</f>
        <v>0.13507326007326009</v>
      </c>
      <c r="BP344" s="64">
        <f>IFERROR(1/J344*(Y344/H344),"0")</f>
        <v>0.13736263736263737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37.083333333333336</v>
      </c>
      <c r="Y345" s="653">
        <f>IFERROR(Y342/H342,"0")+IFERROR(Y343/H343,"0")+IFERROR(Y344/H344,"0")</f>
        <v>38</v>
      </c>
      <c r="Z345" s="653">
        <f>IFERROR(IF(Z342="",0,Z342),"0")+IFERROR(IF(Z343="",0,Z343),"0")+IFERROR(IF(Z344="",0,Z344),"0")</f>
        <v>0.24737999999999999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89</v>
      </c>
      <c r="Y346" s="653">
        <f>IFERROR(SUM(Y342:Y344),"0")</f>
        <v>91.2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hidden="1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0</v>
      </c>
      <c r="Y363" s="65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582</v>
      </c>
      <c r="Y364" s="652">
        <f>IFERROR(IF(X364="",0,CEILING((X364/$H364),1)*$H364),"")</f>
        <v>585</v>
      </c>
      <c r="Z364" s="36">
        <f>IFERROR(IF(Y364=0,"",ROUNDUP(Y364/H364,0)*0.01898),"")</f>
        <v>1.4235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612.59230769230771</v>
      </c>
      <c r="BN364" s="64">
        <f>IFERROR(Y364*I364/H364,"0")</f>
        <v>615.75000000000011</v>
      </c>
      <c r="BO364" s="64">
        <f>IFERROR(1/J364*(X364/H364),"0")</f>
        <v>1.1658653846153846</v>
      </c>
      <c r="BP364" s="64">
        <f>IFERROR(1/J364*(Y364/H364),"0")</f>
        <v>1.171875</v>
      </c>
    </row>
    <row r="365" spans="1:68" ht="27" hidden="1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74.615384615384613</v>
      </c>
      <c r="Y366" s="653">
        <f>IFERROR(Y363/H363,"0")+IFERROR(Y364/H364,"0")+IFERROR(Y365/H365,"0")</f>
        <v>75</v>
      </c>
      <c r="Z366" s="653">
        <f>IFERROR(IF(Z363="",0,Z363),"0")+IFERROR(IF(Z364="",0,Z364),"0")+IFERROR(IF(Z365="",0,Z365),"0")</f>
        <v>1.4235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582</v>
      </c>
      <c r="Y367" s="653">
        <f>IFERROR(SUM(Y363:Y365),"0")</f>
        <v>585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0</v>
      </c>
      <c r="Y384" s="652">
        <f t="shared" si="60"/>
        <v>0</v>
      </c>
      <c r="Z384" s="36" t="str">
        <f>IFERROR(IF(Y384=0,"",ROUNDUP(Y384/H384,0)*0.00651),"")</f>
        <v/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0</v>
      </c>
      <c r="BN384" s="64">
        <f t="shared" si="62"/>
        <v>0</v>
      </c>
      <c r="BO384" s="64">
        <f t="shared" si="63"/>
        <v>0</v>
      </c>
      <c r="BP384" s="64">
        <f t="shared" si="64"/>
        <v>0</v>
      </c>
    </row>
    <row r="385" spans="1:68" hidden="1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0</v>
      </c>
      <c r="Y385" s="653">
        <f>IFERROR(Y378/H378,"0")+IFERROR(Y379/H379,"0")+IFERROR(Y380/H380,"0")+IFERROR(Y381/H381,"0")+IFERROR(Y382/H382,"0")+IFERROR(Y383/H383,"0")+IFERROR(Y384/H384,"0")</f>
        <v>0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54"/>
      <c r="AB385" s="654"/>
      <c r="AC385" s="654"/>
    </row>
    <row r="386" spans="1:68" hidden="1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0</v>
      </c>
      <c r="Y386" s="653">
        <f>IFERROR(SUM(Y378:Y384),"0")</f>
        <v>0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hidden="1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500</v>
      </c>
      <c r="Y396" s="652">
        <f>IFERROR(IF(X396="",0,CEILING((X396/$H396),1)*$H396),"")</f>
        <v>507</v>
      </c>
      <c r="Z396" s="36">
        <f>IFERROR(IF(Y396=0,"",ROUNDUP(Y396/H396,0)*0.01898),"")</f>
        <v>1.2337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531.66666666666663</v>
      </c>
      <c r="BN396" s="64">
        <f>IFERROR(Y396*I396/H396,"0")</f>
        <v>539.11</v>
      </c>
      <c r="BO396" s="64">
        <f>IFERROR(1/J396*(X396/H396),"0")</f>
        <v>1.0016025641025641</v>
      </c>
      <c r="BP396" s="64">
        <f>IFERROR(1/J396*(Y396/H396),"0")</f>
        <v>1.015625</v>
      </c>
    </row>
    <row r="397" spans="1:68" ht="27" hidden="1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64.102564102564102</v>
      </c>
      <c r="Y398" s="653">
        <f>IFERROR(Y395/H395,"0")+IFERROR(Y396/H396,"0")+IFERROR(Y397/H397,"0")</f>
        <v>65</v>
      </c>
      <c r="Z398" s="653">
        <f>IFERROR(IF(Z395="",0,Z395),"0")+IFERROR(IF(Z396="",0,Z396),"0")+IFERROR(IF(Z397="",0,Z397),"0")</f>
        <v>1.2337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500</v>
      </c>
      <c r="Y399" s="653">
        <f>IFERROR(SUM(Y395:Y397),"0")</f>
        <v>507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4</v>
      </c>
      <c r="Y402" s="652">
        <f>IFERROR(IF(X402="",0,CEILING((X402/$H402),1)*$H402),"")</f>
        <v>6.08</v>
      </c>
      <c r="Z402" s="36">
        <f>IFERROR(IF(Y402=0,"",ROUNDUP(Y402/H402,0)*0.00902),"")</f>
        <v>1.804E-2</v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4.3026315789473681</v>
      </c>
      <c r="BN402" s="64">
        <f>IFERROR(Y402*I402/H402,"0")</f>
        <v>6.5399999999999991</v>
      </c>
      <c r="BO402" s="64">
        <f>IFERROR(1/J402*(X402/H402),"0")</f>
        <v>9.9681020733652318E-3</v>
      </c>
      <c r="BP402" s="64">
        <f>IFERROR(1/J402*(Y402/H402),"0")</f>
        <v>1.5151515151515152E-2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9</v>
      </c>
      <c r="Y403" s="652">
        <f>IFERROR(IF(X403="",0,CEILING((X403/$H403),1)*$H403),"")</f>
        <v>10.199999999999999</v>
      </c>
      <c r="Z403" s="36">
        <f>IFERROR(IF(Y403=0,"",ROUNDUP(Y403/H403,0)*0.00651),"")</f>
        <v>2.6040000000000001E-2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10.429411764705883</v>
      </c>
      <c r="BN403" s="64">
        <f>IFERROR(Y403*I403/H403,"0")</f>
        <v>11.82</v>
      </c>
      <c r="BO403" s="64">
        <f>IFERROR(1/J403*(X403/H403),"0")</f>
        <v>1.9392372333548808E-2</v>
      </c>
      <c r="BP403" s="64">
        <f>IFERROR(1/J403*(Y403/H403),"0")</f>
        <v>2.197802197802198E-2</v>
      </c>
    </row>
    <row r="404" spans="1:68" ht="27" hidden="1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4.8452012383900929</v>
      </c>
      <c r="Y405" s="653">
        <f>IFERROR(Y401/H401,"0")+IFERROR(Y402/H402,"0")+IFERROR(Y403/H403,"0")+IFERROR(Y404/H404,"0")</f>
        <v>6</v>
      </c>
      <c r="Z405" s="653">
        <f>IFERROR(IF(Z401="",0,Z401),"0")+IFERROR(IF(Z402="",0,Z402),"0")+IFERROR(IF(Z403="",0,Z403),"0")+IFERROR(IF(Z404="",0,Z404),"0")</f>
        <v>4.4080000000000001E-2</v>
      </c>
      <c r="AA405" s="654"/>
      <c r="AB405" s="654"/>
      <c r="AC405" s="654"/>
    </row>
    <row r="406" spans="1:68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13</v>
      </c>
      <c r="Y406" s="653">
        <f>IFERROR(SUM(Y401:Y404),"0")</f>
        <v>16.28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65</v>
      </c>
      <c r="Y408" s="652">
        <f>IFERROR(IF(X408="",0,CEILING((X408/$H408),1)*$H408),"")</f>
        <v>66</v>
      </c>
      <c r="Z408" s="36">
        <f>IFERROR(IF(Y408=0,"",ROUNDUP(Y408/H408,0)*0.00474),"")</f>
        <v>0.15642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72.800000000000011</v>
      </c>
      <c r="BN408" s="64">
        <f>IFERROR(Y408*I408/H408,"0")</f>
        <v>73.92</v>
      </c>
      <c r="BO408" s="64">
        <f>IFERROR(1/J408*(X408/H408),"0")</f>
        <v>0.13655462184873948</v>
      </c>
      <c r="BP408" s="64">
        <f>IFERROR(1/J408*(Y408/H408),"0")</f>
        <v>0.13865546218487396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39</v>
      </c>
      <c r="Y409" s="652">
        <f>IFERROR(IF(X409="",0,CEILING((X409/$H409),1)*$H409),"")</f>
        <v>40</v>
      </c>
      <c r="Z409" s="36">
        <f>IFERROR(IF(Y409=0,"",ROUNDUP(Y409/H409,0)*0.00474),"")</f>
        <v>9.4800000000000009E-2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43.680000000000007</v>
      </c>
      <c r="BN409" s="64">
        <f>IFERROR(Y409*I409/H409,"0")</f>
        <v>44.800000000000004</v>
      </c>
      <c r="BO409" s="64">
        <f>IFERROR(1/J409*(X409/H409),"0")</f>
        <v>8.1932773109243698E-2</v>
      </c>
      <c r="BP409" s="64">
        <f>IFERROR(1/J409*(Y409/H409),"0")</f>
        <v>8.4033613445378144E-2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39</v>
      </c>
      <c r="Y410" s="652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43.680000000000007</v>
      </c>
      <c r="BN410" s="64">
        <f>IFERROR(Y410*I410/H410,"0")</f>
        <v>44.800000000000004</v>
      </c>
      <c r="BO410" s="64">
        <f>IFERROR(1/J410*(X410/H410),"0")</f>
        <v>8.1932773109243698E-2</v>
      </c>
      <c r="BP410" s="64">
        <f>IFERROR(1/J410*(Y410/H410),"0")</f>
        <v>8.4033613445378144E-2</v>
      </c>
    </row>
    <row r="411" spans="1:68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71.5</v>
      </c>
      <c r="Y411" s="653">
        <f>IFERROR(Y408/H408,"0")+IFERROR(Y409/H409,"0")+IFERROR(Y410/H410,"0")</f>
        <v>73</v>
      </c>
      <c r="Z411" s="653">
        <f>IFERROR(IF(Z408="",0,Z408),"0")+IFERROR(IF(Z409="",0,Z409),"0")+IFERROR(IF(Z410="",0,Z410),"0")</f>
        <v>0.34601999999999999</v>
      </c>
      <c r="AA411" s="654"/>
      <c r="AB411" s="654"/>
      <c r="AC411" s="654"/>
    </row>
    <row r="412" spans="1:68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143</v>
      </c>
      <c r="Y412" s="653">
        <f>IFERROR(SUM(Y408:Y410),"0")</f>
        <v>146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hidden="1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0</v>
      </c>
      <c r="Y417" s="653">
        <f>IFERROR(Y414/H414,"0")+IFERROR(Y415/H415,"0")+IFERROR(Y416/H416,"0")</f>
        <v>0</v>
      </c>
      <c r="Z417" s="653">
        <f>IFERROR(IF(Z414="",0,Z414),"0")+IFERROR(IF(Z415="",0,Z415),"0")+IFERROR(IF(Z416="",0,Z416),"0")</f>
        <v>0</v>
      </c>
      <c r="AA417" s="654"/>
      <c r="AB417" s="654"/>
      <c r="AC417" s="654"/>
    </row>
    <row r="418" spans="1:68" hidden="1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0</v>
      </c>
      <c r="Y418" s="653">
        <f>IFERROR(SUM(Y414:Y416),"0")</f>
        <v>0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35</v>
      </c>
      <c r="Y428" s="652">
        <f>IFERROR(IF(X428="",0,CEILING((X428/$H428),1)*$H428),"")</f>
        <v>35.700000000000003</v>
      </c>
      <c r="Z428" s="36">
        <f>IFERROR(IF(Y428=0,"",ROUNDUP(Y428/H428,0)*0.00651),"")</f>
        <v>0.11067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39.199999999999996</v>
      </c>
      <c r="BN428" s="64">
        <f>IFERROR(Y428*I428/H428,"0")</f>
        <v>39.984000000000002</v>
      </c>
      <c r="BO428" s="64">
        <f>IFERROR(1/J428*(X428/H428),"0")</f>
        <v>9.1575091575091569E-2</v>
      </c>
      <c r="BP428" s="64">
        <f>IFERROR(1/J428*(Y428/H428),"0")</f>
        <v>9.3406593406593408E-2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14</v>
      </c>
      <c r="Y429" s="652">
        <f>IFERROR(IF(X429="",0,CEILING((X429/$H429),1)*$H429),"")</f>
        <v>14.700000000000001</v>
      </c>
      <c r="Z429" s="36">
        <f>IFERROR(IF(Y429=0,"",ROUNDUP(Y429/H429,0)*0.00651),"")</f>
        <v>4.5569999999999999E-2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15.599999999999998</v>
      </c>
      <c r="BN429" s="64">
        <f>IFERROR(Y429*I429/H429,"0")</f>
        <v>16.380000000000003</v>
      </c>
      <c r="BO429" s="64">
        <f>IFERROR(1/J429*(X429/H429),"0")</f>
        <v>3.6630036630036632E-2</v>
      </c>
      <c r="BP429" s="64">
        <f>IFERROR(1/J429*(Y429/H429),"0")</f>
        <v>3.8461538461538464E-2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23.333333333333329</v>
      </c>
      <c r="Y430" s="653">
        <f>IFERROR(Y427/H427,"0")+IFERROR(Y428/H428,"0")+IFERROR(Y429/H429,"0")</f>
        <v>24</v>
      </c>
      <c r="Z430" s="653">
        <f>IFERROR(IF(Z427="",0,Z427),"0")+IFERROR(IF(Z428="",0,Z428),"0")+IFERROR(IF(Z429="",0,Z429),"0")</f>
        <v>0.15623999999999999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49</v>
      </c>
      <c r="Y431" s="653">
        <f>IFERROR(SUM(Y427:Y429),"0")</f>
        <v>50.400000000000006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hidden="1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hidden="1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0</v>
      </c>
      <c r="Y437" s="652">
        <f t="shared" si="65"/>
        <v>0</v>
      </c>
      <c r="Z437" s="36" t="str">
        <f>IFERROR(IF(Y437=0,"",ROUNDUP(Y437/H437,0)*0.02175),"")</f>
        <v/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0</v>
      </c>
      <c r="BN437" s="64">
        <f t="shared" si="67"/>
        <v>0</v>
      </c>
      <c r="BO437" s="64">
        <f t="shared" si="68"/>
        <v>0</v>
      </c>
      <c r="BP437" s="64">
        <f t="shared" si="69"/>
        <v>0</v>
      </c>
    </row>
    <row r="438" spans="1:68" ht="27" hidden="1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401</v>
      </c>
      <c r="Y439" s="652">
        <f t="shared" si="65"/>
        <v>405</v>
      </c>
      <c r="Z439" s="36">
        <f>IFERROR(IF(Y439=0,"",ROUNDUP(Y439/H439,0)*0.02175),"")</f>
        <v>0.58724999999999994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413.56466666666671</v>
      </c>
      <c r="BN439" s="64">
        <f t="shared" si="67"/>
        <v>417.69</v>
      </c>
      <c r="BO439" s="64">
        <f t="shared" si="68"/>
        <v>0.55694444444444446</v>
      </c>
      <c r="BP439" s="64">
        <f t="shared" si="69"/>
        <v>0.5625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26.733333333333334</v>
      </c>
      <c r="Y443" s="653">
        <f>IFERROR(Y435/H435,"0")+IFERROR(Y436/H436,"0")+IFERROR(Y437/H437,"0")+IFERROR(Y438/H438,"0")+IFERROR(Y439/H439,"0")+IFERROR(Y440/H440,"0")+IFERROR(Y441/H441,"0")+IFERROR(Y442/H442,"0")</f>
        <v>27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0.58724999999999994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401</v>
      </c>
      <c r="Y444" s="653">
        <f>IFERROR(SUM(Y435:Y442),"0")</f>
        <v>405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320</v>
      </c>
      <c r="Y446" s="652">
        <f>IFERROR(IF(X446="",0,CEILING((X446/$H446),1)*$H446),"")</f>
        <v>330</v>
      </c>
      <c r="Z446" s="36">
        <f>IFERROR(IF(Y446=0,"",ROUNDUP(Y446/H446,0)*0.02175),"")</f>
        <v>0.47849999999999998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330.0266666666667</v>
      </c>
      <c r="BN446" s="64">
        <f>IFERROR(Y446*I446/H446,"0")</f>
        <v>340.34000000000003</v>
      </c>
      <c r="BO446" s="64">
        <f>IFERROR(1/J446*(X446/H446),"0")</f>
        <v>0.44444444444444442</v>
      </c>
      <c r="BP446" s="64">
        <f>IFERROR(1/J446*(Y446/H446),"0")</f>
        <v>0.45833333333333331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21.333333333333332</v>
      </c>
      <c r="Y449" s="653">
        <f>IFERROR(Y446/H446,"0")+IFERROR(Y447/H447,"0")+IFERROR(Y448/H448,"0")</f>
        <v>22</v>
      </c>
      <c r="Z449" s="653">
        <f>IFERROR(IF(Z446="",0,Z446),"0")+IFERROR(IF(Z447="",0,Z447),"0")+IFERROR(IF(Z448="",0,Z448),"0")</f>
        <v>0.47849999999999998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320</v>
      </c>
      <c r="Y450" s="653">
        <f>IFERROR(SUM(Y446:Y448),"0")</f>
        <v>330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hidden="1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hidden="1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1500</v>
      </c>
      <c r="Y473" s="652">
        <f>IFERROR(IF(X473="",0,CEILING((X473/$H473),1)*$H473),"")</f>
        <v>1503</v>
      </c>
      <c r="Z473" s="36">
        <f>IFERROR(IF(Y473=0,"",ROUNDUP(Y473/H473,0)*0.01898),"")</f>
        <v>3.1696599999999999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1582.3333333333333</v>
      </c>
      <c r="BN473" s="64">
        <f>IFERROR(Y473*I473/H473,"0")</f>
        <v>1585.498</v>
      </c>
      <c r="BO473" s="64">
        <f>IFERROR(1/J473*(X473/H473),"0")</f>
        <v>2.6041666666666665</v>
      </c>
      <c r="BP473" s="64">
        <f>IFERROR(1/J473*(Y473/H473),"0")</f>
        <v>2.609375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40</v>
      </c>
      <c r="Y474" s="652">
        <f>IFERROR(IF(X474="",0,CEILING((X474/$H474),1)*$H474),"")</f>
        <v>40.799999999999997</v>
      </c>
      <c r="Z474" s="36">
        <f>IFERROR(IF(Y474=0,"",ROUNDUP(Y474/H474,0)*0.00651),"")</f>
        <v>0.11067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44.400000000000006</v>
      </c>
      <c r="BN474" s="64">
        <f>IFERROR(Y474*I474/H474,"0")</f>
        <v>45.287999999999997</v>
      </c>
      <c r="BO474" s="64">
        <f>IFERROR(1/J474*(X474/H474),"0")</f>
        <v>9.1575091575091583E-2</v>
      </c>
      <c r="BP474" s="64">
        <f>IFERROR(1/J474*(Y474/H474),"0")</f>
        <v>9.3406593406593408E-2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183.33333333333331</v>
      </c>
      <c r="Y476" s="653">
        <f>IFERROR(Y473/H473,"0")+IFERROR(Y474/H474,"0")+IFERROR(Y475/H475,"0")</f>
        <v>184</v>
      </c>
      <c r="Z476" s="653">
        <f>IFERROR(IF(Z473="",0,Z473),"0")+IFERROR(IF(Z474="",0,Z474),"0")+IFERROR(IF(Z475="",0,Z475),"0")</f>
        <v>3.2803299999999997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1540</v>
      </c>
      <c r="Y477" s="653">
        <f>IFERROR(SUM(Y473:Y475),"0")</f>
        <v>1543.8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hidden="1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idden="1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hidden="1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hidden="1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1618</v>
      </c>
      <c r="Y511" s="652">
        <f t="shared" si="75"/>
        <v>1620.96</v>
      </c>
      <c r="Z511" s="36">
        <f t="shared" si="76"/>
        <v>3.6717200000000001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1725.2537878787878</v>
      </c>
      <c r="BN511" s="64">
        <f t="shared" si="78"/>
        <v>1728.41</v>
      </c>
      <c r="BO511" s="64">
        <f t="shared" si="79"/>
        <v>2.9465326340326343</v>
      </c>
      <c r="BP511" s="64">
        <f t="shared" si="80"/>
        <v>2.9519230769230771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1773</v>
      </c>
      <c r="Y513" s="652">
        <f t="shared" si="75"/>
        <v>1774.0800000000002</v>
      </c>
      <c r="Z513" s="36">
        <f t="shared" si="76"/>
        <v>4.0185599999999999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1890.528409090909</v>
      </c>
      <c r="BN513" s="64">
        <f t="shared" si="78"/>
        <v>1891.68</v>
      </c>
      <c r="BO513" s="64">
        <f t="shared" si="79"/>
        <v>3.2288024475524475</v>
      </c>
      <c r="BP513" s="64">
        <f t="shared" si="80"/>
        <v>3.2307692307692308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hidden="1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642.2348484848485</v>
      </c>
      <c r="Y517" s="653">
        <f>IFERROR(Y508/H508,"0")+IFERROR(Y509/H509,"0")+IFERROR(Y510/H510,"0")+IFERROR(Y511/H511,"0")+IFERROR(Y512/H512,"0")+IFERROR(Y513/H513,"0")+IFERROR(Y514/H514,"0")+IFERROR(Y515/H515,"0")+IFERROR(Y516/H516,"0")</f>
        <v>643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7.6902799999999996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3391</v>
      </c>
      <c r="Y518" s="653">
        <f>IFERROR(SUM(Y508:Y516),"0")</f>
        <v>3395.04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800</v>
      </c>
      <c r="Y520" s="652">
        <f>IFERROR(IF(X520="",0,CEILING((X520/$H520),1)*$H520),"")</f>
        <v>802.56000000000006</v>
      </c>
      <c r="Z520" s="36">
        <f>IFERROR(IF(Y520=0,"",ROUNDUP(Y520/H520,0)*0.01196),"")</f>
        <v>1.81792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853.030303030303</v>
      </c>
      <c r="BN520" s="64">
        <f>IFERROR(Y520*I520/H520,"0")</f>
        <v>855.76</v>
      </c>
      <c r="BO520" s="64">
        <f>IFERROR(1/J520*(X520/H520),"0")</f>
        <v>1.4568764568764567</v>
      </c>
      <c r="BP520" s="64">
        <f>IFERROR(1/J520*(Y520/H520),"0")</f>
        <v>1.4615384615384617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151.5151515151515</v>
      </c>
      <c r="Y523" s="653">
        <f>IFERROR(Y520/H520,"0")+IFERROR(Y521/H521,"0")+IFERROR(Y522/H522,"0")</f>
        <v>152</v>
      </c>
      <c r="Z523" s="653">
        <f>IFERROR(IF(Z520="",0,Z520),"0")+IFERROR(IF(Z521="",0,Z521),"0")+IFERROR(IF(Z522="",0,Z522),"0")</f>
        <v>1.81792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800</v>
      </c>
      <c r="Y524" s="653">
        <f>IFERROR(SUM(Y520:Y522),"0")</f>
        <v>802.56000000000006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182</v>
      </c>
      <c r="Y526" s="652">
        <f t="shared" ref="Y526:Y532" si="81">IFERROR(IF(X526="",0,CEILING((X526/$H526),1)*$H526),"")</f>
        <v>184.8</v>
      </c>
      <c r="Z526" s="36">
        <f>IFERROR(IF(Y526=0,"",ROUNDUP(Y526/H526,0)*0.01196),"")</f>
        <v>0.41860000000000003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194.06439393939394</v>
      </c>
      <c r="BN526" s="64">
        <f t="shared" ref="BN526:BN532" si="83">IFERROR(Y526*I526/H526,"0")</f>
        <v>197.04999999999998</v>
      </c>
      <c r="BO526" s="64">
        <f t="shared" ref="BO526:BO532" si="84">IFERROR(1/J526*(X526/H526),"0")</f>
        <v>0.33143939393939392</v>
      </c>
      <c r="BP526" s="64">
        <f t="shared" ref="BP526:BP532" si="85">IFERROR(1/J526*(Y526/H526),"0")</f>
        <v>0.33653846153846156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331</v>
      </c>
      <c r="Y527" s="652">
        <f t="shared" si="81"/>
        <v>332.64000000000004</v>
      </c>
      <c r="Z527" s="36">
        <f>IFERROR(IF(Y527=0,"",ROUNDUP(Y527/H527,0)*0.01196),"")</f>
        <v>0.75348000000000004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352.94128787878788</v>
      </c>
      <c r="BN527" s="64">
        <f t="shared" si="83"/>
        <v>354.69</v>
      </c>
      <c r="BO527" s="64">
        <f t="shared" si="84"/>
        <v>0.6027826340326341</v>
      </c>
      <c r="BP527" s="64">
        <f t="shared" si="85"/>
        <v>0.60576923076923084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500</v>
      </c>
      <c r="Y528" s="652">
        <f t="shared" si="81"/>
        <v>501.6</v>
      </c>
      <c r="Z528" s="36">
        <f>IFERROR(IF(Y528=0,"",ROUNDUP(Y528/H528,0)*0.01196),"")</f>
        <v>1.1362000000000001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533.14393939393938</v>
      </c>
      <c r="BN528" s="64">
        <f t="shared" si="83"/>
        <v>534.85</v>
      </c>
      <c r="BO528" s="64">
        <f t="shared" si="84"/>
        <v>0.91054778554778548</v>
      </c>
      <c r="BP528" s="64">
        <f t="shared" si="85"/>
        <v>0.91346153846153855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191.85606060606059</v>
      </c>
      <c r="Y533" s="653">
        <f>IFERROR(Y526/H526,"0")+IFERROR(Y527/H527,"0")+IFERROR(Y528/H528,"0")+IFERROR(Y529/H529,"0")+IFERROR(Y530/H530,"0")+IFERROR(Y531/H531,"0")+IFERROR(Y532/H532,"0")</f>
        <v>193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2.3082799999999999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1013</v>
      </c>
      <c r="Y534" s="653">
        <f>IFERROR(SUM(Y526:Y532),"0")</f>
        <v>1019.0400000000001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hidden="1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hidden="1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16051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16165.960000000001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17067.783383790989</v>
      </c>
      <c r="Y564" s="653">
        <f>IFERROR(SUM(BN22:BN560),"0")</f>
        <v>17189.900999999998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30</v>
      </c>
      <c r="Y565" s="38">
        <f>ROUNDUP(SUM(BP22:BP560),0)</f>
        <v>30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17817.783383790989</v>
      </c>
      <c r="Y566" s="653">
        <f>GrossWeightTotalR+PalletQtyTotalR*25</f>
        <v>17939.900999999998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3088.2364853905938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3115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36.384119999999996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334.8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518.40000000000009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1386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2850.3</v>
      </c>
      <c r="H573" s="46">
        <f>IFERROR(Y140*1,"0")+IFERROR(Y141*1,"0")+IFERROR(Y145*1,"0")+IFERROR(Y146*1,"0")+IFERROR(Y150*1,"0")+IFERROR(Y151*1,"0")</f>
        <v>0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631.46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83.679999999999993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1464.6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91.2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585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669.28000000000009</v>
      </c>
      <c r="U573" s="46">
        <f>IFERROR(Y421*1,"0")+IFERROR(Y422*1,"0")</f>
        <v>0</v>
      </c>
      <c r="V573" s="46">
        <f>IFERROR(Y427*1,"0")+IFERROR(Y428*1,"0")+IFERROR(Y429*1,"0")</f>
        <v>50.400000000000006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735</v>
      </c>
      <c r="X573" s="46">
        <f>IFERROR(Y464*1,"0")+IFERROR(Y465*1,"0")+IFERROR(Y469*1,"0")+IFERROR(Y473*1,"0")+IFERROR(Y474*1,"0")+IFERROR(Y475*1,"0")</f>
        <v>1543.8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5216.6400000000012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3,00"/>
        <filter val="1 189,00"/>
        <filter val="1 500,00"/>
        <filter val="1 540,00"/>
        <filter val="1 618,00"/>
        <filter val="1 773,00"/>
        <filter val="1,59"/>
        <filter val="1,67"/>
        <filter val="10,00"/>
        <filter val="100,00"/>
        <filter val="120,00"/>
        <filter val="13,00"/>
        <filter val="14,00"/>
        <filter val="143,00"/>
        <filter val="150,00"/>
        <filter val="151,52"/>
        <filter val="16 051,00"/>
        <filter val="160,00"/>
        <filter val="17 067,78"/>
        <filter val="17 817,78"/>
        <filter val="182,00"/>
        <filter val="183,33"/>
        <filter val="19,00"/>
        <filter val="191,00"/>
        <filter val="191,86"/>
        <filter val="2 070,00"/>
        <filter val="2 652,00"/>
        <filter val="2,00"/>
        <filter val="2,78"/>
        <filter val="20,00"/>
        <filter val="21,33"/>
        <filter val="22,00"/>
        <filter val="23,33"/>
        <filter val="24,00"/>
        <filter val="240,00"/>
        <filter val="248,00"/>
        <filter val="25,00"/>
        <filter val="250,00"/>
        <filter val="26,73"/>
        <filter val="292,37"/>
        <filter val="3 088,24"/>
        <filter val="3 391,00"/>
        <filter val="3,00"/>
        <filter val="30"/>
        <filter val="30,00"/>
        <filter val="30,37"/>
        <filter val="31,00"/>
        <filter val="320,00"/>
        <filter val="328,00"/>
        <filter val="331,00"/>
        <filter val="35,00"/>
        <filter val="37,08"/>
        <filter val="39,00"/>
        <filter val="4,00"/>
        <filter val="4,85"/>
        <filter val="40,00"/>
        <filter val="400,00"/>
        <filter val="401,00"/>
        <filter val="42,44"/>
        <filter val="44,27"/>
        <filter val="442,08"/>
        <filter val="47,96"/>
        <filter val="471,11"/>
        <filter val="49,00"/>
        <filter val="5,00"/>
        <filter val="5,56"/>
        <filter val="50,00"/>
        <filter val="500,00"/>
        <filter val="518,00"/>
        <filter val="53,00"/>
        <filter val="54,44"/>
        <filter val="55,00"/>
        <filter val="58,00"/>
        <filter val="582,00"/>
        <filter val="59,00"/>
        <filter val="6,00"/>
        <filter val="608,00"/>
        <filter val="64,10"/>
        <filter val="642,23"/>
        <filter val="647,00"/>
        <filter val="65,00"/>
        <filter val="7,00"/>
        <filter val="71,00"/>
        <filter val="71,50"/>
        <filter val="734,00"/>
        <filter val="74,62"/>
        <filter val="79,24"/>
        <filter val="79,88"/>
        <filter val="800,00"/>
        <filter val="87,00"/>
        <filter val="88,00"/>
        <filter val="89,00"/>
        <filter val="9,00"/>
        <filter val="98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