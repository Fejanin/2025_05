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82C1047-B905-4AE0-B078-C109A2ACE11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BN551" i="2" s="1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Y536" i="2" s="1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Y521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N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N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P455" i="2"/>
  <c r="X453" i="2"/>
  <c r="X452" i="2"/>
  <c r="BO451" i="2"/>
  <c r="BM451" i="2"/>
  <c r="Y451" i="2"/>
  <c r="P451" i="2"/>
  <c r="BO450" i="2"/>
  <c r="BM450" i="2"/>
  <c r="Y450" i="2"/>
  <c r="BN450" i="2" s="1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N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BP349" i="2" s="1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BP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Y315" i="2"/>
  <c r="X315" i="2"/>
  <c r="BO314" i="2"/>
  <c r="BM314" i="2"/>
  <c r="Y314" i="2"/>
  <c r="Y316" i="2" s="1"/>
  <c r="P314" i="2"/>
  <c r="X312" i="2"/>
  <c r="X311" i="2"/>
  <c r="BO310" i="2"/>
  <c r="BM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M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N293" i="2"/>
  <c r="BM293" i="2"/>
  <c r="Y293" i="2"/>
  <c r="BP293" i="2" s="1"/>
  <c r="P293" i="2"/>
  <c r="BO292" i="2"/>
  <c r="BM292" i="2"/>
  <c r="Y292" i="2"/>
  <c r="BP292" i="2" s="1"/>
  <c r="P292" i="2"/>
  <c r="BP291" i="2"/>
  <c r="BO291" i="2"/>
  <c r="BN291" i="2"/>
  <c r="BM291" i="2"/>
  <c r="Z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BN275" i="2" s="1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BN272" i="2" s="1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N263" i="2"/>
  <c r="BM263" i="2"/>
  <c r="Y263" i="2"/>
  <c r="BP263" i="2" s="1"/>
  <c r="P263" i="2"/>
  <c r="BO262" i="2"/>
  <c r="BM262" i="2"/>
  <c r="Y262" i="2"/>
  <c r="BN262" i="2" s="1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N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BP195" i="2" s="1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N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N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BN169" i="2" s="1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N126" i="2" s="1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P95" i="2"/>
  <c r="BO95" i="2"/>
  <c r="BM95" i="2"/>
  <c r="Z95" i="2"/>
  <c r="Y95" i="2"/>
  <c r="BN95" i="2" s="1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BN85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BN64" i="2" s="1"/>
  <c r="P64" i="2"/>
  <c r="X62" i="2"/>
  <c r="X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N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67" i="2" l="1"/>
  <c r="Z126" i="2"/>
  <c r="BP98" i="2"/>
  <c r="Z56" i="2"/>
  <c r="BN157" i="2"/>
  <c r="BP450" i="2"/>
  <c r="BN480" i="2"/>
  <c r="BN115" i="2"/>
  <c r="BN107" i="2"/>
  <c r="BN513" i="2"/>
  <c r="Z49" i="2"/>
  <c r="Z310" i="2"/>
  <c r="Z37" i="2"/>
  <c r="BN306" i="2"/>
  <c r="BN525" i="2"/>
  <c r="BN279" i="2"/>
  <c r="BN425" i="2"/>
  <c r="BN299" i="2"/>
  <c r="BN232" i="2"/>
  <c r="BN289" i="2"/>
  <c r="BN125" i="2"/>
  <c r="BN49" i="2"/>
  <c r="Z551" i="2"/>
  <c r="BP535" i="2"/>
  <c r="BN527" i="2"/>
  <c r="Z519" i="2"/>
  <c r="BN517" i="2"/>
  <c r="BN511" i="2"/>
  <c r="BP510" i="2"/>
  <c r="BN482" i="2"/>
  <c r="BN461" i="2"/>
  <c r="Y458" i="2"/>
  <c r="BN456" i="2"/>
  <c r="Y447" i="2"/>
  <c r="BN438" i="2"/>
  <c r="BN437" i="2"/>
  <c r="BN426" i="2"/>
  <c r="BN401" i="2"/>
  <c r="BN393" i="2"/>
  <c r="BN392" i="2"/>
  <c r="Y396" i="2"/>
  <c r="BN387" i="2"/>
  <c r="BP385" i="2"/>
  <c r="Z379" i="2"/>
  <c r="BN375" i="2"/>
  <c r="BN371" i="2"/>
  <c r="BN367" i="2"/>
  <c r="BN360" i="2"/>
  <c r="BN349" i="2"/>
  <c r="Z349" i="2"/>
  <c r="BN347" i="2"/>
  <c r="Y341" i="2"/>
  <c r="BN331" i="2"/>
  <c r="BP324" i="2"/>
  <c r="Y326" i="2"/>
  <c r="BN314" i="2"/>
  <c r="BN310" i="2"/>
  <c r="Z299" i="2"/>
  <c r="Y300" i="2"/>
  <c r="BN285" i="2"/>
  <c r="BN283" i="2"/>
  <c r="Z283" i="2"/>
  <c r="Z279" i="2"/>
  <c r="BN277" i="2"/>
  <c r="BP275" i="2"/>
  <c r="Y280" i="2"/>
  <c r="BP272" i="2"/>
  <c r="Z272" i="2"/>
  <c r="BP262" i="2"/>
  <c r="BN257" i="2"/>
  <c r="BN246" i="2"/>
  <c r="BN244" i="2"/>
  <c r="Y249" i="2"/>
  <c r="BN238" i="2"/>
  <c r="BN236" i="2"/>
  <c r="Z236" i="2"/>
  <c r="BN229" i="2"/>
  <c r="Y241" i="2"/>
  <c r="Z215" i="2"/>
  <c r="BN211" i="2"/>
  <c r="BN195" i="2"/>
  <c r="Y198" i="2"/>
  <c r="Z195" i="2"/>
  <c r="Z184" i="2"/>
  <c r="Z183" i="2"/>
  <c r="BN181" i="2"/>
  <c r="Z169" i="2"/>
  <c r="BP169" i="2"/>
  <c r="BN143" i="2"/>
  <c r="BP139" i="2"/>
  <c r="Z139" i="2"/>
  <c r="BN133" i="2"/>
  <c r="Y135" i="2"/>
  <c r="BN128" i="2"/>
  <c r="BN116" i="2"/>
  <c r="Z106" i="2"/>
  <c r="BP106" i="2"/>
  <c r="G570" i="2"/>
  <c r="BN93" i="2"/>
  <c r="BN86" i="2"/>
  <c r="BP85" i="2"/>
  <c r="BN80" i="2"/>
  <c r="Y81" i="2"/>
  <c r="BN77" i="2"/>
  <c r="BP64" i="2"/>
  <c r="Z64" i="2"/>
  <c r="BN60" i="2"/>
  <c r="BN59" i="2"/>
  <c r="Z59" i="2"/>
  <c r="BP58" i="2"/>
  <c r="Z58" i="2"/>
  <c r="BP48" i="2"/>
  <c r="Z48" i="2"/>
  <c r="BP39" i="2"/>
  <c r="BP37" i="2"/>
  <c r="X560" i="2"/>
  <c r="Z31" i="2"/>
  <c r="BN30" i="2"/>
  <c r="BP27" i="2"/>
  <c r="X562" i="2"/>
  <c r="BN23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Z68" i="2" s="1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55" i="2" s="1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Z134" i="2" s="1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Z51" i="2" s="1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81" i="2" s="1"/>
  <c r="Z109" i="2"/>
  <c r="Z124" i="2"/>
  <c r="Z27" i="2"/>
  <c r="Z32" i="2" s="1"/>
  <c r="Z39" i="2"/>
  <c r="Z85" i="2"/>
  <c r="Z90" i="2" s="1"/>
  <c r="Y91" i="2"/>
  <c r="Z98" i="2"/>
  <c r="Z99" i="2" s="1"/>
  <c r="Z114" i="2"/>
  <c r="Y146" i="2"/>
  <c r="Y172" i="2"/>
  <c r="Y202" i="2"/>
  <c r="Z275" i="2"/>
  <c r="Z329" i="2"/>
  <c r="Z385" i="2"/>
  <c r="Z418" i="2"/>
  <c r="BN443" i="2"/>
  <c r="Y446" i="2"/>
  <c r="BN466" i="2"/>
  <c r="Z478" i="2"/>
  <c r="Z488" i="2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Z553" i="2" s="1"/>
  <c r="Y558" i="2"/>
  <c r="E570" i="2"/>
  <c r="Y69" i="2"/>
  <c r="Y192" i="2"/>
  <c r="BN22" i="2"/>
  <c r="BN79" i="2"/>
  <c r="Y42" i="2"/>
  <c r="Z143" i="2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61" i="2" l="1"/>
  <c r="Z269" i="2"/>
  <c r="Z530" i="2"/>
  <c r="Z520" i="2"/>
  <c r="Z489" i="2"/>
  <c r="Z484" i="2"/>
  <c r="Z463" i="2"/>
  <c r="Z452" i="2"/>
  <c r="Z446" i="2"/>
  <c r="Z440" i="2"/>
  <c r="Z420" i="2"/>
  <c r="Z414" i="2"/>
  <c r="Z402" i="2"/>
  <c r="Z395" i="2"/>
  <c r="Z382" i="2"/>
  <c r="Z341" i="2"/>
  <c r="Z325" i="2"/>
  <c r="Z218" i="2"/>
  <c r="Z161" i="2"/>
  <c r="Z145" i="2"/>
  <c r="Z119" i="2"/>
  <c r="X563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<sst xmlns="http://schemas.openxmlformats.org/spreadsheetml/2006/main" count="4310" uniqueCount="900">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</sst>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1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9" t="s">
        <v>26</v>
      </c>
      <c r="E1" s="649"/>
      <c r="F1" s="649"/>
      <c r="G1" s="14" t="s">
        <v>67</v>
      </c>
      <c r="H1" s="649" t="s">
        <v>47</v>
      </c>
      <c r="I1" s="649"/>
      <c r="J1" s="649"/>
      <c r="K1" s="649"/>
      <c r="L1" s="649"/>
      <c r="M1" s="649"/>
      <c r="N1" s="649"/>
      <c r="O1" s="649"/>
      <c r="P1" s="649"/>
      <c r="Q1" s="649"/>
      <c r="R1" s="650" t="s">
        <v>68</v>
      </c>
      <c r="S1" s="651"/>
      <c r="T1" s="6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2"/>
      <c r="R2" s="652"/>
      <c r="S2" s="652"/>
      <c r="T2" s="652"/>
      <c r="U2" s="652"/>
      <c r="V2" s="652"/>
      <c r="W2" s="6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2"/>
      <c r="Q3" s="652"/>
      <c r="R3" s="652"/>
      <c r="S3" s="652"/>
      <c r="T3" s="652"/>
      <c r="U3" s="652"/>
      <c r="V3" s="652"/>
      <c r="W3" s="6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3" t="s">
        <v>8</v>
      </c>
      <c r="B5" s="653"/>
      <c r="C5" s="653"/>
      <c r="D5" s="654"/>
      <c r="E5" s="654"/>
      <c r="F5" s="655" t="s">
        <v>14</v>
      </c>
      <c r="G5" s="655"/>
      <c r="H5" s="654" t="s">
        <v>899</v>
      </c>
      <c r="I5" s="654"/>
      <c r="J5" s="654"/>
      <c r="K5" s="654"/>
      <c r="L5" s="654"/>
      <c r="M5" s="654"/>
      <c r="N5" s="69"/>
      <c r="P5" s="26" t="s">
        <v>4</v>
      </c>
      <c r="Q5" s="656">
        <v>46269</v>
      </c>
      <c r="R5" s="656"/>
      <c r="T5" s="657" t="s">
        <v>3</v>
      </c>
      <c r="U5" s="658"/>
      <c r="V5" s="659" t="s">
        <v>880</v>
      </c>
      <c r="W5" s="660"/>
      <c r="AB5" s="57"/>
      <c r="AC5" s="57"/>
      <c r="AD5" s="57"/>
      <c r="AE5" s="57"/>
    </row>
    <row r="6" spans="1:32" s="17" customFormat="1" ht="24" customHeight="1" x14ac:dyDescent="0.2">
      <c r="A6" s="653" t="s">
        <v>1</v>
      </c>
      <c r="B6" s="653"/>
      <c r="C6" s="653"/>
      <c r="D6" s="661" t="s">
        <v>881</v>
      </c>
      <c r="E6" s="661"/>
      <c r="F6" s="661"/>
      <c r="G6" s="661"/>
      <c r="H6" s="661"/>
      <c r="I6" s="661"/>
      <c r="J6" s="661"/>
      <c r="K6" s="661"/>
      <c r="L6" s="661"/>
      <c r="M6" s="661"/>
      <c r="N6" s="70"/>
      <c r="P6" s="26" t="s">
        <v>27</v>
      </c>
      <c r="Q6" s="662" t="str">
        <f>IF(Q5=0," ",CHOOSE(WEEKDAY(Q5,2),"Понедельник","Вторник","Среда","Четверг","Пятница","Суббота","Воскресенье"))</f>
        <v>Пятница</v>
      </c>
      <c r="R6" s="662"/>
      <c r="T6" s="663" t="s">
        <v>5</v>
      </c>
      <c r="U6" s="664"/>
      <c r="V6" s="665" t="s">
        <v>70</v>
      </c>
      <c r="W6" s="6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1" t="str">
        <f>IFERROR(VLOOKUP(DeliveryAddress,Table,3,0),1)</f>
        <v>1</v>
      </c>
      <c r="E7" s="672"/>
      <c r="F7" s="672"/>
      <c r="G7" s="672"/>
      <c r="H7" s="672"/>
      <c r="I7" s="672"/>
      <c r="J7" s="672"/>
      <c r="K7" s="672"/>
      <c r="L7" s="672"/>
      <c r="M7" s="673"/>
      <c r="N7" s="71"/>
      <c r="P7" s="26"/>
      <c r="Q7" s="46"/>
      <c r="R7" s="46"/>
      <c r="T7" s="663"/>
      <c r="U7" s="664"/>
      <c r="V7" s="667"/>
      <c r="W7" s="668"/>
      <c r="AB7" s="57"/>
      <c r="AC7" s="57"/>
      <c r="AD7" s="57"/>
      <c r="AE7" s="57"/>
    </row>
    <row r="8" spans="1:32" s="17" customFormat="1" ht="25.5" customHeight="1" x14ac:dyDescent="0.2">
      <c r="A8" s="674" t="s">
        <v>58</v>
      </c>
      <c r="B8" s="674"/>
      <c r="C8" s="674"/>
      <c r="D8" s="675"/>
      <c r="E8" s="675"/>
      <c r="F8" s="675"/>
      <c r="G8" s="675"/>
      <c r="H8" s="675"/>
      <c r="I8" s="675"/>
      <c r="J8" s="675"/>
      <c r="K8" s="675"/>
      <c r="L8" s="675"/>
      <c r="M8" s="675"/>
      <c r="N8" s="72"/>
      <c r="P8" s="26" t="s">
        <v>11</v>
      </c>
      <c r="Q8" s="676">
        <v>0.41666666666666669</v>
      </c>
      <c r="R8" s="676"/>
      <c r="T8" s="663"/>
      <c r="U8" s="664"/>
      <c r="V8" s="667"/>
      <c r="W8" s="668"/>
      <c r="AB8" s="57"/>
      <c r="AC8" s="57"/>
      <c r="AD8" s="57"/>
      <c r="AE8" s="57"/>
    </row>
    <row r="9" spans="1:32" s="17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7"/>
      <c r="C9" s="677"/>
      <c r="D9" s="678" t="s">
        <v>46</v>
      </c>
      <c r="E9" s="679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7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0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0"/>
      <c r="L9" s="680"/>
      <c r="M9" s="680"/>
      <c r="N9" s="67"/>
      <c r="P9" s="29" t="s">
        <v>15</v>
      </c>
      <c r="Q9" s="681"/>
      <c r="R9" s="681"/>
      <c r="T9" s="663"/>
      <c r="U9" s="664"/>
      <c r="V9" s="669"/>
      <c r="W9" s="6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7"/>
      <c r="C10" s="677"/>
      <c r="D10" s="678"/>
      <c r="E10" s="679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7"/>
      <c r="H10" s="682" t="str">
        <f>IFERROR(VLOOKUP($D$10,Proxy,2,FALSE),"")</f>
        <v/>
      </c>
      <c r="I10" s="682"/>
      <c r="J10" s="682"/>
      <c r="K10" s="682"/>
      <c r="L10" s="682"/>
      <c r="M10" s="682"/>
      <c r="N10" s="68"/>
      <c r="P10" s="29" t="s">
        <v>32</v>
      </c>
      <c r="Q10" s="683"/>
      <c r="R10" s="683"/>
      <c r="U10" s="26" t="s">
        <v>12</v>
      </c>
      <c r="V10" s="684" t="s">
        <v>71</v>
      </c>
      <c r="W10" s="6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6"/>
      <c r="R11" s="686"/>
      <c r="U11" s="26" t="s">
        <v>28</v>
      </c>
      <c r="V11" s="687" t="s">
        <v>55</v>
      </c>
      <c r="W11" s="6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8" t="s">
        <v>72</v>
      </c>
      <c r="B12" s="688"/>
      <c r="C12" s="688"/>
      <c r="D12" s="688"/>
      <c r="E12" s="688"/>
      <c r="F12" s="688"/>
      <c r="G12" s="688"/>
      <c r="H12" s="688"/>
      <c r="I12" s="688"/>
      <c r="J12" s="688"/>
      <c r="K12" s="688"/>
      <c r="L12" s="688"/>
      <c r="M12" s="688"/>
      <c r="N12" s="73"/>
      <c r="P12" s="26" t="s">
        <v>30</v>
      </c>
      <c r="Q12" s="676"/>
      <c r="R12" s="676"/>
      <c r="S12" s="27"/>
      <c r="T12"/>
      <c r="U12" s="26" t="s">
        <v>46</v>
      </c>
      <c r="V12" s="689"/>
      <c r="W12" s="689"/>
      <c r="X12"/>
      <c r="AB12" s="57"/>
      <c r="AC12" s="57"/>
      <c r="AD12" s="57"/>
      <c r="AE12" s="57"/>
    </row>
    <row r="13" spans="1:32" s="17" customFormat="1" ht="23.25" customHeight="1" x14ac:dyDescent="0.2">
      <c r="A13" s="688" t="s">
        <v>73</v>
      </c>
      <c r="B13" s="688"/>
      <c r="C13" s="688"/>
      <c r="D13" s="688"/>
      <c r="E13" s="688"/>
      <c r="F13" s="688"/>
      <c r="G13" s="688"/>
      <c r="H13" s="688"/>
      <c r="I13" s="688"/>
      <c r="J13" s="688"/>
      <c r="K13" s="688"/>
      <c r="L13" s="688"/>
      <c r="M13" s="688"/>
      <c r="N13" s="73"/>
      <c r="O13" s="29"/>
      <c r="P13" s="29" t="s">
        <v>31</v>
      </c>
      <c r="Q13" s="687"/>
      <c r="R13" s="6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8" t="s">
        <v>74</v>
      </c>
      <c r="B14" s="688"/>
      <c r="C14" s="688"/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0" t="s">
        <v>75</v>
      </c>
      <c r="B15" s="690"/>
      <c r="C15" s="690"/>
      <c r="D15" s="690"/>
      <c r="E15" s="690"/>
      <c r="F15" s="690"/>
      <c r="G15" s="690"/>
      <c r="H15" s="690"/>
      <c r="I15" s="690"/>
      <c r="J15" s="690"/>
      <c r="K15" s="690"/>
      <c r="L15" s="690"/>
      <c r="M15" s="690"/>
      <c r="N15" s="74"/>
      <c r="O15"/>
      <c r="P15" s="691" t="s">
        <v>61</v>
      </c>
      <c r="Q15" s="691"/>
      <c r="R15" s="691"/>
      <c r="S15" s="691"/>
      <c r="T15" s="6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2"/>
      <c r="Q16" s="692"/>
      <c r="R16" s="692"/>
      <c r="S16" s="692"/>
      <c r="T16" s="6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5" t="s">
        <v>59</v>
      </c>
      <c r="B17" s="695" t="s">
        <v>49</v>
      </c>
      <c r="C17" s="697" t="s">
        <v>48</v>
      </c>
      <c r="D17" s="699" t="s">
        <v>50</v>
      </c>
      <c r="E17" s="700"/>
      <c r="F17" s="695" t="s">
        <v>21</v>
      </c>
      <c r="G17" s="695" t="s">
        <v>24</v>
      </c>
      <c r="H17" s="695" t="s">
        <v>22</v>
      </c>
      <c r="I17" s="695" t="s">
        <v>23</v>
      </c>
      <c r="J17" s="695" t="s">
        <v>16</v>
      </c>
      <c r="K17" s="695" t="s">
        <v>66</v>
      </c>
      <c r="L17" s="695" t="s">
        <v>64</v>
      </c>
      <c r="M17" s="695" t="s">
        <v>2</v>
      </c>
      <c r="N17" s="695" t="s">
        <v>63</v>
      </c>
      <c r="O17" s="695" t="s">
        <v>25</v>
      </c>
      <c r="P17" s="699" t="s">
        <v>17</v>
      </c>
      <c r="Q17" s="703"/>
      <c r="R17" s="703"/>
      <c r="S17" s="703"/>
      <c r="T17" s="700"/>
      <c r="U17" s="693" t="s">
        <v>56</v>
      </c>
      <c r="V17" s="694"/>
      <c r="W17" s="695" t="s">
        <v>6</v>
      </c>
      <c r="X17" s="695" t="s">
        <v>41</v>
      </c>
      <c r="Y17" s="705" t="s">
        <v>54</v>
      </c>
      <c r="Z17" s="707" t="s">
        <v>18</v>
      </c>
      <c r="AA17" s="709" t="s">
        <v>60</v>
      </c>
      <c r="AB17" s="709" t="s">
        <v>19</v>
      </c>
      <c r="AC17" s="709" t="s">
        <v>65</v>
      </c>
      <c r="AD17" s="711" t="s">
        <v>57</v>
      </c>
      <c r="AE17" s="712"/>
      <c r="AF17" s="713"/>
      <c r="AG17" s="77"/>
      <c r="BD17" s="76" t="s">
        <v>62</v>
      </c>
    </row>
    <row r="18" spans="1:68" ht="14.25" customHeight="1" x14ac:dyDescent="0.2">
      <c r="A18" s="696"/>
      <c r="B18" s="696"/>
      <c r="C18" s="698"/>
      <c r="D18" s="701"/>
      <c r="E18" s="702"/>
      <c r="F18" s="696"/>
      <c r="G18" s="696"/>
      <c r="H18" s="696"/>
      <c r="I18" s="696"/>
      <c r="J18" s="696"/>
      <c r="K18" s="696"/>
      <c r="L18" s="696"/>
      <c r="M18" s="696"/>
      <c r="N18" s="696"/>
      <c r="O18" s="696"/>
      <c r="P18" s="701"/>
      <c r="Q18" s="704"/>
      <c r="R18" s="704"/>
      <c r="S18" s="704"/>
      <c r="T18" s="702"/>
      <c r="U18" s="78" t="s">
        <v>44</v>
      </c>
      <c r="V18" s="78" t="s">
        <v>43</v>
      </c>
      <c r="W18" s="696"/>
      <c r="X18" s="696"/>
      <c r="Y18" s="706"/>
      <c r="Z18" s="708"/>
      <c r="AA18" s="710"/>
      <c r="AB18" s="710"/>
      <c r="AC18" s="710"/>
      <c r="AD18" s="714"/>
      <c r="AE18" s="715"/>
      <c r="AF18" s="716"/>
      <c r="AG18" s="77"/>
      <c r="BD18" s="76"/>
    </row>
    <row r="19" spans="1:68" ht="27.75" hidden="1" customHeight="1" x14ac:dyDescent="0.2">
      <c r="A19" s="717" t="s">
        <v>76</v>
      </c>
      <c r="B19" s="717"/>
      <c r="C19" s="717"/>
      <c r="D19" s="717"/>
      <c r="E19" s="717"/>
      <c r="F19" s="717"/>
      <c r="G19" s="717"/>
      <c r="H19" s="717"/>
      <c r="I19" s="717"/>
      <c r="J19" s="717"/>
      <c r="K19" s="717"/>
      <c r="L19" s="717"/>
      <c r="M19" s="717"/>
      <c r="N19" s="717"/>
      <c r="O19" s="717"/>
      <c r="P19" s="717"/>
      <c r="Q19" s="717"/>
      <c r="R19" s="717"/>
      <c r="S19" s="717"/>
      <c r="T19" s="717"/>
      <c r="U19" s="717"/>
      <c r="V19" s="717"/>
      <c r="W19" s="717"/>
      <c r="X19" s="717"/>
      <c r="Y19" s="717"/>
      <c r="Z19" s="717"/>
      <c r="AA19" s="52"/>
      <c r="AB19" s="52"/>
      <c r="AC19" s="52"/>
    </row>
    <row r="20" spans="1:68" ht="16.5" hidden="1" customHeight="1" x14ac:dyDescent="0.25">
      <c r="A20" s="718" t="s">
        <v>76</v>
      </c>
      <c r="B20" s="718"/>
      <c r="C20" s="718"/>
      <c r="D20" s="718"/>
      <c r="E20" s="718"/>
      <c r="F20" s="718"/>
      <c r="G20" s="718"/>
      <c r="H20" s="718"/>
      <c r="I20" s="718"/>
      <c r="J20" s="718"/>
      <c r="K20" s="718"/>
      <c r="L20" s="718"/>
      <c r="M20" s="718"/>
      <c r="N20" s="718"/>
      <c r="O20" s="718"/>
      <c r="P20" s="718"/>
      <c r="Q20" s="718"/>
      <c r="R20" s="718"/>
      <c r="S20" s="718"/>
      <c r="T20" s="718"/>
      <c r="U20" s="718"/>
      <c r="V20" s="718"/>
      <c r="W20" s="718"/>
      <c r="X20" s="718"/>
      <c r="Y20" s="718"/>
      <c r="Z20" s="718"/>
      <c r="AA20" s="62"/>
      <c r="AB20" s="62"/>
      <c r="AC20" s="62"/>
    </row>
    <row r="21" spans="1:68" ht="14.25" hidden="1" customHeight="1" x14ac:dyDescent="0.25">
      <c r="A21" s="719" t="s">
        <v>77</v>
      </c>
      <c r="B21" s="719"/>
      <c r="C21" s="719"/>
      <c r="D21" s="719"/>
      <c r="E21" s="719"/>
      <c r="F21" s="719"/>
      <c r="G21" s="719"/>
      <c r="H21" s="719"/>
      <c r="I21" s="719"/>
      <c r="J21" s="719"/>
      <c r="K21" s="719"/>
      <c r="L21" s="719"/>
      <c r="M21" s="719"/>
      <c r="N21" s="719"/>
      <c r="O21" s="719"/>
      <c r="P21" s="719"/>
      <c r="Q21" s="719"/>
      <c r="R21" s="719"/>
      <c r="S21" s="719"/>
      <c r="T21" s="719"/>
      <c r="U21" s="719"/>
      <c r="V21" s="719"/>
      <c r="W21" s="719"/>
      <c r="X21" s="719"/>
      <c r="Y21" s="719"/>
      <c r="Z21" s="719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20">
        <v>4680115886643</v>
      </c>
      <c r="E22" s="72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2"/>
      <c r="R22" s="722"/>
      <c r="S22" s="722"/>
      <c r="T22" s="723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20">
        <v>4680115889071</v>
      </c>
      <c r="E23" s="72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2"/>
      <c r="R23" s="722"/>
      <c r="S23" s="722"/>
      <c r="T23" s="723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8"/>
      <c r="B24" s="728"/>
      <c r="C24" s="728"/>
      <c r="D24" s="728"/>
      <c r="E24" s="728"/>
      <c r="F24" s="728"/>
      <c r="G24" s="728"/>
      <c r="H24" s="728"/>
      <c r="I24" s="728"/>
      <c r="J24" s="728"/>
      <c r="K24" s="728"/>
      <c r="L24" s="728"/>
      <c r="M24" s="728"/>
      <c r="N24" s="728"/>
      <c r="O24" s="729"/>
      <c r="P24" s="725" t="s">
        <v>40</v>
      </c>
      <c r="Q24" s="726"/>
      <c r="R24" s="726"/>
      <c r="S24" s="726"/>
      <c r="T24" s="726"/>
      <c r="U24" s="726"/>
      <c r="V24" s="7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8"/>
      <c r="B25" s="728"/>
      <c r="C25" s="728"/>
      <c r="D25" s="728"/>
      <c r="E25" s="728"/>
      <c r="F25" s="728"/>
      <c r="G25" s="728"/>
      <c r="H25" s="728"/>
      <c r="I25" s="728"/>
      <c r="J25" s="728"/>
      <c r="K25" s="728"/>
      <c r="L25" s="728"/>
      <c r="M25" s="728"/>
      <c r="N25" s="728"/>
      <c r="O25" s="729"/>
      <c r="P25" s="725" t="s">
        <v>40</v>
      </c>
      <c r="Q25" s="726"/>
      <c r="R25" s="726"/>
      <c r="S25" s="726"/>
      <c r="T25" s="726"/>
      <c r="U25" s="726"/>
      <c r="V25" s="7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9" t="s">
        <v>86</v>
      </c>
      <c r="B26" s="719"/>
      <c r="C26" s="719"/>
      <c r="D26" s="719"/>
      <c r="E26" s="719"/>
      <c r="F26" s="719"/>
      <c r="G26" s="719"/>
      <c r="H26" s="719"/>
      <c r="I26" s="719"/>
      <c r="J26" s="719"/>
      <c r="K26" s="719"/>
      <c r="L26" s="719"/>
      <c r="M26" s="719"/>
      <c r="N26" s="719"/>
      <c r="O26" s="719"/>
      <c r="P26" s="719"/>
      <c r="Q26" s="719"/>
      <c r="R26" s="719"/>
      <c r="S26" s="719"/>
      <c r="T26" s="719"/>
      <c r="U26" s="719"/>
      <c r="V26" s="719"/>
      <c r="W26" s="719"/>
      <c r="X26" s="719"/>
      <c r="Y26" s="719"/>
      <c r="Z26" s="71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20">
        <v>4680115885912</v>
      </c>
      <c r="E27" s="7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2"/>
      <c r="R27" s="722"/>
      <c r="S27" s="722"/>
      <c r="T27" s="723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20">
        <v>4607091388237</v>
      </c>
      <c r="E28" s="7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2"/>
      <c r="R28" s="722"/>
      <c r="S28" s="722"/>
      <c r="T28" s="723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20">
        <v>4680115887350</v>
      </c>
      <c r="E29" s="7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2"/>
      <c r="R29" s="722"/>
      <c r="S29" s="722"/>
      <c r="T29" s="723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20">
        <v>4680115885905</v>
      </c>
      <c r="E30" s="7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2"/>
      <c r="R30" s="722"/>
      <c r="S30" s="722"/>
      <c r="T30" s="723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20">
        <v>4680115887619</v>
      </c>
      <c r="E31" s="7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2"/>
      <c r="R31" s="722"/>
      <c r="S31" s="722"/>
      <c r="T31" s="723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8"/>
      <c r="B32" s="728"/>
      <c r="C32" s="728"/>
      <c r="D32" s="728"/>
      <c r="E32" s="728"/>
      <c r="F32" s="728"/>
      <c r="G32" s="728"/>
      <c r="H32" s="728"/>
      <c r="I32" s="728"/>
      <c r="J32" s="728"/>
      <c r="K32" s="728"/>
      <c r="L32" s="728"/>
      <c r="M32" s="728"/>
      <c r="N32" s="728"/>
      <c r="O32" s="729"/>
      <c r="P32" s="725" t="s">
        <v>40</v>
      </c>
      <c r="Q32" s="726"/>
      <c r="R32" s="726"/>
      <c r="S32" s="726"/>
      <c r="T32" s="726"/>
      <c r="U32" s="726"/>
      <c r="V32" s="727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8"/>
      <c r="B33" s="728"/>
      <c r="C33" s="728"/>
      <c r="D33" s="728"/>
      <c r="E33" s="728"/>
      <c r="F33" s="728"/>
      <c r="G33" s="728"/>
      <c r="H33" s="728"/>
      <c r="I33" s="728"/>
      <c r="J33" s="728"/>
      <c r="K33" s="728"/>
      <c r="L33" s="728"/>
      <c r="M33" s="728"/>
      <c r="N33" s="728"/>
      <c r="O33" s="729"/>
      <c r="P33" s="725" t="s">
        <v>40</v>
      </c>
      <c r="Q33" s="726"/>
      <c r="R33" s="726"/>
      <c r="S33" s="726"/>
      <c r="T33" s="726"/>
      <c r="U33" s="726"/>
      <c r="V33" s="727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7" t="s">
        <v>45</v>
      </c>
      <c r="B34" s="717"/>
      <c r="C34" s="717"/>
      <c r="D34" s="717"/>
      <c r="E34" s="717"/>
      <c r="F34" s="717"/>
      <c r="G34" s="717"/>
      <c r="H34" s="717"/>
      <c r="I34" s="717"/>
      <c r="J34" s="717"/>
      <c r="K34" s="717"/>
      <c r="L34" s="717"/>
      <c r="M34" s="717"/>
      <c r="N34" s="717"/>
      <c r="O34" s="717"/>
      <c r="P34" s="717"/>
      <c r="Q34" s="717"/>
      <c r="R34" s="717"/>
      <c r="S34" s="717"/>
      <c r="T34" s="717"/>
      <c r="U34" s="717"/>
      <c r="V34" s="717"/>
      <c r="W34" s="717"/>
      <c r="X34" s="717"/>
      <c r="Y34" s="717"/>
      <c r="Z34" s="717"/>
      <c r="AA34" s="52"/>
      <c r="AB34" s="52"/>
      <c r="AC34" s="52"/>
    </row>
    <row r="35" spans="1:68" ht="16.5" hidden="1" customHeight="1" x14ac:dyDescent="0.25">
      <c r="A35" s="718" t="s">
        <v>104</v>
      </c>
      <c r="B35" s="718"/>
      <c r="C35" s="718"/>
      <c r="D35" s="718"/>
      <c r="E35" s="718"/>
      <c r="F35" s="718"/>
      <c r="G35" s="718"/>
      <c r="H35" s="718"/>
      <c r="I35" s="718"/>
      <c r="J35" s="718"/>
      <c r="K35" s="718"/>
      <c r="L35" s="718"/>
      <c r="M35" s="718"/>
      <c r="N35" s="718"/>
      <c r="O35" s="718"/>
      <c r="P35" s="718"/>
      <c r="Q35" s="718"/>
      <c r="R35" s="718"/>
      <c r="S35" s="718"/>
      <c r="T35" s="718"/>
      <c r="U35" s="718"/>
      <c r="V35" s="718"/>
      <c r="W35" s="718"/>
      <c r="X35" s="718"/>
      <c r="Y35" s="718"/>
      <c r="Z35" s="718"/>
      <c r="AA35" s="62"/>
      <c r="AB35" s="62"/>
      <c r="AC35" s="62"/>
    </row>
    <row r="36" spans="1:68" ht="14.25" hidden="1" customHeight="1" x14ac:dyDescent="0.25">
      <c r="A36" s="719" t="s">
        <v>86</v>
      </c>
      <c r="B36" s="719"/>
      <c r="C36" s="719"/>
      <c r="D36" s="719"/>
      <c r="E36" s="719"/>
      <c r="F36" s="719"/>
      <c r="G36" s="719"/>
      <c r="H36" s="719"/>
      <c r="I36" s="719"/>
      <c r="J36" s="719"/>
      <c r="K36" s="719"/>
      <c r="L36" s="719"/>
      <c r="M36" s="719"/>
      <c r="N36" s="719"/>
      <c r="O36" s="719"/>
      <c r="P36" s="719"/>
      <c r="Q36" s="719"/>
      <c r="R36" s="719"/>
      <c r="S36" s="719"/>
      <c r="T36" s="719"/>
      <c r="U36" s="719"/>
      <c r="V36" s="719"/>
      <c r="W36" s="719"/>
      <c r="X36" s="719"/>
      <c r="Y36" s="719"/>
      <c r="Z36" s="719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20">
        <v>4680115889354</v>
      </c>
      <c r="E37" s="720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2"/>
      <c r="R37" s="722"/>
      <c r="S37" s="722"/>
      <c r="T37" s="723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20">
        <v>4680115888463</v>
      </c>
      <c r="E38" s="720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2"/>
      <c r="R38" s="722"/>
      <c r="S38" s="722"/>
      <c r="T38" s="723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20">
        <v>4680115889590</v>
      </c>
      <c r="E39" s="720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7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2"/>
      <c r="R39" s="722"/>
      <c r="S39" s="722"/>
      <c r="T39" s="723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20">
        <v>4680115888272</v>
      </c>
      <c r="E40" s="720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2"/>
      <c r="R40" s="722"/>
      <c r="S40" s="722"/>
      <c r="T40" s="723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20">
        <v>4680115888364</v>
      </c>
      <c r="E41" s="72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2"/>
      <c r="R41" s="722"/>
      <c r="S41" s="722"/>
      <c r="T41" s="723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8"/>
      <c r="B42" s="728"/>
      <c r="C42" s="728"/>
      <c r="D42" s="728"/>
      <c r="E42" s="728"/>
      <c r="F42" s="728"/>
      <c r="G42" s="728"/>
      <c r="H42" s="728"/>
      <c r="I42" s="728"/>
      <c r="J42" s="728"/>
      <c r="K42" s="728"/>
      <c r="L42" s="728"/>
      <c r="M42" s="728"/>
      <c r="N42" s="728"/>
      <c r="O42" s="729"/>
      <c r="P42" s="725" t="s">
        <v>40</v>
      </c>
      <c r="Q42" s="726"/>
      <c r="R42" s="726"/>
      <c r="S42" s="726"/>
      <c r="T42" s="726"/>
      <c r="U42" s="726"/>
      <c r="V42" s="727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8"/>
      <c r="B43" s="728"/>
      <c r="C43" s="728"/>
      <c r="D43" s="728"/>
      <c r="E43" s="728"/>
      <c r="F43" s="728"/>
      <c r="G43" s="728"/>
      <c r="H43" s="728"/>
      <c r="I43" s="728"/>
      <c r="J43" s="728"/>
      <c r="K43" s="728"/>
      <c r="L43" s="728"/>
      <c r="M43" s="728"/>
      <c r="N43" s="728"/>
      <c r="O43" s="729"/>
      <c r="P43" s="725" t="s">
        <v>40</v>
      </c>
      <c r="Q43" s="726"/>
      <c r="R43" s="726"/>
      <c r="S43" s="726"/>
      <c r="T43" s="726"/>
      <c r="U43" s="726"/>
      <c r="V43" s="727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7" t="s">
        <v>120</v>
      </c>
      <c r="B44" s="717"/>
      <c r="C44" s="717"/>
      <c r="D44" s="717"/>
      <c r="E44" s="717"/>
      <c r="F44" s="717"/>
      <c r="G44" s="717"/>
      <c r="H44" s="717"/>
      <c r="I44" s="717"/>
      <c r="J44" s="717"/>
      <c r="K44" s="717"/>
      <c r="L44" s="717"/>
      <c r="M44" s="717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Y44" s="717"/>
      <c r="Z44" s="717"/>
      <c r="AA44" s="52"/>
      <c r="AB44" s="52"/>
      <c r="AC44" s="52"/>
    </row>
    <row r="45" spans="1:68" ht="16.5" hidden="1" customHeight="1" x14ac:dyDescent="0.25">
      <c r="A45" s="718" t="s">
        <v>121</v>
      </c>
      <c r="B45" s="718"/>
      <c r="C45" s="718"/>
      <c r="D45" s="718"/>
      <c r="E45" s="718"/>
      <c r="F45" s="718"/>
      <c r="G45" s="718"/>
      <c r="H45" s="718"/>
      <c r="I45" s="718"/>
      <c r="J45" s="718"/>
      <c r="K45" s="718"/>
      <c r="L45" s="718"/>
      <c r="M45" s="718"/>
      <c r="N45" s="718"/>
      <c r="O45" s="718"/>
      <c r="P45" s="718"/>
      <c r="Q45" s="718"/>
      <c r="R45" s="718"/>
      <c r="S45" s="718"/>
      <c r="T45" s="718"/>
      <c r="U45" s="718"/>
      <c r="V45" s="718"/>
      <c r="W45" s="718"/>
      <c r="X45" s="718"/>
      <c r="Y45" s="718"/>
      <c r="Z45" s="718"/>
      <c r="AA45" s="62"/>
      <c r="AB45" s="62"/>
      <c r="AC45" s="62"/>
    </row>
    <row r="46" spans="1:68" ht="14.25" hidden="1" customHeight="1" x14ac:dyDescent="0.25">
      <c r="A46" s="719" t="s">
        <v>122</v>
      </c>
      <c r="B46" s="719"/>
      <c r="C46" s="719"/>
      <c r="D46" s="719"/>
      <c r="E46" s="719"/>
      <c r="F46" s="719"/>
      <c r="G46" s="719"/>
      <c r="H46" s="719"/>
      <c r="I46" s="719"/>
      <c r="J46" s="719"/>
      <c r="K46" s="719"/>
      <c r="L46" s="719"/>
      <c r="M46" s="719"/>
      <c r="N46" s="719"/>
      <c r="O46" s="719"/>
      <c r="P46" s="719"/>
      <c r="Q46" s="719"/>
      <c r="R46" s="719"/>
      <c r="S46" s="719"/>
      <c r="T46" s="719"/>
      <c r="U46" s="719"/>
      <c r="V46" s="719"/>
      <c r="W46" s="719"/>
      <c r="X46" s="719"/>
      <c r="Y46" s="719"/>
      <c r="Z46" s="719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720">
        <v>4607091385670</v>
      </c>
      <c r="E47" s="720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2"/>
      <c r="R47" s="722"/>
      <c r="S47" s="722"/>
      <c r="T47" s="723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20">
        <v>4680115887725</v>
      </c>
      <c r="E48" s="720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4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2"/>
      <c r="R48" s="722"/>
      <c r="S48" s="722"/>
      <c r="T48" s="723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720">
        <v>4607091385687</v>
      </c>
      <c r="E49" s="720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2"/>
      <c r="R49" s="722"/>
      <c r="S49" s="722"/>
      <c r="T49" s="723"/>
      <c r="U49" s="37" t="s">
        <v>46</v>
      </c>
      <c r="V49" s="37" t="s">
        <v>46</v>
      </c>
      <c r="W49" s="38" t="s">
        <v>0</v>
      </c>
      <c r="X49" s="56">
        <v>200</v>
      </c>
      <c r="Y49" s="53">
        <f>IFERROR(IF(X49="",0,CEILING((X49/$H49),1)*$H49),"")</f>
        <v>200</v>
      </c>
      <c r="Z49" s="39">
        <f>IFERROR(IF(Y49=0,"",ROUNDUP(Y49/H49,0)*0.00902),"")</f>
        <v>0.45100000000000001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209.50000000000003</v>
      </c>
      <c r="BN49" s="75">
        <f>IFERROR(Y49*I49/H49,"0")</f>
        <v>209.50000000000003</v>
      </c>
      <c r="BO49" s="75">
        <f>IFERROR(1/J49*(X49/H49),"0")</f>
        <v>0.37878787878787878</v>
      </c>
      <c r="BP49" s="75">
        <f>IFERROR(1/J49*(Y49/H49),"0")</f>
        <v>0.37878787878787878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20">
        <v>4680115882539</v>
      </c>
      <c r="E50" s="720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2"/>
      <c r="R50" s="722"/>
      <c r="S50" s="722"/>
      <c r="T50" s="723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8"/>
      <c r="B51" s="728"/>
      <c r="C51" s="728"/>
      <c r="D51" s="728"/>
      <c r="E51" s="728"/>
      <c r="F51" s="728"/>
      <c r="G51" s="728"/>
      <c r="H51" s="728"/>
      <c r="I51" s="728"/>
      <c r="J51" s="728"/>
      <c r="K51" s="728"/>
      <c r="L51" s="728"/>
      <c r="M51" s="728"/>
      <c r="N51" s="728"/>
      <c r="O51" s="729"/>
      <c r="P51" s="725" t="s">
        <v>40</v>
      </c>
      <c r="Q51" s="726"/>
      <c r="R51" s="726"/>
      <c r="S51" s="726"/>
      <c r="T51" s="726"/>
      <c r="U51" s="726"/>
      <c r="V51" s="727"/>
      <c r="W51" s="40" t="s">
        <v>39</v>
      </c>
      <c r="X51" s="41">
        <f>IFERROR(X47/H47,"0")+IFERROR(X48/H48,"0")+IFERROR(X49/H49,"0")+IFERROR(X50/H50,"0")</f>
        <v>50</v>
      </c>
      <c r="Y51" s="41">
        <f>IFERROR(Y47/H47,"0")+IFERROR(Y48/H48,"0")+IFERROR(Y49/H49,"0")+IFERROR(Y50/H50,"0")</f>
        <v>50</v>
      </c>
      <c r="Z51" s="41">
        <f>IFERROR(IF(Z47="",0,Z47),"0")+IFERROR(IF(Z48="",0,Z48),"0")+IFERROR(IF(Z49="",0,Z49),"0")+IFERROR(IF(Z50="",0,Z50),"0")</f>
        <v>0.45100000000000001</v>
      </c>
      <c r="AA51" s="64"/>
      <c r="AB51" s="64"/>
      <c r="AC51" s="64"/>
    </row>
    <row r="52" spans="1:68" x14ac:dyDescent="0.2">
      <c r="A52" s="728"/>
      <c r="B52" s="728"/>
      <c r="C52" s="728"/>
      <c r="D52" s="728"/>
      <c r="E52" s="728"/>
      <c r="F52" s="728"/>
      <c r="G52" s="728"/>
      <c r="H52" s="728"/>
      <c r="I52" s="728"/>
      <c r="J52" s="728"/>
      <c r="K52" s="728"/>
      <c r="L52" s="728"/>
      <c r="M52" s="728"/>
      <c r="N52" s="728"/>
      <c r="O52" s="729"/>
      <c r="P52" s="725" t="s">
        <v>40</v>
      </c>
      <c r="Q52" s="726"/>
      <c r="R52" s="726"/>
      <c r="S52" s="726"/>
      <c r="T52" s="726"/>
      <c r="U52" s="726"/>
      <c r="V52" s="727"/>
      <c r="W52" s="40" t="s">
        <v>0</v>
      </c>
      <c r="X52" s="41">
        <f>IFERROR(SUM(X47:X50),"0")</f>
        <v>200</v>
      </c>
      <c r="Y52" s="41">
        <f>IFERROR(SUM(Y47:Y50),"0")</f>
        <v>200</v>
      </c>
      <c r="Z52" s="40"/>
      <c r="AA52" s="64"/>
      <c r="AB52" s="64"/>
      <c r="AC52" s="64"/>
    </row>
    <row r="53" spans="1:68" ht="16.5" hidden="1" customHeight="1" x14ac:dyDescent="0.25">
      <c r="A53" s="718" t="s">
        <v>137</v>
      </c>
      <c r="B53" s="718"/>
      <c r="C53" s="718"/>
      <c r="D53" s="718"/>
      <c r="E53" s="718"/>
      <c r="F53" s="718"/>
      <c r="G53" s="718"/>
      <c r="H53" s="718"/>
      <c r="I53" s="718"/>
      <c r="J53" s="718"/>
      <c r="K53" s="718"/>
      <c r="L53" s="718"/>
      <c r="M53" s="718"/>
      <c r="N53" s="718"/>
      <c r="O53" s="718"/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  <c r="AA53" s="62"/>
      <c r="AB53" s="62"/>
      <c r="AC53" s="62"/>
    </row>
    <row r="54" spans="1:68" ht="14.25" hidden="1" customHeight="1" x14ac:dyDescent="0.25">
      <c r="A54" s="719" t="s">
        <v>122</v>
      </c>
      <c r="B54" s="719"/>
      <c r="C54" s="719"/>
      <c r="D54" s="719"/>
      <c r="E54" s="719"/>
      <c r="F54" s="719"/>
      <c r="G54" s="719"/>
      <c r="H54" s="719"/>
      <c r="I54" s="719"/>
      <c r="J54" s="719"/>
      <c r="K54" s="719"/>
      <c r="L54" s="719"/>
      <c r="M54" s="719"/>
      <c r="N54" s="719"/>
      <c r="O54" s="719"/>
      <c r="P54" s="719"/>
      <c r="Q54" s="719"/>
      <c r="R54" s="719"/>
      <c r="S54" s="719"/>
      <c r="T54" s="719"/>
      <c r="U54" s="719"/>
      <c r="V54" s="719"/>
      <c r="W54" s="719"/>
      <c r="X54" s="719"/>
      <c r="Y54" s="719"/>
      <c r="Z54" s="719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20">
        <v>4680115885882</v>
      </c>
      <c r="E55" s="720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2"/>
      <c r="R55" s="722"/>
      <c r="S55" s="722"/>
      <c r="T55" s="723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20">
        <v>4680115881426</v>
      </c>
      <c r="E56" s="720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2"/>
      <c r="R56" s="722"/>
      <c r="S56" s="722"/>
      <c r="T56" s="723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20">
        <v>4680115880283</v>
      </c>
      <c r="E57" s="720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4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2"/>
      <c r="R57" s="722"/>
      <c r="S57" s="722"/>
      <c r="T57" s="723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20">
        <v>4680115881525</v>
      </c>
      <c r="E58" s="720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2"/>
      <c r="R58" s="722"/>
      <c r="S58" s="722"/>
      <c r="T58" s="723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20">
        <v>4680115885899</v>
      </c>
      <c r="E59" s="720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22"/>
      <c r="R59" s="722"/>
      <c r="S59" s="722"/>
      <c r="T59" s="723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customHeight="1" x14ac:dyDescent="0.25">
      <c r="A60" s="60" t="s">
        <v>152</v>
      </c>
      <c r="B60" s="60" t="s">
        <v>153</v>
      </c>
      <c r="C60" s="34">
        <v>4301011801</v>
      </c>
      <c r="D60" s="720">
        <v>4680115881419</v>
      </c>
      <c r="E60" s="720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22"/>
      <c r="R60" s="722"/>
      <c r="S60" s="722"/>
      <c r="T60" s="723"/>
      <c r="U60" s="37" t="s">
        <v>46</v>
      </c>
      <c r="V60" s="37" t="s">
        <v>46</v>
      </c>
      <c r="W60" s="38" t="s">
        <v>0</v>
      </c>
      <c r="X60" s="56">
        <v>225</v>
      </c>
      <c r="Y60" s="53">
        <f t="shared" si="0"/>
        <v>225</v>
      </c>
      <c r="Z60" s="39">
        <f>IFERROR(IF(Y60=0,"",ROUNDUP(Y60/H60,0)*0.00902),"")</f>
        <v>0.45100000000000001</v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234.5</v>
      </c>
      <c r="BN60" s="75">
        <f t="shared" si="2"/>
        <v>234.5</v>
      </c>
      <c r="BO60" s="75">
        <f t="shared" si="3"/>
        <v>0.37878787878787878</v>
      </c>
      <c r="BP60" s="75">
        <f t="shared" si="4"/>
        <v>0.37878787878787878</v>
      </c>
    </row>
    <row r="61" spans="1:68" x14ac:dyDescent="0.2">
      <c r="A61" s="728"/>
      <c r="B61" s="728"/>
      <c r="C61" s="728"/>
      <c r="D61" s="728"/>
      <c r="E61" s="728"/>
      <c r="F61" s="728"/>
      <c r="G61" s="728"/>
      <c r="H61" s="728"/>
      <c r="I61" s="728"/>
      <c r="J61" s="728"/>
      <c r="K61" s="728"/>
      <c r="L61" s="728"/>
      <c r="M61" s="728"/>
      <c r="N61" s="728"/>
      <c r="O61" s="729"/>
      <c r="P61" s="725" t="s">
        <v>40</v>
      </c>
      <c r="Q61" s="726"/>
      <c r="R61" s="726"/>
      <c r="S61" s="726"/>
      <c r="T61" s="726"/>
      <c r="U61" s="726"/>
      <c r="V61" s="727"/>
      <c r="W61" s="40" t="s">
        <v>39</v>
      </c>
      <c r="X61" s="41">
        <f>IFERROR(X55/H55,"0")+IFERROR(X56/H56,"0")+IFERROR(X57/H57,"0")+IFERROR(X58/H58,"0")+IFERROR(X59/H59,"0")+IFERROR(X60/H60,"0")</f>
        <v>50</v>
      </c>
      <c r="Y61" s="41">
        <f>IFERROR(Y55/H55,"0")+IFERROR(Y56/H56,"0")+IFERROR(Y57/H57,"0")+IFERROR(Y58/H58,"0")+IFERROR(Y59/H59,"0")+IFERROR(Y60/H60,"0")</f>
        <v>50</v>
      </c>
      <c r="Z61" s="41">
        <f>IFERROR(IF(Z55="",0,Z55),"0")+IFERROR(IF(Z56="",0,Z56),"0")+IFERROR(IF(Z57="",0,Z57),"0")+IFERROR(IF(Z58="",0,Z58),"0")+IFERROR(IF(Z59="",0,Z59),"0")+IFERROR(IF(Z60="",0,Z60),"0")</f>
        <v>0.45100000000000001</v>
      </c>
      <c r="AA61" s="64"/>
      <c r="AB61" s="64"/>
      <c r="AC61" s="64"/>
    </row>
    <row r="62" spans="1:68" x14ac:dyDescent="0.2">
      <c r="A62" s="728"/>
      <c r="B62" s="728"/>
      <c r="C62" s="728"/>
      <c r="D62" s="728"/>
      <c r="E62" s="728"/>
      <c r="F62" s="728"/>
      <c r="G62" s="728"/>
      <c r="H62" s="728"/>
      <c r="I62" s="728"/>
      <c r="J62" s="728"/>
      <c r="K62" s="728"/>
      <c r="L62" s="728"/>
      <c r="M62" s="728"/>
      <c r="N62" s="728"/>
      <c r="O62" s="729"/>
      <c r="P62" s="725" t="s">
        <v>40</v>
      </c>
      <c r="Q62" s="726"/>
      <c r="R62" s="726"/>
      <c r="S62" s="726"/>
      <c r="T62" s="726"/>
      <c r="U62" s="726"/>
      <c r="V62" s="727"/>
      <c r="W62" s="40" t="s">
        <v>0</v>
      </c>
      <c r="X62" s="41">
        <f>IFERROR(SUM(X55:X60),"0")</f>
        <v>225</v>
      </c>
      <c r="Y62" s="41">
        <f>IFERROR(SUM(Y55:Y60),"0")</f>
        <v>225</v>
      </c>
      <c r="Z62" s="40"/>
      <c r="AA62" s="64"/>
      <c r="AB62" s="64"/>
      <c r="AC62" s="64"/>
    </row>
    <row r="63" spans="1:68" ht="14.25" hidden="1" customHeight="1" x14ac:dyDescent="0.25">
      <c r="A63" s="719" t="s">
        <v>155</v>
      </c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19"/>
      <c r="P63" s="719"/>
      <c r="Q63" s="719"/>
      <c r="R63" s="719"/>
      <c r="S63" s="719"/>
      <c r="T63" s="719"/>
      <c r="U63" s="719"/>
      <c r="V63" s="719"/>
      <c r="W63" s="719"/>
      <c r="X63" s="719"/>
      <c r="Y63" s="719"/>
      <c r="Z63" s="719"/>
      <c r="AA63" s="63"/>
      <c r="AB63" s="63"/>
      <c r="AC63" s="63"/>
    </row>
    <row r="64" spans="1:68" ht="16.5" hidden="1" customHeight="1" x14ac:dyDescent="0.25">
      <c r="A64" s="60" t="s">
        <v>156</v>
      </c>
      <c r="B64" s="60" t="s">
        <v>157</v>
      </c>
      <c r="C64" s="34">
        <v>4301020298</v>
      </c>
      <c r="D64" s="720">
        <v>4680115881440</v>
      </c>
      <c r="E64" s="720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22"/>
      <c r="R64" s="722"/>
      <c r="S64" s="722"/>
      <c r="T64" s="723"/>
      <c r="U64" s="37" t="s">
        <v>46</v>
      </c>
      <c r="V64" s="37" t="s">
        <v>46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20">
        <v>4680115885950</v>
      </c>
      <c r="E65" s="720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22"/>
      <c r="R65" s="722"/>
      <c r="S65" s="722"/>
      <c r="T65" s="723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20">
        <v>4680115887688</v>
      </c>
      <c r="E66" s="720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22"/>
      <c r="R66" s="722"/>
      <c r="S66" s="722"/>
      <c r="T66" s="723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hidden="1" customHeight="1" x14ac:dyDescent="0.25">
      <c r="A67" s="60" t="s">
        <v>164</v>
      </c>
      <c r="B67" s="60" t="s">
        <v>165</v>
      </c>
      <c r="C67" s="34">
        <v>4301020296</v>
      </c>
      <c r="D67" s="720">
        <v>4680115881433</v>
      </c>
      <c r="E67" s="720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22"/>
      <c r="R67" s="722"/>
      <c r="S67" s="722"/>
      <c r="T67" s="723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IFERROR(IF(Y67=0,"",ROUNDUP(Y67/H67,0)*0.00651),"")</f>
        <v/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idden="1" x14ac:dyDescent="0.2">
      <c r="A68" s="728"/>
      <c r="B68" s="728"/>
      <c r="C68" s="728"/>
      <c r="D68" s="728"/>
      <c r="E68" s="728"/>
      <c r="F68" s="728"/>
      <c r="G68" s="728"/>
      <c r="H68" s="728"/>
      <c r="I68" s="728"/>
      <c r="J68" s="728"/>
      <c r="K68" s="728"/>
      <c r="L68" s="728"/>
      <c r="M68" s="728"/>
      <c r="N68" s="728"/>
      <c r="O68" s="729"/>
      <c r="P68" s="725" t="s">
        <v>40</v>
      </c>
      <c r="Q68" s="726"/>
      <c r="R68" s="726"/>
      <c r="S68" s="726"/>
      <c r="T68" s="726"/>
      <c r="U68" s="726"/>
      <c r="V68" s="727"/>
      <c r="W68" s="40" t="s">
        <v>39</v>
      </c>
      <c r="X68" s="41">
        <f>IFERROR(X64/H64,"0")+IFERROR(X65/H65,"0")+IFERROR(X66/H66,"0")+IFERROR(X67/H67,"0")</f>
        <v>0</v>
      </c>
      <c r="Y68" s="41">
        <f>IFERROR(Y64/H64,"0")+IFERROR(Y65/H65,"0")+IFERROR(Y66/H66,"0")+IFERROR(Y67/H67,"0")</f>
        <v>0</v>
      </c>
      <c r="Z68" s="41">
        <f>IFERROR(IF(Z64="",0,Z64),"0")+IFERROR(IF(Z65="",0,Z65),"0")+IFERROR(IF(Z66="",0,Z66),"0")+IFERROR(IF(Z67="",0,Z67),"0")</f>
        <v>0</v>
      </c>
      <c r="AA68" s="64"/>
      <c r="AB68" s="64"/>
      <c r="AC68" s="64"/>
    </row>
    <row r="69" spans="1:68" hidden="1" x14ac:dyDescent="0.2">
      <c r="A69" s="728"/>
      <c r="B69" s="728"/>
      <c r="C69" s="728"/>
      <c r="D69" s="728"/>
      <c r="E69" s="728"/>
      <c r="F69" s="728"/>
      <c r="G69" s="728"/>
      <c r="H69" s="728"/>
      <c r="I69" s="728"/>
      <c r="J69" s="728"/>
      <c r="K69" s="728"/>
      <c r="L69" s="728"/>
      <c r="M69" s="728"/>
      <c r="N69" s="728"/>
      <c r="O69" s="729"/>
      <c r="P69" s="725" t="s">
        <v>40</v>
      </c>
      <c r="Q69" s="726"/>
      <c r="R69" s="726"/>
      <c r="S69" s="726"/>
      <c r="T69" s="726"/>
      <c r="U69" s="726"/>
      <c r="V69" s="727"/>
      <c r="W69" s="40" t="s">
        <v>0</v>
      </c>
      <c r="X69" s="41">
        <f>IFERROR(SUM(X64:X67),"0")</f>
        <v>0</v>
      </c>
      <c r="Y69" s="41">
        <f>IFERROR(SUM(Y64:Y67),"0")</f>
        <v>0</v>
      </c>
      <c r="Z69" s="40"/>
      <c r="AA69" s="64"/>
      <c r="AB69" s="64"/>
      <c r="AC69" s="64"/>
    </row>
    <row r="70" spans="1:68" ht="14.25" hidden="1" customHeight="1" x14ac:dyDescent="0.25">
      <c r="A70" s="719" t="s">
        <v>86</v>
      </c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19"/>
      <c r="P70" s="719"/>
      <c r="Q70" s="719"/>
      <c r="R70" s="719"/>
      <c r="S70" s="719"/>
      <c r="T70" s="719"/>
      <c r="U70" s="719"/>
      <c r="V70" s="719"/>
      <c r="W70" s="719"/>
      <c r="X70" s="719"/>
      <c r="Y70" s="719"/>
      <c r="Z70" s="719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20">
        <v>4680115884311</v>
      </c>
      <c r="E71" s="720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22"/>
      <c r="R71" s="722"/>
      <c r="S71" s="722"/>
      <c r="T71" s="723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20">
        <v>4680115884403</v>
      </c>
      <c r="E72" s="720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22"/>
      <c r="R72" s="722"/>
      <c r="S72" s="722"/>
      <c r="T72" s="723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20">
        <v>4680115884403</v>
      </c>
      <c r="E73" s="720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22"/>
      <c r="R73" s="722"/>
      <c r="S73" s="722"/>
      <c r="T73" s="723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28"/>
      <c r="B74" s="728"/>
      <c r="C74" s="728"/>
      <c r="D74" s="728"/>
      <c r="E74" s="728"/>
      <c r="F74" s="728"/>
      <c r="G74" s="728"/>
      <c r="H74" s="728"/>
      <c r="I74" s="728"/>
      <c r="J74" s="728"/>
      <c r="K74" s="728"/>
      <c r="L74" s="728"/>
      <c r="M74" s="728"/>
      <c r="N74" s="728"/>
      <c r="O74" s="729"/>
      <c r="P74" s="725" t="s">
        <v>40</v>
      </c>
      <c r="Q74" s="726"/>
      <c r="R74" s="726"/>
      <c r="S74" s="726"/>
      <c r="T74" s="726"/>
      <c r="U74" s="726"/>
      <c r="V74" s="727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28"/>
      <c r="B75" s="728"/>
      <c r="C75" s="728"/>
      <c r="D75" s="728"/>
      <c r="E75" s="728"/>
      <c r="F75" s="728"/>
      <c r="G75" s="728"/>
      <c r="H75" s="728"/>
      <c r="I75" s="728"/>
      <c r="J75" s="728"/>
      <c r="K75" s="728"/>
      <c r="L75" s="728"/>
      <c r="M75" s="728"/>
      <c r="N75" s="728"/>
      <c r="O75" s="729"/>
      <c r="P75" s="725" t="s">
        <v>40</v>
      </c>
      <c r="Q75" s="726"/>
      <c r="R75" s="726"/>
      <c r="S75" s="726"/>
      <c r="T75" s="726"/>
      <c r="U75" s="726"/>
      <c r="V75" s="727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19" t="s">
        <v>173</v>
      </c>
      <c r="B76" s="719"/>
      <c r="C76" s="719"/>
      <c r="D76" s="719"/>
      <c r="E76" s="719"/>
      <c r="F76" s="719"/>
      <c r="G76" s="719"/>
      <c r="H76" s="719"/>
      <c r="I76" s="719"/>
      <c r="J76" s="719"/>
      <c r="K76" s="719"/>
      <c r="L76" s="719"/>
      <c r="M76" s="719"/>
      <c r="N76" s="719"/>
      <c r="O76" s="719"/>
      <c r="P76" s="719"/>
      <c r="Q76" s="719"/>
      <c r="R76" s="719"/>
      <c r="S76" s="719"/>
      <c r="T76" s="719"/>
      <c r="U76" s="719"/>
      <c r="V76" s="719"/>
      <c r="W76" s="719"/>
      <c r="X76" s="719"/>
      <c r="Y76" s="719"/>
      <c r="Z76" s="719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720">
        <v>4680115881532</v>
      </c>
      <c r="E77" s="720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22"/>
      <c r="R77" s="722"/>
      <c r="S77" s="722"/>
      <c r="T77" s="723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20">
        <v>4680115881532</v>
      </c>
      <c r="E78" s="720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22"/>
      <c r="R78" s="722"/>
      <c r="S78" s="722"/>
      <c r="T78" s="723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20">
        <v>4680115881464</v>
      </c>
      <c r="E79" s="720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22"/>
      <c r="R79" s="722"/>
      <c r="S79" s="722"/>
      <c r="T79" s="723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20">
        <v>4680115881464</v>
      </c>
      <c r="E80" s="720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2"/>
      <c r="R80" s="722"/>
      <c r="S80" s="722"/>
      <c r="T80" s="723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28"/>
      <c r="B81" s="728"/>
      <c r="C81" s="728"/>
      <c r="D81" s="728"/>
      <c r="E81" s="728"/>
      <c r="F81" s="728"/>
      <c r="G81" s="728"/>
      <c r="H81" s="728"/>
      <c r="I81" s="728"/>
      <c r="J81" s="728"/>
      <c r="K81" s="728"/>
      <c r="L81" s="728"/>
      <c r="M81" s="728"/>
      <c r="N81" s="728"/>
      <c r="O81" s="729"/>
      <c r="P81" s="725" t="s">
        <v>40</v>
      </c>
      <c r="Q81" s="726"/>
      <c r="R81" s="726"/>
      <c r="S81" s="726"/>
      <c r="T81" s="726"/>
      <c r="U81" s="726"/>
      <c r="V81" s="727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28"/>
      <c r="B82" s="728"/>
      <c r="C82" s="728"/>
      <c r="D82" s="728"/>
      <c r="E82" s="728"/>
      <c r="F82" s="728"/>
      <c r="G82" s="728"/>
      <c r="H82" s="728"/>
      <c r="I82" s="728"/>
      <c r="J82" s="728"/>
      <c r="K82" s="728"/>
      <c r="L82" s="728"/>
      <c r="M82" s="728"/>
      <c r="N82" s="728"/>
      <c r="O82" s="729"/>
      <c r="P82" s="725" t="s">
        <v>40</v>
      </c>
      <c r="Q82" s="726"/>
      <c r="R82" s="726"/>
      <c r="S82" s="726"/>
      <c r="T82" s="726"/>
      <c r="U82" s="726"/>
      <c r="V82" s="727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18" t="s">
        <v>182</v>
      </c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62"/>
      <c r="AB83" s="62"/>
      <c r="AC83" s="62"/>
    </row>
    <row r="84" spans="1:68" ht="14.25" hidden="1" customHeight="1" x14ac:dyDescent="0.25">
      <c r="A84" s="719" t="s">
        <v>122</v>
      </c>
      <c r="B84" s="719"/>
      <c r="C84" s="719"/>
      <c r="D84" s="719"/>
      <c r="E84" s="719"/>
      <c r="F84" s="719"/>
      <c r="G84" s="719"/>
      <c r="H84" s="719"/>
      <c r="I84" s="719"/>
      <c r="J84" s="719"/>
      <c r="K84" s="719"/>
      <c r="L84" s="719"/>
      <c r="M84" s="719"/>
      <c r="N84" s="719"/>
      <c r="O84" s="719"/>
      <c r="P84" s="719"/>
      <c r="Q84" s="719"/>
      <c r="R84" s="719"/>
      <c r="S84" s="719"/>
      <c r="T84" s="719"/>
      <c r="U84" s="719"/>
      <c r="V84" s="719"/>
      <c r="W84" s="719"/>
      <c r="X84" s="719"/>
      <c r="Y84" s="719"/>
      <c r="Z84" s="719"/>
      <c r="AA84" s="63"/>
      <c r="AB84" s="63"/>
      <c r="AC84" s="63"/>
    </row>
    <row r="85" spans="1:68" ht="27" hidden="1" customHeight="1" x14ac:dyDescent="0.25">
      <c r="A85" s="60" t="s">
        <v>183</v>
      </c>
      <c r="B85" s="60" t="s">
        <v>184</v>
      </c>
      <c r="C85" s="34">
        <v>4301011468</v>
      </c>
      <c r="D85" s="720">
        <v>4680115881327</v>
      </c>
      <c r="E85" s="720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2"/>
      <c r="R85" s="722"/>
      <c r="S85" s="722"/>
      <c r="T85" s="723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20">
        <v>4680115887732</v>
      </c>
      <c r="E86" s="720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6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2"/>
      <c r="R86" s="722"/>
      <c r="S86" s="722"/>
      <c r="T86" s="723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20">
        <v>4680115887732</v>
      </c>
      <c r="E87" s="720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63" t="s">
        <v>190</v>
      </c>
      <c r="Q87" s="722"/>
      <c r="R87" s="722"/>
      <c r="S87" s="722"/>
      <c r="T87" s="723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20">
        <v>4680115881518</v>
      </c>
      <c r="E88" s="7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2"/>
      <c r="R88" s="722"/>
      <c r="S88" s="722"/>
      <c r="T88" s="723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720">
        <v>4680115881303</v>
      </c>
      <c r="E89" s="7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22"/>
      <c r="R89" s="722"/>
      <c r="S89" s="722"/>
      <c r="T89" s="723"/>
      <c r="U89" s="37" t="s">
        <v>46</v>
      </c>
      <c r="V89" s="37" t="s">
        <v>46</v>
      </c>
      <c r="W89" s="38" t="s">
        <v>0</v>
      </c>
      <c r="X89" s="56">
        <v>765</v>
      </c>
      <c r="Y89" s="53">
        <f>IFERROR(IF(X89="",0,CEILING((X89/$H89),1)*$H89),"")</f>
        <v>765</v>
      </c>
      <c r="Z89" s="39">
        <f>IFERROR(IF(Y89=0,"",ROUNDUP(Y89/H89,0)*0.00902),"")</f>
        <v>1.5334000000000001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797.30000000000007</v>
      </c>
      <c r="BN89" s="75">
        <f>IFERROR(Y89*I89/H89,"0")</f>
        <v>797.30000000000007</v>
      </c>
      <c r="BO89" s="75">
        <f>IFERROR(1/J89*(X89/H89),"0")</f>
        <v>1.2878787878787878</v>
      </c>
      <c r="BP89" s="75">
        <f>IFERROR(1/J89*(Y89/H89),"0")</f>
        <v>1.2878787878787878</v>
      </c>
    </row>
    <row r="90" spans="1:68" x14ac:dyDescent="0.2">
      <c r="A90" s="728"/>
      <c r="B90" s="728"/>
      <c r="C90" s="728"/>
      <c r="D90" s="728"/>
      <c r="E90" s="728"/>
      <c r="F90" s="728"/>
      <c r="G90" s="728"/>
      <c r="H90" s="728"/>
      <c r="I90" s="728"/>
      <c r="J90" s="728"/>
      <c r="K90" s="728"/>
      <c r="L90" s="728"/>
      <c r="M90" s="728"/>
      <c r="N90" s="728"/>
      <c r="O90" s="729"/>
      <c r="P90" s="725" t="s">
        <v>40</v>
      </c>
      <c r="Q90" s="726"/>
      <c r="R90" s="726"/>
      <c r="S90" s="726"/>
      <c r="T90" s="726"/>
      <c r="U90" s="726"/>
      <c r="V90" s="727"/>
      <c r="W90" s="40" t="s">
        <v>39</v>
      </c>
      <c r="X90" s="41">
        <f>IFERROR(X85/H85,"0")+IFERROR(X86/H86,"0")+IFERROR(X87/H87,"0")+IFERROR(X88/H88,"0")+IFERROR(X89/H89,"0")</f>
        <v>170</v>
      </c>
      <c r="Y90" s="41">
        <f>IFERROR(Y85/H85,"0")+IFERROR(Y86/H86,"0")+IFERROR(Y87/H87,"0")+IFERROR(Y88/H88,"0")+IFERROR(Y89/H89,"0")</f>
        <v>170</v>
      </c>
      <c r="Z90" s="41">
        <f>IFERROR(IF(Z85="",0,Z85),"0")+IFERROR(IF(Z86="",0,Z86),"0")+IFERROR(IF(Z87="",0,Z87),"0")+IFERROR(IF(Z88="",0,Z88),"0")+IFERROR(IF(Z89="",0,Z89),"0")</f>
        <v>1.5334000000000001</v>
      </c>
      <c r="AA90" s="64"/>
      <c r="AB90" s="64"/>
      <c r="AC90" s="64"/>
    </row>
    <row r="91" spans="1:68" x14ac:dyDescent="0.2">
      <c r="A91" s="728"/>
      <c r="B91" s="728"/>
      <c r="C91" s="728"/>
      <c r="D91" s="728"/>
      <c r="E91" s="728"/>
      <c r="F91" s="728"/>
      <c r="G91" s="728"/>
      <c r="H91" s="728"/>
      <c r="I91" s="728"/>
      <c r="J91" s="728"/>
      <c r="K91" s="728"/>
      <c r="L91" s="728"/>
      <c r="M91" s="728"/>
      <c r="N91" s="728"/>
      <c r="O91" s="729"/>
      <c r="P91" s="725" t="s">
        <v>40</v>
      </c>
      <c r="Q91" s="726"/>
      <c r="R91" s="726"/>
      <c r="S91" s="726"/>
      <c r="T91" s="726"/>
      <c r="U91" s="726"/>
      <c r="V91" s="727"/>
      <c r="W91" s="40" t="s">
        <v>0</v>
      </c>
      <c r="X91" s="41">
        <f>IFERROR(SUM(X85:X89),"0")</f>
        <v>765</v>
      </c>
      <c r="Y91" s="41">
        <f>IFERROR(SUM(Y85:Y89),"0")</f>
        <v>765</v>
      </c>
      <c r="Z91" s="40"/>
      <c r="AA91" s="64"/>
      <c r="AB91" s="64"/>
      <c r="AC91" s="64"/>
    </row>
    <row r="92" spans="1:68" ht="14.25" hidden="1" customHeight="1" x14ac:dyDescent="0.25">
      <c r="A92" s="719" t="s">
        <v>86</v>
      </c>
      <c r="B92" s="719"/>
      <c r="C92" s="719"/>
      <c r="D92" s="719"/>
      <c r="E92" s="719"/>
      <c r="F92" s="719"/>
      <c r="G92" s="719"/>
      <c r="H92" s="719"/>
      <c r="I92" s="719"/>
      <c r="J92" s="719"/>
      <c r="K92" s="719"/>
      <c r="L92" s="719"/>
      <c r="M92" s="719"/>
      <c r="N92" s="719"/>
      <c r="O92" s="719"/>
      <c r="P92" s="719"/>
      <c r="Q92" s="719"/>
      <c r="R92" s="719"/>
      <c r="S92" s="719"/>
      <c r="T92" s="719"/>
      <c r="U92" s="719"/>
      <c r="V92" s="719"/>
      <c r="W92" s="719"/>
      <c r="X92" s="719"/>
      <c r="Y92" s="719"/>
      <c r="Z92" s="719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4301051712</v>
      </c>
      <c r="D93" s="720">
        <v>4607091386967</v>
      </c>
      <c r="E93" s="7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6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22"/>
      <c r="R93" s="722"/>
      <c r="S93" s="722"/>
      <c r="T93" s="723"/>
      <c r="U93" s="37" t="s">
        <v>46</v>
      </c>
      <c r="V93" s="37" t="s">
        <v>46</v>
      </c>
      <c r="W93" s="38" t="s">
        <v>0</v>
      </c>
      <c r="X93" s="56">
        <v>0</v>
      </c>
      <c r="Y93" s="53">
        <f t="shared" ref="Y93:Y98" si="5"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8" si="6">IFERROR(X93*I93/H93,"0")</f>
        <v>0</v>
      </c>
      <c r="BN93" s="75">
        <f t="shared" ref="BN93:BN98" si="7">IFERROR(Y93*I93/H93,"0")</f>
        <v>0</v>
      </c>
      <c r="BO93" s="75">
        <f t="shared" ref="BO93:BO98" si="8">IFERROR(1/J93*(X93/H93),"0")</f>
        <v>0</v>
      </c>
      <c r="BP93" s="75">
        <f t="shared" ref="BP93:BP98" si="9">IFERROR(1/J93*(Y93/H93),"0")</f>
        <v>0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20">
        <v>4607091386967</v>
      </c>
      <c r="E94" s="720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67" t="s">
        <v>199</v>
      </c>
      <c r="Q94" s="722"/>
      <c r="R94" s="722"/>
      <c r="S94" s="722"/>
      <c r="T94" s="723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20">
        <v>4680115884953</v>
      </c>
      <c r="E95" s="720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6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22"/>
      <c r="R95" s="722"/>
      <c r="S95" s="722"/>
      <c r="T95" s="723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customHeight="1" x14ac:dyDescent="0.25">
      <c r="A96" s="60" t="s">
        <v>202</v>
      </c>
      <c r="B96" s="60" t="s">
        <v>203</v>
      </c>
      <c r="C96" s="34">
        <v>4301051718</v>
      </c>
      <c r="D96" s="720">
        <v>4607091385731</v>
      </c>
      <c r="E96" s="720"/>
      <c r="F96" s="59">
        <v>0.45</v>
      </c>
      <c r="G96" s="35">
        <v>6</v>
      </c>
      <c r="H96" s="59">
        <v>2.7</v>
      </c>
      <c r="I96" s="59">
        <v>2.952</v>
      </c>
      <c r="J96" s="35">
        <v>182</v>
      </c>
      <c r="K96" s="35" t="s">
        <v>91</v>
      </c>
      <c r="L96" s="35" t="s">
        <v>46</v>
      </c>
      <c r="M96" s="36" t="s">
        <v>97</v>
      </c>
      <c r="N96" s="36"/>
      <c r="O96" s="35">
        <v>45</v>
      </c>
      <c r="P96" s="76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722"/>
      <c r="R96" s="722"/>
      <c r="S96" s="722"/>
      <c r="T96" s="723"/>
      <c r="U96" s="37" t="s">
        <v>46</v>
      </c>
      <c r="V96" s="37" t="s">
        <v>46</v>
      </c>
      <c r="W96" s="38" t="s">
        <v>0</v>
      </c>
      <c r="X96" s="56">
        <v>585</v>
      </c>
      <c r="Y96" s="53">
        <f t="shared" si="5"/>
        <v>585.90000000000009</v>
      </c>
      <c r="Z96" s="39">
        <f>IFERROR(IF(Y96=0,"",ROUNDUP(Y96/H96,0)*0.00651),"")</f>
        <v>1.4126700000000001</v>
      </c>
      <c r="AA96" s="65" t="s">
        <v>46</v>
      </c>
      <c r="AB96" s="66" t="s">
        <v>46</v>
      </c>
      <c r="AC96" s="163" t="s">
        <v>197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639.6</v>
      </c>
      <c r="BN96" s="75">
        <f t="shared" si="7"/>
        <v>640.58400000000006</v>
      </c>
      <c r="BO96" s="75">
        <f t="shared" si="8"/>
        <v>1.1904761904761905</v>
      </c>
      <c r="BP96" s="75">
        <f t="shared" si="9"/>
        <v>1.1923076923076925</v>
      </c>
    </row>
    <row r="97" spans="1:68" ht="27" hidden="1" customHeight="1" x14ac:dyDescent="0.25">
      <c r="A97" s="60" t="s">
        <v>202</v>
      </c>
      <c r="B97" s="60" t="s">
        <v>204</v>
      </c>
      <c r="C97" s="34">
        <v>4301052094</v>
      </c>
      <c r="D97" s="720">
        <v>4607091385731</v>
      </c>
      <c r="E97" s="72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70" t="s">
        <v>205</v>
      </c>
      <c r="Q97" s="722"/>
      <c r="R97" s="722"/>
      <c r="S97" s="722"/>
      <c r="T97" s="723"/>
      <c r="U97" s="37" t="s">
        <v>46</v>
      </c>
      <c r="V97" s="37" t="s">
        <v>46</v>
      </c>
      <c r="W97" s="38" t="s">
        <v>0</v>
      </c>
      <c r="X97" s="56">
        <v>0</v>
      </c>
      <c r="Y97" s="53">
        <f t="shared" si="5"/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0</v>
      </c>
      <c r="BN97" s="75">
        <f t="shared" si="7"/>
        <v>0</v>
      </c>
      <c r="BO97" s="75">
        <f t="shared" si="8"/>
        <v>0</v>
      </c>
      <c r="BP97" s="75">
        <f t="shared" si="9"/>
        <v>0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20">
        <v>4680115880894</v>
      </c>
      <c r="E98" s="72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7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2"/>
      <c r="R98" s="722"/>
      <c r="S98" s="722"/>
      <c r="T98" s="723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x14ac:dyDescent="0.2">
      <c r="A99" s="728"/>
      <c r="B99" s="728"/>
      <c r="C99" s="728"/>
      <c r="D99" s="728"/>
      <c r="E99" s="728"/>
      <c r="F99" s="728"/>
      <c r="G99" s="728"/>
      <c r="H99" s="728"/>
      <c r="I99" s="728"/>
      <c r="J99" s="728"/>
      <c r="K99" s="728"/>
      <c r="L99" s="728"/>
      <c r="M99" s="728"/>
      <c r="N99" s="728"/>
      <c r="O99" s="729"/>
      <c r="P99" s="725" t="s">
        <v>40</v>
      </c>
      <c r="Q99" s="726"/>
      <c r="R99" s="726"/>
      <c r="S99" s="726"/>
      <c r="T99" s="726"/>
      <c r="U99" s="726"/>
      <c r="V99" s="727"/>
      <c r="W99" s="40" t="s">
        <v>39</v>
      </c>
      <c r="X99" s="41">
        <f>IFERROR(X93/H93,"0")+IFERROR(X94/H94,"0")+IFERROR(X95/H95,"0")+IFERROR(X96/H96,"0")+IFERROR(X97/H97,"0")+IFERROR(X98/H98,"0")</f>
        <v>216.66666666666666</v>
      </c>
      <c r="Y99" s="41">
        <f>IFERROR(Y93/H93,"0")+IFERROR(Y94/H94,"0")+IFERROR(Y95/H95,"0")+IFERROR(Y96/H96,"0")+IFERROR(Y97/H97,"0")+IFERROR(Y98/H98,"0")</f>
        <v>217.00000000000003</v>
      </c>
      <c r="Z99" s="41">
        <f>IFERROR(IF(Z93="",0,Z93),"0")+IFERROR(IF(Z94="",0,Z94),"0")+IFERROR(IF(Z95="",0,Z95),"0")+IFERROR(IF(Z96="",0,Z96),"0")+IFERROR(IF(Z97="",0,Z97),"0")+IFERROR(IF(Z98="",0,Z98),"0")</f>
        <v>1.4126700000000001</v>
      </c>
      <c r="AA99" s="64"/>
      <c r="AB99" s="64"/>
      <c r="AC99" s="64"/>
    </row>
    <row r="100" spans="1:68" x14ac:dyDescent="0.2">
      <c r="A100" s="728"/>
      <c r="B100" s="728"/>
      <c r="C100" s="728"/>
      <c r="D100" s="728"/>
      <c r="E100" s="728"/>
      <c r="F100" s="728"/>
      <c r="G100" s="728"/>
      <c r="H100" s="728"/>
      <c r="I100" s="728"/>
      <c r="J100" s="728"/>
      <c r="K100" s="728"/>
      <c r="L100" s="728"/>
      <c r="M100" s="728"/>
      <c r="N100" s="728"/>
      <c r="O100" s="729"/>
      <c r="P100" s="725" t="s">
        <v>40</v>
      </c>
      <c r="Q100" s="726"/>
      <c r="R100" s="726"/>
      <c r="S100" s="726"/>
      <c r="T100" s="726"/>
      <c r="U100" s="726"/>
      <c r="V100" s="727"/>
      <c r="W100" s="40" t="s">
        <v>0</v>
      </c>
      <c r="X100" s="41">
        <f>IFERROR(SUM(X93:X98),"0")</f>
        <v>585</v>
      </c>
      <c r="Y100" s="41">
        <f>IFERROR(SUM(Y93:Y98),"0")</f>
        <v>585.90000000000009</v>
      </c>
      <c r="Z100" s="40"/>
      <c r="AA100" s="64"/>
      <c r="AB100" s="64"/>
      <c r="AC100" s="64"/>
    </row>
    <row r="101" spans="1:68" ht="16.5" hidden="1" customHeight="1" x14ac:dyDescent="0.25">
      <c r="A101" s="718" t="s">
        <v>209</v>
      </c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62"/>
      <c r="AB101" s="62"/>
      <c r="AC101" s="62"/>
    </row>
    <row r="102" spans="1:68" ht="14.25" hidden="1" customHeight="1" x14ac:dyDescent="0.25">
      <c r="A102" s="719" t="s">
        <v>122</v>
      </c>
      <c r="B102" s="719"/>
      <c r="C102" s="719"/>
      <c r="D102" s="719"/>
      <c r="E102" s="719"/>
      <c r="F102" s="719"/>
      <c r="G102" s="719"/>
      <c r="H102" s="719"/>
      <c r="I102" s="719"/>
      <c r="J102" s="719"/>
      <c r="K102" s="719"/>
      <c r="L102" s="719"/>
      <c r="M102" s="719"/>
      <c r="N102" s="719"/>
      <c r="O102" s="719"/>
      <c r="P102" s="719"/>
      <c r="Q102" s="719"/>
      <c r="R102" s="719"/>
      <c r="S102" s="719"/>
      <c r="T102" s="719"/>
      <c r="U102" s="719"/>
      <c r="V102" s="719"/>
      <c r="W102" s="719"/>
      <c r="X102" s="719"/>
      <c r="Y102" s="719"/>
      <c r="Z102" s="719"/>
      <c r="AA102" s="63"/>
      <c r="AB102" s="63"/>
      <c r="AC102" s="63"/>
    </row>
    <row r="103" spans="1:68" ht="37.5" hidden="1" customHeight="1" x14ac:dyDescent="0.25">
      <c r="A103" s="60" t="s">
        <v>210</v>
      </c>
      <c r="B103" s="60" t="s">
        <v>211</v>
      </c>
      <c r="C103" s="34">
        <v>4301011514</v>
      </c>
      <c r="D103" s="720">
        <v>4680115882133</v>
      </c>
      <c r="E103" s="72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77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2"/>
      <c r="R103" s="722"/>
      <c r="S103" s="722"/>
      <c r="T103" s="723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10" si="10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0" si="11">IFERROR(X103*I103/H103,"0")</f>
        <v>0</v>
      </c>
      <c r="BN103" s="75">
        <f t="shared" ref="BN103:BN110" si="12">IFERROR(Y103*I103/H103,"0")</f>
        <v>0</v>
      </c>
      <c r="BO103" s="75">
        <f t="shared" ref="BO103:BO110" si="13">IFERROR(1/J103*(X103/H103),"0")</f>
        <v>0</v>
      </c>
      <c r="BP103" s="75">
        <f t="shared" ref="BP103:BP110" si="14">IFERROR(1/J103*(Y103/H103),"0")</f>
        <v>0</v>
      </c>
    </row>
    <row r="104" spans="1:68" ht="27" hidden="1" customHeight="1" x14ac:dyDescent="0.25">
      <c r="A104" s="60" t="s">
        <v>213</v>
      </c>
      <c r="B104" s="60" t="s">
        <v>214</v>
      </c>
      <c r="C104" s="34">
        <v>4301012051</v>
      </c>
      <c r="D104" s="720">
        <v>4680115887718</v>
      </c>
      <c r="E104" s="72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131</v>
      </c>
      <c r="L104" s="35" t="s">
        <v>46</v>
      </c>
      <c r="M104" s="36" t="s">
        <v>81</v>
      </c>
      <c r="N104" s="36"/>
      <c r="O104" s="35">
        <v>30</v>
      </c>
      <c r="P104" s="77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22"/>
      <c r="R104" s="722"/>
      <c r="S104" s="722"/>
      <c r="T104" s="723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10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si="11"/>
        <v>0</v>
      </c>
      <c r="BN104" s="75">
        <f t="shared" si="12"/>
        <v>0</v>
      </c>
      <c r="BO104" s="75">
        <f t="shared" si="13"/>
        <v>0</v>
      </c>
      <c r="BP104" s="75">
        <f t="shared" si="14"/>
        <v>0</v>
      </c>
    </row>
    <row r="105" spans="1:68" ht="27" hidden="1" customHeight="1" x14ac:dyDescent="0.25">
      <c r="A105" s="60" t="s">
        <v>213</v>
      </c>
      <c r="B105" s="60" t="s">
        <v>216</v>
      </c>
      <c r="C105" s="34">
        <v>4301012334</v>
      </c>
      <c r="D105" s="720">
        <v>4680115887718</v>
      </c>
      <c r="E105" s="72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7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2"/>
      <c r="R105" s="722"/>
      <c r="S105" s="722"/>
      <c r="T105" s="723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215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213</v>
      </c>
      <c r="B106" s="60" t="s">
        <v>217</v>
      </c>
      <c r="C106" s="34">
        <v>4301012379</v>
      </c>
      <c r="D106" s="720">
        <v>4680115887718</v>
      </c>
      <c r="E106" s="720"/>
      <c r="F106" s="59">
        <v>0.11</v>
      </c>
      <c r="G106" s="35">
        <v>6</v>
      </c>
      <c r="H106" s="59">
        <v>0.66</v>
      </c>
      <c r="I106" s="59">
        <v>0.82599999999999996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7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2"/>
      <c r="R106" s="722"/>
      <c r="S106" s="722"/>
      <c r="T106" s="723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215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4301011417</v>
      </c>
      <c r="D107" s="720">
        <v>4680115880269</v>
      </c>
      <c r="E107" s="720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90</v>
      </c>
      <c r="N107" s="36"/>
      <c r="O107" s="35">
        <v>50</v>
      </c>
      <c r="P107" s="77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2"/>
      <c r="R107" s="722"/>
      <c r="S107" s="722"/>
      <c r="T107" s="723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212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customHeight="1" x14ac:dyDescent="0.25">
      <c r="A108" s="60" t="s">
        <v>220</v>
      </c>
      <c r="B108" s="60" t="s">
        <v>221</v>
      </c>
      <c r="C108" s="34">
        <v>4301011415</v>
      </c>
      <c r="D108" s="720">
        <v>4680115880429</v>
      </c>
      <c r="E108" s="720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7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722"/>
      <c r="R108" s="722"/>
      <c r="S108" s="722"/>
      <c r="T108" s="723"/>
      <c r="U108" s="37" t="s">
        <v>46</v>
      </c>
      <c r="V108" s="37" t="s">
        <v>46</v>
      </c>
      <c r="W108" s="38" t="s">
        <v>0</v>
      </c>
      <c r="X108" s="56">
        <v>675</v>
      </c>
      <c r="Y108" s="53">
        <f t="shared" si="10"/>
        <v>675</v>
      </c>
      <c r="Z108" s="39">
        <f>IFERROR(IF(Y108=0,"",ROUNDUP(Y108/H108,0)*0.00902),"")</f>
        <v>1.353</v>
      </c>
      <c r="AA108" s="65" t="s">
        <v>46</v>
      </c>
      <c r="AB108" s="66" t="s">
        <v>46</v>
      </c>
      <c r="AC108" s="179" t="s">
        <v>212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703.50000000000011</v>
      </c>
      <c r="BN108" s="75">
        <f t="shared" si="12"/>
        <v>703.50000000000011</v>
      </c>
      <c r="BO108" s="75">
        <f t="shared" si="13"/>
        <v>1.1363636363636365</v>
      </c>
      <c r="BP108" s="75">
        <f t="shared" si="14"/>
        <v>1.1363636363636365</v>
      </c>
    </row>
    <row r="109" spans="1:68" ht="27" hidden="1" customHeight="1" x14ac:dyDescent="0.25">
      <c r="A109" s="60" t="s">
        <v>220</v>
      </c>
      <c r="B109" s="60" t="s">
        <v>222</v>
      </c>
      <c r="C109" s="34">
        <v>4301012254</v>
      </c>
      <c r="D109" s="720">
        <v>4680115880429</v>
      </c>
      <c r="E109" s="720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126</v>
      </c>
      <c r="N109" s="36"/>
      <c r="O109" s="35">
        <v>50</v>
      </c>
      <c r="P109" s="778" t="s">
        <v>223</v>
      </c>
      <c r="Q109" s="722"/>
      <c r="R109" s="722"/>
      <c r="S109" s="722"/>
      <c r="T109" s="723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10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224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0</v>
      </c>
      <c r="BN109" s="75">
        <f t="shared" si="12"/>
        <v>0</v>
      </c>
      <c r="BO109" s="75">
        <f t="shared" si="13"/>
        <v>0</v>
      </c>
      <c r="BP109" s="75">
        <f t="shared" si="14"/>
        <v>0</v>
      </c>
    </row>
    <row r="110" spans="1:68" ht="37.5" hidden="1" customHeight="1" x14ac:dyDescent="0.25">
      <c r="A110" s="60" t="s">
        <v>225</v>
      </c>
      <c r="B110" s="60" t="s">
        <v>226</v>
      </c>
      <c r="C110" s="34">
        <v>4301011462</v>
      </c>
      <c r="D110" s="720">
        <v>4680115881457</v>
      </c>
      <c r="E110" s="720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90</v>
      </c>
      <c r="N110" s="36"/>
      <c r="O110" s="35">
        <v>50</v>
      </c>
      <c r="P110" s="77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2"/>
      <c r="R110" s="722"/>
      <c r="S110" s="722"/>
      <c r="T110" s="723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212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x14ac:dyDescent="0.2">
      <c r="A111" s="728"/>
      <c r="B111" s="728"/>
      <c r="C111" s="728"/>
      <c r="D111" s="728"/>
      <c r="E111" s="728"/>
      <c r="F111" s="728"/>
      <c r="G111" s="728"/>
      <c r="H111" s="728"/>
      <c r="I111" s="728"/>
      <c r="J111" s="728"/>
      <c r="K111" s="728"/>
      <c r="L111" s="728"/>
      <c r="M111" s="728"/>
      <c r="N111" s="728"/>
      <c r="O111" s="729"/>
      <c r="P111" s="725" t="s">
        <v>40</v>
      </c>
      <c r="Q111" s="726"/>
      <c r="R111" s="726"/>
      <c r="S111" s="726"/>
      <c r="T111" s="726"/>
      <c r="U111" s="726"/>
      <c r="V111" s="727"/>
      <c r="W111" s="40" t="s">
        <v>39</v>
      </c>
      <c r="X111" s="41">
        <f>IFERROR(X103/H103,"0")+IFERROR(X104/H104,"0")+IFERROR(X105/H105,"0")+IFERROR(X106/H106,"0")+IFERROR(X107/H107,"0")+IFERROR(X108/H108,"0")+IFERROR(X109/H109,"0")+IFERROR(X110/H110,"0")</f>
        <v>150</v>
      </c>
      <c r="Y111" s="41">
        <f>IFERROR(Y103/H103,"0")+IFERROR(Y104/H104,"0")+IFERROR(Y105/H105,"0")+IFERROR(Y106/H106,"0")+IFERROR(Y107/H107,"0")+IFERROR(Y108/H108,"0")+IFERROR(Y109/H109,"0")+IFERROR(Y110/H110,"0")</f>
        <v>150</v>
      </c>
      <c r="Z111" s="41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1.353</v>
      </c>
      <c r="AA111" s="64"/>
      <c r="AB111" s="64"/>
      <c r="AC111" s="64"/>
    </row>
    <row r="112" spans="1:68" x14ac:dyDescent="0.2">
      <c r="A112" s="728"/>
      <c r="B112" s="728"/>
      <c r="C112" s="728"/>
      <c r="D112" s="728"/>
      <c r="E112" s="728"/>
      <c r="F112" s="728"/>
      <c r="G112" s="728"/>
      <c r="H112" s="728"/>
      <c r="I112" s="728"/>
      <c r="J112" s="728"/>
      <c r="K112" s="728"/>
      <c r="L112" s="728"/>
      <c r="M112" s="728"/>
      <c r="N112" s="728"/>
      <c r="O112" s="729"/>
      <c r="P112" s="725" t="s">
        <v>40</v>
      </c>
      <c r="Q112" s="726"/>
      <c r="R112" s="726"/>
      <c r="S112" s="726"/>
      <c r="T112" s="726"/>
      <c r="U112" s="726"/>
      <c r="V112" s="727"/>
      <c r="W112" s="40" t="s">
        <v>0</v>
      </c>
      <c r="X112" s="41">
        <f>IFERROR(SUM(X103:X110),"0")</f>
        <v>675</v>
      </c>
      <c r="Y112" s="41">
        <f>IFERROR(SUM(Y103:Y110),"0")</f>
        <v>675</v>
      </c>
      <c r="Z112" s="40"/>
      <c r="AA112" s="64"/>
      <c r="AB112" s="64"/>
      <c r="AC112" s="64"/>
    </row>
    <row r="113" spans="1:68" ht="14.25" hidden="1" customHeight="1" x14ac:dyDescent="0.25">
      <c r="A113" s="719" t="s">
        <v>155</v>
      </c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19"/>
      <c r="P113" s="719"/>
      <c r="Q113" s="719"/>
      <c r="R113" s="719"/>
      <c r="S113" s="719"/>
      <c r="T113" s="719"/>
      <c r="U113" s="719"/>
      <c r="V113" s="719"/>
      <c r="W113" s="719"/>
      <c r="X113" s="719"/>
      <c r="Y113" s="719"/>
      <c r="Z113" s="719"/>
      <c r="AA113" s="63"/>
      <c r="AB113" s="63"/>
      <c r="AC113" s="63"/>
    </row>
    <row r="114" spans="1:68" ht="27" hidden="1" customHeight="1" x14ac:dyDescent="0.25">
      <c r="A114" s="60" t="s">
        <v>227</v>
      </c>
      <c r="B114" s="60" t="s">
        <v>228</v>
      </c>
      <c r="C114" s="34">
        <v>4301020391</v>
      </c>
      <c r="D114" s="720">
        <v>4680115881488</v>
      </c>
      <c r="E114" s="720"/>
      <c r="F114" s="59">
        <v>1.35</v>
      </c>
      <c r="G114" s="35">
        <v>8</v>
      </c>
      <c r="H114" s="59">
        <v>10.8</v>
      </c>
      <c r="I114" s="59">
        <v>11.21</v>
      </c>
      <c r="J114" s="35">
        <v>64</v>
      </c>
      <c r="K114" s="35" t="s">
        <v>127</v>
      </c>
      <c r="L114" s="35" t="s">
        <v>46</v>
      </c>
      <c r="M114" s="36" t="s">
        <v>126</v>
      </c>
      <c r="N114" s="36"/>
      <c r="O114" s="35">
        <v>55</v>
      </c>
      <c r="P114" s="78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722"/>
      <c r="R114" s="722"/>
      <c r="S114" s="722"/>
      <c r="T114" s="723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IFERROR(IF(Y114=0,"",ROUNDUP(Y114/H114,0)*0.01898),"")</f>
        <v/>
      </c>
      <c r="AA114" s="65" t="s">
        <v>46</v>
      </c>
      <c r="AB114" s="66" t="s">
        <v>46</v>
      </c>
      <c r="AC114" s="185" t="s">
        <v>229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4301020186</v>
      </c>
      <c r="D115" s="720">
        <v>4680115887664</v>
      </c>
      <c r="E115" s="720"/>
      <c r="F115" s="59">
        <v>0.1</v>
      </c>
      <c r="G115" s="35">
        <v>10</v>
      </c>
      <c r="H115" s="59">
        <v>1</v>
      </c>
      <c r="I115" s="59">
        <v>1.21</v>
      </c>
      <c r="J115" s="35">
        <v>392</v>
      </c>
      <c r="K115" s="35" t="s">
        <v>233</v>
      </c>
      <c r="L115" s="35" t="s">
        <v>46</v>
      </c>
      <c r="M115" s="36" t="s">
        <v>81</v>
      </c>
      <c r="N115" s="36"/>
      <c r="O115" s="35">
        <v>30</v>
      </c>
      <c r="P115" s="7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722"/>
      <c r="R115" s="722"/>
      <c r="S115" s="722"/>
      <c r="T115" s="723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IFERROR(IF(Y115=0,"",ROUNDUP(Y115/H115,0)*0.00358),"")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230</v>
      </c>
      <c r="B116" s="60" t="s">
        <v>234</v>
      </c>
      <c r="C116" s="34">
        <v>4301020430</v>
      </c>
      <c r="D116" s="720">
        <v>4680115887664</v>
      </c>
      <c r="E116" s="720"/>
      <c r="F116" s="59">
        <v>0.1</v>
      </c>
      <c r="G116" s="35">
        <v>8</v>
      </c>
      <c r="H116" s="59">
        <v>0.8</v>
      </c>
      <c r="I116" s="59">
        <v>0.98799999999999999</v>
      </c>
      <c r="J116" s="35">
        <v>392</v>
      </c>
      <c r="K116" s="35" t="s">
        <v>233</v>
      </c>
      <c r="L116" s="35" t="s">
        <v>46</v>
      </c>
      <c r="M116" s="36" t="s">
        <v>81</v>
      </c>
      <c r="N116" s="36"/>
      <c r="O116" s="35">
        <v>30</v>
      </c>
      <c r="P116" s="7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22"/>
      <c r="R116" s="722"/>
      <c r="S116" s="722"/>
      <c r="T116" s="723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232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235</v>
      </c>
      <c r="B117" s="60" t="s">
        <v>236</v>
      </c>
      <c r="C117" s="34">
        <v>4301020393</v>
      </c>
      <c r="D117" s="720">
        <v>4680115882775</v>
      </c>
      <c r="E117" s="720"/>
      <c r="F117" s="59">
        <v>0.3</v>
      </c>
      <c r="G117" s="35">
        <v>8</v>
      </c>
      <c r="H117" s="59">
        <v>2.4</v>
      </c>
      <c r="I117" s="59">
        <v>2.5</v>
      </c>
      <c r="J117" s="35">
        <v>234</v>
      </c>
      <c r="K117" s="35" t="s">
        <v>82</v>
      </c>
      <c r="L117" s="35" t="s">
        <v>46</v>
      </c>
      <c r="M117" s="36" t="s">
        <v>126</v>
      </c>
      <c r="N117" s="36"/>
      <c r="O117" s="35">
        <v>55</v>
      </c>
      <c r="P117" s="7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2"/>
      <c r="R117" s="722"/>
      <c r="S117" s="722"/>
      <c r="T117" s="723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IFERROR(IF(Y117=0,"",ROUNDUP(Y117/H117,0)*0.00502),"")</f>
        <v/>
      </c>
      <c r="AA117" s="65" t="s">
        <v>46</v>
      </c>
      <c r="AB117" s="66" t="s">
        <v>46</v>
      </c>
      <c r="AC117" s="191" t="s">
        <v>229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237</v>
      </c>
      <c r="B118" s="60" t="s">
        <v>238</v>
      </c>
      <c r="C118" s="34">
        <v>4301020392</v>
      </c>
      <c r="D118" s="720">
        <v>4680115880658</v>
      </c>
      <c r="E118" s="720"/>
      <c r="F118" s="59">
        <v>0.4</v>
      </c>
      <c r="G118" s="35">
        <v>6</v>
      </c>
      <c r="H118" s="59">
        <v>2.4</v>
      </c>
      <c r="I118" s="59">
        <v>2.58</v>
      </c>
      <c r="J118" s="35">
        <v>182</v>
      </c>
      <c r="K118" s="35" t="s">
        <v>91</v>
      </c>
      <c r="L118" s="35" t="s">
        <v>46</v>
      </c>
      <c r="M118" s="36" t="s">
        <v>126</v>
      </c>
      <c r="N118" s="36"/>
      <c r="O118" s="35">
        <v>55</v>
      </c>
      <c r="P118" s="7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2"/>
      <c r="R118" s="722"/>
      <c r="S118" s="722"/>
      <c r="T118" s="723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46</v>
      </c>
      <c r="AB118" s="66" t="s">
        <v>46</v>
      </c>
      <c r="AC118" s="193" t="s">
        <v>229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idden="1" x14ac:dyDescent="0.2">
      <c r="A119" s="728"/>
      <c r="B119" s="728"/>
      <c r="C119" s="728"/>
      <c r="D119" s="728"/>
      <c r="E119" s="728"/>
      <c r="F119" s="728"/>
      <c r="G119" s="728"/>
      <c r="H119" s="728"/>
      <c r="I119" s="728"/>
      <c r="J119" s="728"/>
      <c r="K119" s="728"/>
      <c r="L119" s="728"/>
      <c r="M119" s="728"/>
      <c r="N119" s="728"/>
      <c r="O119" s="729"/>
      <c r="P119" s="725" t="s">
        <v>40</v>
      </c>
      <c r="Q119" s="726"/>
      <c r="R119" s="726"/>
      <c r="S119" s="726"/>
      <c r="T119" s="726"/>
      <c r="U119" s="726"/>
      <c r="V119" s="727"/>
      <c r="W119" s="40" t="s">
        <v>39</v>
      </c>
      <c r="X119" s="41">
        <f>IFERROR(X114/H114,"0")+IFERROR(X115/H115,"0")+IFERROR(X116/H116,"0")+IFERROR(X117/H117,"0")+IFERROR(X118/H118,"0")</f>
        <v>0</v>
      </c>
      <c r="Y119" s="41">
        <f>IFERROR(Y114/H114,"0")+IFERROR(Y115/H115,"0")+IFERROR(Y116/H116,"0")+IFERROR(Y117/H117,"0")+IFERROR(Y118/H118,"0")</f>
        <v>0</v>
      </c>
      <c r="Z119" s="41">
        <f>IFERROR(IF(Z114="",0,Z114),"0")+IFERROR(IF(Z115="",0,Z115),"0")+IFERROR(IF(Z116="",0,Z116),"0")+IFERROR(IF(Z117="",0,Z117),"0")+IFERROR(IF(Z118="",0,Z118),"0")</f>
        <v>0</v>
      </c>
      <c r="AA119" s="64"/>
      <c r="AB119" s="64"/>
      <c r="AC119" s="64"/>
    </row>
    <row r="120" spans="1:68" hidden="1" x14ac:dyDescent="0.2">
      <c r="A120" s="728"/>
      <c r="B120" s="728"/>
      <c r="C120" s="728"/>
      <c r="D120" s="728"/>
      <c r="E120" s="728"/>
      <c r="F120" s="728"/>
      <c r="G120" s="728"/>
      <c r="H120" s="728"/>
      <c r="I120" s="728"/>
      <c r="J120" s="728"/>
      <c r="K120" s="728"/>
      <c r="L120" s="728"/>
      <c r="M120" s="728"/>
      <c r="N120" s="728"/>
      <c r="O120" s="729"/>
      <c r="P120" s="725" t="s">
        <v>40</v>
      </c>
      <c r="Q120" s="726"/>
      <c r="R120" s="726"/>
      <c r="S120" s="726"/>
      <c r="T120" s="726"/>
      <c r="U120" s="726"/>
      <c r="V120" s="727"/>
      <c r="W120" s="40" t="s">
        <v>0</v>
      </c>
      <c r="X120" s="41">
        <f>IFERROR(SUM(X114:X118),"0")</f>
        <v>0</v>
      </c>
      <c r="Y120" s="41">
        <f>IFERROR(SUM(Y114:Y118),"0")</f>
        <v>0</v>
      </c>
      <c r="Z120" s="40"/>
      <c r="AA120" s="64"/>
      <c r="AB120" s="64"/>
      <c r="AC120" s="64"/>
    </row>
    <row r="121" spans="1:68" ht="14.25" hidden="1" customHeight="1" x14ac:dyDescent="0.25">
      <c r="A121" s="719" t="s">
        <v>86</v>
      </c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19"/>
      <c r="P121" s="719"/>
      <c r="Q121" s="719"/>
      <c r="R121" s="719"/>
      <c r="S121" s="719"/>
      <c r="T121" s="719"/>
      <c r="U121" s="719"/>
      <c r="V121" s="719"/>
      <c r="W121" s="719"/>
      <c r="X121" s="719"/>
      <c r="Y121" s="719"/>
      <c r="Z121" s="719"/>
      <c r="AA121" s="63"/>
      <c r="AB121" s="63"/>
      <c r="AC121" s="63"/>
    </row>
    <row r="122" spans="1:68" ht="27" hidden="1" customHeight="1" x14ac:dyDescent="0.25">
      <c r="A122" s="60" t="s">
        <v>239</v>
      </c>
      <c r="B122" s="60" t="s">
        <v>240</v>
      </c>
      <c r="C122" s="34">
        <v>4301051724</v>
      </c>
      <c r="D122" s="720">
        <v>4607091385168</v>
      </c>
      <c r="E122" s="720"/>
      <c r="F122" s="59">
        <v>1.35</v>
      </c>
      <c r="G122" s="35">
        <v>6</v>
      </c>
      <c r="H122" s="59">
        <v>8.1</v>
      </c>
      <c r="I122" s="59">
        <v>8.5879999999999992</v>
      </c>
      <c r="J122" s="35">
        <v>64</v>
      </c>
      <c r="K122" s="35" t="s">
        <v>127</v>
      </c>
      <c r="L122" s="35" t="s">
        <v>46</v>
      </c>
      <c r="M122" s="36" t="s">
        <v>97</v>
      </c>
      <c r="N122" s="36"/>
      <c r="O122" s="35">
        <v>45</v>
      </c>
      <c r="P12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722"/>
      <c r="R122" s="722"/>
      <c r="S122" s="722"/>
      <c r="T122" s="723"/>
      <c r="U122" s="37" t="s">
        <v>46</v>
      </c>
      <c r="V122" s="37" t="s">
        <v>46</v>
      </c>
      <c r="W122" s="38" t="s">
        <v>0</v>
      </c>
      <c r="X122" s="56">
        <v>0</v>
      </c>
      <c r="Y122" s="53">
        <f t="shared" ref="Y122:Y128" si="15">IFERROR(IF(X122="",0,CEILING((X122/$H122),1)*$H122),"")</f>
        <v>0</v>
      </c>
      <c r="Z122" s="39" t="str">
        <f>IFERROR(IF(Y122=0,"",ROUNDUP(Y122/H122,0)*0.01898),"")</f>
        <v/>
      </c>
      <c r="AA122" s="65" t="s">
        <v>46</v>
      </c>
      <c r="AB122" s="66" t="s">
        <v>46</v>
      </c>
      <c r="AC122" s="195" t="s">
        <v>241</v>
      </c>
      <c r="AG122" s="75"/>
      <c r="AJ122" s="79" t="s">
        <v>46</v>
      </c>
      <c r="AK122" s="79">
        <v>0</v>
      </c>
      <c r="BB122" s="196" t="s">
        <v>67</v>
      </c>
      <c r="BM122" s="75">
        <f t="shared" ref="BM122:BM128" si="16">IFERROR(X122*I122/H122,"0")</f>
        <v>0</v>
      </c>
      <c r="BN122" s="75">
        <f t="shared" ref="BN122:BN128" si="17">IFERROR(Y122*I122/H122,"0")</f>
        <v>0</v>
      </c>
      <c r="BO122" s="75">
        <f t="shared" ref="BO122:BO128" si="18">IFERROR(1/J122*(X122/H122),"0")</f>
        <v>0</v>
      </c>
      <c r="BP122" s="75">
        <f t="shared" ref="BP122:BP128" si="19">IFERROR(1/J122*(Y122/H122),"0")</f>
        <v>0</v>
      </c>
    </row>
    <row r="123" spans="1:68" ht="27" hidden="1" customHeight="1" x14ac:dyDescent="0.25">
      <c r="A123" s="60" t="s">
        <v>239</v>
      </c>
      <c r="B123" s="60" t="s">
        <v>242</v>
      </c>
      <c r="C123" s="34">
        <v>4301052088</v>
      </c>
      <c r="D123" s="720">
        <v>4607091385168</v>
      </c>
      <c r="E123" s="720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90</v>
      </c>
      <c r="N123" s="36"/>
      <c r="O123" s="35">
        <v>45</v>
      </c>
      <c r="P123" s="786" t="s">
        <v>243</v>
      </c>
      <c r="Q123" s="722"/>
      <c r="R123" s="722"/>
      <c r="S123" s="722"/>
      <c r="T123" s="723"/>
      <c r="U123" s="37" t="s">
        <v>46</v>
      </c>
      <c r="V123" s="37" t="s">
        <v>46</v>
      </c>
      <c r="W123" s="38" t="s">
        <v>0</v>
      </c>
      <c r="X123" s="56">
        <v>0</v>
      </c>
      <c r="Y123" s="53">
        <f t="shared" si="15"/>
        <v>0</v>
      </c>
      <c r="Z123" s="39" t="str">
        <f>IFERROR(IF(Y123=0,"",ROUNDUP(Y123/H123,0)*0.01898),"")</f>
        <v/>
      </c>
      <c r="AA123" s="65" t="s">
        <v>46</v>
      </c>
      <c r="AB123" s="66" t="s">
        <v>46</v>
      </c>
      <c r="AC123" s="197" t="s">
        <v>241</v>
      </c>
      <c r="AG123" s="75"/>
      <c r="AJ123" s="79" t="s">
        <v>46</v>
      </c>
      <c r="AK123" s="79">
        <v>0</v>
      </c>
      <c r="BB123" s="198" t="s">
        <v>67</v>
      </c>
      <c r="BM123" s="75">
        <f t="shared" si="16"/>
        <v>0</v>
      </c>
      <c r="BN123" s="75">
        <f t="shared" si="17"/>
        <v>0</v>
      </c>
      <c r="BO123" s="75">
        <f t="shared" si="18"/>
        <v>0</v>
      </c>
      <c r="BP123" s="75">
        <f t="shared" si="19"/>
        <v>0</v>
      </c>
    </row>
    <row r="124" spans="1:68" ht="27" hidden="1" customHeight="1" x14ac:dyDescent="0.25">
      <c r="A124" s="60" t="s">
        <v>244</v>
      </c>
      <c r="B124" s="60" t="s">
        <v>245</v>
      </c>
      <c r="C124" s="34">
        <v>4301051730</v>
      </c>
      <c r="D124" s="720">
        <v>4607091383256</v>
      </c>
      <c r="E124" s="720"/>
      <c r="F124" s="59">
        <v>0.33</v>
      </c>
      <c r="G124" s="35">
        <v>6</v>
      </c>
      <c r="H124" s="59">
        <v>1.98</v>
      </c>
      <c r="I124" s="59">
        <v>2.226</v>
      </c>
      <c r="J124" s="35">
        <v>182</v>
      </c>
      <c r="K124" s="35" t="s">
        <v>91</v>
      </c>
      <c r="L124" s="35" t="s">
        <v>46</v>
      </c>
      <c r="M124" s="36" t="s">
        <v>97</v>
      </c>
      <c r="N124" s="36"/>
      <c r="O124" s="35">
        <v>45</v>
      </c>
      <c r="P124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722"/>
      <c r="R124" s="722"/>
      <c r="S124" s="722"/>
      <c r="T124" s="723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IFERROR(IF(Y124=0,"",ROUNDUP(Y124/H124,0)*0.00651),"")</f>
        <v/>
      </c>
      <c r="AA124" s="65" t="s">
        <v>46</v>
      </c>
      <c r="AB124" s="66" t="s">
        <v>46</v>
      </c>
      <c r="AC124" s="199" t="s">
        <v>241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customHeight="1" x14ac:dyDescent="0.25">
      <c r="A125" s="60" t="s">
        <v>246</v>
      </c>
      <c r="B125" s="60" t="s">
        <v>247</v>
      </c>
      <c r="C125" s="34">
        <v>4301051721</v>
      </c>
      <c r="D125" s="720">
        <v>4607091385748</v>
      </c>
      <c r="E125" s="720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8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722"/>
      <c r="R125" s="722"/>
      <c r="S125" s="722"/>
      <c r="T125" s="723"/>
      <c r="U125" s="37" t="s">
        <v>46</v>
      </c>
      <c r="V125" s="37" t="s">
        <v>46</v>
      </c>
      <c r="W125" s="38" t="s">
        <v>0</v>
      </c>
      <c r="X125" s="56">
        <v>675</v>
      </c>
      <c r="Y125" s="53">
        <f t="shared" si="15"/>
        <v>675</v>
      </c>
      <c r="Z125" s="39">
        <f>IFERROR(IF(Y125=0,"",ROUNDUP(Y125/H125,0)*0.00651),"")</f>
        <v>1.6274999999999999</v>
      </c>
      <c r="AA125" s="65" t="s">
        <v>46</v>
      </c>
      <c r="AB125" s="66" t="s">
        <v>46</v>
      </c>
      <c r="AC125" s="201" t="s">
        <v>241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737.99999999999989</v>
      </c>
      <c r="BN125" s="75">
        <f t="shared" si="17"/>
        <v>737.99999999999989</v>
      </c>
      <c r="BO125" s="75">
        <f t="shared" si="18"/>
        <v>1.3736263736263736</v>
      </c>
      <c r="BP125" s="75">
        <f t="shared" si="19"/>
        <v>1.3736263736263736</v>
      </c>
    </row>
    <row r="126" spans="1:68" ht="27" hidden="1" customHeight="1" x14ac:dyDescent="0.25">
      <c r="A126" s="60" t="s">
        <v>246</v>
      </c>
      <c r="B126" s="60" t="s">
        <v>248</v>
      </c>
      <c r="C126" s="34">
        <v>4301052086</v>
      </c>
      <c r="D126" s="720">
        <v>4607091385748</v>
      </c>
      <c r="E126" s="720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89" t="s">
        <v>249</v>
      </c>
      <c r="Q126" s="722"/>
      <c r="R126" s="722"/>
      <c r="S126" s="722"/>
      <c r="T126" s="723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203" t="s">
        <v>241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16.5" hidden="1" customHeight="1" x14ac:dyDescent="0.25">
      <c r="A127" s="60" t="s">
        <v>250</v>
      </c>
      <c r="B127" s="60" t="s">
        <v>251</v>
      </c>
      <c r="C127" s="34">
        <v>4301051740</v>
      </c>
      <c r="D127" s="720">
        <v>4680115884533</v>
      </c>
      <c r="E127" s="720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45</v>
      </c>
      <c r="P127" s="7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722"/>
      <c r="R127" s="722"/>
      <c r="S127" s="722"/>
      <c r="T127" s="723"/>
      <c r="U127" s="37" t="s">
        <v>46</v>
      </c>
      <c r="V127" s="37" t="s">
        <v>46</v>
      </c>
      <c r="W127" s="38" t="s">
        <v>0</v>
      </c>
      <c r="X127" s="56">
        <v>0</v>
      </c>
      <c r="Y127" s="53">
        <f t="shared" si="15"/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205" t="s">
        <v>252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0</v>
      </c>
      <c r="BN127" s="75">
        <f t="shared" si="17"/>
        <v>0</v>
      </c>
      <c r="BO127" s="75">
        <f t="shared" si="18"/>
        <v>0</v>
      </c>
      <c r="BP127" s="75">
        <f t="shared" si="19"/>
        <v>0</v>
      </c>
    </row>
    <row r="128" spans="1:68" ht="16.5" hidden="1" customHeight="1" x14ac:dyDescent="0.25">
      <c r="A128" s="60" t="s">
        <v>250</v>
      </c>
      <c r="B128" s="60" t="s">
        <v>253</v>
      </c>
      <c r="C128" s="34">
        <v>4301052085</v>
      </c>
      <c r="D128" s="720">
        <v>4680115884533</v>
      </c>
      <c r="E128" s="720"/>
      <c r="F128" s="59">
        <v>0.3</v>
      </c>
      <c r="G128" s="35">
        <v>6</v>
      </c>
      <c r="H128" s="59">
        <v>1.8</v>
      </c>
      <c r="I128" s="59">
        <v>1.98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91" t="s">
        <v>254</v>
      </c>
      <c r="Q128" s="722"/>
      <c r="R128" s="722"/>
      <c r="S128" s="722"/>
      <c r="T128" s="723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>IFERROR(IF(Y128=0,"",ROUNDUP(Y128/H128,0)*0.00651),"")</f>
        <v/>
      </c>
      <c r="AA128" s="65" t="s">
        <v>46</v>
      </c>
      <c r="AB128" s="66" t="s">
        <v>46</v>
      </c>
      <c r="AC128" s="207" t="s">
        <v>252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x14ac:dyDescent="0.2">
      <c r="A129" s="728"/>
      <c r="B129" s="728"/>
      <c r="C129" s="728"/>
      <c r="D129" s="728"/>
      <c r="E129" s="728"/>
      <c r="F129" s="728"/>
      <c r="G129" s="728"/>
      <c r="H129" s="728"/>
      <c r="I129" s="728"/>
      <c r="J129" s="728"/>
      <c r="K129" s="728"/>
      <c r="L129" s="728"/>
      <c r="M129" s="728"/>
      <c r="N129" s="728"/>
      <c r="O129" s="729"/>
      <c r="P129" s="725" t="s">
        <v>40</v>
      </c>
      <c r="Q129" s="726"/>
      <c r="R129" s="726"/>
      <c r="S129" s="726"/>
      <c r="T129" s="726"/>
      <c r="U129" s="726"/>
      <c r="V129" s="727"/>
      <c r="W129" s="40" t="s">
        <v>39</v>
      </c>
      <c r="X129" s="41">
        <f>IFERROR(X122/H122,"0")+IFERROR(X123/H123,"0")+IFERROR(X124/H124,"0")+IFERROR(X125/H125,"0")+IFERROR(X126/H126,"0")+IFERROR(X127/H127,"0")+IFERROR(X128/H128,"0")</f>
        <v>249.99999999999997</v>
      </c>
      <c r="Y129" s="41">
        <f>IFERROR(Y122/H122,"0")+IFERROR(Y123/H123,"0")+IFERROR(Y124/H124,"0")+IFERROR(Y125/H125,"0")+IFERROR(Y126/H126,"0")+IFERROR(Y127/H127,"0")+IFERROR(Y128/H128,"0")</f>
        <v>249.99999999999997</v>
      </c>
      <c r="Z129" s="41">
        <f>IFERROR(IF(Z122="",0,Z122),"0")+IFERROR(IF(Z123="",0,Z123),"0")+IFERROR(IF(Z124="",0,Z124),"0")+IFERROR(IF(Z125="",0,Z125),"0")+IFERROR(IF(Z126="",0,Z126),"0")+IFERROR(IF(Z127="",0,Z127),"0")+IFERROR(IF(Z128="",0,Z128),"0")</f>
        <v>1.6274999999999999</v>
      </c>
      <c r="AA129" s="64"/>
      <c r="AB129" s="64"/>
      <c r="AC129" s="64"/>
    </row>
    <row r="130" spans="1:68" x14ac:dyDescent="0.2">
      <c r="A130" s="728"/>
      <c r="B130" s="728"/>
      <c r="C130" s="728"/>
      <c r="D130" s="728"/>
      <c r="E130" s="728"/>
      <c r="F130" s="728"/>
      <c r="G130" s="728"/>
      <c r="H130" s="728"/>
      <c r="I130" s="728"/>
      <c r="J130" s="728"/>
      <c r="K130" s="728"/>
      <c r="L130" s="728"/>
      <c r="M130" s="728"/>
      <c r="N130" s="728"/>
      <c r="O130" s="729"/>
      <c r="P130" s="725" t="s">
        <v>40</v>
      </c>
      <c r="Q130" s="726"/>
      <c r="R130" s="726"/>
      <c r="S130" s="726"/>
      <c r="T130" s="726"/>
      <c r="U130" s="726"/>
      <c r="V130" s="727"/>
      <c r="W130" s="40" t="s">
        <v>0</v>
      </c>
      <c r="X130" s="41">
        <f>IFERROR(SUM(X122:X128),"0")</f>
        <v>675</v>
      </c>
      <c r="Y130" s="41">
        <f>IFERROR(SUM(Y122:Y128),"0")</f>
        <v>675</v>
      </c>
      <c r="Z130" s="40"/>
      <c r="AA130" s="64"/>
      <c r="AB130" s="64"/>
      <c r="AC130" s="64"/>
    </row>
    <row r="131" spans="1:68" ht="14.25" hidden="1" customHeight="1" x14ac:dyDescent="0.25">
      <c r="A131" s="719" t="s">
        <v>173</v>
      </c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19"/>
      <c r="P131" s="719"/>
      <c r="Q131" s="719"/>
      <c r="R131" s="719"/>
      <c r="S131" s="719"/>
      <c r="T131" s="719"/>
      <c r="U131" s="719"/>
      <c r="V131" s="719"/>
      <c r="W131" s="719"/>
      <c r="X131" s="719"/>
      <c r="Y131" s="719"/>
      <c r="Z131" s="719"/>
      <c r="AA131" s="63"/>
      <c r="AB131" s="63"/>
      <c r="AC131" s="63"/>
    </row>
    <row r="132" spans="1:68" ht="16.5" hidden="1" customHeight="1" x14ac:dyDescent="0.25">
      <c r="A132" s="60" t="s">
        <v>255</v>
      </c>
      <c r="B132" s="60" t="s">
        <v>256</v>
      </c>
      <c r="C132" s="34">
        <v>4301060317</v>
      </c>
      <c r="D132" s="720">
        <v>4680115880238</v>
      </c>
      <c r="E132" s="720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91</v>
      </c>
      <c r="L132" s="35" t="s">
        <v>46</v>
      </c>
      <c r="M132" s="36" t="s">
        <v>90</v>
      </c>
      <c r="N132" s="36"/>
      <c r="O132" s="35">
        <v>40</v>
      </c>
      <c r="P132" s="79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722"/>
      <c r="R132" s="722"/>
      <c r="S132" s="722"/>
      <c r="T132" s="723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9" t="s">
        <v>257</v>
      </c>
      <c r="AG132" s="75"/>
      <c r="AJ132" s="79" t="s">
        <v>46</v>
      </c>
      <c r="AK132" s="79">
        <v>0</v>
      </c>
      <c r="BB132" s="210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16.5" hidden="1" customHeight="1" x14ac:dyDescent="0.25">
      <c r="A133" s="60" t="s">
        <v>255</v>
      </c>
      <c r="B133" s="60" t="s">
        <v>258</v>
      </c>
      <c r="C133" s="34">
        <v>4301060525</v>
      </c>
      <c r="D133" s="720">
        <v>4680115880238</v>
      </c>
      <c r="E133" s="720"/>
      <c r="F133" s="59">
        <v>0.33</v>
      </c>
      <c r="G133" s="35">
        <v>6</v>
      </c>
      <c r="H133" s="59">
        <v>1.98</v>
      </c>
      <c r="I133" s="59">
        <v>2.238</v>
      </c>
      <c r="J133" s="35">
        <v>182</v>
      </c>
      <c r="K133" s="35" t="s">
        <v>91</v>
      </c>
      <c r="L133" s="35" t="s">
        <v>46</v>
      </c>
      <c r="M133" s="36" t="s">
        <v>90</v>
      </c>
      <c r="N133" s="36"/>
      <c r="O133" s="35">
        <v>40</v>
      </c>
      <c r="P133" s="793" t="s">
        <v>259</v>
      </c>
      <c r="Q133" s="722"/>
      <c r="R133" s="722"/>
      <c r="S133" s="722"/>
      <c r="T133" s="723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11" t="s">
        <v>257</v>
      </c>
      <c r="AG133" s="75"/>
      <c r="AJ133" s="79" t="s">
        <v>46</v>
      </c>
      <c r="AK133" s="79">
        <v>0</v>
      </c>
      <c r="BB133" s="212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28"/>
      <c r="B134" s="728"/>
      <c r="C134" s="728"/>
      <c r="D134" s="728"/>
      <c r="E134" s="728"/>
      <c r="F134" s="728"/>
      <c r="G134" s="728"/>
      <c r="H134" s="728"/>
      <c r="I134" s="728"/>
      <c r="J134" s="728"/>
      <c r="K134" s="728"/>
      <c r="L134" s="728"/>
      <c r="M134" s="728"/>
      <c r="N134" s="728"/>
      <c r="O134" s="729"/>
      <c r="P134" s="725" t="s">
        <v>40</v>
      </c>
      <c r="Q134" s="726"/>
      <c r="R134" s="726"/>
      <c r="S134" s="726"/>
      <c r="T134" s="726"/>
      <c r="U134" s="726"/>
      <c r="V134" s="727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28"/>
      <c r="B135" s="728"/>
      <c r="C135" s="728"/>
      <c r="D135" s="728"/>
      <c r="E135" s="728"/>
      <c r="F135" s="728"/>
      <c r="G135" s="728"/>
      <c r="H135" s="728"/>
      <c r="I135" s="728"/>
      <c r="J135" s="728"/>
      <c r="K135" s="728"/>
      <c r="L135" s="728"/>
      <c r="M135" s="728"/>
      <c r="N135" s="728"/>
      <c r="O135" s="729"/>
      <c r="P135" s="725" t="s">
        <v>40</v>
      </c>
      <c r="Q135" s="726"/>
      <c r="R135" s="726"/>
      <c r="S135" s="726"/>
      <c r="T135" s="726"/>
      <c r="U135" s="726"/>
      <c r="V135" s="727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6.5" hidden="1" customHeight="1" x14ac:dyDescent="0.25">
      <c r="A136" s="718" t="s">
        <v>260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2"/>
      <c r="AB136" s="62"/>
      <c r="AC136" s="62"/>
    </row>
    <row r="137" spans="1:68" ht="14.25" hidden="1" customHeight="1" x14ac:dyDescent="0.25">
      <c r="A137" s="719" t="s">
        <v>122</v>
      </c>
      <c r="B137" s="719"/>
      <c r="C137" s="719"/>
      <c r="D137" s="719"/>
      <c r="E137" s="719"/>
      <c r="F137" s="719"/>
      <c r="G137" s="719"/>
      <c r="H137" s="719"/>
      <c r="I137" s="719"/>
      <c r="J137" s="719"/>
      <c r="K137" s="719"/>
      <c r="L137" s="719"/>
      <c r="M137" s="719"/>
      <c r="N137" s="719"/>
      <c r="O137" s="719"/>
      <c r="P137" s="719"/>
      <c r="Q137" s="719"/>
      <c r="R137" s="719"/>
      <c r="S137" s="719"/>
      <c r="T137" s="719"/>
      <c r="U137" s="719"/>
      <c r="V137" s="719"/>
      <c r="W137" s="719"/>
      <c r="X137" s="719"/>
      <c r="Y137" s="719"/>
      <c r="Z137" s="719"/>
      <c r="AA137" s="63"/>
      <c r="AB137" s="63"/>
      <c r="AC137" s="63"/>
    </row>
    <row r="138" spans="1:68" ht="27" hidden="1" customHeight="1" x14ac:dyDescent="0.25">
      <c r="A138" s="60" t="s">
        <v>261</v>
      </c>
      <c r="B138" s="60" t="s">
        <v>262</v>
      </c>
      <c r="C138" s="34">
        <v>4301011562</v>
      </c>
      <c r="D138" s="720">
        <v>4680115882577</v>
      </c>
      <c r="E138" s="720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91</v>
      </c>
      <c r="L138" s="35" t="s">
        <v>46</v>
      </c>
      <c r="M138" s="36" t="s">
        <v>264</v>
      </c>
      <c r="N138" s="36"/>
      <c r="O138" s="35">
        <v>90</v>
      </c>
      <c r="P138" s="79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722"/>
      <c r="R138" s="722"/>
      <c r="S138" s="722"/>
      <c r="T138" s="723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13" t="s">
        <v>263</v>
      </c>
      <c r="AG138" s="75"/>
      <c r="AJ138" s="79" t="s">
        <v>46</v>
      </c>
      <c r="AK138" s="79">
        <v>0</v>
      </c>
      <c r="BB138" s="214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261</v>
      </c>
      <c r="B139" s="60" t="s">
        <v>265</v>
      </c>
      <c r="C139" s="34">
        <v>4301011564</v>
      </c>
      <c r="D139" s="720">
        <v>4680115882577</v>
      </c>
      <c r="E139" s="720"/>
      <c r="F139" s="59">
        <v>0.4</v>
      </c>
      <c r="G139" s="35">
        <v>8</v>
      </c>
      <c r="H139" s="59">
        <v>3.2</v>
      </c>
      <c r="I139" s="59">
        <v>3.38</v>
      </c>
      <c r="J139" s="35">
        <v>182</v>
      </c>
      <c r="K139" s="35" t="s">
        <v>91</v>
      </c>
      <c r="L139" s="35" t="s">
        <v>46</v>
      </c>
      <c r="M139" s="36" t="s">
        <v>264</v>
      </c>
      <c r="N139" s="36"/>
      <c r="O139" s="35">
        <v>90</v>
      </c>
      <c r="P139" s="7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722"/>
      <c r="R139" s="722"/>
      <c r="S139" s="722"/>
      <c r="T139" s="723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15" t="s">
        <v>263</v>
      </c>
      <c r="AG139" s="75"/>
      <c r="AJ139" s="79" t="s">
        <v>46</v>
      </c>
      <c r="AK139" s="79">
        <v>0</v>
      </c>
      <c r="BB139" s="216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8"/>
      <c r="B140" s="728"/>
      <c r="C140" s="728"/>
      <c r="D140" s="728"/>
      <c r="E140" s="728"/>
      <c r="F140" s="728"/>
      <c r="G140" s="728"/>
      <c r="H140" s="728"/>
      <c r="I140" s="728"/>
      <c r="J140" s="728"/>
      <c r="K140" s="728"/>
      <c r="L140" s="728"/>
      <c r="M140" s="728"/>
      <c r="N140" s="728"/>
      <c r="O140" s="729"/>
      <c r="P140" s="725" t="s">
        <v>40</v>
      </c>
      <c r="Q140" s="726"/>
      <c r="R140" s="726"/>
      <c r="S140" s="726"/>
      <c r="T140" s="726"/>
      <c r="U140" s="726"/>
      <c r="V140" s="7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8"/>
      <c r="B141" s="728"/>
      <c r="C141" s="728"/>
      <c r="D141" s="728"/>
      <c r="E141" s="728"/>
      <c r="F141" s="728"/>
      <c r="G141" s="728"/>
      <c r="H141" s="728"/>
      <c r="I141" s="728"/>
      <c r="J141" s="728"/>
      <c r="K141" s="728"/>
      <c r="L141" s="728"/>
      <c r="M141" s="728"/>
      <c r="N141" s="728"/>
      <c r="O141" s="729"/>
      <c r="P141" s="725" t="s">
        <v>40</v>
      </c>
      <c r="Q141" s="726"/>
      <c r="R141" s="726"/>
      <c r="S141" s="726"/>
      <c r="T141" s="726"/>
      <c r="U141" s="726"/>
      <c r="V141" s="7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9" t="s">
        <v>77</v>
      </c>
      <c r="B142" s="719"/>
      <c r="C142" s="719"/>
      <c r="D142" s="719"/>
      <c r="E142" s="719"/>
      <c r="F142" s="719"/>
      <c r="G142" s="719"/>
      <c r="H142" s="719"/>
      <c r="I142" s="719"/>
      <c r="J142" s="719"/>
      <c r="K142" s="719"/>
      <c r="L142" s="719"/>
      <c r="M142" s="719"/>
      <c r="N142" s="719"/>
      <c r="O142" s="719"/>
      <c r="P142" s="719"/>
      <c r="Q142" s="719"/>
      <c r="R142" s="719"/>
      <c r="S142" s="719"/>
      <c r="T142" s="719"/>
      <c r="U142" s="719"/>
      <c r="V142" s="719"/>
      <c r="W142" s="719"/>
      <c r="X142" s="719"/>
      <c r="Y142" s="719"/>
      <c r="Z142" s="719"/>
      <c r="AA142" s="63"/>
      <c r="AB142" s="63"/>
      <c r="AC142" s="63"/>
    </row>
    <row r="143" spans="1:68" ht="27" hidden="1" customHeight="1" x14ac:dyDescent="0.25">
      <c r="A143" s="60" t="s">
        <v>266</v>
      </c>
      <c r="B143" s="60" t="s">
        <v>267</v>
      </c>
      <c r="C143" s="34">
        <v>4301031234</v>
      </c>
      <c r="D143" s="720">
        <v>4680115883444</v>
      </c>
      <c r="E143" s="720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91</v>
      </c>
      <c r="L143" s="35" t="s">
        <v>46</v>
      </c>
      <c r="M143" s="36" t="s">
        <v>264</v>
      </c>
      <c r="N143" s="36"/>
      <c r="O143" s="35">
        <v>90</v>
      </c>
      <c r="P143" s="79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722"/>
      <c r="R143" s="722"/>
      <c r="S143" s="722"/>
      <c r="T143" s="723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7" t="s">
        <v>268</v>
      </c>
      <c r="AG143" s="75"/>
      <c r="AJ143" s="79" t="s">
        <v>46</v>
      </c>
      <c r="AK143" s="79">
        <v>0</v>
      </c>
      <c r="BB143" s="218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27" hidden="1" customHeight="1" x14ac:dyDescent="0.25">
      <c r="A144" s="60" t="s">
        <v>266</v>
      </c>
      <c r="B144" s="60" t="s">
        <v>269</v>
      </c>
      <c r="C144" s="34">
        <v>4301031235</v>
      </c>
      <c r="D144" s="720">
        <v>4680115883444</v>
      </c>
      <c r="E144" s="720"/>
      <c r="F144" s="59">
        <v>0.35</v>
      </c>
      <c r="G144" s="35">
        <v>8</v>
      </c>
      <c r="H144" s="59">
        <v>2.8</v>
      </c>
      <c r="I144" s="59">
        <v>3.0680000000000001</v>
      </c>
      <c r="J144" s="35">
        <v>182</v>
      </c>
      <c r="K144" s="35" t="s">
        <v>91</v>
      </c>
      <c r="L144" s="35" t="s">
        <v>46</v>
      </c>
      <c r="M144" s="36" t="s">
        <v>264</v>
      </c>
      <c r="N144" s="36"/>
      <c r="O144" s="35">
        <v>90</v>
      </c>
      <c r="P144" s="7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722"/>
      <c r="R144" s="722"/>
      <c r="S144" s="722"/>
      <c r="T144" s="723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9" t="s">
        <v>268</v>
      </c>
      <c r="AG144" s="75"/>
      <c r="AJ144" s="79" t="s">
        <v>46</v>
      </c>
      <c r="AK144" s="79">
        <v>0</v>
      </c>
      <c r="BB144" s="220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8"/>
      <c r="B145" s="728"/>
      <c r="C145" s="728"/>
      <c r="D145" s="728"/>
      <c r="E145" s="728"/>
      <c r="F145" s="728"/>
      <c r="G145" s="728"/>
      <c r="H145" s="728"/>
      <c r="I145" s="728"/>
      <c r="J145" s="728"/>
      <c r="K145" s="728"/>
      <c r="L145" s="728"/>
      <c r="M145" s="728"/>
      <c r="N145" s="728"/>
      <c r="O145" s="729"/>
      <c r="P145" s="725" t="s">
        <v>40</v>
      </c>
      <c r="Q145" s="726"/>
      <c r="R145" s="726"/>
      <c r="S145" s="726"/>
      <c r="T145" s="726"/>
      <c r="U145" s="726"/>
      <c r="V145" s="727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8"/>
      <c r="B146" s="728"/>
      <c r="C146" s="728"/>
      <c r="D146" s="728"/>
      <c r="E146" s="728"/>
      <c r="F146" s="728"/>
      <c r="G146" s="728"/>
      <c r="H146" s="728"/>
      <c r="I146" s="728"/>
      <c r="J146" s="728"/>
      <c r="K146" s="728"/>
      <c r="L146" s="728"/>
      <c r="M146" s="728"/>
      <c r="N146" s="728"/>
      <c r="O146" s="729"/>
      <c r="P146" s="725" t="s">
        <v>40</v>
      </c>
      <c r="Q146" s="726"/>
      <c r="R146" s="726"/>
      <c r="S146" s="726"/>
      <c r="T146" s="726"/>
      <c r="U146" s="726"/>
      <c r="V146" s="727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4.25" hidden="1" customHeight="1" x14ac:dyDescent="0.25">
      <c r="A147" s="719" t="s">
        <v>86</v>
      </c>
      <c r="B147" s="719"/>
      <c r="C147" s="719"/>
      <c r="D147" s="719"/>
      <c r="E147" s="719"/>
      <c r="F147" s="719"/>
      <c r="G147" s="719"/>
      <c r="H147" s="719"/>
      <c r="I147" s="719"/>
      <c r="J147" s="719"/>
      <c r="K147" s="719"/>
      <c r="L147" s="719"/>
      <c r="M147" s="719"/>
      <c r="N147" s="719"/>
      <c r="O147" s="719"/>
      <c r="P147" s="719"/>
      <c r="Q147" s="719"/>
      <c r="R147" s="719"/>
      <c r="S147" s="719"/>
      <c r="T147" s="719"/>
      <c r="U147" s="719"/>
      <c r="V147" s="719"/>
      <c r="W147" s="719"/>
      <c r="X147" s="719"/>
      <c r="Y147" s="719"/>
      <c r="Z147" s="719"/>
      <c r="AA147" s="63"/>
      <c r="AB147" s="63"/>
      <c r="AC147" s="63"/>
    </row>
    <row r="148" spans="1:68" ht="16.5" hidden="1" customHeight="1" x14ac:dyDescent="0.25">
      <c r="A148" s="60" t="s">
        <v>270</v>
      </c>
      <c r="B148" s="60" t="s">
        <v>271</v>
      </c>
      <c r="C148" s="34">
        <v>4301051476</v>
      </c>
      <c r="D148" s="720">
        <v>4680115882584</v>
      </c>
      <c r="E148" s="720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91</v>
      </c>
      <c r="L148" s="35" t="s">
        <v>46</v>
      </c>
      <c r="M148" s="36" t="s">
        <v>264</v>
      </c>
      <c r="N148" s="36"/>
      <c r="O148" s="35">
        <v>60</v>
      </c>
      <c r="P148" s="79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22"/>
      <c r="R148" s="722"/>
      <c r="S148" s="722"/>
      <c r="T148" s="723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21" t="s">
        <v>263</v>
      </c>
      <c r="AG148" s="75"/>
      <c r="AJ148" s="79" t="s">
        <v>46</v>
      </c>
      <c r="AK148" s="79">
        <v>0</v>
      </c>
      <c r="BB148" s="222" t="s">
        <v>67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270</v>
      </c>
      <c r="B149" s="60" t="s">
        <v>272</v>
      </c>
      <c r="C149" s="34">
        <v>4301051477</v>
      </c>
      <c r="D149" s="720">
        <v>4680115882584</v>
      </c>
      <c r="E149" s="720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91</v>
      </c>
      <c r="L149" s="35" t="s">
        <v>46</v>
      </c>
      <c r="M149" s="36" t="s">
        <v>264</v>
      </c>
      <c r="N149" s="36"/>
      <c r="O149" s="35">
        <v>60</v>
      </c>
      <c r="P149" s="79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22"/>
      <c r="R149" s="722"/>
      <c r="S149" s="722"/>
      <c r="T149" s="723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23" t="s">
        <v>263</v>
      </c>
      <c r="AG149" s="75"/>
      <c r="AJ149" s="79" t="s">
        <v>46</v>
      </c>
      <c r="AK149" s="79">
        <v>0</v>
      </c>
      <c r="BB149" s="224" t="s">
        <v>67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728"/>
      <c r="B150" s="728"/>
      <c r="C150" s="728"/>
      <c r="D150" s="728"/>
      <c r="E150" s="728"/>
      <c r="F150" s="728"/>
      <c r="G150" s="728"/>
      <c r="H150" s="728"/>
      <c r="I150" s="728"/>
      <c r="J150" s="728"/>
      <c r="K150" s="728"/>
      <c r="L150" s="728"/>
      <c r="M150" s="728"/>
      <c r="N150" s="728"/>
      <c r="O150" s="729"/>
      <c r="P150" s="725" t="s">
        <v>40</v>
      </c>
      <c r="Q150" s="726"/>
      <c r="R150" s="726"/>
      <c r="S150" s="726"/>
      <c r="T150" s="726"/>
      <c r="U150" s="726"/>
      <c r="V150" s="727"/>
      <c r="W150" s="40" t="s">
        <v>39</v>
      </c>
      <c r="X150" s="41">
        <f>IFERROR(X148/H148,"0")+IFERROR(X149/H149,"0")</f>
        <v>0</v>
      </c>
      <c r="Y150" s="41">
        <f>IFERROR(Y148/H148,"0")+IFERROR(Y149/H149,"0")</f>
        <v>0</v>
      </c>
      <c r="Z150" s="41">
        <f>IFERROR(IF(Z148="",0,Z148),"0")+IFERROR(IF(Z149="",0,Z149),"0")</f>
        <v>0</v>
      </c>
      <c r="AA150" s="64"/>
      <c r="AB150" s="64"/>
      <c r="AC150" s="64"/>
    </row>
    <row r="151" spans="1:68" hidden="1" x14ac:dyDescent="0.2">
      <c r="A151" s="728"/>
      <c r="B151" s="728"/>
      <c r="C151" s="728"/>
      <c r="D151" s="728"/>
      <c r="E151" s="728"/>
      <c r="F151" s="728"/>
      <c r="G151" s="728"/>
      <c r="H151" s="728"/>
      <c r="I151" s="728"/>
      <c r="J151" s="728"/>
      <c r="K151" s="728"/>
      <c r="L151" s="728"/>
      <c r="M151" s="728"/>
      <c r="N151" s="728"/>
      <c r="O151" s="729"/>
      <c r="P151" s="725" t="s">
        <v>40</v>
      </c>
      <c r="Q151" s="726"/>
      <c r="R151" s="726"/>
      <c r="S151" s="726"/>
      <c r="T151" s="726"/>
      <c r="U151" s="726"/>
      <c r="V151" s="727"/>
      <c r="W151" s="40" t="s">
        <v>0</v>
      </c>
      <c r="X151" s="41">
        <f>IFERROR(SUM(X148:X149),"0")</f>
        <v>0</v>
      </c>
      <c r="Y151" s="41">
        <f>IFERROR(SUM(Y148:Y149),"0")</f>
        <v>0</v>
      </c>
      <c r="Z151" s="40"/>
      <c r="AA151" s="64"/>
      <c r="AB151" s="64"/>
      <c r="AC151" s="64"/>
    </row>
    <row r="152" spans="1:68" ht="16.5" hidden="1" customHeight="1" x14ac:dyDescent="0.25">
      <c r="A152" s="718" t="s">
        <v>273</v>
      </c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62"/>
      <c r="AB152" s="62"/>
      <c r="AC152" s="62"/>
    </row>
    <row r="153" spans="1:68" ht="14.25" hidden="1" customHeight="1" x14ac:dyDescent="0.25">
      <c r="A153" s="719" t="s">
        <v>86</v>
      </c>
      <c r="B153" s="719"/>
      <c r="C153" s="719"/>
      <c r="D153" s="719"/>
      <c r="E153" s="719"/>
      <c r="F153" s="719"/>
      <c r="G153" s="719"/>
      <c r="H153" s="719"/>
      <c r="I153" s="719"/>
      <c r="J153" s="719"/>
      <c r="K153" s="719"/>
      <c r="L153" s="719"/>
      <c r="M153" s="719"/>
      <c r="N153" s="719"/>
      <c r="O153" s="719"/>
      <c r="P153" s="719"/>
      <c r="Q153" s="719"/>
      <c r="R153" s="719"/>
      <c r="S153" s="719"/>
      <c r="T153" s="719"/>
      <c r="U153" s="719"/>
      <c r="V153" s="719"/>
      <c r="W153" s="719"/>
      <c r="X153" s="719"/>
      <c r="Y153" s="719"/>
      <c r="Z153" s="719"/>
      <c r="AA153" s="63"/>
      <c r="AB153" s="63"/>
      <c r="AC153" s="63"/>
    </row>
    <row r="154" spans="1:68" ht="27" hidden="1" customHeight="1" x14ac:dyDescent="0.25">
      <c r="A154" s="60" t="s">
        <v>274</v>
      </c>
      <c r="B154" s="60" t="s">
        <v>275</v>
      </c>
      <c r="C154" s="34">
        <v>4301052254</v>
      </c>
      <c r="D154" s="720">
        <v>4680115888203</v>
      </c>
      <c r="E154" s="720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80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22"/>
      <c r="R154" s="722"/>
      <c r="S154" s="722"/>
      <c r="T154" s="723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ref="Y154:Y160" si="20">IFERROR(IF(X154="",0,CEILING((X154/$H154),1)*$H154),"")</f>
        <v>0</v>
      </c>
      <c r="Z154" s="39" t="str">
        <f t="shared" ref="Z154:Z160" si="21">IFERROR(IF(Y154=0,"",ROUNDUP(Y154/H154,0)*0.00651),"")</f>
        <v/>
      </c>
      <c r="AA154" s="65" t="s">
        <v>46</v>
      </c>
      <c r="AB154" s="66" t="s">
        <v>46</v>
      </c>
      <c r="AC154" s="225" t="s">
        <v>276</v>
      </c>
      <c r="AG154" s="75"/>
      <c r="AJ154" s="79" t="s">
        <v>46</v>
      </c>
      <c r="AK154" s="79">
        <v>0</v>
      </c>
      <c r="BB154" s="226" t="s">
        <v>67</v>
      </c>
      <c r="BM154" s="75">
        <f t="shared" ref="BM154:BM160" si="22">IFERROR(X154*I154/H154,"0")</f>
        <v>0</v>
      </c>
      <c r="BN154" s="75">
        <f t="shared" ref="BN154:BN160" si="23">IFERROR(Y154*I154/H154,"0")</f>
        <v>0</v>
      </c>
      <c r="BO154" s="75">
        <f t="shared" ref="BO154:BO160" si="24">IFERROR(1/J154*(X154/H154),"0")</f>
        <v>0</v>
      </c>
      <c r="BP154" s="75">
        <f t="shared" ref="BP154:BP160" si="25">IFERROR(1/J154*(Y154/H154),"0")</f>
        <v>0</v>
      </c>
    </row>
    <row r="155" spans="1:68" ht="27" hidden="1" customHeight="1" x14ac:dyDescent="0.25">
      <c r="A155" s="60" t="s">
        <v>277</v>
      </c>
      <c r="B155" s="60" t="s">
        <v>278</v>
      </c>
      <c r="C155" s="34">
        <v>4301052172</v>
      </c>
      <c r="D155" s="720">
        <v>4680115888180</v>
      </c>
      <c r="E155" s="720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91</v>
      </c>
      <c r="L155" s="35" t="s">
        <v>46</v>
      </c>
      <c r="M155" s="36" t="s">
        <v>97</v>
      </c>
      <c r="N155" s="36"/>
      <c r="O155" s="35">
        <v>40</v>
      </c>
      <c r="P155" s="80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22"/>
      <c r="R155" s="722"/>
      <c r="S155" s="722"/>
      <c r="T155" s="723"/>
      <c r="U155" s="37" t="s">
        <v>46</v>
      </c>
      <c r="V155" s="37" t="s">
        <v>46</v>
      </c>
      <c r="W155" s="38" t="s">
        <v>0</v>
      </c>
      <c r="X155" s="56">
        <v>0</v>
      </c>
      <c r="Y155" s="53">
        <f t="shared" si="20"/>
        <v>0</v>
      </c>
      <c r="Z155" s="39" t="str">
        <f t="shared" si="21"/>
        <v/>
      </c>
      <c r="AA155" s="65" t="s">
        <v>46</v>
      </c>
      <c r="AB155" s="66" t="s">
        <v>46</v>
      </c>
      <c r="AC155" s="227" t="s">
        <v>279</v>
      </c>
      <c r="AG155" s="75"/>
      <c r="AJ155" s="79" t="s">
        <v>46</v>
      </c>
      <c r="AK155" s="79">
        <v>0</v>
      </c>
      <c r="BB155" s="228" t="s">
        <v>67</v>
      </c>
      <c r="BM155" s="75">
        <f t="shared" si="22"/>
        <v>0</v>
      </c>
      <c r="BN155" s="75">
        <f t="shared" si="23"/>
        <v>0</v>
      </c>
      <c r="BO155" s="75">
        <f t="shared" si="24"/>
        <v>0</v>
      </c>
      <c r="BP155" s="75">
        <f t="shared" si="25"/>
        <v>0</v>
      </c>
    </row>
    <row r="156" spans="1:68" ht="27" hidden="1" customHeight="1" x14ac:dyDescent="0.25">
      <c r="A156" s="60" t="s">
        <v>277</v>
      </c>
      <c r="B156" s="60" t="s">
        <v>280</v>
      </c>
      <c r="C156" s="34">
        <v>4301052252</v>
      </c>
      <c r="D156" s="720">
        <v>4680115888180</v>
      </c>
      <c r="E156" s="720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0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722"/>
      <c r="R156" s="722"/>
      <c r="S156" s="722"/>
      <c r="T156" s="723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si="20"/>
        <v>0</v>
      </c>
      <c r="Z156" s="39" t="str">
        <f t="shared" si="21"/>
        <v/>
      </c>
      <c r="AA156" s="65" t="s">
        <v>46</v>
      </c>
      <c r="AB156" s="66" t="s">
        <v>46</v>
      </c>
      <c r="AC156" s="229" t="s">
        <v>279</v>
      </c>
      <c r="AG156" s="75"/>
      <c r="AJ156" s="79" t="s">
        <v>46</v>
      </c>
      <c r="AK156" s="79">
        <v>0</v>
      </c>
      <c r="BB156" s="230" t="s">
        <v>67</v>
      </c>
      <c r="BM156" s="75">
        <f t="shared" si="22"/>
        <v>0</v>
      </c>
      <c r="BN156" s="75">
        <f t="shared" si="23"/>
        <v>0</v>
      </c>
      <c r="BO156" s="75">
        <f t="shared" si="24"/>
        <v>0</v>
      </c>
      <c r="BP156" s="75">
        <f t="shared" si="25"/>
        <v>0</v>
      </c>
    </row>
    <row r="157" spans="1:68" ht="27" hidden="1" customHeight="1" x14ac:dyDescent="0.25">
      <c r="A157" s="60" t="s">
        <v>281</v>
      </c>
      <c r="B157" s="60" t="s">
        <v>282</v>
      </c>
      <c r="C157" s="34">
        <v>4301052173</v>
      </c>
      <c r="D157" s="720">
        <v>4680115888197</v>
      </c>
      <c r="E157" s="720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0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722"/>
      <c r="R157" s="722"/>
      <c r="S157" s="722"/>
      <c r="T157" s="723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0"/>
        <v>0</v>
      </c>
      <c r="Z157" s="39" t="str">
        <f t="shared" si="21"/>
        <v/>
      </c>
      <c r="AA157" s="65" t="s">
        <v>46</v>
      </c>
      <c r="AB157" s="66" t="s">
        <v>46</v>
      </c>
      <c r="AC157" s="231" t="s">
        <v>283</v>
      </c>
      <c r="AG157" s="75"/>
      <c r="AJ157" s="79" t="s">
        <v>46</v>
      </c>
      <c r="AK157" s="79">
        <v>0</v>
      </c>
      <c r="BB157" s="232" t="s">
        <v>67</v>
      </c>
      <c r="BM157" s="75">
        <f t="shared" si="22"/>
        <v>0</v>
      </c>
      <c r="BN157" s="75">
        <f t="shared" si="23"/>
        <v>0</v>
      </c>
      <c r="BO157" s="75">
        <f t="shared" si="24"/>
        <v>0</v>
      </c>
      <c r="BP157" s="75">
        <f t="shared" si="25"/>
        <v>0</v>
      </c>
    </row>
    <row r="158" spans="1:68" ht="27" hidden="1" customHeight="1" x14ac:dyDescent="0.25">
      <c r="A158" s="60" t="s">
        <v>281</v>
      </c>
      <c r="B158" s="60" t="s">
        <v>284</v>
      </c>
      <c r="C158" s="34">
        <v>4301052253</v>
      </c>
      <c r="D158" s="720">
        <v>4680115888197</v>
      </c>
      <c r="E158" s="720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0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722"/>
      <c r="R158" s="722"/>
      <c r="S158" s="722"/>
      <c r="T158" s="723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0"/>
        <v>0</v>
      </c>
      <c r="Z158" s="39" t="str">
        <f t="shared" si="21"/>
        <v/>
      </c>
      <c r="AA158" s="65" t="s">
        <v>46</v>
      </c>
      <c r="AB158" s="66" t="s">
        <v>46</v>
      </c>
      <c r="AC158" s="233" t="s">
        <v>283</v>
      </c>
      <c r="AG158" s="75"/>
      <c r="AJ158" s="79" t="s">
        <v>46</v>
      </c>
      <c r="AK158" s="79">
        <v>0</v>
      </c>
      <c r="BB158" s="234" t="s">
        <v>67</v>
      </c>
      <c r="BM158" s="75">
        <f t="shared" si="22"/>
        <v>0</v>
      </c>
      <c r="BN158" s="75">
        <f t="shared" si="23"/>
        <v>0</v>
      </c>
      <c r="BO158" s="75">
        <f t="shared" si="24"/>
        <v>0</v>
      </c>
      <c r="BP158" s="75">
        <f t="shared" si="25"/>
        <v>0</v>
      </c>
    </row>
    <row r="159" spans="1:68" ht="27" hidden="1" customHeight="1" x14ac:dyDescent="0.25">
      <c r="A159" s="60" t="s">
        <v>285</v>
      </c>
      <c r="B159" s="60" t="s">
        <v>286</v>
      </c>
      <c r="C159" s="34">
        <v>4301052175</v>
      </c>
      <c r="D159" s="720">
        <v>4680115888210</v>
      </c>
      <c r="E159" s="720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0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722"/>
      <c r="R159" s="722"/>
      <c r="S159" s="722"/>
      <c r="T159" s="723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0"/>
        <v>0</v>
      </c>
      <c r="Z159" s="39" t="str">
        <f t="shared" si="21"/>
        <v/>
      </c>
      <c r="AA159" s="65" t="s">
        <v>46</v>
      </c>
      <c r="AB159" s="66" t="s">
        <v>46</v>
      </c>
      <c r="AC159" s="235" t="s">
        <v>287</v>
      </c>
      <c r="AG159" s="75"/>
      <c r="AJ159" s="79" t="s">
        <v>46</v>
      </c>
      <c r="AK159" s="79">
        <v>0</v>
      </c>
      <c r="BB159" s="236" t="s">
        <v>67</v>
      </c>
      <c r="BM159" s="75">
        <f t="shared" si="22"/>
        <v>0</v>
      </c>
      <c r="BN159" s="75">
        <f t="shared" si="23"/>
        <v>0</v>
      </c>
      <c r="BO159" s="75">
        <f t="shared" si="24"/>
        <v>0</v>
      </c>
      <c r="BP159" s="75">
        <f t="shared" si="25"/>
        <v>0</v>
      </c>
    </row>
    <row r="160" spans="1:68" ht="27" hidden="1" customHeight="1" x14ac:dyDescent="0.25">
      <c r="A160" s="60" t="s">
        <v>285</v>
      </c>
      <c r="B160" s="60" t="s">
        <v>288</v>
      </c>
      <c r="C160" s="34">
        <v>4301052255</v>
      </c>
      <c r="D160" s="720">
        <v>4680115888210</v>
      </c>
      <c r="E160" s="720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0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722"/>
      <c r="R160" s="722"/>
      <c r="S160" s="722"/>
      <c r="T160" s="723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0"/>
        <v>0</v>
      </c>
      <c r="Z160" s="39" t="str">
        <f t="shared" si="21"/>
        <v/>
      </c>
      <c r="AA160" s="65" t="s">
        <v>46</v>
      </c>
      <c r="AB160" s="66" t="s">
        <v>46</v>
      </c>
      <c r="AC160" s="237" t="s">
        <v>287</v>
      </c>
      <c r="AG160" s="75"/>
      <c r="AJ160" s="79" t="s">
        <v>46</v>
      </c>
      <c r="AK160" s="79">
        <v>0</v>
      </c>
      <c r="BB160" s="238" t="s">
        <v>67</v>
      </c>
      <c r="BM160" s="75">
        <f t="shared" si="22"/>
        <v>0</v>
      </c>
      <c r="BN160" s="75">
        <f t="shared" si="23"/>
        <v>0</v>
      </c>
      <c r="BO160" s="75">
        <f t="shared" si="24"/>
        <v>0</v>
      </c>
      <c r="BP160" s="75">
        <f t="shared" si="25"/>
        <v>0</v>
      </c>
    </row>
    <row r="161" spans="1:68" hidden="1" x14ac:dyDescent="0.2">
      <c r="A161" s="728"/>
      <c r="B161" s="728"/>
      <c r="C161" s="728"/>
      <c r="D161" s="728"/>
      <c r="E161" s="728"/>
      <c r="F161" s="728"/>
      <c r="G161" s="728"/>
      <c r="H161" s="728"/>
      <c r="I161" s="728"/>
      <c r="J161" s="728"/>
      <c r="K161" s="728"/>
      <c r="L161" s="728"/>
      <c r="M161" s="728"/>
      <c r="N161" s="728"/>
      <c r="O161" s="729"/>
      <c r="P161" s="725" t="s">
        <v>40</v>
      </c>
      <c r="Q161" s="726"/>
      <c r="R161" s="726"/>
      <c r="S161" s="726"/>
      <c r="T161" s="726"/>
      <c r="U161" s="726"/>
      <c r="V161" s="727"/>
      <c r="W161" s="40" t="s">
        <v>39</v>
      </c>
      <c r="X161" s="41">
        <f>IFERROR(X154/H154,"0")+IFERROR(X155/H155,"0")+IFERROR(X156/H156,"0")+IFERROR(X157/H157,"0")+IFERROR(X158/H158,"0")+IFERROR(X159/H159,"0")+IFERROR(X160/H160,"0")</f>
        <v>0</v>
      </c>
      <c r="Y161" s="41">
        <f>IFERROR(Y154/H154,"0")+IFERROR(Y155/H155,"0")+IFERROR(Y156/H156,"0")+IFERROR(Y157/H157,"0")+IFERROR(Y158/H158,"0")+IFERROR(Y159/H159,"0")+IFERROR(Y160/H160,"0")</f>
        <v>0</v>
      </c>
      <c r="Z161" s="41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hidden="1" x14ac:dyDescent="0.2">
      <c r="A162" s="728"/>
      <c r="B162" s="728"/>
      <c r="C162" s="728"/>
      <c r="D162" s="728"/>
      <c r="E162" s="728"/>
      <c r="F162" s="728"/>
      <c r="G162" s="728"/>
      <c r="H162" s="728"/>
      <c r="I162" s="728"/>
      <c r="J162" s="728"/>
      <c r="K162" s="728"/>
      <c r="L162" s="728"/>
      <c r="M162" s="728"/>
      <c r="N162" s="728"/>
      <c r="O162" s="729"/>
      <c r="P162" s="725" t="s">
        <v>40</v>
      </c>
      <c r="Q162" s="726"/>
      <c r="R162" s="726"/>
      <c r="S162" s="726"/>
      <c r="T162" s="726"/>
      <c r="U162" s="726"/>
      <c r="V162" s="727"/>
      <c r="W162" s="40" t="s">
        <v>0</v>
      </c>
      <c r="X162" s="41">
        <f>IFERROR(SUM(X154:X160),"0")</f>
        <v>0</v>
      </c>
      <c r="Y162" s="41">
        <f>IFERROR(SUM(Y154:Y160),"0")</f>
        <v>0</v>
      </c>
      <c r="Z162" s="40"/>
      <c r="AA162" s="64"/>
      <c r="AB162" s="64"/>
      <c r="AC162" s="64"/>
    </row>
    <row r="163" spans="1:68" ht="14.25" hidden="1" customHeight="1" x14ac:dyDescent="0.25">
      <c r="A163" s="719" t="s">
        <v>289</v>
      </c>
      <c r="B163" s="719"/>
      <c r="C163" s="719"/>
      <c r="D163" s="719"/>
      <c r="E163" s="719"/>
      <c r="F163" s="719"/>
      <c r="G163" s="719"/>
      <c r="H163" s="719"/>
      <c r="I163" s="719"/>
      <c r="J163" s="719"/>
      <c r="K163" s="719"/>
      <c r="L163" s="719"/>
      <c r="M163" s="719"/>
      <c r="N163" s="719"/>
      <c r="O163" s="719"/>
      <c r="P163" s="719"/>
      <c r="Q163" s="719"/>
      <c r="R163" s="719"/>
      <c r="S163" s="719"/>
      <c r="T163" s="719"/>
      <c r="U163" s="719"/>
      <c r="V163" s="719"/>
      <c r="W163" s="719"/>
      <c r="X163" s="719"/>
      <c r="Y163" s="719"/>
      <c r="Z163" s="719"/>
      <c r="AA163" s="63"/>
      <c r="AB163" s="63"/>
      <c r="AC163" s="63"/>
    </row>
    <row r="164" spans="1:68" ht="27" hidden="1" customHeight="1" x14ac:dyDescent="0.25">
      <c r="A164" s="60" t="s">
        <v>290</v>
      </c>
      <c r="B164" s="60" t="s">
        <v>291</v>
      </c>
      <c r="C164" s="34">
        <v>4301032067</v>
      </c>
      <c r="D164" s="720">
        <v>4680115889132</v>
      </c>
      <c r="E164" s="720"/>
      <c r="F164" s="59">
        <v>0.04</v>
      </c>
      <c r="G164" s="35">
        <v>8</v>
      </c>
      <c r="H164" s="59">
        <v>0.32</v>
      </c>
      <c r="I164" s="59">
        <v>0.5</v>
      </c>
      <c r="J164" s="35">
        <v>330</v>
      </c>
      <c r="K164" s="35" t="s">
        <v>295</v>
      </c>
      <c r="L164" s="35" t="s">
        <v>46</v>
      </c>
      <c r="M164" s="36" t="s">
        <v>294</v>
      </c>
      <c r="N164" s="36"/>
      <c r="O164" s="35">
        <v>120</v>
      </c>
      <c r="P164" s="80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722"/>
      <c r="R164" s="722"/>
      <c r="S164" s="722"/>
      <c r="T164" s="723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IFERROR(IF(Y164=0,"",ROUNDUP(Y164/H164,0)*0.00337),"")</f>
        <v/>
      </c>
      <c r="AA164" s="65" t="s">
        <v>46</v>
      </c>
      <c r="AB164" s="66" t="s">
        <v>46</v>
      </c>
      <c r="AC164" s="239" t="s">
        <v>292</v>
      </c>
      <c r="AG164" s="75"/>
      <c r="AJ164" s="79" t="s">
        <v>46</v>
      </c>
      <c r="AK164" s="79">
        <v>0</v>
      </c>
      <c r="BB164" s="240" t="s">
        <v>293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728"/>
      <c r="B165" s="728"/>
      <c r="C165" s="728"/>
      <c r="D165" s="728"/>
      <c r="E165" s="728"/>
      <c r="F165" s="728"/>
      <c r="G165" s="728"/>
      <c r="H165" s="728"/>
      <c r="I165" s="728"/>
      <c r="J165" s="728"/>
      <c r="K165" s="728"/>
      <c r="L165" s="728"/>
      <c r="M165" s="728"/>
      <c r="N165" s="728"/>
      <c r="O165" s="729"/>
      <c r="P165" s="725" t="s">
        <v>40</v>
      </c>
      <c r="Q165" s="726"/>
      <c r="R165" s="726"/>
      <c r="S165" s="726"/>
      <c r="T165" s="726"/>
      <c r="U165" s="726"/>
      <c r="V165" s="72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hidden="1" x14ac:dyDescent="0.2">
      <c r="A166" s="728"/>
      <c r="B166" s="728"/>
      <c r="C166" s="728"/>
      <c r="D166" s="728"/>
      <c r="E166" s="728"/>
      <c r="F166" s="728"/>
      <c r="G166" s="728"/>
      <c r="H166" s="728"/>
      <c r="I166" s="728"/>
      <c r="J166" s="728"/>
      <c r="K166" s="728"/>
      <c r="L166" s="728"/>
      <c r="M166" s="728"/>
      <c r="N166" s="728"/>
      <c r="O166" s="729"/>
      <c r="P166" s="725" t="s">
        <v>40</v>
      </c>
      <c r="Q166" s="726"/>
      <c r="R166" s="726"/>
      <c r="S166" s="726"/>
      <c r="T166" s="726"/>
      <c r="U166" s="726"/>
      <c r="V166" s="72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16.5" hidden="1" customHeight="1" x14ac:dyDescent="0.25">
      <c r="A167" s="718" t="s">
        <v>120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2"/>
      <c r="AB167" s="62"/>
      <c r="AC167" s="62"/>
    </row>
    <row r="168" spans="1:68" ht="14.25" hidden="1" customHeight="1" x14ac:dyDescent="0.25">
      <c r="A168" s="719" t="s">
        <v>122</v>
      </c>
      <c r="B168" s="719"/>
      <c r="C168" s="719"/>
      <c r="D168" s="719"/>
      <c r="E168" s="719"/>
      <c r="F168" s="719"/>
      <c r="G168" s="719"/>
      <c r="H168" s="719"/>
      <c r="I168" s="719"/>
      <c r="J168" s="719"/>
      <c r="K168" s="719"/>
      <c r="L168" s="719"/>
      <c r="M168" s="719"/>
      <c r="N168" s="719"/>
      <c r="O168" s="719"/>
      <c r="P168" s="719"/>
      <c r="Q168" s="719"/>
      <c r="R168" s="719"/>
      <c r="S168" s="719"/>
      <c r="T168" s="719"/>
      <c r="U168" s="719"/>
      <c r="V168" s="719"/>
      <c r="W168" s="719"/>
      <c r="X168" s="719"/>
      <c r="Y168" s="719"/>
      <c r="Z168" s="719"/>
      <c r="AA168" s="63"/>
      <c r="AB168" s="63"/>
      <c r="AC168" s="63"/>
    </row>
    <row r="169" spans="1:68" ht="27" hidden="1" customHeight="1" x14ac:dyDescent="0.25">
      <c r="A169" s="60" t="s">
        <v>296</v>
      </c>
      <c r="B169" s="60" t="s">
        <v>297</v>
      </c>
      <c r="C169" s="34">
        <v>4301012338</v>
      </c>
      <c r="D169" s="720">
        <v>4680115887374</v>
      </c>
      <c r="E169" s="720"/>
      <c r="F169" s="59">
        <v>1</v>
      </c>
      <c r="G169" s="35">
        <v>6</v>
      </c>
      <c r="H169" s="59">
        <v>6</v>
      </c>
      <c r="I169" s="59">
        <v>6.35</v>
      </c>
      <c r="J169" s="35">
        <v>104</v>
      </c>
      <c r="K169" s="35" t="s">
        <v>127</v>
      </c>
      <c r="L169" s="35" t="s">
        <v>46</v>
      </c>
      <c r="M169" s="36" t="s">
        <v>126</v>
      </c>
      <c r="N169" s="36"/>
      <c r="O169" s="35">
        <v>55</v>
      </c>
      <c r="P169" s="80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722"/>
      <c r="R169" s="722"/>
      <c r="S169" s="722"/>
      <c r="T169" s="723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IFERROR(IF(Y169=0,"",ROUNDUP(Y169/H169,0)*0.01196),"")</f>
        <v/>
      </c>
      <c r="AA169" s="65" t="s">
        <v>46</v>
      </c>
      <c r="AB169" s="66" t="s">
        <v>46</v>
      </c>
      <c r="AC169" s="241" t="s">
        <v>298</v>
      </c>
      <c r="AG169" s="75"/>
      <c r="AJ169" s="79" t="s">
        <v>46</v>
      </c>
      <c r="AK169" s="79">
        <v>0</v>
      </c>
      <c r="BB169" s="242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t="27" hidden="1" customHeight="1" x14ac:dyDescent="0.25">
      <c r="A170" s="60" t="s">
        <v>299</v>
      </c>
      <c r="B170" s="60" t="s">
        <v>300</v>
      </c>
      <c r="C170" s="34">
        <v>4301011705</v>
      </c>
      <c r="D170" s="720">
        <v>4607091384604</v>
      </c>
      <c r="E170" s="720"/>
      <c r="F170" s="59">
        <v>0.4</v>
      </c>
      <c r="G170" s="35">
        <v>10</v>
      </c>
      <c r="H170" s="59">
        <v>4</v>
      </c>
      <c r="I170" s="59">
        <v>4.1900000000000004</v>
      </c>
      <c r="J170" s="35">
        <v>132</v>
      </c>
      <c r="K170" s="35" t="s">
        <v>134</v>
      </c>
      <c r="L170" s="35" t="s">
        <v>46</v>
      </c>
      <c r="M170" s="36" t="s">
        <v>126</v>
      </c>
      <c r="N170" s="36"/>
      <c r="O170" s="35">
        <v>50</v>
      </c>
      <c r="P170" s="80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722"/>
      <c r="R170" s="722"/>
      <c r="S170" s="722"/>
      <c r="T170" s="723"/>
      <c r="U170" s="37" t="s">
        <v>46</v>
      </c>
      <c r="V170" s="37" t="s">
        <v>46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43" t="s">
        <v>301</v>
      </c>
      <c r="AG170" s="75"/>
      <c r="AJ170" s="79" t="s">
        <v>46</v>
      </c>
      <c r="AK170" s="79">
        <v>0</v>
      </c>
      <c r="BB170" s="244" t="s">
        <v>67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ht="16.5" hidden="1" customHeight="1" x14ac:dyDescent="0.25">
      <c r="A171" s="60" t="s">
        <v>302</v>
      </c>
      <c r="B171" s="60" t="s">
        <v>303</v>
      </c>
      <c r="C171" s="34">
        <v>4301012344</v>
      </c>
      <c r="D171" s="720">
        <v>4680115888876</v>
      </c>
      <c r="E171" s="720"/>
      <c r="F171" s="59">
        <v>0.43</v>
      </c>
      <c r="G171" s="35">
        <v>6</v>
      </c>
      <c r="H171" s="59">
        <v>2.58</v>
      </c>
      <c r="I171" s="59">
        <v>2.76</v>
      </c>
      <c r="J171" s="35">
        <v>182</v>
      </c>
      <c r="K171" s="35" t="s">
        <v>91</v>
      </c>
      <c r="L171" s="35" t="s">
        <v>46</v>
      </c>
      <c r="M171" s="36" t="s">
        <v>90</v>
      </c>
      <c r="N171" s="36"/>
      <c r="O171" s="35">
        <v>55</v>
      </c>
      <c r="P171" s="81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722"/>
      <c r="R171" s="722"/>
      <c r="S171" s="722"/>
      <c r="T171" s="723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IFERROR(IF(Y171=0,"",ROUNDUP(Y171/H171,0)*0.00651),"")</f>
        <v/>
      </c>
      <c r="AA171" s="65" t="s">
        <v>46</v>
      </c>
      <c r="AB171" s="66" t="s">
        <v>46</v>
      </c>
      <c r="AC171" s="245" t="s">
        <v>304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idden="1" x14ac:dyDescent="0.2">
      <c r="A172" s="728"/>
      <c r="B172" s="728"/>
      <c r="C172" s="728"/>
      <c r="D172" s="728"/>
      <c r="E172" s="728"/>
      <c r="F172" s="728"/>
      <c r="G172" s="728"/>
      <c r="H172" s="728"/>
      <c r="I172" s="728"/>
      <c r="J172" s="728"/>
      <c r="K172" s="728"/>
      <c r="L172" s="728"/>
      <c r="M172" s="728"/>
      <c r="N172" s="728"/>
      <c r="O172" s="729"/>
      <c r="P172" s="725" t="s">
        <v>40</v>
      </c>
      <c r="Q172" s="726"/>
      <c r="R172" s="726"/>
      <c r="S172" s="726"/>
      <c r="T172" s="726"/>
      <c r="U172" s="726"/>
      <c r="V172" s="727"/>
      <c r="W172" s="40" t="s">
        <v>39</v>
      </c>
      <c r="X172" s="41">
        <f>IFERROR(X169/H169,"0")+IFERROR(X170/H170,"0")+IFERROR(X171/H171,"0")</f>
        <v>0</v>
      </c>
      <c r="Y172" s="41">
        <f>IFERROR(Y169/H169,"0")+IFERROR(Y170/H170,"0")+IFERROR(Y171/H171,"0")</f>
        <v>0</v>
      </c>
      <c r="Z172" s="41">
        <f>IFERROR(IF(Z169="",0,Z169),"0")+IFERROR(IF(Z170="",0,Z170),"0")+IFERROR(IF(Z171="",0,Z171),"0")</f>
        <v>0</v>
      </c>
      <c r="AA172" s="64"/>
      <c r="AB172" s="64"/>
      <c r="AC172" s="64"/>
    </row>
    <row r="173" spans="1:68" hidden="1" x14ac:dyDescent="0.2">
      <c r="A173" s="728"/>
      <c r="B173" s="728"/>
      <c r="C173" s="728"/>
      <c r="D173" s="728"/>
      <c r="E173" s="728"/>
      <c r="F173" s="728"/>
      <c r="G173" s="728"/>
      <c r="H173" s="728"/>
      <c r="I173" s="728"/>
      <c r="J173" s="728"/>
      <c r="K173" s="728"/>
      <c r="L173" s="728"/>
      <c r="M173" s="728"/>
      <c r="N173" s="728"/>
      <c r="O173" s="729"/>
      <c r="P173" s="725" t="s">
        <v>40</v>
      </c>
      <c r="Q173" s="726"/>
      <c r="R173" s="726"/>
      <c r="S173" s="726"/>
      <c r="T173" s="726"/>
      <c r="U173" s="726"/>
      <c r="V173" s="727"/>
      <c r="W173" s="40" t="s">
        <v>0</v>
      </c>
      <c r="X173" s="41">
        <f>IFERROR(SUM(X169:X171),"0")</f>
        <v>0</v>
      </c>
      <c r="Y173" s="41">
        <f>IFERROR(SUM(Y169:Y171),"0")</f>
        <v>0</v>
      </c>
      <c r="Z173" s="40"/>
      <c r="AA173" s="64"/>
      <c r="AB173" s="64"/>
      <c r="AC173" s="64"/>
    </row>
    <row r="174" spans="1:68" ht="14.25" hidden="1" customHeight="1" x14ac:dyDescent="0.25">
      <c r="A174" s="719" t="s">
        <v>155</v>
      </c>
      <c r="B174" s="719"/>
      <c r="C174" s="719"/>
      <c r="D174" s="719"/>
      <c r="E174" s="719"/>
      <c r="F174" s="719"/>
      <c r="G174" s="719"/>
      <c r="H174" s="719"/>
      <c r="I174" s="719"/>
      <c r="J174" s="719"/>
      <c r="K174" s="719"/>
      <c r="L174" s="719"/>
      <c r="M174" s="719"/>
      <c r="N174" s="719"/>
      <c r="O174" s="719"/>
      <c r="P174" s="719"/>
      <c r="Q174" s="719"/>
      <c r="R174" s="719"/>
      <c r="S174" s="719"/>
      <c r="T174" s="719"/>
      <c r="U174" s="719"/>
      <c r="V174" s="719"/>
      <c r="W174" s="719"/>
      <c r="X174" s="719"/>
      <c r="Y174" s="719"/>
      <c r="Z174" s="719"/>
      <c r="AA174" s="63"/>
      <c r="AB174" s="63"/>
      <c r="AC174" s="63"/>
    </row>
    <row r="175" spans="1:68" ht="16.5" hidden="1" customHeight="1" x14ac:dyDescent="0.25">
      <c r="A175" s="60" t="s">
        <v>305</v>
      </c>
      <c r="B175" s="60" t="s">
        <v>306</v>
      </c>
      <c r="C175" s="34">
        <v>4301020410</v>
      </c>
      <c r="D175" s="720">
        <v>4680115887695</v>
      </c>
      <c r="E175" s="720"/>
      <c r="F175" s="59">
        <v>0.12</v>
      </c>
      <c r="G175" s="35">
        <v>6</v>
      </c>
      <c r="H175" s="59">
        <v>0.72</v>
      </c>
      <c r="I175" s="59">
        <v>0.85</v>
      </c>
      <c r="J175" s="35">
        <v>252</v>
      </c>
      <c r="K175" s="35" t="s">
        <v>82</v>
      </c>
      <c r="L175" s="35" t="s">
        <v>46</v>
      </c>
      <c r="M175" s="36" t="s">
        <v>81</v>
      </c>
      <c r="N175" s="36"/>
      <c r="O175" s="35">
        <v>30</v>
      </c>
      <c r="P175" s="81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722"/>
      <c r="R175" s="722"/>
      <c r="S175" s="722"/>
      <c r="T175" s="723"/>
      <c r="U175" s="37" t="s">
        <v>46</v>
      </c>
      <c r="V175" s="37" t="s">
        <v>46</v>
      </c>
      <c r="W175" s="38" t="s">
        <v>0</v>
      </c>
      <c r="X175" s="56">
        <v>0</v>
      </c>
      <c r="Y175" s="53">
        <f>IFERROR(IF(X175="",0,CEILING((X175/$H175),1)*$H175),"")</f>
        <v>0</v>
      </c>
      <c r="Z175" s="39" t="str">
        <f>IFERROR(IF(Y175=0,"",ROUNDUP(Y175/H175,0)*0.00556),"")</f>
        <v/>
      </c>
      <c r="AA175" s="65" t="s">
        <v>46</v>
      </c>
      <c r="AB175" s="66" t="s">
        <v>46</v>
      </c>
      <c r="AC175" s="247" t="s">
        <v>307</v>
      </c>
      <c r="AG175" s="75"/>
      <c r="AJ175" s="79" t="s">
        <v>46</v>
      </c>
      <c r="AK175" s="79">
        <v>0</v>
      </c>
      <c r="BB175" s="248" t="s">
        <v>67</v>
      </c>
      <c r="BM175" s="75">
        <f>IFERROR(X175*I175/H175,"0")</f>
        <v>0</v>
      </c>
      <c r="BN175" s="75">
        <f>IFERROR(Y175*I175/H175,"0")</f>
        <v>0</v>
      </c>
      <c r="BO175" s="75">
        <f>IFERROR(1/J175*(X175/H175),"0")</f>
        <v>0</v>
      </c>
      <c r="BP175" s="75">
        <f>IFERROR(1/J175*(Y175/H175),"0")</f>
        <v>0</v>
      </c>
    </row>
    <row r="176" spans="1:68" ht="16.5" hidden="1" customHeight="1" x14ac:dyDescent="0.25">
      <c r="A176" s="60" t="s">
        <v>308</v>
      </c>
      <c r="B176" s="60" t="s">
        <v>309</v>
      </c>
      <c r="C176" s="34">
        <v>4301020439</v>
      </c>
      <c r="D176" s="720">
        <v>4680115889491</v>
      </c>
      <c r="E176" s="720"/>
      <c r="F176" s="59">
        <v>0.3</v>
      </c>
      <c r="G176" s="35">
        <v>8</v>
      </c>
      <c r="H176" s="59">
        <v>2.4</v>
      </c>
      <c r="I176" s="59">
        <v>2.5</v>
      </c>
      <c r="J176" s="35">
        <v>234</v>
      </c>
      <c r="K176" s="35" t="s">
        <v>82</v>
      </c>
      <c r="L176" s="35" t="s">
        <v>46</v>
      </c>
      <c r="M176" s="36" t="s">
        <v>126</v>
      </c>
      <c r="N176" s="36"/>
      <c r="O176" s="35">
        <v>55</v>
      </c>
      <c r="P176" s="81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722"/>
      <c r="R176" s="722"/>
      <c r="S176" s="722"/>
      <c r="T176" s="723"/>
      <c r="U176" s="37" t="s">
        <v>46</v>
      </c>
      <c r="V176" s="37" t="s">
        <v>46</v>
      </c>
      <c r="W176" s="38" t="s">
        <v>0</v>
      </c>
      <c r="X176" s="56">
        <v>0</v>
      </c>
      <c r="Y176" s="53">
        <f>IFERROR(IF(X176="",0,CEILING((X176/$H176),1)*$H176),"")</f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9" t="s">
        <v>310</v>
      </c>
      <c r="AG176" s="75"/>
      <c r="AJ176" s="79" t="s">
        <v>46</v>
      </c>
      <c r="AK176" s="79">
        <v>0</v>
      </c>
      <c r="BB176" s="250" t="s">
        <v>67</v>
      </c>
      <c r="BM176" s="75">
        <f>IFERROR(X176*I176/H176,"0")</f>
        <v>0</v>
      </c>
      <c r="BN176" s="75">
        <f>IFERROR(Y176*I176/H176,"0")</f>
        <v>0</v>
      </c>
      <c r="BO176" s="75">
        <f>IFERROR(1/J176*(X176/H176),"0")</f>
        <v>0</v>
      </c>
      <c r="BP176" s="75">
        <f>IFERROR(1/J176*(Y176/H176),"0")</f>
        <v>0</v>
      </c>
    </row>
    <row r="177" spans="1:68" hidden="1" x14ac:dyDescent="0.2">
      <c r="A177" s="728"/>
      <c r="B177" s="728"/>
      <c r="C177" s="728"/>
      <c r="D177" s="728"/>
      <c r="E177" s="728"/>
      <c r="F177" s="728"/>
      <c r="G177" s="728"/>
      <c r="H177" s="728"/>
      <c r="I177" s="728"/>
      <c r="J177" s="728"/>
      <c r="K177" s="728"/>
      <c r="L177" s="728"/>
      <c r="M177" s="728"/>
      <c r="N177" s="728"/>
      <c r="O177" s="729"/>
      <c r="P177" s="725" t="s">
        <v>40</v>
      </c>
      <c r="Q177" s="726"/>
      <c r="R177" s="726"/>
      <c r="S177" s="726"/>
      <c r="T177" s="726"/>
      <c r="U177" s="726"/>
      <c r="V177" s="727"/>
      <c r="W177" s="40" t="s">
        <v>39</v>
      </c>
      <c r="X177" s="41">
        <f>IFERROR(X175/H175,"0")+IFERROR(X176/H176,"0")</f>
        <v>0</v>
      </c>
      <c r="Y177" s="41">
        <f>IFERROR(Y175/H175,"0")+IFERROR(Y176/H176,"0")</f>
        <v>0</v>
      </c>
      <c r="Z177" s="41">
        <f>IFERROR(IF(Z175="",0,Z175),"0")+IFERROR(IF(Z176="",0,Z176),"0")</f>
        <v>0</v>
      </c>
      <c r="AA177" s="64"/>
      <c r="AB177" s="64"/>
      <c r="AC177" s="64"/>
    </row>
    <row r="178" spans="1:68" hidden="1" x14ac:dyDescent="0.2">
      <c r="A178" s="728"/>
      <c r="B178" s="728"/>
      <c r="C178" s="728"/>
      <c r="D178" s="728"/>
      <c r="E178" s="728"/>
      <c r="F178" s="728"/>
      <c r="G178" s="728"/>
      <c r="H178" s="728"/>
      <c r="I178" s="728"/>
      <c r="J178" s="728"/>
      <c r="K178" s="728"/>
      <c r="L178" s="728"/>
      <c r="M178" s="728"/>
      <c r="N178" s="728"/>
      <c r="O178" s="729"/>
      <c r="P178" s="725" t="s">
        <v>40</v>
      </c>
      <c r="Q178" s="726"/>
      <c r="R178" s="726"/>
      <c r="S178" s="726"/>
      <c r="T178" s="726"/>
      <c r="U178" s="726"/>
      <c r="V178" s="727"/>
      <c r="W178" s="40" t="s">
        <v>0</v>
      </c>
      <c r="X178" s="41">
        <f>IFERROR(SUM(X175:X176),"0")</f>
        <v>0</v>
      </c>
      <c r="Y178" s="41">
        <f>IFERROR(SUM(Y175:Y176),"0")</f>
        <v>0</v>
      </c>
      <c r="Z178" s="40"/>
      <c r="AA178" s="64"/>
      <c r="AB178" s="64"/>
      <c r="AC178" s="64"/>
    </row>
    <row r="179" spans="1:68" ht="14.25" hidden="1" customHeight="1" x14ac:dyDescent="0.25">
      <c r="A179" s="719" t="s">
        <v>77</v>
      </c>
      <c r="B179" s="719"/>
      <c r="C179" s="719"/>
      <c r="D179" s="719"/>
      <c r="E179" s="719"/>
      <c r="F179" s="719"/>
      <c r="G179" s="719"/>
      <c r="H179" s="719"/>
      <c r="I179" s="719"/>
      <c r="J179" s="719"/>
      <c r="K179" s="719"/>
      <c r="L179" s="719"/>
      <c r="M179" s="719"/>
      <c r="N179" s="719"/>
      <c r="O179" s="719"/>
      <c r="P179" s="719"/>
      <c r="Q179" s="719"/>
      <c r="R179" s="719"/>
      <c r="S179" s="719"/>
      <c r="T179" s="719"/>
      <c r="U179" s="719"/>
      <c r="V179" s="719"/>
      <c r="W179" s="719"/>
      <c r="X179" s="719"/>
      <c r="Y179" s="719"/>
      <c r="Z179" s="719"/>
      <c r="AA179" s="63"/>
      <c r="AB179" s="63"/>
      <c r="AC179" s="63"/>
    </row>
    <row r="180" spans="1:68" ht="27" hidden="1" customHeight="1" x14ac:dyDescent="0.25">
      <c r="A180" s="60" t="s">
        <v>311</v>
      </c>
      <c r="B180" s="60" t="s">
        <v>312</v>
      </c>
      <c r="C180" s="34">
        <v>4301031496</v>
      </c>
      <c r="D180" s="720">
        <v>4680115887428</v>
      </c>
      <c r="E180" s="720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134</v>
      </c>
      <c r="L180" s="35" t="s">
        <v>46</v>
      </c>
      <c r="M180" s="36" t="s">
        <v>81</v>
      </c>
      <c r="N180" s="36"/>
      <c r="O180" s="35">
        <v>40</v>
      </c>
      <c r="P180" s="8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722"/>
      <c r="R180" s="722"/>
      <c r="S180" s="722"/>
      <c r="T180" s="723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ref="Y180:Y191" si="26">IFERROR(IF(X180="",0,CEILING((X180/$H180),1)*$H180),"")</f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51" t="s">
        <v>313</v>
      </c>
      <c r="AG180" s="75"/>
      <c r="AJ180" s="79" t="s">
        <v>46</v>
      </c>
      <c r="AK180" s="79">
        <v>0</v>
      </c>
      <c r="BB180" s="252" t="s">
        <v>67</v>
      </c>
      <c r="BM180" s="75">
        <f t="shared" ref="BM180:BM191" si="27">IFERROR(X180*I180/H180,"0")</f>
        <v>0</v>
      </c>
      <c r="BN180" s="75">
        <f t="shared" ref="BN180:BN191" si="28">IFERROR(Y180*I180/H180,"0")</f>
        <v>0</v>
      </c>
      <c r="BO180" s="75">
        <f t="shared" ref="BO180:BO191" si="29">IFERROR(1/J180*(X180/H180),"0")</f>
        <v>0</v>
      </c>
      <c r="BP180" s="75">
        <f t="shared" ref="BP180:BP191" si="30">IFERROR(1/J180*(Y180/H180),"0")</f>
        <v>0</v>
      </c>
    </row>
    <row r="181" spans="1:68" ht="27" hidden="1" customHeight="1" x14ac:dyDescent="0.25">
      <c r="A181" s="60" t="s">
        <v>314</v>
      </c>
      <c r="B181" s="60" t="s">
        <v>315</v>
      </c>
      <c r="C181" s="34">
        <v>4301031509</v>
      </c>
      <c r="D181" s="720">
        <v>4680115889170</v>
      </c>
      <c r="E181" s="720"/>
      <c r="F181" s="59">
        <v>0.7</v>
      </c>
      <c r="G181" s="35">
        <v>5</v>
      </c>
      <c r="H181" s="59">
        <v>3.5</v>
      </c>
      <c r="I181" s="59">
        <v>3.7650000000000001</v>
      </c>
      <c r="J181" s="35">
        <v>132</v>
      </c>
      <c r="K181" s="35" t="s">
        <v>134</v>
      </c>
      <c r="L181" s="35" t="s">
        <v>46</v>
      </c>
      <c r="M181" s="36" t="s">
        <v>81</v>
      </c>
      <c r="N181" s="36"/>
      <c r="O181" s="35">
        <v>45</v>
      </c>
      <c r="P181" s="81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722"/>
      <c r="R181" s="722"/>
      <c r="S181" s="722"/>
      <c r="T181" s="723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26"/>
        <v>0</v>
      </c>
      <c r="Z181" s="39" t="str">
        <f>IFERROR(IF(Y181=0,"",ROUNDUP(Y181/H181,0)*0.00902),"")</f>
        <v/>
      </c>
      <c r="AA181" s="65" t="s">
        <v>46</v>
      </c>
      <c r="AB181" s="66" t="s">
        <v>46</v>
      </c>
      <c r="AC181" s="253" t="s">
        <v>316</v>
      </c>
      <c r="AG181" s="75"/>
      <c r="AJ181" s="79" t="s">
        <v>46</v>
      </c>
      <c r="AK181" s="79">
        <v>0</v>
      </c>
      <c r="BB181" s="254" t="s">
        <v>67</v>
      </c>
      <c r="BM181" s="75">
        <f t="shared" si="27"/>
        <v>0</v>
      </c>
      <c r="BN181" s="75">
        <f t="shared" si="28"/>
        <v>0</v>
      </c>
      <c r="BO181" s="75">
        <f t="shared" si="29"/>
        <v>0</v>
      </c>
      <c r="BP181" s="75">
        <f t="shared" si="30"/>
        <v>0</v>
      </c>
    </row>
    <row r="182" spans="1:68" ht="27" hidden="1" customHeight="1" x14ac:dyDescent="0.25">
      <c r="A182" s="60" t="s">
        <v>317</v>
      </c>
      <c r="B182" s="60" t="s">
        <v>318</v>
      </c>
      <c r="C182" s="34">
        <v>4301031498</v>
      </c>
      <c r="D182" s="720">
        <v>4680115887398</v>
      </c>
      <c r="E182" s="720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1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722"/>
      <c r="R182" s="722"/>
      <c r="S182" s="722"/>
      <c r="T182" s="723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26"/>
        <v>0</v>
      </c>
      <c r="Z182" s="39" t="str">
        <f>IFERROR(IF(Y182=0,"",ROUNDUP(Y182/H182,0)*0.00902),"")</f>
        <v/>
      </c>
      <c r="AA182" s="65" t="s">
        <v>46</v>
      </c>
      <c r="AB182" s="66" t="s">
        <v>46</v>
      </c>
      <c r="AC182" s="255" t="s">
        <v>319</v>
      </c>
      <c r="AG182" s="75"/>
      <c r="AJ182" s="79" t="s">
        <v>46</v>
      </c>
      <c r="AK182" s="79">
        <v>0</v>
      </c>
      <c r="BB182" s="256" t="s">
        <v>67</v>
      </c>
      <c r="BM182" s="75">
        <f t="shared" si="27"/>
        <v>0</v>
      </c>
      <c r="BN182" s="75">
        <f t="shared" si="28"/>
        <v>0</v>
      </c>
      <c r="BO182" s="75">
        <f t="shared" si="29"/>
        <v>0</v>
      </c>
      <c r="BP182" s="75">
        <f t="shared" si="30"/>
        <v>0</v>
      </c>
    </row>
    <row r="183" spans="1:68" ht="27" hidden="1" customHeight="1" x14ac:dyDescent="0.25">
      <c r="A183" s="60" t="s">
        <v>320</v>
      </c>
      <c r="B183" s="60" t="s">
        <v>321</v>
      </c>
      <c r="C183" s="34">
        <v>4301031497</v>
      </c>
      <c r="D183" s="720">
        <v>4680115887336</v>
      </c>
      <c r="E183" s="720"/>
      <c r="F183" s="59">
        <v>0.7</v>
      </c>
      <c r="G183" s="35">
        <v>5</v>
      </c>
      <c r="H183" s="59">
        <v>3.5</v>
      </c>
      <c r="I183" s="59">
        <v>3.69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40</v>
      </c>
      <c r="P183" s="816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722"/>
      <c r="R183" s="722"/>
      <c r="S183" s="722"/>
      <c r="T183" s="723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6"/>
        <v>0</v>
      </c>
      <c r="Z183" s="39" t="str">
        <f>IFERROR(IF(Y183=0,"",ROUNDUP(Y183/H183,0)*0.00902),"")</f>
        <v/>
      </c>
      <c r="AA183" s="65" t="s">
        <v>46</v>
      </c>
      <c r="AB183" s="66" t="s">
        <v>46</v>
      </c>
      <c r="AC183" s="257" t="s">
        <v>322</v>
      </c>
      <c r="AG183" s="75"/>
      <c r="AJ183" s="79" t="s">
        <v>46</v>
      </c>
      <c r="AK183" s="79">
        <v>0</v>
      </c>
      <c r="BB183" s="258" t="s">
        <v>67</v>
      </c>
      <c r="BM183" s="75">
        <f t="shared" si="27"/>
        <v>0</v>
      </c>
      <c r="BN183" s="75">
        <f t="shared" si="28"/>
        <v>0</v>
      </c>
      <c r="BO183" s="75">
        <f t="shared" si="29"/>
        <v>0</v>
      </c>
      <c r="BP183" s="75">
        <f t="shared" si="30"/>
        <v>0</v>
      </c>
    </row>
    <row r="184" spans="1:68" ht="27" hidden="1" customHeight="1" x14ac:dyDescent="0.25">
      <c r="A184" s="60" t="s">
        <v>320</v>
      </c>
      <c r="B184" s="60" t="s">
        <v>323</v>
      </c>
      <c r="C184" s="34">
        <v>4301031520</v>
      </c>
      <c r="D184" s="720">
        <v>4680115887336</v>
      </c>
      <c r="E184" s="720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45</v>
      </c>
      <c r="P184" s="817" t="s">
        <v>324</v>
      </c>
      <c r="Q184" s="722"/>
      <c r="R184" s="722"/>
      <c r="S184" s="722"/>
      <c r="T184" s="723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26"/>
        <v>0</v>
      </c>
      <c r="Z184" s="39" t="str">
        <f>IFERROR(IF(Y184=0,"",ROUNDUP(Y184/H184,0)*0.00902),"")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27"/>
        <v>0</v>
      </c>
      <c r="BN184" s="75">
        <f t="shared" si="28"/>
        <v>0</v>
      </c>
      <c r="BO184" s="75">
        <f t="shared" si="29"/>
        <v>0</v>
      </c>
      <c r="BP184" s="75">
        <f t="shared" si="30"/>
        <v>0</v>
      </c>
    </row>
    <row r="185" spans="1:68" ht="16.5" hidden="1" customHeight="1" x14ac:dyDescent="0.25">
      <c r="A185" s="60" t="s">
        <v>326</v>
      </c>
      <c r="B185" s="60" t="s">
        <v>327</v>
      </c>
      <c r="C185" s="34">
        <v>4301032049</v>
      </c>
      <c r="D185" s="720">
        <v>4680115887787</v>
      </c>
      <c r="E185" s="720"/>
      <c r="F185" s="59">
        <v>0.09</v>
      </c>
      <c r="G185" s="35">
        <v>10</v>
      </c>
      <c r="H185" s="59">
        <v>0.9</v>
      </c>
      <c r="I185" s="59">
        <v>1.1100000000000001</v>
      </c>
      <c r="J185" s="35">
        <v>336</v>
      </c>
      <c r="K185" s="35" t="s">
        <v>131</v>
      </c>
      <c r="L185" s="35" t="s">
        <v>46</v>
      </c>
      <c r="M185" s="36" t="s">
        <v>81</v>
      </c>
      <c r="N185" s="36"/>
      <c r="O185" s="35">
        <v>45</v>
      </c>
      <c r="P185" s="818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722"/>
      <c r="R185" s="722"/>
      <c r="S185" s="722"/>
      <c r="T185" s="723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6"/>
        <v>0</v>
      </c>
      <c r="Z185" s="39" t="str">
        <f>IFERROR(IF(Y185=0,"",ROUNDUP(Y185/H185,0)*0.00417),"")</f>
        <v/>
      </c>
      <c r="AA185" s="65" t="s">
        <v>46</v>
      </c>
      <c r="AB185" s="66" t="s">
        <v>46</v>
      </c>
      <c r="AC185" s="261" t="s">
        <v>328</v>
      </c>
      <c r="AG185" s="75"/>
      <c r="AJ185" s="79" t="s">
        <v>46</v>
      </c>
      <c r="AK185" s="79">
        <v>0</v>
      </c>
      <c r="BB185" s="262" t="s">
        <v>67</v>
      </c>
      <c r="BM185" s="75">
        <f t="shared" si="27"/>
        <v>0</v>
      </c>
      <c r="BN185" s="75">
        <f t="shared" si="28"/>
        <v>0</v>
      </c>
      <c r="BO185" s="75">
        <f t="shared" si="29"/>
        <v>0</v>
      </c>
      <c r="BP185" s="75">
        <f t="shared" si="30"/>
        <v>0</v>
      </c>
    </row>
    <row r="186" spans="1:68" ht="16.5" hidden="1" customHeight="1" x14ac:dyDescent="0.25">
      <c r="A186" s="60" t="s">
        <v>326</v>
      </c>
      <c r="B186" s="60" t="s">
        <v>329</v>
      </c>
      <c r="C186" s="34">
        <v>4301031528</v>
      </c>
      <c r="D186" s="720">
        <v>4680115887787</v>
      </c>
      <c r="E186" s="720"/>
      <c r="F186" s="59">
        <v>0.09</v>
      </c>
      <c r="G186" s="35">
        <v>10</v>
      </c>
      <c r="H186" s="59">
        <v>0.9</v>
      </c>
      <c r="I186" s="59">
        <v>1.1100000000000001</v>
      </c>
      <c r="J186" s="35">
        <v>192</v>
      </c>
      <c r="K186" s="35" t="s">
        <v>131</v>
      </c>
      <c r="L186" s="35" t="s">
        <v>46</v>
      </c>
      <c r="M186" s="36" t="s">
        <v>81</v>
      </c>
      <c r="N186" s="36"/>
      <c r="O186" s="35">
        <v>45</v>
      </c>
      <c r="P186" s="819" t="s">
        <v>330</v>
      </c>
      <c r="Q186" s="722"/>
      <c r="R186" s="722"/>
      <c r="S186" s="722"/>
      <c r="T186" s="723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26"/>
        <v>0</v>
      </c>
      <c r="Z186" s="39" t="str">
        <f>IFERROR(IF(Y186=0,"",ROUNDUP(Y186/H186,0)*0.00726),"")</f>
        <v/>
      </c>
      <c r="AA186" s="65" t="s">
        <v>46</v>
      </c>
      <c r="AB186" s="66" t="s">
        <v>46</v>
      </c>
      <c r="AC186" s="263" t="s">
        <v>328</v>
      </c>
      <c r="AG186" s="75"/>
      <c r="AJ186" s="79" t="s">
        <v>46</v>
      </c>
      <c r="AK186" s="79">
        <v>0</v>
      </c>
      <c r="BB186" s="264" t="s">
        <v>67</v>
      </c>
      <c r="BM186" s="75">
        <f t="shared" si="27"/>
        <v>0</v>
      </c>
      <c r="BN186" s="75">
        <f t="shared" si="28"/>
        <v>0</v>
      </c>
      <c r="BO186" s="75">
        <f t="shared" si="29"/>
        <v>0</v>
      </c>
      <c r="BP186" s="75">
        <f t="shared" si="30"/>
        <v>0</v>
      </c>
    </row>
    <row r="187" spans="1:68" ht="27" hidden="1" customHeight="1" x14ac:dyDescent="0.25">
      <c r="A187" s="60" t="s">
        <v>331</v>
      </c>
      <c r="B187" s="60" t="s">
        <v>332</v>
      </c>
      <c r="C187" s="34">
        <v>4301031448</v>
      </c>
      <c r="D187" s="720">
        <v>4680115887503</v>
      </c>
      <c r="E187" s="720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82</v>
      </c>
      <c r="L187" s="35" t="s">
        <v>46</v>
      </c>
      <c r="M187" s="36" t="s">
        <v>81</v>
      </c>
      <c r="N187" s="36"/>
      <c r="O187" s="35">
        <v>40</v>
      </c>
      <c r="P187" s="82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722"/>
      <c r="R187" s="722"/>
      <c r="S187" s="722"/>
      <c r="T187" s="723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6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65" t="s">
        <v>313</v>
      </c>
      <c r="AG187" s="75"/>
      <c r="AJ187" s="79" t="s">
        <v>46</v>
      </c>
      <c r="AK187" s="79">
        <v>0</v>
      </c>
      <c r="BB187" s="266" t="s">
        <v>67</v>
      </c>
      <c r="BM187" s="75">
        <f t="shared" si="27"/>
        <v>0</v>
      </c>
      <c r="BN187" s="75">
        <f t="shared" si="28"/>
        <v>0</v>
      </c>
      <c r="BO187" s="75">
        <f t="shared" si="29"/>
        <v>0</v>
      </c>
      <c r="BP187" s="75">
        <f t="shared" si="30"/>
        <v>0</v>
      </c>
    </row>
    <row r="188" spans="1:68" ht="27" hidden="1" customHeight="1" x14ac:dyDescent="0.25">
      <c r="A188" s="60" t="s">
        <v>333</v>
      </c>
      <c r="B188" s="60" t="s">
        <v>334</v>
      </c>
      <c r="C188" s="34">
        <v>4301031389</v>
      </c>
      <c r="D188" s="720">
        <v>4680115887763</v>
      </c>
      <c r="E188" s="720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2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722"/>
      <c r="R188" s="722"/>
      <c r="S188" s="722"/>
      <c r="T188" s="723"/>
      <c r="U188" s="37" t="s">
        <v>46</v>
      </c>
      <c r="V188" s="37" t="s">
        <v>46</v>
      </c>
      <c r="W188" s="38" t="s">
        <v>0</v>
      </c>
      <c r="X188" s="56">
        <v>0</v>
      </c>
      <c r="Y188" s="53">
        <f t="shared" si="26"/>
        <v>0</v>
      </c>
      <c r="Z188" s="39" t="str">
        <f>IFERROR(IF(Y188=0,"",ROUNDUP(Y188/H188,0)*0.00417),"")</f>
        <v/>
      </c>
      <c r="AA188" s="65" t="s">
        <v>46</v>
      </c>
      <c r="AB188" s="66" t="s">
        <v>46</v>
      </c>
      <c r="AC188" s="267" t="s">
        <v>335</v>
      </c>
      <c r="AG188" s="75"/>
      <c r="AJ188" s="79" t="s">
        <v>46</v>
      </c>
      <c r="AK188" s="79">
        <v>0</v>
      </c>
      <c r="BB188" s="268" t="s">
        <v>67</v>
      </c>
      <c r="BM188" s="75">
        <f t="shared" si="27"/>
        <v>0</v>
      </c>
      <c r="BN188" s="75">
        <f t="shared" si="28"/>
        <v>0</v>
      </c>
      <c r="BO188" s="75">
        <f t="shared" si="29"/>
        <v>0</v>
      </c>
      <c r="BP188" s="75">
        <f t="shared" si="30"/>
        <v>0</v>
      </c>
    </row>
    <row r="189" spans="1:68" ht="27" hidden="1" customHeight="1" x14ac:dyDescent="0.25">
      <c r="A189" s="60" t="s">
        <v>336</v>
      </c>
      <c r="B189" s="60" t="s">
        <v>337</v>
      </c>
      <c r="C189" s="34">
        <v>4301031454</v>
      </c>
      <c r="D189" s="720">
        <v>4680115887480</v>
      </c>
      <c r="E189" s="720"/>
      <c r="F189" s="59">
        <v>0.28000000000000003</v>
      </c>
      <c r="G189" s="35">
        <v>6</v>
      </c>
      <c r="H189" s="59">
        <v>1.68</v>
      </c>
      <c r="I189" s="59">
        <v>1.78</v>
      </c>
      <c r="J189" s="35">
        <v>234</v>
      </c>
      <c r="K189" s="35" t="s">
        <v>82</v>
      </c>
      <c r="L189" s="35" t="s">
        <v>46</v>
      </c>
      <c r="M189" s="36" t="s">
        <v>81</v>
      </c>
      <c r="N189" s="36"/>
      <c r="O189" s="35">
        <v>40</v>
      </c>
      <c r="P189" s="822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722"/>
      <c r="R189" s="722"/>
      <c r="S189" s="722"/>
      <c r="T189" s="723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6"/>
        <v>0</v>
      </c>
      <c r="Z189" s="39" t="str">
        <f>IFERROR(IF(Y189=0,"",ROUNDUP(Y189/H189,0)*0.00502),"")</f>
        <v/>
      </c>
      <c r="AA189" s="65" t="s">
        <v>46</v>
      </c>
      <c r="AB189" s="66" t="s">
        <v>46</v>
      </c>
      <c r="AC189" s="269" t="s">
        <v>319</v>
      </c>
      <c r="AG189" s="75"/>
      <c r="AJ189" s="79" t="s">
        <v>46</v>
      </c>
      <c r="AK189" s="79">
        <v>0</v>
      </c>
      <c r="BB189" s="270" t="s">
        <v>67</v>
      </c>
      <c r="BM189" s="75">
        <f t="shared" si="27"/>
        <v>0</v>
      </c>
      <c r="BN189" s="75">
        <f t="shared" si="28"/>
        <v>0</v>
      </c>
      <c r="BO189" s="75">
        <f t="shared" si="29"/>
        <v>0</v>
      </c>
      <c r="BP189" s="75">
        <f t="shared" si="30"/>
        <v>0</v>
      </c>
    </row>
    <row r="190" spans="1:68" ht="27" hidden="1" customHeight="1" x14ac:dyDescent="0.25">
      <c r="A190" s="60" t="s">
        <v>338</v>
      </c>
      <c r="B190" s="60" t="s">
        <v>339</v>
      </c>
      <c r="C190" s="34">
        <v>4301031434</v>
      </c>
      <c r="D190" s="720">
        <v>4680115888067</v>
      </c>
      <c r="E190" s="720"/>
      <c r="F190" s="59">
        <v>0.09</v>
      </c>
      <c r="G190" s="35">
        <v>10</v>
      </c>
      <c r="H190" s="59">
        <v>0.9</v>
      </c>
      <c r="I190" s="59">
        <v>1</v>
      </c>
      <c r="J190" s="35">
        <v>336</v>
      </c>
      <c r="K190" s="35" t="s">
        <v>131</v>
      </c>
      <c r="L190" s="35" t="s">
        <v>46</v>
      </c>
      <c r="M190" s="36" t="s">
        <v>81</v>
      </c>
      <c r="N190" s="36"/>
      <c r="O190" s="35">
        <v>45</v>
      </c>
      <c r="P190" s="823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722"/>
      <c r="R190" s="722"/>
      <c r="S190" s="722"/>
      <c r="T190" s="723"/>
      <c r="U190" s="37" t="s">
        <v>46</v>
      </c>
      <c r="V190" s="37" t="s">
        <v>46</v>
      </c>
      <c r="W190" s="38" t="s">
        <v>0</v>
      </c>
      <c r="X190" s="56">
        <v>0</v>
      </c>
      <c r="Y190" s="53">
        <f t="shared" si="26"/>
        <v>0</v>
      </c>
      <c r="Z190" s="39" t="str">
        <f>IFERROR(IF(Y190=0,"",ROUNDUP(Y190/H190,0)*0.00417),"")</f>
        <v/>
      </c>
      <c r="AA190" s="65" t="s">
        <v>46</v>
      </c>
      <c r="AB190" s="66" t="s">
        <v>46</v>
      </c>
      <c r="AC190" s="271" t="s">
        <v>340</v>
      </c>
      <c r="AG190" s="75"/>
      <c r="AJ190" s="79" t="s">
        <v>46</v>
      </c>
      <c r="AK190" s="79">
        <v>0</v>
      </c>
      <c r="BB190" s="272" t="s">
        <v>67</v>
      </c>
      <c r="BM190" s="75">
        <f t="shared" si="27"/>
        <v>0</v>
      </c>
      <c r="BN190" s="75">
        <f t="shared" si="28"/>
        <v>0</v>
      </c>
      <c r="BO190" s="75">
        <f t="shared" si="29"/>
        <v>0</v>
      </c>
      <c r="BP190" s="75">
        <f t="shared" si="30"/>
        <v>0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4301031519</v>
      </c>
      <c r="D191" s="720">
        <v>4680115887435</v>
      </c>
      <c r="E191" s="720"/>
      <c r="F191" s="59">
        <v>0.28000000000000003</v>
      </c>
      <c r="G191" s="35">
        <v>6</v>
      </c>
      <c r="H191" s="59">
        <v>1.68</v>
      </c>
      <c r="I191" s="59">
        <v>1.78</v>
      </c>
      <c r="J191" s="35">
        <v>234</v>
      </c>
      <c r="K191" s="35" t="s">
        <v>82</v>
      </c>
      <c r="L191" s="35" t="s">
        <v>46</v>
      </c>
      <c r="M191" s="36" t="s">
        <v>81</v>
      </c>
      <c r="N191" s="36"/>
      <c r="O191" s="35">
        <v>45</v>
      </c>
      <c r="P191" s="82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722"/>
      <c r="R191" s="722"/>
      <c r="S191" s="722"/>
      <c r="T191" s="723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6"/>
        <v>0</v>
      </c>
      <c r="Z191" s="39" t="str">
        <f>IFERROR(IF(Y191=0,"",ROUNDUP(Y191/H191,0)*0.00502),"")</f>
        <v/>
      </c>
      <c r="AA191" s="65" t="s">
        <v>46</v>
      </c>
      <c r="AB191" s="66" t="s">
        <v>46</v>
      </c>
      <c r="AC191" s="273" t="s">
        <v>325</v>
      </c>
      <c r="AG191" s="75"/>
      <c r="AJ191" s="79" t="s">
        <v>46</v>
      </c>
      <c r="AK191" s="79">
        <v>0</v>
      </c>
      <c r="BB191" s="274" t="s">
        <v>67</v>
      </c>
      <c r="BM191" s="75">
        <f t="shared" si="27"/>
        <v>0</v>
      </c>
      <c r="BN191" s="75">
        <f t="shared" si="28"/>
        <v>0</v>
      </c>
      <c r="BO191" s="75">
        <f t="shared" si="29"/>
        <v>0</v>
      </c>
      <c r="BP191" s="75">
        <f t="shared" si="30"/>
        <v>0</v>
      </c>
    </row>
    <row r="192" spans="1:68" hidden="1" x14ac:dyDescent="0.2">
      <c r="A192" s="728"/>
      <c r="B192" s="728"/>
      <c r="C192" s="728"/>
      <c r="D192" s="728"/>
      <c r="E192" s="728"/>
      <c r="F192" s="728"/>
      <c r="G192" s="728"/>
      <c r="H192" s="728"/>
      <c r="I192" s="728"/>
      <c r="J192" s="728"/>
      <c r="K192" s="728"/>
      <c r="L192" s="728"/>
      <c r="M192" s="728"/>
      <c r="N192" s="728"/>
      <c r="O192" s="729"/>
      <c r="P192" s="725" t="s">
        <v>40</v>
      </c>
      <c r="Q192" s="726"/>
      <c r="R192" s="726"/>
      <c r="S192" s="726"/>
      <c r="T192" s="726"/>
      <c r="U192" s="726"/>
      <c r="V192" s="727"/>
      <c r="W192" s="40" t="s">
        <v>39</v>
      </c>
      <c r="X192" s="41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1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1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8"/>
      <c r="B193" s="728"/>
      <c r="C193" s="728"/>
      <c r="D193" s="728"/>
      <c r="E193" s="728"/>
      <c r="F193" s="728"/>
      <c r="G193" s="728"/>
      <c r="H193" s="728"/>
      <c r="I193" s="728"/>
      <c r="J193" s="728"/>
      <c r="K193" s="728"/>
      <c r="L193" s="728"/>
      <c r="M193" s="728"/>
      <c r="N193" s="728"/>
      <c r="O193" s="729"/>
      <c r="P193" s="725" t="s">
        <v>40</v>
      </c>
      <c r="Q193" s="726"/>
      <c r="R193" s="726"/>
      <c r="S193" s="726"/>
      <c r="T193" s="726"/>
      <c r="U193" s="726"/>
      <c r="V193" s="727"/>
      <c r="W193" s="40" t="s">
        <v>0</v>
      </c>
      <c r="X193" s="41">
        <f>IFERROR(SUM(X180:X191),"0")</f>
        <v>0</v>
      </c>
      <c r="Y193" s="41">
        <f>IFERROR(SUM(Y180:Y191),"0")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9" t="s">
        <v>86</v>
      </c>
      <c r="B194" s="719"/>
      <c r="C194" s="719"/>
      <c r="D194" s="719"/>
      <c r="E194" s="719"/>
      <c r="F194" s="719"/>
      <c r="G194" s="719"/>
      <c r="H194" s="719"/>
      <c r="I194" s="719"/>
      <c r="J194" s="719"/>
      <c r="K194" s="719"/>
      <c r="L194" s="719"/>
      <c r="M194" s="719"/>
      <c r="N194" s="719"/>
      <c r="O194" s="719"/>
      <c r="P194" s="719"/>
      <c r="Q194" s="719"/>
      <c r="R194" s="719"/>
      <c r="S194" s="719"/>
      <c r="T194" s="719"/>
      <c r="U194" s="719"/>
      <c r="V194" s="719"/>
      <c r="W194" s="719"/>
      <c r="X194" s="719"/>
      <c r="Y194" s="719"/>
      <c r="Z194" s="719"/>
      <c r="AA194" s="63"/>
      <c r="AB194" s="63"/>
      <c r="AC194" s="63"/>
    </row>
    <row r="195" spans="1:68" ht="16.5" hidden="1" customHeight="1" x14ac:dyDescent="0.25">
      <c r="A195" s="60" t="s">
        <v>343</v>
      </c>
      <c r="B195" s="60" t="s">
        <v>344</v>
      </c>
      <c r="C195" s="34">
        <v>4301052193</v>
      </c>
      <c r="D195" s="720">
        <v>4680115888395</v>
      </c>
      <c r="E195" s="720"/>
      <c r="F195" s="59">
        <v>0.42</v>
      </c>
      <c r="G195" s="35">
        <v>6</v>
      </c>
      <c r="H195" s="59">
        <v>2.52</v>
      </c>
      <c r="I195" s="59">
        <v>2.766</v>
      </c>
      <c r="J195" s="35">
        <v>182</v>
      </c>
      <c r="K195" s="35" t="s">
        <v>91</v>
      </c>
      <c r="L195" s="35" t="s">
        <v>46</v>
      </c>
      <c r="M195" s="36" t="s">
        <v>97</v>
      </c>
      <c r="N195" s="36"/>
      <c r="O195" s="35">
        <v>40</v>
      </c>
      <c r="P195" s="82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722"/>
      <c r="R195" s="722"/>
      <c r="S195" s="722"/>
      <c r="T195" s="723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IFERROR(IF(Y195=0,"",ROUNDUP(Y195/H195,0)*0.00651),"")</f>
        <v/>
      </c>
      <c r="AA195" s="65" t="s">
        <v>46</v>
      </c>
      <c r="AB195" s="66" t="s">
        <v>46</v>
      </c>
      <c r="AC195" s="275" t="s">
        <v>345</v>
      </c>
      <c r="AG195" s="75"/>
      <c r="AJ195" s="79" t="s">
        <v>46</v>
      </c>
      <c r="AK195" s="79">
        <v>0</v>
      </c>
      <c r="BB195" s="276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t="16.5" hidden="1" customHeight="1" x14ac:dyDescent="0.25">
      <c r="A196" s="60" t="s">
        <v>346</v>
      </c>
      <c r="B196" s="60" t="s">
        <v>347</v>
      </c>
      <c r="C196" s="34">
        <v>4301052191</v>
      </c>
      <c r="D196" s="720">
        <v>4680115888371</v>
      </c>
      <c r="E196" s="720"/>
      <c r="F196" s="59">
        <v>0.42</v>
      </c>
      <c r="G196" s="35">
        <v>6</v>
      </c>
      <c r="H196" s="59">
        <v>2.52</v>
      </c>
      <c r="I196" s="59">
        <v>2.766</v>
      </c>
      <c r="J196" s="35">
        <v>182</v>
      </c>
      <c r="K196" s="35" t="s">
        <v>91</v>
      </c>
      <c r="L196" s="35" t="s">
        <v>46</v>
      </c>
      <c r="M196" s="36" t="s">
        <v>97</v>
      </c>
      <c r="N196" s="36"/>
      <c r="O196" s="35">
        <v>40</v>
      </c>
      <c r="P196" s="82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722"/>
      <c r="R196" s="722"/>
      <c r="S196" s="722"/>
      <c r="T196" s="723"/>
      <c r="U196" s="37" t="s">
        <v>46</v>
      </c>
      <c r="V196" s="37" t="s">
        <v>46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IFERROR(IF(Y196=0,"",ROUNDUP(Y196/H196,0)*0.00651),"")</f>
        <v/>
      </c>
      <c r="AA196" s="65" t="s">
        <v>46</v>
      </c>
      <c r="AB196" s="66" t="s">
        <v>46</v>
      </c>
      <c r="AC196" s="277" t="s">
        <v>348</v>
      </c>
      <c r="AG196" s="75"/>
      <c r="AJ196" s="79" t="s">
        <v>46</v>
      </c>
      <c r="AK196" s="79">
        <v>0</v>
      </c>
      <c r="BB196" s="278" t="s">
        <v>67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349</v>
      </c>
      <c r="B197" s="60" t="s">
        <v>350</v>
      </c>
      <c r="C197" s="34">
        <v>4301052064</v>
      </c>
      <c r="D197" s="720">
        <v>4680115887459</v>
      </c>
      <c r="E197" s="720"/>
      <c r="F197" s="59">
        <v>0.3</v>
      </c>
      <c r="G197" s="35">
        <v>6</v>
      </c>
      <c r="H197" s="59">
        <v>1.8</v>
      </c>
      <c r="I197" s="59">
        <v>2.0579999999999998</v>
      </c>
      <c r="J197" s="35">
        <v>182</v>
      </c>
      <c r="K197" s="35" t="s">
        <v>91</v>
      </c>
      <c r="L197" s="35" t="s">
        <v>46</v>
      </c>
      <c r="M197" s="36" t="s">
        <v>90</v>
      </c>
      <c r="N197" s="36"/>
      <c r="O197" s="35">
        <v>45</v>
      </c>
      <c r="P197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722"/>
      <c r="R197" s="722"/>
      <c r="S197" s="722"/>
      <c r="T197" s="723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46</v>
      </c>
      <c r="AB197" s="66" t="s">
        <v>46</v>
      </c>
      <c r="AC197" s="279" t="s">
        <v>351</v>
      </c>
      <c r="AG197" s="75"/>
      <c r="AJ197" s="79" t="s">
        <v>46</v>
      </c>
      <c r="AK197" s="79">
        <v>0</v>
      </c>
      <c r="BB197" s="280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728"/>
      <c r="B198" s="728"/>
      <c r="C198" s="728"/>
      <c r="D198" s="728"/>
      <c r="E198" s="728"/>
      <c r="F198" s="728"/>
      <c r="G198" s="728"/>
      <c r="H198" s="728"/>
      <c r="I198" s="728"/>
      <c r="J198" s="728"/>
      <c r="K198" s="728"/>
      <c r="L198" s="728"/>
      <c r="M198" s="728"/>
      <c r="N198" s="728"/>
      <c r="O198" s="729"/>
      <c r="P198" s="725" t="s">
        <v>40</v>
      </c>
      <c r="Q198" s="726"/>
      <c r="R198" s="726"/>
      <c r="S198" s="726"/>
      <c r="T198" s="726"/>
      <c r="U198" s="726"/>
      <c r="V198" s="727"/>
      <c r="W198" s="40" t="s">
        <v>39</v>
      </c>
      <c r="X198" s="41">
        <f>IFERROR(X195/H195,"0")+IFERROR(X196/H196,"0")+IFERROR(X197/H197,"0")</f>
        <v>0</v>
      </c>
      <c r="Y198" s="41">
        <f>IFERROR(Y195/H195,"0")+IFERROR(Y196/H196,"0")+IFERROR(Y197/H197,"0")</f>
        <v>0</v>
      </c>
      <c r="Z198" s="41">
        <f>IFERROR(IF(Z195="",0,Z195),"0")+IFERROR(IF(Z196="",0,Z196),"0")+IFERROR(IF(Z197="",0,Z197),"0")</f>
        <v>0</v>
      </c>
      <c r="AA198" s="64"/>
      <c r="AB198" s="64"/>
      <c r="AC198" s="64"/>
    </row>
    <row r="199" spans="1:68" hidden="1" x14ac:dyDescent="0.2">
      <c r="A199" s="728"/>
      <c r="B199" s="728"/>
      <c r="C199" s="728"/>
      <c r="D199" s="728"/>
      <c r="E199" s="728"/>
      <c r="F199" s="728"/>
      <c r="G199" s="728"/>
      <c r="H199" s="728"/>
      <c r="I199" s="728"/>
      <c r="J199" s="728"/>
      <c r="K199" s="728"/>
      <c r="L199" s="728"/>
      <c r="M199" s="728"/>
      <c r="N199" s="728"/>
      <c r="O199" s="729"/>
      <c r="P199" s="725" t="s">
        <v>40</v>
      </c>
      <c r="Q199" s="726"/>
      <c r="R199" s="726"/>
      <c r="S199" s="726"/>
      <c r="T199" s="726"/>
      <c r="U199" s="726"/>
      <c r="V199" s="727"/>
      <c r="W199" s="40" t="s">
        <v>0</v>
      </c>
      <c r="X199" s="41">
        <f>IFERROR(SUM(X195:X197),"0")</f>
        <v>0</v>
      </c>
      <c r="Y199" s="41">
        <f>IFERROR(SUM(Y195:Y197),"0")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719" t="s">
        <v>289</v>
      </c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19"/>
      <c r="P200" s="719"/>
      <c r="Q200" s="719"/>
      <c r="R200" s="719"/>
      <c r="S200" s="719"/>
      <c r="T200" s="719"/>
      <c r="U200" s="719"/>
      <c r="V200" s="719"/>
      <c r="W200" s="719"/>
      <c r="X200" s="719"/>
      <c r="Y200" s="719"/>
      <c r="Z200" s="719"/>
      <c r="AA200" s="63"/>
      <c r="AB200" s="63"/>
      <c r="AC200" s="63"/>
    </row>
    <row r="201" spans="1:68" ht="16.5" hidden="1" customHeight="1" x14ac:dyDescent="0.25">
      <c r="A201" s="60" t="s">
        <v>352</v>
      </c>
      <c r="B201" s="60" t="s">
        <v>353</v>
      </c>
      <c r="C201" s="34">
        <v>4301032058</v>
      </c>
      <c r="D201" s="720">
        <v>4680115889026</v>
      </c>
      <c r="E201" s="720"/>
      <c r="F201" s="59">
        <v>0.06</v>
      </c>
      <c r="G201" s="35">
        <v>18</v>
      </c>
      <c r="H201" s="59">
        <v>1.08</v>
      </c>
      <c r="I201" s="59">
        <v>1.36</v>
      </c>
      <c r="J201" s="35">
        <v>216</v>
      </c>
      <c r="K201" s="35" t="s">
        <v>355</v>
      </c>
      <c r="L201" s="35" t="s">
        <v>46</v>
      </c>
      <c r="M201" s="36" t="s">
        <v>294</v>
      </c>
      <c r="N201" s="36"/>
      <c r="O201" s="35">
        <v>60</v>
      </c>
      <c r="P201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722"/>
      <c r="R201" s="722"/>
      <c r="S201" s="722"/>
      <c r="T201" s="723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IFERROR(IF(Y201=0,"",ROUNDUP(Y201/H201,0)*0.0059),"")</f>
        <v/>
      </c>
      <c r="AA201" s="65" t="s">
        <v>46</v>
      </c>
      <c r="AB201" s="66" t="s">
        <v>46</v>
      </c>
      <c r="AC201" s="281" t="s">
        <v>354</v>
      </c>
      <c r="AG201" s="75"/>
      <c r="AJ201" s="79" t="s">
        <v>46</v>
      </c>
      <c r="AK201" s="79">
        <v>0</v>
      </c>
      <c r="BB201" s="282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28"/>
      <c r="B202" s="728"/>
      <c r="C202" s="728"/>
      <c r="D202" s="728"/>
      <c r="E202" s="728"/>
      <c r="F202" s="728"/>
      <c r="G202" s="728"/>
      <c r="H202" s="728"/>
      <c r="I202" s="728"/>
      <c r="J202" s="728"/>
      <c r="K202" s="728"/>
      <c r="L202" s="728"/>
      <c r="M202" s="728"/>
      <c r="N202" s="728"/>
      <c r="O202" s="729"/>
      <c r="P202" s="725" t="s">
        <v>40</v>
      </c>
      <c r="Q202" s="726"/>
      <c r="R202" s="726"/>
      <c r="S202" s="726"/>
      <c r="T202" s="726"/>
      <c r="U202" s="726"/>
      <c r="V202" s="727"/>
      <c r="W202" s="40" t="s">
        <v>39</v>
      </c>
      <c r="X202" s="41">
        <f>IFERROR(X201/H201,"0")</f>
        <v>0</v>
      </c>
      <c r="Y202" s="41">
        <f>IFERROR(Y201/H201,"0")</f>
        <v>0</v>
      </c>
      <c r="Z202" s="41">
        <f>IFERROR(IF(Z201="",0,Z201),"0")</f>
        <v>0</v>
      </c>
      <c r="AA202" s="64"/>
      <c r="AB202" s="64"/>
      <c r="AC202" s="64"/>
    </row>
    <row r="203" spans="1:68" hidden="1" x14ac:dyDescent="0.2">
      <c r="A203" s="728"/>
      <c r="B203" s="728"/>
      <c r="C203" s="728"/>
      <c r="D203" s="728"/>
      <c r="E203" s="728"/>
      <c r="F203" s="728"/>
      <c r="G203" s="728"/>
      <c r="H203" s="728"/>
      <c r="I203" s="728"/>
      <c r="J203" s="728"/>
      <c r="K203" s="728"/>
      <c r="L203" s="728"/>
      <c r="M203" s="728"/>
      <c r="N203" s="728"/>
      <c r="O203" s="729"/>
      <c r="P203" s="725" t="s">
        <v>40</v>
      </c>
      <c r="Q203" s="726"/>
      <c r="R203" s="726"/>
      <c r="S203" s="726"/>
      <c r="T203" s="726"/>
      <c r="U203" s="726"/>
      <c r="V203" s="727"/>
      <c r="W203" s="40" t="s">
        <v>0</v>
      </c>
      <c r="X203" s="41">
        <f>IFERROR(SUM(X201:X201),"0")</f>
        <v>0</v>
      </c>
      <c r="Y203" s="41">
        <f>IFERROR(SUM(Y201:Y201),"0")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19" t="s">
        <v>356</v>
      </c>
      <c r="B204" s="719"/>
      <c r="C204" s="719"/>
      <c r="D204" s="719"/>
      <c r="E204" s="719"/>
      <c r="F204" s="719"/>
      <c r="G204" s="719"/>
      <c r="H204" s="719"/>
      <c r="I204" s="719"/>
      <c r="J204" s="719"/>
      <c r="K204" s="719"/>
      <c r="L204" s="719"/>
      <c r="M204" s="719"/>
      <c r="N204" s="719"/>
      <c r="O204" s="719"/>
      <c r="P204" s="719"/>
      <c r="Q204" s="719"/>
      <c r="R204" s="719"/>
      <c r="S204" s="719"/>
      <c r="T204" s="719"/>
      <c r="U204" s="719"/>
      <c r="V204" s="719"/>
      <c r="W204" s="719"/>
      <c r="X204" s="719"/>
      <c r="Y204" s="719"/>
      <c r="Z204" s="719"/>
      <c r="AA204" s="63"/>
      <c r="AB204" s="63"/>
      <c r="AC204" s="63"/>
    </row>
    <row r="205" spans="1:68" ht="27" hidden="1" customHeight="1" x14ac:dyDescent="0.25">
      <c r="A205" s="60" t="s">
        <v>357</v>
      </c>
      <c r="B205" s="60" t="s">
        <v>358</v>
      </c>
      <c r="C205" s="34">
        <v>4301041009</v>
      </c>
      <c r="D205" s="720">
        <v>4680115889033</v>
      </c>
      <c r="E205" s="720"/>
      <c r="F205" s="59">
        <v>0.11</v>
      </c>
      <c r="G205" s="35">
        <v>15</v>
      </c>
      <c r="H205" s="59">
        <v>1.65</v>
      </c>
      <c r="I205" s="59">
        <v>1.9</v>
      </c>
      <c r="J205" s="35">
        <v>216</v>
      </c>
      <c r="K205" s="35" t="s">
        <v>355</v>
      </c>
      <c r="L205" s="35" t="s">
        <v>46</v>
      </c>
      <c r="M205" s="36" t="s">
        <v>294</v>
      </c>
      <c r="N205" s="36"/>
      <c r="O205" s="35">
        <v>60</v>
      </c>
      <c r="P205" s="82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722"/>
      <c r="R205" s="722"/>
      <c r="S205" s="722"/>
      <c r="T205" s="723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3" t="s">
        <v>359</v>
      </c>
      <c r="AG205" s="75"/>
      <c r="AJ205" s="79" t="s">
        <v>46</v>
      </c>
      <c r="AK205" s="79">
        <v>0</v>
      </c>
      <c r="BB205" s="284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28"/>
      <c r="B206" s="728"/>
      <c r="C206" s="728"/>
      <c r="D206" s="728"/>
      <c r="E206" s="728"/>
      <c r="F206" s="728"/>
      <c r="G206" s="728"/>
      <c r="H206" s="728"/>
      <c r="I206" s="728"/>
      <c r="J206" s="728"/>
      <c r="K206" s="728"/>
      <c r="L206" s="728"/>
      <c r="M206" s="728"/>
      <c r="N206" s="728"/>
      <c r="O206" s="729"/>
      <c r="P206" s="725" t="s">
        <v>40</v>
      </c>
      <c r="Q206" s="726"/>
      <c r="R206" s="726"/>
      <c r="S206" s="726"/>
      <c r="T206" s="726"/>
      <c r="U206" s="726"/>
      <c r="V206" s="727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28"/>
      <c r="B207" s="728"/>
      <c r="C207" s="728"/>
      <c r="D207" s="728"/>
      <c r="E207" s="728"/>
      <c r="F207" s="728"/>
      <c r="G207" s="728"/>
      <c r="H207" s="728"/>
      <c r="I207" s="728"/>
      <c r="J207" s="728"/>
      <c r="K207" s="728"/>
      <c r="L207" s="728"/>
      <c r="M207" s="728"/>
      <c r="N207" s="728"/>
      <c r="O207" s="729"/>
      <c r="P207" s="725" t="s">
        <v>40</v>
      </c>
      <c r="Q207" s="726"/>
      <c r="R207" s="726"/>
      <c r="S207" s="726"/>
      <c r="T207" s="726"/>
      <c r="U207" s="726"/>
      <c r="V207" s="727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27.75" hidden="1" customHeight="1" x14ac:dyDescent="0.2">
      <c r="A208" s="717" t="s">
        <v>360</v>
      </c>
      <c r="B208" s="717"/>
      <c r="C208" s="717"/>
      <c r="D208" s="717"/>
      <c r="E208" s="717"/>
      <c r="F208" s="717"/>
      <c r="G208" s="717"/>
      <c r="H208" s="717"/>
      <c r="I208" s="717"/>
      <c r="J208" s="717"/>
      <c r="K208" s="717"/>
      <c r="L208" s="717"/>
      <c r="M208" s="717"/>
      <c r="N208" s="717"/>
      <c r="O208" s="717"/>
      <c r="P208" s="717"/>
      <c r="Q208" s="717"/>
      <c r="R208" s="717"/>
      <c r="S208" s="717"/>
      <c r="T208" s="717"/>
      <c r="U208" s="717"/>
      <c r="V208" s="717"/>
      <c r="W208" s="717"/>
      <c r="X208" s="717"/>
      <c r="Y208" s="717"/>
      <c r="Z208" s="717"/>
      <c r="AA208" s="52"/>
      <c r="AB208" s="52"/>
      <c r="AC208" s="52"/>
    </row>
    <row r="209" spans="1:68" ht="16.5" hidden="1" customHeight="1" x14ac:dyDescent="0.25">
      <c r="A209" s="718" t="s">
        <v>361</v>
      </c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62"/>
      <c r="AB209" s="62"/>
      <c r="AC209" s="62"/>
    </row>
    <row r="210" spans="1:68" ht="14.25" hidden="1" customHeight="1" x14ac:dyDescent="0.25">
      <c r="A210" s="719" t="s">
        <v>122</v>
      </c>
      <c r="B210" s="719"/>
      <c r="C210" s="719"/>
      <c r="D210" s="719"/>
      <c r="E210" s="719"/>
      <c r="F210" s="719"/>
      <c r="G210" s="719"/>
      <c r="H210" s="719"/>
      <c r="I210" s="719"/>
      <c r="J210" s="719"/>
      <c r="K210" s="719"/>
      <c r="L210" s="719"/>
      <c r="M210" s="719"/>
      <c r="N210" s="719"/>
      <c r="O210" s="719"/>
      <c r="P210" s="719"/>
      <c r="Q210" s="719"/>
      <c r="R210" s="719"/>
      <c r="S210" s="719"/>
      <c r="T210" s="719"/>
      <c r="U210" s="719"/>
      <c r="V210" s="719"/>
      <c r="W210" s="719"/>
      <c r="X210" s="719"/>
      <c r="Y210" s="719"/>
      <c r="Z210" s="719"/>
      <c r="AA210" s="63"/>
      <c r="AB210" s="63"/>
      <c r="AC210" s="63"/>
    </row>
    <row r="211" spans="1:68" ht="27" hidden="1" customHeight="1" x14ac:dyDescent="0.25">
      <c r="A211" s="60" t="s">
        <v>362</v>
      </c>
      <c r="B211" s="60" t="s">
        <v>363</v>
      </c>
      <c r="C211" s="34">
        <v>4301011223</v>
      </c>
      <c r="D211" s="720">
        <v>4607091383423</v>
      </c>
      <c r="E211" s="720"/>
      <c r="F211" s="59">
        <v>1.35</v>
      </c>
      <c r="G211" s="35">
        <v>8</v>
      </c>
      <c r="H211" s="59">
        <v>10.8</v>
      </c>
      <c r="I211" s="59">
        <v>11.305999999999999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3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722"/>
      <c r="R211" s="722"/>
      <c r="S211" s="722"/>
      <c r="T211" s="723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ref="Y211:Y217" si="31">IFERROR(IF(X211="",0,CEILING((X211/$H211),1)*$H211),"")</f>
        <v>0</v>
      </c>
      <c r="Z211" s="39" t="str">
        <f t="shared" ref="Z211:Z217" si="32">IFERROR(IF(Y211=0,"",ROUNDUP(Y211/H211,0)*0.01898),"")</f>
        <v/>
      </c>
      <c r="AA211" s="65" t="s">
        <v>46</v>
      </c>
      <c r="AB211" s="66" t="s">
        <v>46</v>
      </c>
      <c r="AC211" s="285" t="s">
        <v>125</v>
      </c>
      <c r="AG211" s="75"/>
      <c r="AJ211" s="79" t="s">
        <v>46</v>
      </c>
      <c r="AK211" s="79">
        <v>0</v>
      </c>
      <c r="BB211" s="286" t="s">
        <v>67</v>
      </c>
      <c r="BM211" s="75">
        <f t="shared" ref="BM211:BM217" si="33">IFERROR(X211*I211/H211,"0")</f>
        <v>0</v>
      </c>
      <c r="BN211" s="75">
        <f t="shared" ref="BN211:BN217" si="34">IFERROR(Y211*I211/H211,"0")</f>
        <v>0</v>
      </c>
      <c r="BO211" s="75">
        <f t="shared" ref="BO211:BO217" si="35">IFERROR(1/J211*(X211/H211),"0")</f>
        <v>0</v>
      </c>
      <c r="BP211" s="75">
        <f t="shared" ref="BP211:BP217" si="36">IFERROR(1/J211*(Y211/H211),"0")</f>
        <v>0</v>
      </c>
    </row>
    <row r="212" spans="1:68" ht="27" hidden="1" customHeight="1" x14ac:dyDescent="0.25">
      <c r="A212" s="60" t="s">
        <v>364</v>
      </c>
      <c r="B212" s="60" t="s">
        <v>365</v>
      </c>
      <c r="C212" s="34">
        <v>4301012340</v>
      </c>
      <c r="D212" s="720">
        <v>4680115888760</v>
      </c>
      <c r="E212" s="720"/>
      <c r="F212" s="59">
        <v>1.4</v>
      </c>
      <c r="G212" s="35">
        <v>6</v>
      </c>
      <c r="H212" s="59">
        <v>8.4</v>
      </c>
      <c r="I212" s="59">
        <v>8.81</v>
      </c>
      <c r="J212" s="35">
        <v>64</v>
      </c>
      <c r="K212" s="35" t="s">
        <v>127</v>
      </c>
      <c r="L212" s="35" t="s">
        <v>46</v>
      </c>
      <c r="M212" s="36" t="s">
        <v>90</v>
      </c>
      <c r="N212" s="36"/>
      <c r="O212" s="35">
        <v>35</v>
      </c>
      <c r="P212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722"/>
      <c r="R212" s="722"/>
      <c r="S212" s="722"/>
      <c r="T212" s="723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31"/>
        <v>0</v>
      </c>
      <c r="Z212" s="39" t="str">
        <f t="shared" si="32"/>
        <v/>
      </c>
      <c r="AA212" s="65" t="s">
        <v>46</v>
      </c>
      <c r="AB212" s="66" t="s">
        <v>46</v>
      </c>
      <c r="AC212" s="287" t="s">
        <v>366</v>
      </c>
      <c r="AG212" s="75"/>
      <c r="AJ212" s="79" t="s">
        <v>46</v>
      </c>
      <c r="AK212" s="79">
        <v>0</v>
      </c>
      <c r="BB212" s="288" t="s">
        <v>67</v>
      </c>
      <c r="BM212" s="75">
        <f t="shared" si="33"/>
        <v>0</v>
      </c>
      <c r="BN212" s="75">
        <f t="shared" si="34"/>
        <v>0</v>
      </c>
      <c r="BO212" s="75">
        <f t="shared" si="35"/>
        <v>0</v>
      </c>
      <c r="BP212" s="75">
        <f t="shared" si="36"/>
        <v>0</v>
      </c>
    </row>
    <row r="213" spans="1:68" ht="27" hidden="1" customHeight="1" x14ac:dyDescent="0.25">
      <c r="A213" s="60" t="s">
        <v>367</v>
      </c>
      <c r="B213" s="60" t="s">
        <v>368</v>
      </c>
      <c r="C213" s="34">
        <v>4301012341</v>
      </c>
      <c r="D213" s="720">
        <v>4680115888807</v>
      </c>
      <c r="E213" s="720"/>
      <c r="F213" s="59">
        <v>1.4</v>
      </c>
      <c r="G213" s="35">
        <v>6</v>
      </c>
      <c r="H213" s="59">
        <v>8.4</v>
      </c>
      <c r="I213" s="59">
        <v>8.81</v>
      </c>
      <c r="J213" s="35">
        <v>64</v>
      </c>
      <c r="K213" s="35" t="s">
        <v>127</v>
      </c>
      <c r="L213" s="35" t="s">
        <v>46</v>
      </c>
      <c r="M213" s="36" t="s">
        <v>90</v>
      </c>
      <c r="N213" s="36"/>
      <c r="O213" s="35">
        <v>35</v>
      </c>
      <c r="P213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722"/>
      <c r="R213" s="722"/>
      <c r="S213" s="722"/>
      <c r="T213" s="723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31"/>
        <v>0</v>
      </c>
      <c r="Z213" s="39" t="str">
        <f t="shared" si="32"/>
        <v/>
      </c>
      <c r="AA213" s="65" t="s">
        <v>46</v>
      </c>
      <c r="AB213" s="66" t="s">
        <v>46</v>
      </c>
      <c r="AC213" s="289" t="s">
        <v>369</v>
      </c>
      <c r="AG213" s="75"/>
      <c r="AJ213" s="79" t="s">
        <v>46</v>
      </c>
      <c r="AK213" s="79">
        <v>0</v>
      </c>
      <c r="BB213" s="290" t="s">
        <v>67</v>
      </c>
      <c r="BM213" s="75">
        <f t="shared" si="33"/>
        <v>0</v>
      </c>
      <c r="BN213" s="75">
        <f t="shared" si="34"/>
        <v>0</v>
      </c>
      <c r="BO213" s="75">
        <f t="shared" si="35"/>
        <v>0</v>
      </c>
      <c r="BP213" s="75">
        <f t="shared" si="36"/>
        <v>0</v>
      </c>
    </row>
    <row r="214" spans="1:68" ht="27" hidden="1" customHeight="1" x14ac:dyDescent="0.25">
      <c r="A214" s="60" t="s">
        <v>370</v>
      </c>
      <c r="B214" s="60" t="s">
        <v>371</v>
      </c>
      <c r="C214" s="34">
        <v>4301012342</v>
      </c>
      <c r="D214" s="720">
        <v>4680115888852</v>
      </c>
      <c r="E214" s="720"/>
      <c r="F214" s="59">
        <v>0.9</v>
      </c>
      <c r="G214" s="35">
        <v>6</v>
      </c>
      <c r="H214" s="59">
        <v>5.4</v>
      </c>
      <c r="I214" s="59">
        <v>5.81</v>
      </c>
      <c r="J214" s="35">
        <v>64</v>
      </c>
      <c r="K214" s="35" t="s">
        <v>127</v>
      </c>
      <c r="L214" s="35" t="s">
        <v>46</v>
      </c>
      <c r="M214" s="36" t="s">
        <v>90</v>
      </c>
      <c r="N214" s="36"/>
      <c r="O214" s="35">
        <v>35</v>
      </c>
      <c r="P214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722"/>
      <c r="R214" s="722"/>
      <c r="S214" s="722"/>
      <c r="T214" s="723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31"/>
        <v>0</v>
      </c>
      <c r="Z214" s="39" t="str">
        <f t="shared" si="32"/>
        <v/>
      </c>
      <c r="AA214" s="65" t="s">
        <v>46</v>
      </c>
      <c r="AB214" s="66" t="s">
        <v>46</v>
      </c>
      <c r="AC214" s="291" t="s">
        <v>372</v>
      </c>
      <c r="AG214" s="75"/>
      <c r="AJ214" s="79" t="s">
        <v>46</v>
      </c>
      <c r="AK214" s="79">
        <v>0</v>
      </c>
      <c r="BB214" s="292" t="s">
        <v>67</v>
      </c>
      <c r="BM214" s="75">
        <f t="shared" si="33"/>
        <v>0</v>
      </c>
      <c r="BN214" s="75">
        <f t="shared" si="34"/>
        <v>0</v>
      </c>
      <c r="BO214" s="75">
        <f t="shared" si="35"/>
        <v>0</v>
      </c>
      <c r="BP214" s="75">
        <f t="shared" si="36"/>
        <v>0</v>
      </c>
    </row>
    <row r="215" spans="1:68" ht="37.5" hidden="1" customHeight="1" x14ac:dyDescent="0.25">
      <c r="A215" s="60" t="s">
        <v>373</v>
      </c>
      <c r="B215" s="60" t="s">
        <v>374</v>
      </c>
      <c r="C215" s="34">
        <v>4301012370</v>
      </c>
      <c r="D215" s="720">
        <v>4680115886957</v>
      </c>
      <c r="E215" s="720"/>
      <c r="F215" s="59">
        <v>1.35</v>
      </c>
      <c r="G215" s="35">
        <v>8</v>
      </c>
      <c r="H215" s="59">
        <v>10.8</v>
      </c>
      <c r="I215" s="59">
        <v>11.29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722"/>
      <c r="R215" s="722"/>
      <c r="S215" s="722"/>
      <c r="T215" s="723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31"/>
        <v>0</v>
      </c>
      <c r="Z215" s="39" t="str">
        <f t="shared" si="32"/>
        <v/>
      </c>
      <c r="AA215" s="65" t="s">
        <v>46</v>
      </c>
      <c r="AB215" s="66" t="s">
        <v>46</v>
      </c>
      <c r="AC215" s="293" t="s">
        <v>375</v>
      </c>
      <c r="AG215" s="75"/>
      <c r="AJ215" s="79" t="s">
        <v>46</v>
      </c>
      <c r="AK215" s="79">
        <v>0</v>
      </c>
      <c r="BB215" s="294" t="s">
        <v>67</v>
      </c>
      <c r="BM215" s="75">
        <f t="shared" si="33"/>
        <v>0</v>
      </c>
      <c r="BN215" s="75">
        <f t="shared" si="34"/>
        <v>0</v>
      </c>
      <c r="BO215" s="75">
        <f t="shared" si="35"/>
        <v>0</v>
      </c>
      <c r="BP215" s="75">
        <f t="shared" si="36"/>
        <v>0</v>
      </c>
    </row>
    <row r="216" spans="1:68" ht="27" hidden="1" customHeight="1" x14ac:dyDescent="0.25">
      <c r="A216" s="60" t="s">
        <v>376</v>
      </c>
      <c r="B216" s="60" t="s">
        <v>377</v>
      </c>
      <c r="C216" s="34">
        <v>4301012098</v>
      </c>
      <c r="D216" s="720">
        <v>4680115885660</v>
      </c>
      <c r="E216" s="720"/>
      <c r="F216" s="59">
        <v>1.35</v>
      </c>
      <c r="G216" s="35">
        <v>8</v>
      </c>
      <c r="H216" s="59">
        <v>10.8</v>
      </c>
      <c r="I216" s="59">
        <v>11.21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722"/>
      <c r="R216" s="722"/>
      <c r="S216" s="722"/>
      <c r="T216" s="723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1"/>
        <v>0</v>
      </c>
      <c r="Z216" s="39" t="str">
        <f t="shared" si="32"/>
        <v/>
      </c>
      <c r="AA216" s="65" t="s">
        <v>46</v>
      </c>
      <c r="AB216" s="66" t="s">
        <v>46</v>
      </c>
      <c r="AC216" s="295" t="s">
        <v>378</v>
      </c>
      <c r="AG216" s="75"/>
      <c r="AJ216" s="79" t="s">
        <v>46</v>
      </c>
      <c r="AK216" s="79">
        <v>0</v>
      </c>
      <c r="BB216" s="296" t="s">
        <v>67</v>
      </c>
      <c r="BM216" s="75">
        <f t="shared" si="33"/>
        <v>0</v>
      </c>
      <c r="BN216" s="75">
        <f t="shared" si="34"/>
        <v>0</v>
      </c>
      <c r="BO216" s="75">
        <f t="shared" si="35"/>
        <v>0</v>
      </c>
      <c r="BP216" s="75">
        <f t="shared" si="36"/>
        <v>0</v>
      </c>
    </row>
    <row r="217" spans="1:68" ht="27" hidden="1" customHeight="1" x14ac:dyDescent="0.25">
      <c r="A217" s="60" t="s">
        <v>379</v>
      </c>
      <c r="B217" s="60" t="s">
        <v>380</v>
      </c>
      <c r="C217" s="34">
        <v>4301012369</v>
      </c>
      <c r="D217" s="720">
        <v>4680115886773</v>
      </c>
      <c r="E217" s="720"/>
      <c r="F217" s="59">
        <v>0.9</v>
      </c>
      <c r="G217" s="35">
        <v>10</v>
      </c>
      <c r="H217" s="59">
        <v>9</v>
      </c>
      <c r="I217" s="59">
        <v>9.51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722"/>
      <c r="R217" s="722"/>
      <c r="S217" s="722"/>
      <c r="T217" s="723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1"/>
        <v>0</v>
      </c>
      <c r="Z217" s="39" t="str">
        <f t="shared" si="32"/>
        <v/>
      </c>
      <c r="AA217" s="65" t="s">
        <v>46</v>
      </c>
      <c r="AB217" s="66" t="s">
        <v>46</v>
      </c>
      <c r="AC217" s="297" t="s">
        <v>381</v>
      </c>
      <c r="AG217" s="75"/>
      <c r="AJ217" s="79" t="s">
        <v>46</v>
      </c>
      <c r="AK217" s="79">
        <v>0</v>
      </c>
      <c r="BB217" s="298" t="s">
        <v>67</v>
      </c>
      <c r="BM217" s="75">
        <f t="shared" si="33"/>
        <v>0</v>
      </c>
      <c r="BN217" s="75">
        <f t="shared" si="34"/>
        <v>0</v>
      </c>
      <c r="BO217" s="75">
        <f t="shared" si="35"/>
        <v>0</v>
      </c>
      <c r="BP217" s="75">
        <f t="shared" si="36"/>
        <v>0</v>
      </c>
    </row>
    <row r="218" spans="1:68" hidden="1" x14ac:dyDescent="0.2">
      <c r="A218" s="728"/>
      <c r="B218" s="728"/>
      <c r="C218" s="728"/>
      <c r="D218" s="728"/>
      <c r="E218" s="728"/>
      <c r="F218" s="728"/>
      <c r="G218" s="728"/>
      <c r="H218" s="728"/>
      <c r="I218" s="728"/>
      <c r="J218" s="728"/>
      <c r="K218" s="728"/>
      <c r="L218" s="728"/>
      <c r="M218" s="728"/>
      <c r="N218" s="728"/>
      <c r="O218" s="729"/>
      <c r="P218" s="725" t="s">
        <v>40</v>
      </c>
      <c r="Q218" s="726"/>
      <c r="R218" s="726"/>
      <c r="S218" s="726"/>
      <c r="T218" s="726"/>
      <c r="U218" s="726"/>
      <c r="V218" s="727"/>
      <c r="W218" s="40" t="s">
        <v>39</v>
      </c>
      <c r="X218" s="41">
        <f>IFERROR(X211/H211,"0")+IFERROR(X212/H212,"0")+IFERROR(X213/H213,"0")+IFERROR(X214/H214,"0")+IFERROR(X215/H215,"0")+IFERROR(X216/H216,"0")+IFERROR(X217/H217,"0")</f>
        <v>0</v>
      </c>
      <c r="Y218" s="41">
        <f>IFERROR(Y211/H211,"0")+IFERROR(Y212/H212,"0")+IFERROR(Y213/H213,"0")+IFERROR(Y214/H214,"0")+IFERROR(Y215/H215,"0")+IFERROR(Y216/H216,"0")+IFERROR(Y217/H217,"0")</f>
        <v>0</v>
      </c>
      <c r="Z218" s="41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4"/>
      <c r="AB218" s="64"/>
      <c r="AC218" s="64"/>
    </row>
    <row r="219" spans="1:68" hidden="1" x14ac:dyDescent="0.2">
      <c r="A219" s="728"/>
      <c r="B219" s="728"/>
      <c r="C219" s="728"/>
      <c r="D219" s="728"/>
      <c r="E219" s="728"/>
      <c r="F219" s="728"/>
      <c r="G219" s="728"/>
      <c r="H219" s="728"/>
      <c r="I219" s="728"/>
      <c r="J219" s="728"/>
      <c r="K219" s="728"/>
      <c r="L219" s="728"/>
      <c r="M219" s="728"/>
      <c r="N219" s="728"/>
      <c r="O219" s="729"/>
      <c r="P219" s="725" t="s">
        <v>40</v>
      </c>
      <c r="Q219" s="726"/>
      <c r="R219" s="726"/>
      <c r="S219" s="726"/>
      <c r="T219" s="726"/>
      <c r="U219" s="726"/>
      <c r="V219" s="727"/>
      <c r="W219" s="40" t="s">
        <v>0</v>
      </c>
      <c r="X219" s="41">
        <f>IFERROR(SUM(X211:X217),"0")</f>
        <v>0</v>
      </c>
      <c r="Y219" s="41">
        <f>IFERROR(SUM(Y211:Y217),"0")</f>
        <v>0</v>
      </c>
      <c r="Z219" s="40"/>
      <c r="AA219" s="64"/>
      <c r="AB219" s="64"/>
      <c r="AC219" s="64"/>
    </row>
    <row r="220" spans="1:68" ht="16.5" hidden="1" customHeight="1" x14ac:dyDescent="0.25">
      <c r="A220" s="718" t="s">
        <v>382</v>
      </c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62"/>
      <c r="AB220" s="62"/>
      <c r="AC220" s="62"/>
    </row>
    <row r="221" spans="1:68" ht="14.25" hidden="1" customHeight="1" x14ac:dyDescent="0.25">
      <c r="A221" s="719" t="s">
        <v>155</v>
      </c>
      <c r="B221" s="719"/>
      <c r="C221" s="719"/>
      <c r="D221" s="719"/>
      <c r="E221" s="719"/>
      <c r="F221" s="719"/>
      <c r="G221" s="719"/>
      <c r="H221" s="719"/>
      <c r="I221" s="719"/>
      <c r="J221" s="719"/>
      <c r="K221" s="719"/>
      <c r="L221" s="719"/>
      <c r="M221" s="719"/>
      <c r="N221" s="719"/>
      <c r="O221" s="719"/>
      <c r="P221" s="719"/>
      <c r="Q221" s="719"/>
      <c r="R221" s="719"/>
      <c r="S221" s="719"/>
      <c r="T221" s="719"/>
      <c r="U221" s="719"/>
      <c r="V221" s="719"/>
      <c r="W221" s="719"/>
      <c r="X221" s="719"/>
      <c r="Y221" s="719"/>
      <c r="Z221" s="719"/>
      <c r="AA221" s="63"/>
      <c r="AB221" s="63"/>
      <c r="AC221" s="63"/>
    </row>
    <row r="222" spans="1:68" ht="27" hidden="1" customHeight="1" x14ac:dyDescent="0.25">
      <c r="A222" s="60" t="s">
        <v>383</v>
      </c>
      <c r="B222" s="60" t="s">
        <v>384</v>
      </c>
      <c r="C222" s="34">
        <v>4301020323</v>
      </c>
      <c r="D222" s="720">
        <v>4680115886223</v>
      </c>
      <c r="E222" s="720"/>
      <c r="F222" s="59">
        <v>0.33</v>
      </c>
      <c r="G222" s="35">
        <v>6</v>
      </c>
      <c r="H222" s="59">
        <v>1.98</v>
      </c>
      <c r="I222" s="59">
        <v>2.08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40</v>
      </c>
      <c r="P222" s="83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722"/>
      <c r="R222" s="722"/>
      <c r="S222" s="722"/>
      <c r="T222" s="723"/>
      <c r="U222" s="37" t="s">
        <v>46</v>
      </c>
      <c r="V222" s="37" t="s">
        <v>46</v>
      </c>
      <c r="W222" s="38" t="s">
        <v>0</v>
      </c>
      <c r="X222" s="56">
        <v>0</v>
      </c>
      <c r="Y222" s="53">
        <f>IFERROR(IF(X222="",0,CEILING((X222/$H222),1)*$H222),"")</f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9" t="s">
        <v>385</v>
      </c>
      <c r="AG222" s="75"/>
      <c r="AJ222" s="79" t="s">
        <v>46</v>
      </c>
      <c r="AK222" s="79">
        <v>0</v>
      </c>
      <c r="BB222" s="300" t="s">
        <v>67</v>
      </c>
      <c r="BM222" s="75">
        <f>IFERROR(X222*I222/H222,"0")</f>
        <v>0</v>
      </c>
      <c r="BN222" s="75">
        <f>IFERROR(Y222*I222/H222,"0")</f>
        <v>0</v>
      </c>
      <c r="BO222" s="75">
        <f>IFERROR(1/J222*(X222/H222),"0")</f>
        <v>0</v>
      </c>
      <c r="BP222" s="75">
        <f>IFERROR(1/J222*(Y222/H222),"0")</f>
        <v>0</v>
      </c>
    </row>
    <row r="223" spans="1:68" hidden="1" x14ac:dyDescent="0.2">
      <c r="A223" s="728"/>
      <c r="B223" s="728"/>
      <c r="C223" s="728"/>
      <c r="D223" s="728"/>
      <c r="E223" s="728"/>
      <c r="F223" s="728"/>
      <c r="G223" s="728"/>
      <c r="H223" s="728"/>
      <c r="I223" s="728"/>
      <c r="J223" s="728"/>
      <c r="K223" s="728"/>
      <c r="L223" s="728"/>
      <c r="M223" s="728"/>
      <c r="N223" s="728"/>
      <c r="O223" s="729"/>
      <c r="P223" s="725" t="s">
        <v>40</v>
      </c>
      <c r="Q223" s="726"/>
      <c r="R223" s="726"/>
      <c r="S223" s="726"/>
      <c r="T223" s="726"/>
      <c r="U223" s="726"/>
      <c r="V223" s="727"/>
      <c r="W223" s="40" t="s">
        <v>39</v>
      </c>
      <c r="X223" s="41">
        <f>IFERROR(X222/H222,"0")</f>
        <v>0</v>
      </c>
      <c r="Y223" s="41">
        <f>IFERROR(Y222/H222,"0")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728"/>
      <c r="B224" s="728"/>
      <c r="C224" s="728"/>
      <c r="D224" s="728"/>
      <c r="E224" s="728"/>
      <c r="F224" s="728"/>
      <c r="G224" s="728"/>
      <c r="H224" s="728"/>
      <c r="I224" s="728"/>
      <c r="J224" s="728"/>
      <c r="K224" s="728"/>
      <c r="L224" s="728"/>
      <c r="M224" s="728"/>
      <c r="N224" s="728"/>
      <c r="O224" s="729"/>
      <c r="P224" s="725" t="s">
        <v>40</v>
      </c>
      <c r="Q224" s="726"/>
      <c r="R224" s="726"/>
      <c r="S224" s="726"/>
      <c r="T224" s="726"/>
      <c r="U224" s="726"/>
      <c r="V224" s="727"/>
      <c r="W224" s="40" t="s">
        <v>0</v>
      </c>
      <c r="X224" s="41">
        <f>IFERROR(SUM(X222:X222),"0")</f>
        <v>0</v>
      </c>
      <c r="Y224" s="41">
        <f>IFERROR(SUM(Y222:Y222),"0")</f>
        <v>0</v>
      </c>
      <c r="Z224" s="40"/>
      <c r="AA224" s="64"/>
      <c r="AB224" s="64"/>
      <c r="AC224" s="64"/>
    </row>
    <row r="225" spans="1:68" ht="14.25" hidden="1" customHeight="1" x14ac:dyDescent="0.25">
      <c r="A225" s="719" t="s">
        <v>77</v>
      </c>
      <c r="B225" s="719"/>
      <c r="C225" s="719"/>
      <c r="D225" s="719"/>
      <c r="E225" s="719"/>
      <c r="F225" s="719"/>
      <c r="G225" s="719"/>
      <c r="H225" s="719"/>
      <c r="I225" s="719"/>
      <c r="J225" s="719"/>
      <c r="K225" s="719"/>
      <c r="L225" s="719"/>
      <c r="M225" s="719"/>
      <c r="N225" s="719"/>
      <c r="O225" s="719"/>
      <c r="P225" s="719"/>
      <c r="Q225" s="719"/>
      <c r="R225" s="719"/>
      <c r="S225" s="719"/>
      <c r="T225" s="719"/>
      <c r="U225" s="719"/>
      <c r="V225" s="719"/>
      <c r="W225" s="719"/>
      <c r="X225" s="719"/>
      <c r="Y225" s="719"/>
      <c r="Z225" s="719"/>
      <c r="AA225" s="63"/>
      <c r="AB225" s="63"/>
      <c r="AC225" s="63"/>
    </row>
    <row r="226" spans="1:68" ht="27" hidden="1" customHeight="1" x14ac:dyDescent="0.25">
      <c r="A226" s="60" t="s">
        <v>386</v>
      </c>
      <c r="B226" s="60" t="s">
        <v>387</v>
      </c>
      <c r="C226" s="34">
        <v>4301031191</v>
      </c>
      <c r="D226" s="720">
        <v>4680115880993</v>
      </c>
      <c r="E226" s="720"/>
      <c r="F226" s="59">
        <v>0.7</v>
      </c>
      <c r="G226" s="35">
        <v>6</v>
      </c>
      <c r="H226" s="59">
        <v>4.2</v>
      </c>
      <c r="I226" s="59">
        <v>4.45</v>
      </c>
      <c r="J226" s="35">
        <v>132</v>
      </c>
      <c r="K226" s="35" t="s">
        <v>134</v>
      </c>
      <c r="L226" s="35" t="s">
        <v>46</v>
      </c>
      <c r="M226" s="36" t="s">
        <v>81</v>
      </c>
      <c r="N226" s="36"/>
      <c r="O226" s="35">
        <v>40</v>
      </c>
      <c r="P226" s="83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722"/>
      <c r="R226" s="722"/>
      <c r="S226" s="722"/>
      <c r="T226" s="723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ref="Y226:Y239" si="37"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301" t="s">
        <v>388</v>
      </c>
      <c r="AG226" s="75"/>
      <c r="AJ226" s="79" t="s">
        <v>46</v>
      </c>
      <c r="AK226" s="79">
        <v>0</v>
      </c>
      <c r="BB226" s="302" t="s">
        <v>67</v>
      </c>
      <c r="BM226" s="75">
        <f t="shared" ref="BM226:BM239" si="38">IFERROR(X226*I226/H226,"0")</f>
        <v>0</v>
      </c>
      <c r="BN226" s="75">
        <f t="shared" ref="BN226:BN239" si="39">IFERROR(Y226*I226/H226,"0")</f>
        <v>0</v>
      </c>
      <c r="BO226" s="75">
        <f t="shared" ref="BO226:BO239" si="40">IFERROR(1/J226*(X226/H226),"0")</f>
        <v>0</v>
      </c>
      <c r="BP226" s="75">
        <f t="shared" ref="BP226:BP239" si="41">IFERROR(1/J226*(Y226/H226),"0")</f>
        <v>0</v>
      </c>
    </row>
    <row r="227" spans="1:68" ht="27" hidden="1" customHeight="1" x14ac:dyDescent="0.25">
      <c r="A227" s="60" t="s">
        <v>389</v>
      </c>
      <c r="B227" s="60" t="s">
        <v>390</v>
      </c>
      <c r="C227" s="34">
        <v>4301031204</v>
      </c>
      <c r="D227" s="720">
        <v>4680115881761</v>
      </c>
      <c r="E227" s="720"/>
      <c r="F227" s="59">
        <v>0.7</v>
      </c>
      <c r="G227" s="35">
        <v>6</v>
      </c>
      <c r="H227" s="59">
        <v>4.2</v>
      </c>
      <c r="I227" s="59">
        <v>4.45</v>
      </c>
      <c r="J227" s="35">
        <v>132</v>
      </c>
      <c r="K227" s="35" t="s">
        <v>134</v>
      </c>
      <c r="L227" s="35" t="s">
        <v>46</v>
      </c>
      <c r="M227" s="36" t="s">
        <v>81</v>
      </c>
      <c r="N227" s="36"/>
      <c r="O227" s="35">
        <v>40</v>
      </c>
      <c r="P227" s="83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722"/>
      <c r="R227" s="722"/>
      <c r="S227" s="722"/>
      <c r="T227" s="723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37"/>
        <v>0</v>
      </c>
      <c r="Z227" s="39" t="str">
        <f>IFERROR(IF(Y227=0,"",ROUNDUP(Y227/H227,0)*0.00902),"")</f>
        <v/>
      </c>
      <c r="AA227" s="65" t="s">
        <v>46</v>
      </c>
      <c r="AB227" s="66" t="s">
        <v>46</v>
      </c>
      <c r="AC227" s="303" t="s">
        <v>391</v>
      </c>
      <c r="AG227" s="75"/>
      <c r="AJ227" s="79" t="s">
        <v>46</v>
      </c>
      <c r="AK227" s="79">
        <v>0</v>
      </c>
      <c r="BB227" s="304" t="s">
        <v>67</v>
      </c>
      <c r="BM227" s="75">
        <f t="shared" si="38"/>
        <v>0</v>
      </c>
      <c r="BN227" s="75">
        <f t="shared" si="39"/>
        <v>0</v>
      </c>
      <c r="BO227" s="75">
        <f t="shared" si="40"/>
        <v>0</v>
      </c>
      <c r="BP227" s="75">
        <f t="shared" si="41"/>
        <v>0</v>
      </c>
    </row>
    <row r="228" spans="1:68" ht="27" hidden="1" customHeight="1" x14ac:dyDescent="0.25">
      <c r="A228" s="60" t="s">
        <v>392</v>
      </c>
      <c r="B228" s="60" t="s">
        <v>393</v>
      </c>
      <c r="C228" s="34">
        <v>4301031201</v>
      </c>
      <c r="D228" s="720">
        <v>4680115881563</v>
      </c>
      <c r="E228" s="720"/>
      <c r="F228" s="59">
        <v>0.7</v>
      </c>
      <c r="G228" s="35">
        <v>6</v>
      </c>
      <c r="H228" s="59">
        <v>4.2</v>
      </c>
      <c r="I228" s="59">
        <v>4.3899999999999997</v>
      </c>
      <c r="J228" s="35">
        <v>132</v>
      </c>
      <c r="K228" s="35" t="s">
        <v>134</v>
      </c>
      <c r="L228" s="35" t="s">
        <v>46</v>
      </c>
      <c r="M228" s="36" t="s">
        <v>81</v>
      </c>
      <c r="N228" s="36"/>
      <c r="O228" s="35">
        <v>40</v>
      </c>
      <c r="P228" s="84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722"/>
      <c r="R228" s="722"/>
      <c r="S228" s="722"/>
      <c r="T228" s="723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37"/>
        <v>0</v>
      </c>
      <c r="Z228" s="39" t="str">
        <f>IFERROR(IF(Y228=0,"",ROUNDUP(Y228/H228,0)*0.00902),"")</f>
        <v/>
      </c>
      <c r="AA228" s="65" t="s">
        <v>46</v>
      </c>
      <c r="AB228" s="66" t="s">
        <v>46</v>
      </c>
      <c r="AC228" s="305" t="s">
        <v>394</v>
      </c>
      <c r="AG228" s="75"/>
      <c r="AJ228" s="79" t="s">
        <v>46</v>
      </c>
      <c r="AK228" s="79">
        <v>0</v>
      </c>
      <c r="BB228" s="306" t="s">
        <v>67</v>
      </c>
      <c r="BM228" s="75">
        <f t="shared" si="38"/>
        <v>0</v>
      </c>
      <c r="BN228" s="75">
        <f t="shared" si="39"/>
        <v>0</v>
      </c>
      <c r="BO228" s="75">
        <f t="shared" si="40"/>
        <v>0</v>
      </c>
      <c r="BP228" s="75">
        <f t="shared" si="41"/>
        <v>0</v>
      </c>
    </row>
    <row r="229" spans="1:68" ht="37.5" hidden="1" customHeight="1" x14ac:dyDescent="0.25">
      <c r="A229" s="60" t="s">
        <v>395</v>
      </c>
      <c r="B229" s="60" t="s">
        <v>396</v>
      </c>
      <c r="C229" s="34">
        <v>4301031447</v>
      </c>
      <c r="D229" s="720">
        <v>4680115887565</v>
      </c>
      <c r="E229" s="720"/>
      <c r="F229" s="59">
        <v>0.08</v>
      </c>
      <c r="G229" s="35">
        <v>10</v>
      </c>
      <c r="H229" s="59">
        <v>0.8</v>
      </c>
      <c r="I229" s="59">
        <v>0.93</v>
      </c>
      <c r="J229" s="35">
        <v>252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4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722"/>
      <c r="R229" s="722"/>
      <c r="S229" s="722"/>
      <c r="T229" s="723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37"/>
        <v>0</v>
      </c>
      <c r="Z229" s="39" t="str">
        <f>IFERROR(IF(Y229=0,"",ROUNDUP(Y229/H229,0)*0.00556),"")</f>
        <v/>
      </c>
      <c r="AA229" s="65" t="s">
        <v>46</v>
      </c>
      <c r="AB229" s="66" t="s">
        <v>46</v>
      </c>
      <c r="AC229" s="307" t="s">
        <v>397</v>
      </c>
      <c r="AG229" s="75"/>
      <c r="AJ229" s="79" t="s">
        <v>46</v>
      </c>
      <c r="AK229" s="79">
        <v>0</v>
      </c>
      <c r="BB229" s="308" t="s">
        <v>67</v>
      </c>
      <c r="BM229" s="75">
        <f t="shared" si="38"/>
        <v>0</v>
      </c>
      <c r="BN229" s="75">
        <f t="shared" si="39"/>
        <v>0</v>
      </c>
      <c r="BO229" s="75">
        <f t="shared" si="40"/>
        <v>0</v>
      </c>
      <c r="BP229" s="75">
        <f t="shared" si="41"/>
        <v>0</v>
      </c>
    </row>
    <row r="230" spans="1:68" ht="27" customHeight="1" x14ac:dyDescent="0.25">
      <c r="A230" s="60" t="s">
        <v>398</v>
      </c>
      <c r="B230" s="60" t="s">
        <v>399</v>
      </c>
      <c r="C230" s="34">
        <v>4301031199</v>
      </c>
      <c r="D230" s="720">
        <v>4680115880986</v>
      </c>
      <c r="E230" s="720"/>
      <c r="F230" s="59">
        <v>0.35</v>
      </c>
      <c r="G230" s="35">
        <v>6</v>
      </c>
      <c r="H230" s="59">
        <v>2.1</v>
      </c>
      <c r="I230" s="59">
        <v>2.23</v>
      </c>
      <c r="J230" s="35">
        <v>234</v>
      </c>
      <c r="K230" s="35" t="s">
        <v>82</v>
      </c>
      <c r="L230" s="35" t="s">
        <v>46</v>
      </c>
      <c r="M230" s="36" t="s">
        <v>81</v>
      </c>
      <c r="N230" s="36"/>
      <c r="O230" s="35">
        <v>40</v>
      </c>
      <c r="P230" s="84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722"/>
      <c r="R230" s="722"/>
      <c r="S230" s="722"/>
      <c r="T230" s="723"/>
      <c r="U230" s="37" t="s">
        <v>46</v>
      </c>
      <c r="V230" s="37" t="s">
        <v>46</v>
      </c>
      <c r="W230" s="38" t="s">
        <v>0</v>
      </c>
      <c r="X230" s="56">
        <v>105</v>
      </c>
      <c r="Y230" s="53">
        <f t="shared" si="37"/>
        <v>105</v>
      </c>
      <c r="Z230" s="39">
        <f t="shared" ref="Z230:Z235" si="42">IFERROR(IF(Y230=0,"",ROUNDUP(Y230/H230,0)*0.00502),"")</f>
        <v>0.251</v>
      </c>
      <c r="AA230" s="65" t="s">
        <v>46</v>
      </c>
      <c r="AB230" s="66" t="s">
        <v>46</v>
      </c>
      <c r="AC230" s="309" t="s">
        <v>388</v>
      </c>
      <c r="AG230" s="75"/>
      <c r="AJ230" s="79" t="s">
        <v>46</v>
      </c>
      <c r="AK230" s="79">
        <v>0</v>
      </c>
      <c r="BB230" s="310" t="s">
        <v>67</v>
      </c>
      <c r="BM230" s="75">
        <f t="shared" si="38"/>
        <v>111.5</v>
      </c>
      <c r="BN230" s="75">
        <f t="shared" si="39"/>
        <v>111.5</v>
      </c>
      <c r="BO230" s="75">
        <f t="shared" si="40"/>
        <v>0.21367521367521369</v>
      </c>
      <c r="BP230" s="75">
        <f t="shared" si="41"/>
        <v>0.21367521367521369</v>
      </c>
    </row>
    <row r="231" spans="1:68" ht="27" hidden="1" customHeight="1" x14ac:dyDescent="0.25">
      <c r="A231" s="60" t="s">
        <v>400</v>
      </c>
      <c r="B231" s="60" t="s">
        <v>401</v>
      </c>
      <c r="C231" s="34">
        <v>4301031443</v>
      </c>
      <c r="D231" s="720">
        <v>4680115887213</v>
      </c>
      <c r="E231" s="720"/>
      <c r="F231" s="59">
        <v>0.3</v>
      </c>
      <c r="G231" s="35">
        <v>6</v>
      </c>
      <c r="H231" s="59">
        <v>1.8</v>
      </c>
      <c r="I231" s="59">
        <v>1.9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4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722"/>
      <c r="R231" s="722"/>
      <c r="S231" s="722"/>
      <c r="T231" s="723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7"/>
        <v>0</v>
      </c>
      <c r="Z231" s="39" t="str">
        <f t="shared" si="42"/>
        <v/>
      </c>
      <c r="AA231" s="65" t="s">
        <v>46</v>
      </c>
      <c r="AB231" s="66" t="s">
        <v>46</v>
      </c>
      <c r="AC231" s="311" t="s">
        <v>402</v>
      </c>
      <c r="AG231" s="75"/>
      <c r="AJ231" s="79" t="s">
        <v>46</v>
      </c>
      <c r="AK231" s="79">
        <v>0</v>
      </c>
      <c r="BB231" s="312" t="s">
        <v>67</v>
      </c>
      <c r="BM231" s="75">
        <f t="shared" si="38"/>
        <v>0</v>
      </c>
      <c r="BN231" s="75">
        <f t="shared" si="39"/>
        <v>0</v>
      </c>
      <c r="BO231" s="75">
        <f t="shared" si="40"/>
        <v>0</v>
      </c>
      <c r="BP231" s="75">
        <f t="shared" si="41"/>
        <v>0</v>
      </c>
    </row>
    <row r="232" spans="1:68" ht="27" customHeight="1" x14ac:dyDescent="0.25">
      <c r="A232" s="60" t="s">
        <v>403</v>
      </c>
      <c r="B232" s="60" t="s">
        <v>404</v>
      </c>
      <c r="C232" s="34">
        <v>4301031205</v>
      </c>
      <c r="D232" s="720">
        <v>4680115881785</v>
      </c>
      <c r="E232" s="720"/>
      <c r="F232" s="59">
        <v>0.35</v>
      </c>
      <c r="G232" s="35">
        <v>6</v>
      </c>
      <c r="H232" s="59">
        <v>2.1</v>
      </c>
      <c r="I232" s="59">
        <v>2.23</v>
      </c>
      <c r="J232" s="35">
        <v>234</v>
      </c>
      <c r="K232" s="35" t="s">
        <v>82</v>
      </c>
      <c r="L232" s="35" t="s">
        <v>46</v>
      </c>
      <c r="M232" s="36" t="s">
        <v>81</v>
      </c>
      <c r="N232" s="36"/>
      <c r="O232" s="35">
        <v>40</v>
      </c>
      <c r="P232" s="84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722"/>
      <c r="R232" s="722"/>
      <c r="S232" s="722"/>
      <c r="T232" s="723"/>
      <c r="U232" s="37" t="s">
        <v>46</v>
      </c>
      <c r="V232" s="37" t="s">
        <v>46</v>
      </c>
      <c r="W232" s="38" t="s">
        <v>0</v>
      </c>
      <c r="X232" s="56">
        <v>350</v>
      </c>
      <c r="Y232" s="53">
        <f t="shared" si="37"/>
        <v>350.7</v>
      </c>
      <c r="Z232" s="39">
        <f t="shared" si="42"/>
        <v>0.83833999999999997</v>
      </c>
      <c r="AA232" s="65" t="s">
        <v>46</v>
      </c>
      <c r="AB232" s="66" t="s">
        <v>46</v>
      </c>
      <c r="AC232" s="313" t="s">
        <v>391</v>
      </c>
      <c r="AG232" s="75"/>
      <c r="AJ232" s="79" t="s">
        <v>46</v>
      </c>
      <c r="AK232" s="79">
        <v>0</v>
      </c>
      <c r="BB232" s="314" t="s">
        <v>67</v>
      </c>
      <c r="BM232" s="75">
        <f t="shared" si="38"/>
        <v>371.66666666666663</v>
      </c>
      <c r="BN232" s="75">
        <f t="shared" si="39"/>
        <v>372.40999999999997</v>
      </c>
      <c r="BO232" s="75">
        <f t="shared" si="40"/>
        <v>0.71225071225071224</v>
      </c>
      <c r="BP232" s="75">
        <f t="shared" si="41"/>
        <v>0.71367521367521369</v>
      </c>
    </row>
    <row r="233" spans="1:68" ht="27" hidden="1" customHeight="1" x14ac:dyDescent="0.25">
      <c r="A233" s="60" t="s">
        <v>405</v>
      </c>
      <c r="B233" s="60" t="s">
        <v>406</v>
      </c>
      <c r="C233" s="34">
        <v>4301031499</v>
      </c>
      <c r="D233" s="720">
        <v>4680115888432</v>
      </c>
      <c r="E233" s="720"/>
      <c r="F233" s="59">
        <v>0.3</v>
      </c>
      <c r="G233" s="35">
        <v>6</v>
      </c>
      <c r="H233" s="59">
        <v>1.8</v>
      </c>
      <c r="I233" s="59">
        <v>1.93</v>
      </c>
      <c r="J233" s="35">
        <v>234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4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722"/>
      <c r="R233" s="722"/>
      <c r="S233" s="722"/>
      <c r="T233" s="723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37"/>
        <v>0</v>
      </c>
      <c r="Z233" s="39" t="str">
        <f t="shared" si="42"/>
        <v/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38"/>
        <v>0</v>
      </c>
      <c r="BN233" s="75">
        <f t="shared" si="39"/>
        <v>0</v>
      </c>
      <c r="BO233" s="75">
        <f t="shared" si="40"/>
        <v>0</v>
      </c>
      <c r="BP233" s="75">
        <f t="shared" si="41"/>
        <v>0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4301031427</v>
      </c>
      <c r="D234" s="720">
        <v>4680115888104</v>
      </c>
      <c r="E234" s="720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45</v>
      </c>
      <c r="P234" s="84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722"/>
      <c r="R234" s="722"/>
      <c r="S234" s="722"/>
      <c r="T234" s="723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7"/>
        <v>0</v>
      </c>
      <c r="Z234" s="39" t="str">
        <f t="shared" si="42"/>
        <v/>
      </c>
      <c r="AA234" s="65" t="s">
        <v>46</v>
      </c>
      <c r="AB234" s="66" t="s">
        <v>46</v>
      </c>
      <c r="AC234" s="317" t="s">
        <v>410</v>
      </c>
      <c r="AG234" s="75"/>
      <c r="AJ234" s="79" t="s">
        <v>46</v>
      </c>
      <c r="AK234" s="79">
        <v>0</v>
      </c>
      <c r="BB234" s="318" t="s">
        <v>67</v>
      </c>
      <c r="BM234" s="75">
        <f t="shared" si="38"/>
        <v>0</v>
      </c>
      <c r="BN234" s="75">
        <f t="shared" si="39"/>
        <v>0</v>
      </c>
      <c r="BO234" s="75">
        <f t="shared" si="40"/>
        <v>0</v>
      </c>
      <c r="BP234" s="75">
        <f t="shared" si="41"/>
        <v>0</v>
      </c>
    </row>
    <row r="235" spans="1:68" ht="27" hidden="1" customHeight="1" x14ac:dyDescent="0.25">
      <c r="A235" s="60" t="s">
        <v>411</v>
      </c>
      <c r="B235" s="60" t="s">
        <v>412</v>
      </c>
      <c r="C235" s="34">
        <v>4301031399</v>
      </c>
      <c r="D235" s="720">
        <v>4680115886537</v>
      </c>
      <c r="E235" s="720"/>
      <c r="F235" s="59">
        <v>0.3</v>
      </c>
      <c r="G235" s="35">
        <v>6</v>
      </c>
      <c r="H235" s="59">
        <v>1.8</v>
      </c>
      <c r="I235" s="59">
        <v>1.93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40</v>
      </c>
      <c r="P235" s="84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722"/>
      <c r="R235" s="722"/>
      <c r="S235" s="722"/>
      <c r="T235" s="723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7"/>
        <v>0</v>
      </c>
      <c r="Z235" s="39" t="str">
        <f t="shared" si="42"/>
        <v/>
      </c>
      <c r="AA235" s="65" t="s">
        <v>46</v>
      </c>
      <c r="AB235" s="66" t="s">
        <v>46</v>
      </c>
      <c r="AC235" s="319" t="s">
        <v>413</v>
      </c>
      <c r="AG235" s="75"/>
      <c r="AJ235" s="79" t="s">
        <v>46</v>
      </c>
      <c r="AK235" s="79">
        <v>0</v>
      </c>
      <c r="BB235" s="320" t="s">
        <v>67</v>
      </c>
      <c r="BM235" s="75">
        <f t="shared" si="38"/>
        <v>0</v>
      </c>
      <c r="BN235" s="75">
        <f t="shared" si="39"/>
        <v>0</v>
      </c>
      <c r="BO235" s="75">
        <f t="shared" si="40"/>
        <v>0</v>
      </c>
      <c r="BP235" s="75">
        <f t="shared" si="41"/>
        <v>0</v>
      </c>
    </row>
    <row r="236" spans="1:68" ht="27" hidden="1" customHeight="1" x14ac:dyDescent="0.25">
      <c r="A236" s="60" t="s">
        <v>414</v>
      </c>
      <c r="B236" s="60" t="s">
        <v>415</v>
      </c>
      <c r="C236" s="34">
        <v>4301031279</v>
      </c>
      <c r="D236" s="720">
        <v>4680115887596</v>
      </c>
      <c r="E236" s="720"/>
      <c r="F236" s="59">
        <v>0.08</v>
      </c>
      <c r="G236" s="35">
        <v>10</v>
      </c>
      <c r="H236" s="59">
        <v>0.8</v>
      </c>
      <c r="I236" s="59">
        <v>1.01</v>
      </c>
      <c r="J236" s="35">
        <v>336</v>
      </c>
      <c r="K236" s="35" t="s">
        <v>131</v>
      </c>
      <c r="L236" s="35" t="s">
        <v>46</v>
      </c>
      <c r="M236" s="36" t="s">
        <v>81</v>
      </c>
      <c r="N236" s="36"/>
      <c r="O236" s="35">
        <v>45</v>
      </c>
      <c r="P236" s="84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722"/>
      <c r="R236" s="722"/>
      <c r="S236" s="722"/>
      <c r="T236" s="723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7"/>
        <v>0</v>
      </c>
      <c r="Z236" s="39" t="str">
        <f>IFERROR(IF(Y236=0,"",ROUNDUP(Y236/H236,0)*0.00417),"")</f>
        <v/>
      </c>
      <c r="AA236" s="65" t="s">
        <v>46</v>
      </c>
      <c r="AB236" s="66" t="s">
        <v>46</v>
      </c>
      <c r="AC236" s="321" t="s">
        <v>416</v>
      </c>
      <c r="AG236" s="75"/>
      <c r="AJ236" s="79" t="s">
        <v>46</v>
      </c>
      <c r="AK236" s="79">
        <v>0</v>
      </c>
      <c r="BB236" s="322" t="s">
        <v>67</v>
      </c>
      <c r="BM236" s="75">
        <f t="shared" si="38"/>
        <v>0</v>
      </c>
      <c r="BN236" s="75">
        <f t="shared" si="39"/>
        <v>0</v>
      </c>
      <c r="BO236" s="75">
        <f t="shared" si="40"/>
        <v>0</v>
      </c>
      <c r="BP236" s="75">
        <f t="shared" si="41"/>
        <v>0</v>
      </c>
    </row>
    <row r="237" spans="1:68" ht="37.5" customHeight="1" x14ac:dyDescent="0.25">
      <c r="A237" s="60" t="s">
        <v>417</v>
      </c>
      <c r="B237" s="60" t="s">
        <v>418</v>
      </c>
      <c r="C237" s="34">
        <v>4301031202</v>
      </c>
      <c r="D237" s="720">
        <v>4680115881679</v>
      </c>
      <c r="E237" s="720"/>
      <c r="F237" s="59">
        <v>0.35</v>
      </c>
      <c r="G237" s="35">
        <v>6</v>
      </c>
      <c r="H237" s="59">
        <v>2.1</v>
      </c>
      <c r="I237" s="59">
        <v>2.2000000000000002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40</v>
      </c>
      <c r="P237" s="8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722"/>
      <c r="R237" s="722"/>
      <c r="S237" s="722"/>
      <c r="T237" s="723"/>
      <c r="U237" s="37" t="s">
        <v>46</v>
      </c>
      <c r="V237" s="37" t="s">
        <v>46</v>
      </c>
      <c r="W237" s="38" t="s">
        <v>0</v>
      </c>
      <c r="X237" s="56">
        <v>700</v>
      </c>
      <c r="Y237" s="53">
        <f t="shared" si="37"/>
        <v>701.4</v>
      </c>
      <c r="Z237" s="39">
        <f>IFERROR(IF(Y237=0,"",ROUNDUP(Y237/H237,0)*0.00502),"")</f>
        <v>1.6766799999999999</v>
      </c>
      <c r="AA237" s="65" t="s">
        <v>46</v>
      </c>
      <c r="AB237" s="66" t="s">
        <v>46</v>
      </c>
      <c r="AC237" s="323" t="s">
        <v>394</v>
      </c>
      <c r="AG237" s="75"/>
      <c r="AJ237" s="79" t="s">
        <v>46</v>
      </c>
      <c r="AK237" s="79">
        <v>0</v>
      </c>
      <c r="BB237" s="324" t="s">
        <v>67</v>
      </c>
      <c r="BM237" s="75">
        <f t="shared" si="38"/>
        <v>733.33333333333337</v>
      </c>
      <c r="BN237" s="75">
        <f t="shared" si="39"/>
        <v>734.80000000000007</v>
      </c>
      <c r="BO237" s="75">
        <f t="shared" si="40"/>
        <v>1.4245014245014245</v>
      </c>
      <c r="BP237" s="75">
        <f t="shared" si="41"/>
        <v>1.4273504273504274</v>
      </c>
    </row>
    <row r="238" spans="1:68" ht="27" hidden="1" customHeight="1" x14ac:dyDescent="0.25">
      <c r="A238" s="60" t="s">
        <v>419</v>
      </c>
      <c r="B238" s="60" t="s">
        <v>420</v>
      </c>
      <c r="C238" s="34">
        <v>4301031158</v>
      </c>
      <c r="D238" s="720">
        <v>4680115880191</v>
      </c>
      <c r="E238" s="720"/>
      <c r="F238" s="59">
        <v>0.4</v>
      </c>
      <c r="G238" s="35">
        <v>6</v>
      </c>
      <c r="H238" s="59">
        <v>2.4</v>
      </c>
      <c r="I238" s="59">
        <v>2.58</v>
      </c>
      <c r="J238" s="35">
        <v>182</v>
      </c>
      <c r="K238" s="35" t="s">
        <v>91</v>
      </c>
      <c r="L238" s="35" t="s">
        <v>46</v>
      </c>
      <c r="M238" s="36" t="s">
        <v>81</v>
      </c>
      <c r="N238" s="36"/>
      <c r="O238" s="35">
        <v>40</v>
      </c>
      <c r="P238" s="85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722"/>
      <c r="R238" s="722"/>
      <c r="S238" s="722"/>
      <c r="T238" s="723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7"/>
        <v>0</v>
      </c>
      <c r="Z238" s="39" t="str">
        <f>IFERROR(IF(Y238=0,"",ROUNDUP(Y238/H238,0)*0.00651),"")</f>
        <v/>
      </c>
      <c r="AA238" s="65" t="s">
        <v>46</v>
      </c>
      <c r="AB238" s="66" t="s">
        <v>46</v>
      </c>
      <c r="AC238" s="325" t="s">
        <v>394</v>
      </c>
      <c r="AG238" s="75"/>
      <c r="AJ238" s="79" t="s">
        <v>46</v>
      </c>
      <c r="AK238" s="79">
        <v>0</v>
      </c>
      <c r="BB238" s="326" t="s">
        <v>67</v>
      </c>
      <c r="BM238" s="75">
        <f t="shared" si="38"/>
        <v>0</v>
      </c>
      <c r="BN238" s="75">
        <f t="shared" si="39"/>
        <v>0</v>
      </c>
      <c r="BO238" s="75">
        <f t="shared" si="40"/>
        <v>0</v>
      </c>
      <c r="BP238" s="75">
        <f t="shared" si="41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4301031245</v>
      </c>
      <c r="D239" s="720">
        <v>4680115883963</v>
      </c>
      <c r="E239" s="720"/>
      <c r="F239" s="59">
        <v>0.28000000000000003</v>
      </c>
      <c r="G239" s="35">
        <v>6</v>
      </c>
      <c r="H239" s="59">
        <v>1.68</v>
      </c>
      <c r="I239" s="59">
        <v>1.78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5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722"/>
      <c r="R239" s="722"/>
      <c r="S239" s="722"/>
      <c r="T239" s="723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7"/>
        <v>0</v>
      </c>
      <c r="Z239" s="39" t="str">
        <f>IFERROR(IF(Y239=0,"",ROUNDUP(Y239/H239,0)*0.00502),"")</f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38"/>
        <v>0</v>
      </c>
      <c r="BN239" s="75">
        <f t="shared" si="39"/>
        <v>0</v>
      </c>
      <c r="BO239" s="75">
        <f t="shared" si="40"/>
        <v>0</v>
      </c>
      <c r="BP239" s="75">
        <f t="shared" si="41"/>
        <v>0</v>
      </c>
    </row>
    <row r="240" spans="1:68" x14ac:dyDescent="0.2">
      <c r="A240" s="728"/>
      <c r="B240" s="728"/>
      <c r="C240" s="728"/>
      <c r="D240" s="728"/>
      <c r="E240" s="728"/>
      <c r="F240" s="728"/>
      <c r="G240" s="728"/>
      <c r="H240" s="728"/>
      <c r="I240" s="728"/>
      <c r="J240" s="728"/>
      <c r="K240" s="728"/>
      <c r="L240" s="728"/>
      <c r="M240" s="728"/>
      <c r="N240" s="728"/>
      <c r="O240" s="729"/>
      <c r="P240" s="725" t="s">
        <v>40</v>
      </c>
      <c r="Q240" s="726"/>
      <c r="R240" s="726"/>
      <c r="S240" s="726"/>
      <c r="T240" s="726"/>
      <c r="U240" s="726"/>
      <c r="V240" s="727"/>
      <c r="W240" s="40" t="s">
        <v>39</v>
      </c>
      <c r="X240" s="41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550</v>
      </c>
      <c r="Y240" s="41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551</v>
      </c>
      <c r="Z240" s="41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2.7660200000000001</v>
      </c>
      <c r="AA240" s="64"/>
      <c r="AB240" s="64"/>
      <c r="AC240" s="64"/>
    </row>
    <row r="241" spans="1:68" x14ac:dyDescent="0.2">
      <c r="A241" s="728"/>
      <c r="B241" s="728"/>
      <c r="C241" s="728"/>
      <c r="D241" s="728"/>
      <c r="E241" s="728"/>
      <c r="F241" s="728"/>
      <c r="G241" s="728"/>
      <c r="H241" s="728"/>
      <c r="I241" s="728"/>
      <c r="J241" s="728"/>
      <c r="K241" s="728"/>
      <c r="L241" s="728"/>
      <c r="M241" s="728"/>
      <c r="N241" s="728"/>
      <c r="O241" s="729"/>
      <c r="P241" s="725" t="s">
        <v>40</v>
      </c>
      <c r="Q241" s="726"/>
      <c r="R241" s="726"/>
      <c r="S241" s="726"/>
      <c r="T241" s="726"/>
      <c r="U241" s="726"/>
      <c r="V241" s="727"/>
      <c r="W241" s="40" t="s">
        <v>0</v>
      </c>
      <c r="X241" s="41">
        <f>IFERROR(SUM(X226:X239),"0")</f>
        <v>1155</v>
      </c>
      <c r="Y241" s="41">
        <f>IFERROR(SUM(Y226:Y239),"0")</f>
        <v>1157.0999999999999</v>
      </c>
      <c r="Z241" s="40"/>
      <c r="AA241" s="64"/>
      <c r="AB241" s="64"/>
      <c r="AC241" s="64"/>
    </row>
    <row r="242" spans="1:68" ht="14.25" hidden="1" customHeight="1" x14ac:dyDescent="0.25">
      <c r="A242" s="719" t="s">
        <v>86</v>
      </c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19"/>
      <c r="P242" s="719"/>
      <c r="Q242" s="719"/>
      <c r="R242" s="719"/>
      <c r="S242" s="719"/>
      <c r="T242" s="719"/>
      <c r="U242" s="719"/>
      <c r="V242" s="719"/>
      <c r="W242" s="719"/>
      <c r="X242" s="719"/>
      <c r="Y242" s="719"/>
      <c r="Z242" s="719"/>
      <c r="AA242" s="63"/>
      <c r="AB242" s="63"/>
      <c r="AC242" s="63"/>
    </row>
    <row r="243" spans="1:68" ht="16.5" hidden="1" customHeight="1" x14ac:dyDescent="0.25">
      <c r="A243" s="60" t="s">
        <v>424</v>
      </c>
      <c r="B243" s="60" t="s">
        <v>425</v>
      </c>
      <c r="C243" s="34">
        <v>4301052209</v>
      </c>
      <c r="D243" s="720">
        <v>4680115888692</v>
      </c>
      <c r="E243" s="720"/>
      <c r="F243" s="59">
        <v>0.8</v>
      </c>
      <c r="G243" s="35">
        <v>6</v>
      </c>
      <c r="H243" s="59">
        <v>4.8</v>
      </c>
      <c r="I243" s="59">
        <v>5.2220000000000004</v>
      </c>
      <c r="J243" s="35">
        <v>104</v>
      </c>
      <c r="K243" s="35" t="s">
        <v>127</v>
      </c>
      <c r="L243" s="35" t="s">
        <v>46</v>
      </c>
      <c r="M243" s="36" t="s">
        <v>97</v>
      </c>
      <c r="N243" s="36"/>
      <c r="O243" s="35">
        <v>35</v>
      </c>
      <c r="P243" s="85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722"/>
      <c r="R243" s="722"/>
      <c r="S243" s="722"/>
      <c r="T243" s="723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IFERROR(IF(Y243=0,"",ROUNDUP(Y243/H243,0)*0.01196),"")</f>
        <v/>
      </c>
      <c r="AA243" s="65" t="s">
        <v>46</v>
      </c>
      <c r="AB243" s="66" t="s">
        <v>46</v>
      </c>
      <c r="AC243" s="329" t="s">
        <v>426</v>
      </c>
      <c r="AG243" s="75"/>
      <c r="AJ243" s="79" t="s">
        <v>46</v>
      </c>
      <c r="AK243" s="79">
        <v>0</v>
      </c>
      <c r="BB243" s="330" t="s">
        <v>67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427</v>
      </c>
      <c r="B244" s="60" t="s">
        <v>428</v>
      </c>
      <c r="C244" s="34">
        <v>4301052213</v>
      </c>
      <c r="D244" s="720">
        <v>4680115888722</v>
      </c>
      <c r="E244" s="720"/>
      <c r="F244" s="59">
        <v>0.8</v>
      </c>
      <c r="G244" s="35">
        <v>6</v>
      </c>
      <c r="H244" s="59">
        <v>4.8</v>
      </c>
      <c r="I244" s="59">
        <v>5.2220000000000004</v>
      </c>
      <c r="J244" s="35">
        <v>104</v>
      </c>
      <c r="K244" s="35" t="s">
        <v>127</v>
      </c>
      <c r="L244" s="35" t="s">
        <v>46</v>
      </c>
      <c r="M244" s="36" t="s">
        <v>97</v>
      </c>
      <c r="N244" s="36"/>
      <c r="O244" s="35">
        <v>35</v>
      </c>
      <c r="P244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722"/>
      <c r="R244" s="722"/>
      <c r="S244" s="722"/>
      <c r="T244" s="723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IFERROR(IF(Y244=0,"",ROUNDUP(Y244/H244,0)*0.01196),"")</f>
        <v/>
      </c>
      <c r="AA244" s="65" t="s">
        <v>46</v>
      </c>
      <c r="AB244" s="66" t="s">
        <v>46</v>
      </c>
      <c r="AC244" s="331" t="s">
        <v>429</v>
      </c>
      <c r="AG244" s="75"/>
      <c r="AJ244" s="79" t="s">
        <v>46</v>
      </c>
      <c r="AK244" s="79">
        <v>0</v>
      </c>
      <c r="BB244" s="332" t="s">
        <v>67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t="27" hidden="1" customHeight="1" x14ac:dyDescent="0.25">
      <c r="A245" s="60" t="s">
        <v>430</v>
      </c>
      <c r="B245" s="60" t="s">
        <v>431</v>
      </c>
      <c r="C245" s="34">
        <v>4301052177</v>
      </c>
      <c r="D245" s="720">
        <v>4680115888951</v>
      </c>
      <c r="E245" s="720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722"/>
      <c r="R245" s="722"/>
      <c r="S245" s="722"/>
      <c r="T245" s="723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432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433</v>
      </c>
      <c r="B246" s="60" t="s">
        <v>434</v>
      </c>
      <c r="C246" s="34">
        <v>4301052178</v>
      </c>
      <c r="D246" s="720">
        <v>4680115888975</v>
      </c>
      <c r="E246" s="720"/>
      <c r="F246" s="59">
        <v>0.32</v>
      </c>
      <c r="G246" s="35">
        <v>6</v>
      </c>
      <c r="H246" s="59">
        <v>1.92</v>
      </c>
      <c r="I246" s="59">
        <v>2.1819999999999999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35</v>
      </c>
      <c r="P246" s="85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722"/>
      <c r="R246" s="722"/>
      <c r="S246" s="722"/>
      <c r="T246" s="723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435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436</v>
      </c>
      <c r="B247" s="60" t="s">
        <v>437</v>
      </c>
      <c r="C247" s="34">
        <v>4301052176</v>
      </c>
      <c r="D247" s="720">
        <v>4680115888982</v>
      </c>
      <c r="E247" s="720"/>
      <c r="F247" s="59">
        <v>0.36</v>
      </c>
      <c r="G247" s="35">
        <v>6</v>
      </c>
      <c r="H247" s="59">
        <v>2.16</v>
      </c>
      <c r="I247" s="59">
        <v>2.4220000000000002</v>
      </c>
      <c r="J247" s="35">
        <v>132</v>
      </c>
      <c r="K247" s="35" t="s">
        <v>134</v>
      </c>
      <c r="L247" s="35" t="s">
        <v>46</v>
      </c>
      <c r="M247" s="36" t="s">
        <v>97</v>
      </c>
      <c r="N247" s="36"/>
      <c r="O247" s="35">
        <v>35</v>
      </c>
      <c r="P247" s="85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2"/>
      <c r="R247" s="722"/>
      <c r="S247" s="722"/>
      <c r="T247" s="723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IFERROR(IF(Y247=0,"",ROUNDUP(Y247/H247,0)*0.00902),"")</f>
        <v/>
      </c>
      <c r="AA247" s="65" t="s">
        <v>46</v>
      </c>
      <c r="AB247" s="66" t="s">
        <v>46</v>
      </c>
      <c r="AC247" s="337" t="s">
        <v>429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728"/>
      <c r="B248" s="728"/>
      <c r="C248" s="728"/>
      <c r="D248" s="728"/>
      <c r="E248" s="728"/>
      <c r="F248" s="728"/>
      <c r="G248" s="728"/>
      <c r="H248" s="728"/>
      <c r="I248" s="728"/>
      <c r="J248" s="728"/>
      <c r="K248" s="728"/>
      <c r="L248" s="728"/>
      <c r="M248" s="728"/>
      <c r="N248" s="728"/>
      <c r="O248" s="729"/>
      <c r="P248" s="725" t="s">
        <v>40</v>
      </c>
      <c r="Q248" s="726"/>
      <c r="R248" s="726"/>
      <c r="S248" s="726"/>
      <c r="T248" s="726"/>
      <c r="U248" s="726"/>
      <c r="V248" s="727"/>
      <c r="W248" s="40" t="s">
        <v>39</v>
      </c>
      <c r="X248" s="41">
        <f>IFERROR(X243/H243,"0")+IFERROR(X244/H244,"0")+IFERROR(X245/H245,"0")+IFERROR(X246/H246,"0")+IFERROR(X247/H247,"0")</f>
        <v>0</v>
      </c>
      <c r="Y248" s="41">
        <f>IFERROR(Y243/H243,"0")+IFERROR(Y244/H244,"0")+IFERROR(Y245/H245,"0")+IFERROR(Y246/H246,"0")+IFERROR(Y247/H247,"0")</f>
        <v>0</v>
      </c>
      <c r="Z248" s="41">
        <f>IFERROR(IF(Z243="",0,Z243),"0")+IFERROR(IF(Z244="",0,Z244),"0")+IFERROR(IF(Z245="",0,Z245),"0")+IFERROR(IF(Z246="",0,Z246),"0")+IFERROR(IF(Z247="",0,Z247),"0")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728"/>
      <c r="B249" s="728"/>
      <c r="C249" s="728"/>
      <c r="D249" s="728"/>
      <c r="E249" s="728"/>
      <c r="F249" s="728"/>
      <c r="G249" s="728"/>
      <c r="H249" s="728"/>
      <c r="I249" s="728"/>
      <c r="J249" s="728"/>
      <c r="K249" s="728"/>
      <c r="L249" s="728"/>
      <c r="M249" s="728"/>
      <c r="N249" s="728"/>
      <c r="O249" s="729"/>
      <c r="P249" s="725" t="s">
        <v>40</v>
      </c>
      <c r="Q249" s="726"/>
      <c r="R249" s="726"/>
      <c r="S249" s="726"/>
      <c r="T249" s="726"/>
      <c r="U249" s="726"/>
      <c r="V249" s="727"/>
      <c r="W249" s="40" t="s">
        <v>0</v>
      </c>
      <c r="X249" s="41">
        <f>IFERROR(SUM(X243:X247),"0")</f>
        <v>0</v>
      </c>
      <c r="Y249" s="41">
        <f>IFERROR(SUM(Y243:Y247),"0")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719" t="s">
        <v>289</v>
      </c>
      <c r="B250" s="719"/>
      <c r="C250" s="719"/>
      <c r="D250" s="719"/>
      <c r="E250" s="719"/>
      <c r="F250" s="719"/>
      <c r="G250" s="719"/>
      <c r="H250" s="719"/>
      <c r="I250" s="719"/>
      <c r="J250" s="719"/>
      <c r="K250" s="719"/>
      <c r="L250" s="719"/>
      <c r="M250" s="719"/>
      <c r="N250" s="719"/>
      <c r="O250" s="719"/>
      <c r="P250" s="719"/>
      <c r="Q250" s="719"/>
      <c r="R250" s="719"/>
      <c r="S250" s="719"/>
      <c r="T250" s="719"/>
      <c r="U250" s="719"/>
      <c r="V250" s="719"/>
      <c r="W250" s="719"/>
      <c r="X250" s="719"/>
      <c r="Y250" s="719"/>
      <c r="Z250" s="719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4301032053</v>
      </c>
      <c r="D251" s="720">
        <v>4680115886780</v>
      </c>
      <c r="E251" s="720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355</v>
      </c>
      <c r="L251" s="35" t="s">
        <v>46</v>
      </c>
      <c r="M251" s="36" t="s">
        <v>294</v>
      </c>
      <c r="N251" s="36"/>
      <c r="O251" s="35">
        <v>60</v>
      </c>
      <c r="P251" s="85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2"/>
      <c r="R251" s="722"/>
      <c r="S251" s="722"/>
      <c r="T251" s="723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440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hidden="1" customHeight="1" x14ac:dyDescent="0.25">
      <c r="A252" s="60" t="s">
        <v>441</v>
      </c>
      <c r="B252" s="60" t="s">
        <v>442</v>
      </c>
      <c r="C252" s="34">
        <v>4301032051</v>
      </c>
      <c r="D252" s="720">
        <v>4680115886742</v>
      </c>
      <c r="E252" s="720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355</v>
      </c>
      <c r="L252" s="35" t="s">
        <v>46</v>
      </c>
      <c r="M252" s="36" t="s">
        <v>294</v>
      </c>
      <c r="N252" s="36"/>
      <c r="O252" s="35">
        <v>90</v>
      </c>
      <c r="P252" s="85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2"/>
      <c r="R252" s="722"/>
      <c r="S252" s="722"/>
      <c r="T252" s="723"/>
      <c r="U252" s="37" t="s">
        <v>46</v>
      </c>
      <c r="V252" s="37" t="s">
        <v>46</v>
      </c>
      <c r="W252" s="38" t="s">
        <v>0</v>
      </c>
      <c r="X252" s="56">
        <v>0</v>
      </c>
      <c r="Y252" s="53">
        <f>IFERROR(IF(X252="",0,CEILING((X252/$H252),1)*$H252),"")</f>
        <v>0</v>
      </c>
      <c r="Z252" s="39" t="str">
        <f>IFERROR(IF(Y252=0,"",ROUNDUP(Y252/H252,0)*0.0059),"")</f>
        <v/>
      </c>
      <c r="AA252" s="65" t="s">
        <v>46</v>
      </c>
      <c r="AB252" s="66" t="s">
        <v>46</v>
      </c>
      <c r="AC252" s="341" t="s">
        <v>443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0</v>
      </c>
      <c r="BN252" s="75">
        <f>IFERROR(Y252*I252/H252,"0")</f>
        <v>0</v>
      </c>
      <c r="BO252" s="75">
        <f>IFERROR(1/J252*(X252/H252),"0")</f>
        <v>0</v>
      </c>
      <c r="BP252" s="75">
        <f>IFERROR(1/J252*(Y252/H252),"0")</f>
        <v>0</v>
      </c>
    </row>
    <row r="253" spans="1:68" ht="27" hidden="1" customHeight="1" x14ac:dyDescent="0.25">
      <c r="A253" s="60" t="s">
        <v>444</v>
      </c>
      <c r="B253" s="60" t="s">
        <v>445</v>
      </c>
      <c r="C253" s="34">
        <v>4301032052</v>
      </c>
      <c r="D253" s="720">
        <v>4680115886766</v>
      </c>
      <c r="E253" s="720"/>
      <c r="F253" s="59">
        <v>7.0000000000000007E-2</v>
      </c>
      <c r="G253" s="35">
        <v>18</v>
      </c>
      <c r="H253" s="59">
        <v>1.26</v>
      </c>
      <c r="I253" s="59">
        <v>1.45</v>
      </c>
      <c r="J253" s="35">
        <v>216</v>
      </c>
      <c r="K253" s="35" t="s">
        <v>355</v>
      </c>
      <c r="L253" s="35" t="s">
        <v>46</v>
      </c>
      <c r="M253" s="36" t="s">
        <v>294</v>
      </c>
      <c r="N253" s="36"/>
      <c r="O253" s="35">
        <v>90</v>
      </c>
      <c r="P253" s="85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2"/>
      <c r="R253" s="722"/>
      <c r="S253" s="722"/>
      <c r="T253" s="723"/>
      <c r="U253" s="37" t="s">
        <v>46</v>
      </c>
      <c r="V253" s="37" t="s">
        <v>46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46</v>
      </c>
      <c r="AB253" s="66" t="s">
        <v>46</v>
      </c>
      <c r="AC253" s="343" t="s">
        <v>443</v>
      </c>
      <c r="AG253" s="75"/>
      <c r="AJ253" s="79" t="s">
        <v>46</v>
      </c>
      <c r="AK253" s="79">
        <v>0</v>
      </c>
      <c r="BB253" s="344" t="s">
        <v>67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idden="1" x14ac:dyDescent="0.2">
      <c r="A254" s="728"/>
      <c r="B254" s="728"/>
      <c r="C254" s="728"/>
      <c r="D254" s="728"/>
      <c r="E254" s="728"/>
      <c r="F254" s="728"/>
      <c r="G254" s="728"/>
      <c r="H254" s="728"/>
      <c r="I254" s="728"/>
      <c r="J254" s="728"/>
      <c r="K254" s="728"/>
      <c r="L254" s="728"/>
      <c r="M254" s="728"/>
      <c r="N254" s="728"/>
      <c r="O254" s="729"/>
      <c r="P254" s="725" t="s">
        <v>40</v>
      </c>
      <c r="Q254" s="726"/>
      <c r="R254" s="726"/>
      <c r="S254" s="726"/>
      <c r="T254" s="726"/>
      <c r="U254" s="726"/>
      <c r="V254" s="727"/>
      <c r="W254" s="40" t="s">
        <v>39</v>
      </c>
      <c r="X254" s="41">
        <f>IFERROR(X251/H251,"0")+IFERROR(X252/H252,"0")+IFERROR(X253/H253,"0")</f>
        <v>0</v>
      </c>
      <c r="Y254" s="41">
        <f>IFERROR(Y251/H251,"0")+IFERROR(Y252/H252,"0")+IFERROR(Y253/H253,"0")</f>
        <v>0</v>
      </c>
      <c r="Z254" s="41">
        <f>IFERROR(IF(Z251="",0,Z251),"0")+IFERROR(IF(Z252="",0,Z252),"0")+IFERROR(IF(Z253="",0,Z253),"0")</f>
        <v>0</v>
      </c>
      <c r="AA254" s="64"/>
      <c r="AB254" s="64"/>
      <c r="AC254" s="64"/>
    </row>
    <row r="255" spans="1:68" hidden="1" x14ac:dyDescent="0.2">
      <c r="A255" s="728"/>
      <c r="B255" s="728"/>
      <c r="C255" s="728"/>
      <c r="D255" s="728"/>
      <c r="E255" s="728"/>
      <c r="F255" s="728"/>
      <c r="G255" s="728"/>
      <c r="H255" s="728"/>
      <c r="I255" s="728"/>
      <c r="J255" s="728"/>
      <c r="K255" s="728"/>
      <c r="L255" s="728"/>
      <c r="M255" s="728"/>
      <c r="N255" s="728"/>
      <c r="O255" s="729"/>
      <c r="P255" s="725" t="s">
        <v>40</v>
      </c>
      <c r="Q255" s="726"/>
      <c r="R255" s="726"/>
      <c r="S255" s="726"/>
      <c r="T255" s="726"/>
      <c r="U255" s="726"/>
      <c r="V255" s="727"/>
      <c r="W255" s="40" t="s">
        <v>0</v>
      </c>
      <c r="X255" s="41">
        <f>IFERROR(SUM(X251:X253),"0")</f>
        <v>0</v>
      </c>
      <c r="Y255" s="41">
        <f>IFERROR(SUM(Y251:Y253),"0")</f>
        <v>0</v>
      </c>
      <c r="Z255" s="40"/>
      <c r="AA255" s="64"/>
      <c r="AB255" s="64"/>
      <c r="AC255" s="64"/>
    </row>
    <row r="256" spans="1:68" ht="14.25" hidden="1" customHeight="1" x14ac:dyDescent="0.25">
      <c r="A256" s="719" t="s">
        <v>446</v>
      </c>
      <c r="B256" s="719"/>
      <c r="C256" s="719"/>
      <c r="D256" s="719"/>
      <c r="E256" s="719"/>
      <c r="F256" s="719"/>
      <c r="G256" s="719"/>
      <c r="H256" s="719"/>
      <c r="I256" s="719"/>
      <c r="J256" s="719"/>
      <c r="K256" s="719"/>
      <c r="L256" s="719"/>
      <c r="M256" s="719"/>
      <c r="N256" s="719"/>
      <c r="O256" s="719"/>
      <c r="P256" s="719"/>
      <c r="Q256" s="719"/>
      <c r="R256" s="719"/>
      <c r="S256" s="719"/>
      <c r="T256" s="719"/>
      <c r="U256" s="719"/>
      <c r="V256" s="719"/>
      <c r="W256" s="719"/>
      <c r="X256" s="719"/>
      <c r="Y256" s="719"/>
      <c r="Z256" s="719"/>
      <c r="AA256" s="63"/>
      <c r="AB256" s="63"/>
      <c r="AC256" s="63"/>
    </row>
    <row r="257" spans="1:68" ht="27" hidden="1" customHeight="1" x14ac:dyDescent="0.25">
      <c r="A257" s="60" t="s">
        <v>447</v>
      </c>
      <c r="B257" s="60" t="s">
        <v>448</v>
      </c>
      <c r="C257" s="34">
        <v>4301170013</v>
      </c>
      <c r="D257" s="720">
        <v>4680115886797</v>
      </c>
      <c r="E257" s="720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355</v>
      </c>
      <c r="L257" s="35" t="s">
        <v>46</v>
      </c>
      <c r="M257" s="36" t="s">
        <v>294</v>
      </c>
      <c r="N257" s="36"/>
      <c r="O257" s="35">
        <v>90</v>
      </c>
      <c r="P257" s="86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2"/>
      <c r="R257" s="722"/>
      <c r="S257" s="722"/>
      <c r="T257" s="723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46</v>
      </c>
      <c r="AB257" s="66" t="s">
        <v>46</v>
      </c>
      <c r="AC257" s="345" t="s">
        <v>443</v>
      </c>
      <c r="AG257" s="75"/>
      <c r="AJ257" s="79" t="s">
        <v>46</v>
      </c>
      <c r="AK257" s="79">
        <v>0</v>
      </c>
      <c r="BB257" s="346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728"/>
      <c r="B258" s="728"/>
      <c r="C258" s="728"/>
      <c r="D258" s="728"/>
      <c r="E258" s="728"/>
      <c r="F258" s="728"/>
      <c r="G258" s="728"/>
      <c r="H258" s="728"/>
      <c r="I258" s="728"/>
      <c r="J258" s="728"/>
      <c r="K258" s="728"/>
      <c r="L258" s="728"/>
      <c r="M258" s="728"/>
      <c r="N258" s="728"/>
      <c r="O258" s="729"/>
      <c r="P258" s="725" t="s">
        <v>40</v>
      </c>
      <c r="Q258" s="726"/>
      <c r="R258" s="726"/>
      <c r="S258" s="726"/>
      <c r="T258" s="726"/>
      <c r="U258" s="726"/>
      <c r="V258" s="727"/>
      <c r="W258" s="40" t="s">
        <v>39</v>
      </c>
      <c r="X258" s="41">
        <f>IFERROR(X257/H257,"0")</f>
        <v>0</v>
      </c>
      <c r="Y258" s="41">
        <f>IFERROR(Y257/H257,"0")</f>
        <v>0</v>
      </c>
      <c r="Z258" s="41">
        <f>IFERROR(IF(Z257="",0,Z257),"0")</f>
        <v>0</v>
      </c>
      <c r="AA258" s="64"/>
      <c r="AB258" s="64"/>
      <c r="AC258" s="64"/>
    </row>
    <row r="259" spans="1:68" hidden="1" x14ac:dyDescent="0.2">
      <c r="A259" s="728"/>
      <c r="B259" s="728"/>
      <c r="C259" s="728"/>
      <c r="D259" s="728"/>
      <c r="E259" s="728"/>
      <c r="F259" s="728"/>
      <c r="G259" s="728"/>
      <c r="H259" s="728"/>
      <c r="I259" s="728"/>
      <c r="J259" s="728"/>
      <c r="K259" s="728"/>
      <c r="L259" s="728"/>
      <c r="M259" s="728"/>
      <c r="N259" s="728"/>
      <c r="O259" s="729"/>
      <c r="P259" s="725" t="s">
        <v>40</v>
      </c>
      <c r="Q259" s="726"/>
      <c r="R259" s="726"/>
      <c r="S259" s="726"/>
      <c r="T259" s="726"/>
      <c r="U259" s="726"/>
      <c r="V259" s="727"/>
      <c r="W259" s="40" t="s">
        <v>0</v>
      </c>
      <c r="X259" s="41">
        <f>IFERROR(SUM(X257:X257),"0")</f>
        <v>0</v>
      </c>
      <c r="Y259" s="41">
        <f>IFERROR(SUM(Y257:Y257),"0")</f>
        <v>0</v>
      </c>
      <c r="Z259" s="40"/>
      <c r="AA259" s="64"/>
      <c r="AB259" s="64"/>
      <c r="AC259" s="64"/>
    </row>
    <row r="260" spans="1:68" ht="16.5" hidden="1" customHeight="1" x14ac:dyDescent="0.25">
      <c r="A260" s="718" t="s">
        <v>449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2"/>
      <c r="AB260" s="62"/>
      <c r="AC260" s="62"/>
    </row>
    <row r="261" spans="1:68" ht="14.25" hidden="1" customHeight="1" x14ac:dyDescent="0.25">
      <c r="A261" s="719" t="s">
        <v>122</v>
      </c>
      <c r="B261" s="719"/>
      <c r="C261" s="719"/>
      <c r="D261" s="719"/>
      <c r="E261" s="719"/>
      <c r="F261" s="719"/>
      <c r="G261" s="719"/>
      <c r="H261" s="719"/>
      <c r="I261" s="719"/>
      <c r="J261" s="719"/>
      <c r="K261" s="719"/>
      <c r="L261" s="719"/>
      <c r="M261" s="719"/>
      <c r="N261" s="719"/>
      <c r="O261" s="719"/>
      <c r="P261" s="719"/>
      <c r="Q261" s="719"/>
      <c r="R261" s="719"/>
      <c r="S261" s="719"/>
      <c r="T261" s="719"/>
      <c r="U261" s="719"/>
      <c r="V261" s="719"/>
      <c r="W261" s="719"/>
      <c r="X261" s="719"/>
      <c r="Y261" s="719"/>
      <c r="Z261" s="719"/>
      <c r="AA261" s="63"/>
      <c r="AB261" s="63"/>
      <c r="AC261" s="63"/>
    </row>
    <row r="262" spans="1:68" ht="27" hidden="1" customHeight="1" x14ac:dyDescent="0.25">
      <c r="A262" s="60" t="s">
        <v>450</v>
      </c>
      <c r="B262" s="60" t="s">
        <v>451</v>
      </c>
      <c r="C262" s="34">
        <v>4301011450</v>
      </c>
      <c r="D262" s="720">
        <v>4680115881402</v>
      </c>
      <c r="E262" s="7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127</v>
      </c>
      <c r="L262" s="35" t="s">
        <v>46</v>
      </c>
      <c r="M262" s="36" t="s">
        <v>126</v>
      </c>
      <c r="N262" s="36"/>
      <c r="O262" s="35">
        <v>55</v>
      </c>
      <c r="P262" s="86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2"/>
      <c r="R262" s="722"/>
      <c r="S262" s="722"/>
      <c r="T262" s="723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46</v>
      </c>
      <c r="AB262" s="66" t="s">
        <v>46</v>
      </c>
      <c r="AC262" s="347" t="s">
        <v>452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27" hidden="1" customHeight="1" x14ac:dyDescent="0.25">
      <c r="A263" s="60" t="s">
        <v>453</v>
      </c>
      <c r="B263" s="60" t="s">
        <v>454</v>
      </c>
      <c r="C263" s="34">
        <v>4301011768</v>
      </c>
      <c r="D263" s="720">
        <v>4680115881396</v>
      </c>
      <c r="E263" s="720"/>
      <c r="F263" s="59">
        <v>0.45</v>
      </c>
      <c r="G263" s="35">
        <v>6</v>
      </c>
      <c r="H263" s="59">
        <v>2.7</v>
      </c>
      <c r="I263" s="59">
        <v>2.88</v>
      </c>
      <c r="J263" s="35">
        <v>182</v>
      </c>
      <c r="K263" s="35" t="s">
        <v>91</v>
      </c>
      <c r="L263" s="35" t="s">
        <v>46</v>
      </c>
      <c r="M263" s="36" t="s">
        <v>126</v>
      </c>
      <c r="N263" s="36"/>
      <c r="O263" s="35">
        <v>55</v>
      </c>
      <c r="P263" s="86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2"/>
      <c r="R263" s="722"/>
      <c r="S263" s="722"/>
      <c r="T263" s="723"/>
      <c r="U263" s="37" t="s">
        <v>46</v>
      </c>
      <c r="V263" s="37" t="s">
        <v>46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IFERROR(IF(Y263=0,"",ROUNDUP(Y263/H263,0)*0.00651),"")</f>
        <v/>
      </c>
      <c r="AA263" s="65" t="s">
        <v>46</v>
      </c>
      <c r="AB263" s="66" t="s">
        <v>46</v>
      </c>
      <c r="AC263" s="349" t="s">
        <v>452</v>
      </c>
      <c r="AG263" s="75"/>
      <c r="AJ263" s="79" t="s">
        <v>46</v>
      </c>
      <c r="AK263" s="79">
        <v>0</v>
      </c>
      <c r="BB263" s="350" t="s">
        <v>67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idden="1" x14ac:dyDescent="0.2">
      <c r="A264" s="728"/>
      <c r="B264" s="728"/>
      <c r="C264" s="728"/>
      <c r="D264" s="728"/>
      <c r="E264" s="728"/>
      <c r="F264" s="728"/>
      <c r="G264" s="728"/>
      <c r="H264" s="728"/>
      <c r="I264" s="728"/>
      <c r="J264" s="728"/>
      <c r="K264" s="728"/>
      <c r="L264" s="728"/>
      <c r="M264" s="728"/>
      <c r="N264" s="728"/>
      <c r="O264" s="729"/>
      <c r="P264" s="725" t="s">
        <v>40</v>
      </c>
      <c r="Q264" s="726"/>
      <c r="R264" s="726"/>
      <c r="S264" s="726"/>
      <c r="T264" s="726"/>
      <c r="U264" s="726"/>
      <c r="V264" s="727"/>
      <c r="W264" s="40" t="s">
        <v>39</v>
      </c>
      <c r="X264" s="41">
        <f>IFERROR(X262/H262,"0")+IFERROR(X263/H263,"0")</f>
        <v>0</v>
      </c>
      <c r="Y264" s="41">
        <f>IFERROR(Y262/H262,"0")+IFERROR(Y263/H263,"0")</f>
        <v>0</v>
      </c>
      <c r="Z264" s="41">
        <f>IFERROR(IF(Z262="",0,Z262),"0")+IFERROR(IF(Z263="",0,Z263),"0")</f>
        <v>0</v>
      </c>
      <c r="AA264" s="64"/>
      <c r="AB264" s="64"/>
      <c r="AC264" s="64"/>
    </row>
    <row r="265" spans="1:68" hidden="1" x14ac:dyDescent="0.2">
      <c r="A265" s="728"/>
      <c r="B265" s="728"/>
      <c r="C265" s="728"/>
      <c r="D265" s="728"/>
      <c r="E265" s="728"/>
      <c r="F265" s="728"/>
      <c r="G265" s="728"/>
      <c r="H265" s="728"/>
      <c r="I265" s="728"/>
      <c r="J265" s="728"/>
      <c r="K265" s="728"/>
      <c r="L265" s="728"/>
      <c r="M265" s="728"/>
      <c r="N265" s="728"/>
      <c r="O265" s="729"/>
      <c r="P265" s="725" t="s">
        <v>40</v>
      </c>
      <c r="Q265" s="726"/>
      <c r="R265" s="726"/>
      <c r="S265" s="726"/>
      <c r="T265" s="726"/>
      <c r="U265" s="726"/>
      <c r="V265" s="727"/>
      <c r="W265" s="40" t="s">
        <v>0</v>
      </c>
      <c r="X265" s="41">
        <f>IFERROR(SUM(X262:X263),"0")</f>
        <v>0</v>
      </c>
      <c r="Y265" s="41">
        <f>IFERROR(SUM(Y262:Y263),"0")</f>
        <v>0</v>
      </c>
      <c r="Z265" s="40"/>
      <c r="AA265" s="64"/>
      <c r="AB265" s="64"/>
      <c r="AC265" s="64"/>
    </row>
    <row r="266" spans="1:68" ht="14.25" hidden="1" customHeight="1" x14ac:dyDescent="0.25">
      <c r="A266" s="719" t="s">
        <v>155</v>
      </c>
      <c r="B266" s="719"/>
      <c r="C266" s="719"/>
      <c r="D266" s="719"/>
      <c r="E266" s="719"/>
      <c r="F266" s="719"/>
      <c r="G266" s="719"/>
      <c r="H266" s="719"/>
      <c r="I266" s="719"/>
      <c r="J266" s="719"/>
      <c r="K266" s="719"/>
      <c r="L266" s="719"/>
      <c r="M266" s="719"/>
      <c r="N266" s="719"/>
      <c r="O266" s="719"/>
      <c r="P266" s="719"/>
      <c r="Q266" s="719"/>
      <c r="R266" s="719"/>
      <c r="S266" s="719"/>
      <c r="T266" s="719"/>
      <c r="U266" s="719"/>
      <c r="V266" s="719"/>
      <c r="W266" s="719"/>
      <c r="X266" s="719"/>
      <c r="Y266" s="719"/>
      <c r="Z266" s="719"/>
      <c r="AA266" s="63"/>
      <c r="AB266" s="63"/>
      <c r="AC266" s="63"/>
    </row>
    <row r="267" spans="1:68" ht="16.5" hidden="1" customHeight="1" x14ac:dyDescent="0.25">
      <c r="A267" s="60" t="s">
        <v>455</v>
      </c>
      <c r="B267" s="60" t="s">
        <v>456</v>
      </c>
      <c r="C267" s="34">
        <v>4301020261</v>
      </c>
      <c r="D267" s="720">
        <v>4680115882935</v>
      </c>
      <c r="E267" s="720"/>
      <c r="F267" s="59">
        <v>1.35</v>
      </c>
      <c r="G267" s="35">
        <v>8</v>
      </c>
      <c r="H267" s="59">
        <v>10.8</v>
      </c>
      <c r="I267" s="59">
        <v>11.21</v>
      </c>
      <c r="J267" s="35">
        <v>64</v>
      </c>
      <c r="K267" s="35" t="s">
        <v>127</v>
      </c>
      <c r="L267" s="35" t="s">
        <v>46</v>
      </c>
      <c r="M267" s="36" t="s">
        <v>126</v>
      </c>
      <c r="N267" s="36"/>
      <c r="O267" s="35">
        <v>50</v>
      </c>
      <c r="P267" s="86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2"/>
      <c r="R267" s="722"/>
      <c r="S267" s="722"/>
      <c r="T267" s="723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IFERROR(IF(Y267=0,"",ROUNDUP(Y267/H267,0)*0.01898),"")</f>
        <v/>
      </c>
      <c r="AA267" s="65" t="s">
        <v>46</v>
      </c>
      <c r="AB267" s="66" t="s">
        <v>46</v>
      </c>
      <c r="AC267" s="351" t="s">
        <v>457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t="16.5" hidden="1" customHeight="1" x14ac:dyDescent="0.25">
      <c r="A268" s="60" t="s">
        <v>458</v>
      </c>
      <c r="B268" s="60" t="s">
        <v>459</v>
      </c>
      <c r="C268" s="34">
        <v>4301020220</v>
      </c>
      <c r="D268" s="720">
        <v>4680115880764</v>
      </c>
      <c r="E268" s="720"/>
      <c r="F268" s="59">
        <v>0.35</v>
      </c>
      <c r="G268" s="35">
        <v>6</v>
      </c>
      <c r="H268" s="59">
        <v>2.1</v>
      </c>
      <c r="I268" s="59">
        <v>2.2799999999999998</v>
      </c>
      <c r="J268" s="35">
        <v>182</v>
      </c>
      <c r="K268" s="35" t="s">
        <v>91</v>
      </c>
      <c r="L268" s="35" t="s">
        <v>46</v>
      </c>
      <c r="M268" s="36" t="s">
        <v>126</v>
      </c>
      <c r="N268" s="36"/>
      <c r="O268" s="35">
        <v>50</v>
      </c>
      <c r="P268" s="86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2"/>
      <c r="R268" s="722"/>
      <c r="S268" s="722"/>
      <c r="T268" s="723"/>
      <c r="U268" s="37" t="s">
        <v>46</v>
      </c>
      <c r="V268" s="37" t="s">
        <v>46</v>
      </c>
      <c r="W268" s="38" t="s">
        <v>0</v>
      </c>
      <c r="X268" s="56">
        <v>0</v>
      </c>
      <c r="Y268" s="53">
        <f>IFERROR(IF(X268="",0,CEILING((X268/$H268),1)*$H268),"")</f>
        <v>0</v>
      </c>
      <c r="Z268" s="39" t="str">
        <f>IFERROR(IF(Y268=0,"",ROUNDUP(Y268/H268,0)*0.00651),"")</f>
        <v/>
      </c>
      <c r="AA268" s="65" t="s">
        <v>46</v>
      </c>
      <c r="AB268" s="66" t="s">
        <v>46</v>
      </c>
      <c r="AC268" s="353" t="s">
        <v>457</v>
      </c>
      <c r="AG268" s="75"/>
      <c r="AJ268" s="79" t="s">
        <v>46</v>
      </c>
      <c r="AK268" s="79">
        <v>0</v>
      </c>
      <c r="BB268" s="354" t="s">
        <v>67</v>
      </c>
      <c r="BM268" s="75">
        <f>IFERROR(X268*I268/H268,"0")</f>
        <v>0</v>
      </c>
      <c r="BN268" s="75">
        <f>IFERROR(Y268*I268/H268,"0")</f>
        <v>0</v>
      </c>
      <c r="BO268" s="75">
        <f>IFERROR(1/J268*(X268/H268),"0")</f>
        <v>0</v>
      </c>
      <c r="BP268" s="75">
        <f>IFERROR(1/J268*(Y268/H268),"0")</f>
        <v>0</v>
      </c>
    </row>
    <row r="269" spans="1:68" hidden="1" x14ac:dyDescent="0.2">
      <c r="A269" s="728"/>
      <c r="B269" s="728"/>
      <c r="C269" s="728"/>
      <c r="D269" s="728"/>
      <c r="E269" s="728"/>
      <c r="F269" s="728"/>
      <c r="G269" s="728"/>
      <c r="H269" s="728"/>
      <c r="I269" s="728"/>
      <c r="J269" s="728"/>
      <c r="K269" s="728"/>
      <c r="L269" s="728"/>
      <c r="M269" s="728"/>
      <c r="N269" s="728"/>
      <c r="O269" s="729"/>
      <c r="P269" s="725" t="s">
        <v>40</v>
      </c>
      <c r="Q269" s="726"/>
      <c r="R269" s="726"/>
      <c r="S269" s="726"/>
      <c r="T269" s="726"/>
      <c r="U269" s="726"/>
      <c r="V269" s="727"/>
      <c r="W269" s="40" t="s">
        <v>39</v>
      </c>
      <c r="X269" s="41">
        <f>IFERROR(X267/H267,"0")+IFERROR(X268/H268,"0")</f>
        <v>0</v>
      </c>
      <c r="Y269" s="41">
        <f>IFERROR(Y267/H267,"0")+IFERROR(Y268/H268,"0")</f>
        <v>0</v>
      </c>
      <c r="Z269" s="41">
        <f>IFERROR(IF(Z267="",0,Z267),"0")+IFERROR(IF(Z268="",0,Z268),"0")</f>
        <v>0</v>
      </c>
      <c r="AA269" s="64"/>
      <c r="AB269" s="64"/>
      <c r="AC269" s="64"/>
    </row>
    <row r="270" spans="1:68" hidden="1" x14ac:dyDescent="0.2">
      <c r="A270" s="728"/>
      <c r="B270" s="728"/>
      <c r="C270" s="728"/>
      <c r="D270" s="728"/>
      <c r="E270" s="728"/>
      <c r="F270" s="728"/>
      <c r="G270" s="728"/>
      <c r="H270" s="728"/>
      <c r="I270" s="728"/>
      <c r="J270" s="728"/>
      <c r="K270" s="728"/>
      <c r="L270" s="728"/>
      <c r="M270" s="728"/>
      <c r="N270" s="728"/>
      <c r="O270" s="729"/>
      <c r="P270" s="725" t="s">
        <v>40</v>
      </c>
      <c r="Q270" s="726"/>
      <c r="R270" s="726"/>
      <c r="S270" s="726"/>
      <c r="T270" s="726"/>
      <c r="U270" s="726"/>
      <c r="V270" s="727"/>
      <c r="W270" s="40" t="s">
        <v>0</v>
      </c>
      <c r="X270" s="41">
        <f>IFERROR(SUM(X267:X268),"0")</f>
        <v>0</v>
      </c>
      <c r="Y270" s="41">
        <f>IFERROR(SUM(Y267:Y268),"0")</f>
        <v>0</v>
      </c>
      <c r="Z270" s="40"/>
      <c r="AA270" s="64"/>
      <c r="AB270" s="64"/>
      <c r="AC270" s="64"/>
    </row>
    <row r="271" spans="1:68" ht="14.25" hidden="1" customHeight="1" x14ac:dyDescent="0.25">
      <c r="A271" s="719" t="s">
        <v>77</v>
      </c>
      <c r="B271" s="719"/>
      <c r="C271" s="719"/>
      <c r="D271" s="719"/>
      <c r="E271" s="719"/>
      <c r="F271" s="719"/>
      <c r="G271" s="719"/>
      <c r="H271" s="719"/>
      <c r="I271" s="719"/>
      <c r="J271" s="719"/>
      <c r="K271" s="719"/>
      <c r="L271" s="719"/>
      <c r="M271" s="719"/>
      <c r="N271" s="719"/>
      <c r="O271" s="719"/>
      <c r="P271" s="719"/>
      <c r="Q271" s="719"/>
      <c r="R271" s="719"/>
      <c r="S271" s="719"/>
      <c r="T271" s="719"/>
      <c r="U271" s="719"/>
      <c r="V271" s="719"/>
      <c r="W271" s="719"/>
      <c r="X271" s="719"/>
      <c r="Y271" s="719"/>
      <c r="Z271" s="719"/>
      <c r="AA271" s="63"/>
      <c r="AB271" s="63"/>
      <c r="AC271" s="63"/>
    </row>
    <row r="272" spans="1:68" ht="27" hidden="1" customHeight="1" x14ac:dyDescent="0.25">
      <c r="A272" s="60" t="s">
        <v>460</v>
      </c>
      <c r="B272" s="60" t="s">
        <v>461</v>
      </c>
      <c r="C272" s="34">
        <v>4301031224</v>
      </c>
      <c r="D272" s="720">
        <v>4680115882683</v>
      </c>
      <c r="E272" s="720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2"/>
      <c r="R272" s="722"/>
      <c r="S272" s="722"/>
      <c r="T272" s="723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ref="Y272:Y279" si="43">IFERROR(IF(X272="",0,CEILING((X272/$H272),1)*$H272),"")</f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55" t="s">
        <v>462</v>
      </c>
      <c r="AG272" s="75"/>
      <c r="AJ272" s="79" t="s">
        <v>46</v>
      </c>
      <c r="AK272" s="79">
        <v>0</v>
      </c>
      <c r="BB272" s="356" t="s">
        <v>67</v>
      </c>
      <c r="BM272" s="75">
        <f t="shared" ref="BM272:BM279" si="44">IFERROR(X272*I272/H272,"0")</f>
        <v>0</v>
      </c>
      <c r="BN272" s="75">
        <f t="shared" ref="BN272:BN279" si="45">IFERROR(Y272*I272/H272,"0")</f>
        <v>0</v>
      </c>
      <c r="BO272" s="75">
        <f t="shared" ref="BO272:BO279" si="46">IFERROR(1/J272*(X272/H272),"0")</f>
        <v>0</v>
      </c>
      <c r="BP272" s="75">
        <f t="shared" ref="BP272:BP279" si="47">IFERROR(1/J272*(Y272/H272),"0")</f>
        <v>0</v>
      </c>
    </row>
    <row r="273" spans="1:68" ht="27" hidden="1" customHeight="1" x14ac:dyDescent="0.25">
      <c r="A273" s="60" t="s">
        <v>463</v>
      </c>
      <c r="B273" s="60" t="s">
        <v>464</v>
      </c>
      <c r="C273" s="34">
        <v>4301031230</v>
      </c>
      <c r="D273" s="720">
        <v>4680115882690</v>
      </c>
      <c r="E273" s="720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6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2"/>
      <c r="R273" s="722"/>
      <c r="S273" s="722"/>
      <c r="T273" s="723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43"/>
        <v>0</v>
      </c>
      <c r="Z273" s="39" t="str">
        <f>IFERROR(IF(Y273=0,"",ROUNDUP(Y273/H273,0)*0.00902),"")</f>
        <v/>
      </c>
      <c r="AA273" s="65" t="s">
        <v>46</v>
      </c>
      <c r="AB273" s="66" t="s">
        <v>46</v>
      </c>
      <c r="AC273" s="357" t="s">
        <v>465</v>
      </c>
      <c r="AG273" s="75"/>
      <c r="AJ273" s="79" t="s">
        <v>46</v>
      </c>
      <c r="AK273" s="79">
        <v>0</v>
      </c>
      <c r="BB273" s="358" t="s">
        <v>67</v>
      </c>
      <c r="BM273" s="75">
        <f t="shared" si="44"/>
        <v>0</v>
      </c>
      <c r="BN273" s="75">
        <f t="shared" si="45"/>
        <v>0</v>
      </c>
      <c r="BO273" s="75">
        <f t="shared" si="46"/>
        <v>0</v>
      </c>
      <c r="BP273" s="75">
        <f t="shared" si="47"/>
        <v>0</v>
      </c>
    </row>
    <row r="274" spans="1:68" ht="27" hidden="1" customHeight="1" x14ac:dyDescent="0.25">
      <c r="A274" s="60" t="s">
        <v>466</v>
      </c>
      <c r="B274" s="60" t="s">
        <v>467</v>
      </c>
      <c r="C274" s="34">
        <v>4301031220</v>
      </c>
      <c r="D274" s="720">
        <v>4680115882669</v>
      </c>
      <c r="E274" s="720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2"/>
      <c r="R274" s="722"/>
      <c r="S274" s="722"/>
      <c r="T274" s="723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43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468</v>
      </c>
      <c r="AG274" s="75"/>
      <c r="AJ274" s="79" t="s">
        <v>46</v>
      </c>
      <c r="AK274" s="79">
        <v>0</v>
      </c>
      <c r="BB274" s="360" t="s">
        <v>67</v>
      </c>
      <c r="BM274" s="75">
        <f t="shared" si="44"/>
        <v>0</v>
      </c>
      <c r="BN274" s="75">
        <f t="shared" si="45"/>
        <v>0</v>
      </c>
      <c r="BO274" s="75">
        <f t="shared" si="46"/>
        <v>0</v>
      </c>
      <c r="BP274" s="75">
        <f t="shared" si="47"/>
        <v>0</v>
      </c>
    </row>
    <row r="275" spans="1:68" ht="27" hidden="1" customHeight="1" x14ac:dyDescent="0.25">
      <c r="A275" s="60" t="s">
        <v>469</v>
      </c>
      <c r="B275" s="60" t="s">
        <v>470</v>
      </c>
      <c r="C275" s="34">
        <v>4301031221</v>
      </c>
      <c r="D275" s="720">
        <v>4680115882676</v>
      </c>
      <c r="E275" s="720"/>
      <c r="F275" s="59">
        <v>0.9</v>
      </c>
      <c r="G275" s="35">
        <v>6</v>
      </c>
      <c r="H275" s="59">
        <v>5.4</v>
      </c>
      <c r="I275" s="59">
        <v>5.59</v>
      </c>
      <c r="J275" s="35">
        <v>132</v>
      </c>
      <c r="K275" s="35" t="s">
        <v>134</v>
      </c>
      <c r="L275" s="35" t="s">
        <v>46</v>
      </c>
      <c r="M275" s="36" t="s">
        <v>81</v>
      </c>
      <c r="N275" s="36"/>
      <c r="O275" s="35">
        <v>40</v>
      </c>
      <c r="P275" s="86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2"/>
      <c r="R275" s="722"/>
      <c r="S275" s="722"/>
      <c r="T275" s="723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43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61" t="s">
        <v>471</v>
      </c>
      <c r="AG275" s="75"/>
      <c r="AJ275" s="79" t="s">
        <v>46</v>
      </c>
      <c r="AK275" s="79">
        <v>0</v>
      </c>
      <c r="BB275" s="362" t="s">
        <v>67</v>
      </c>
      <c r="BM275" s="75">
        <f t="shared" si="44"/>
        <v>0</v>
      </c>
      <c r="BN275" s="75">
        <f t="shared" si="45"/>
        <v>0</v>
      </c>
      <c r="BO275" s="75">
        <f t="shared" si="46"/>
        <v>0</v>
      </c>
      <c r="BP275" s="75">
        <f t="shared" si="47"/>
        <v>0</v>
      </c>
    </row>
    <row r="276" spans="1:68" ht="27" customHeight="1" x14ac:dyDescent="0.25">
      <c r="A276" s="60" t="s">
        <v>472</v>
      </c>
      <c r="B276" s="60" t="s">
        <v>473</v>
      </c>
      <c r="C276" s="34">
        <v>4301031223</v>
      </c>
      <c r="D276" s="720">
        <v>4680115884014</v>
      </c>
      <c r="E276" s="720"/>
      <c r="F276" s="59">
        <v>0.3</v>
      </c>
      <c r="G276" s="35">
        <v>6</v>
      </c>
      <c r="H276" s="59">
        <v>1.8</v>
      </c>
      <c r="I276" s="59">
        <v>1.93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2"/>
      <c r="R276" s="722"/>
      <c r="S276" s="722"/>
      <c r="T276" s="723"/>
      <c r="U276" s="37" t="s">
        <v>46</v>
      </c>
      <c r="V276" s="37" t="s">
        <v>46</v>
      </c>
      <c r="W276" s="38" t="s">
        <v>0</v>
      </c>
      <c r="X276" s="56">
        <v>180</v>
      </c>
      <c r="Y276" s="53">
        <f t="shared" si="43"/>
        <v>180</v>
      </c>
      <c r="Z276" s="39">
        <f>IFERROR(IF(Y276=0,"",ROUNDUP(Y276/H276,0)*0.00502),"")</f>
        <v>0.502</v>
      </c>
      <c r="AA276" s="65" t="s">
        <v>46</v>
      </c>
      <c r="AB276" s="66" t="s">
        <v>46</v>
      </c>
      <c r="AC276" s="363" t="s">
        <v>462</v>
      </c>
      <c r="AG276" s="75"/>
      <c r="AJ276" s="79" t="s">
        <v>46</v>
      </c>
      <c r="AK276" s="79">
        <v>0</v>
      </c>
      <c r="BB276" s="364" t="s">
        <v>67</v>
      </c>
      <c r="BM276" s="75">
        <f t="shared" si="44"/>
        <v>192.99999999999997</v>
      </c>
      <c r="BN276" s="75">
        <f t="shared" si="45"/>
        <v>192.99999999999997</v>
      </c>
      <c r="BO276" s="75">
        <f t="shared" si="46"/>
        <v>0.42735042735042739</v>
      </c>
      <c r="BP276" s="75">
        <f t="shared" si="47"/>
        <v>0.42735042735042739</v>
      </c>
    </row>
    <row r="277" spans="1:68" ht="27" customHeight="1" x14ac:dyDescent="0.25">
      <c r="A277" s="60" t="s">
        <v>474</v>
      </c>
      <c r="B277" s="60" t="s">
        <v>475</v>
      </c>
      <c r="C277" s="34">
        <v>4301031222</v>
      </c>
      <c r="D277" s="720">
        <v>4680115884007</v>
      </c>
      <c r="E277" s="720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7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2"/>
      <c r="R277" s="722"/>
      <c r="S277" s="722"/>
      <c r="T277" s="723"/>
      <c r="U277" s="37" t="s">
        <v>46</v>
      </c>
      <c r="V277" s="37" t="s">
        <v>46</v>
      </c>
      <c r="W277" s="38" t="s">
        <v>0</v>
      </c>
      <c r="X277" s="56">
        <v>180</v>
      </c>
      <c r="Y277" s="53">
        <f t="shared" si="43"/>
        <v>180</v>
      </c>
      <c r="Z277" s="39">
        <f>IFERROR(IF(Y277=0,"",ROUNDUP(Y277/H277,0)*0.00502),"")</f>
        <v>0.502</v>
      </c>
      <c r="AA277" s="65" t="s">
        <v>46</v>
      </c>
      <c r="AB277" s="66" t="s">
        <v>46</v>
      </c>
      <c r="AC277" s="365" t="s">
        <v>465</v>
      </c>
      <c r="AG277" s="75"/>
      <c r="AJ277" s="79" t="s">
        <v>46</v>
      </c>
      <c r="AK277" s="79">
        <v>0</v>
      </c>
      <c r="BB277" s="366" t="s">
        <v>67</v>
      </c>
      <c r="BM277" s="75">
        <f t="shared" si="44"/>
        <v>190</v>
      </c>
      <c r="BN277" s="75">
        <f t="shared" si="45"/>
        <v>190</v>
      </c>
      <c r="BO277" s="75">
        <f t="shared" si="46"/>
        <v>0.42735042735042739</v>
      </c>
      <c r="BP277" s="75">
        <f t="shared" si="47"/>
        <v>0.42735042735042739</v>
      </c>
    </row>
    <row r="278" spans="1:68" ht="27" customHeight="1" x14ac:dyDescent="0.25">
      <c r="A278" s="60" t="s">
        <v>476</v>
      </c>
      <c r="B278" s="60" t="s">
        <v>477</v>
      </c>
      <c r="C278" s="34">
        <v>4301031229</v>
      </c>
      <c r="D278" s="720">
        <v>4680115884038</v>
      </c>
      <c r="E278" s="720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2"/>
      <c r="R278" s="722"/>
      <c r="S278" s="722"/>
      <c r="T278" s="723"/>
      <c r="U278" s="37" t="s">
        <v>46</v>
      </c>
      <c r="V278" s="37" t="s">
        <v>46</v>
      </c>
      <c r="W278" s="38" t="s">
        <v>0</v>
      </c>
      <c r="X278" s="56">
        <v>180</v>
      </c>
      <c r="Y278" s="53">
        <f t="shared" si="43"/>
        <v>180</v>
      </c>
      <c r="Z278" s="39">
        <f>IFERROR(IF(Y278=0,"",ROUNDUP(Y278/H278,0)*0.00502),"")</f>
        <v>0.502</v>
      </c>
      <c r="AA278" s="65" t="s">
        <v>46</v>
      </c>
      <c r="AB278" s="66" t="s">
        <v>46</v>
      </c>
      <c r="AC278" s="367" t="s">
        <v>468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190</v>
      </c>
      <c r="BN278" s="75">
        <f t="shared" si="45"/>
        <v>190</v>
      </c>
      <c r="BO278" s="75">
        <f t="shared" si="46"/>
        <v>0.42735042735042739</v>
      </c>
      <c r="BP278" s="75">
        <f t="shared" si="47"/>
        <v>0.42735042735042739</v>
      </c>
    </row>
    <row r="279" spans="1:68" ht="27" customHeight="1" x14ac:dyDescent="0.25">
      <c r="A279" s="60" t="s">
        <v>478</v>
      </c>
      <c r="B279" s="60" t="s">
        <v>479</v>
      </c>
      <c r="C279" s="34">
        <v>4301031225</v>
      </c>
      <c r="D279" s="720">
        <v>4680115884021</v>
      </c>
      <c r="E279" s="720"/>
      <c r="F279" s="59">
        <v>0.3</v>
      </c>
      <c r="G279" s="35">
        <v>6</v>
      </c>
      <c r="H279" s="59">
        <v>1.8</v>
      </c>
      <c r="I279" s="59">
        <v>1.9</v>
      </c>
      <c r="J279" s="35">
        <v>234</v>
      </c>
      <c r="K279" s="35" t="s">
        <v>82</v>
      </c>
      <c r="L279" s="35" t="s">
        <v>46</v>
      </c>
      <c r="M279" s="36" t="s">
        <v>81</v>
      </c>
      <c r="N279" s="36"/>
      <c r="O279" s="35">
        <v>40</v>
      </c>
      <c r="P279" s="87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2"/>
      <c r="R279" s="722"/>
      <c r="S279" s="722"/>
      <c r="T279" s="723"/>
      <c r="U279" s="37" t="s">
        <v>46</v>
      </c>
      <c r="V279" s="37" t="s">
        <v>46</v>
      </c>
      <c r="W279" s="38" t="s">
        <v>0</v>
      </c>
      <c r="X279" s="56">
        <v>180</v>
      </c>
      <c r="Y279" s="53">
        <f t="shared" si="43"/>
        <v>180</v>
      </c>
      <c r="Z279" s="39">
        <f>IFERROR(IF(Y279=0,"",ROUNDUP(Y279/H279,0)*0.00502),"")</f>
        <v>0.502</v>
      </c>
      <c r="AA279" s="65" t="s">
        <v>46</v>
      </c>
      <c r="AB279" s="66" t="s">
        <v>46</v>
      </c>
      <c r="AC279" s="369" t="s">
        <v>471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190</v>
      </c>
      <c r="BN279" s="75">
        <f t="shared" si="45"/>
        <v>190</v>
      </c>
      <c r="BO279" s="75">
        <f t="shared" si="46"/>
        <v>0.42735042735042739</v>
      </c>
      <c r="BP279" s="75">
        <f t="shared" si="47"/>
        <v>0.42735042735042739</v>
      </c>
    </row>
    <row r="280" spans="1:68" x14ac:dyDescent="0.2">
      <c r="A280" s="728"/>
      <c r="B280" s="728"/>
      <c r="C280" s="728"/>
      <c r="D280" s="728"/>
      <c r="E280" s="728"/>
      <c r="F280" s="728"/>
      <c r="G280" s="728"/>
      <c r="H280" s="728"/>
      <c r="I280" s="728"/>
      <c r="J280" s="728"/>
      <c r="K280" s="728"/>
      <c r="L280" s="728"/>
      <c r="M280" s="728"/>
      <c r="N280" s="728"/>
      <c r="O280" s="729"/>
      <c r="P280" s="725" t="s">
        <v>40</v>
      </c>
      <c r="Q280" s="726"/>
      <c r="R280" s="726"/>
      <c r="S280" s="726"/>
      <c r="T280" s="726"/>
      <c r="U280" s="726"/>
      <c r="V280" s="727"/>
      <c r="W280" s="40" t="s">
        <v>39</v>
      </c>
      <c r="X280" s="41">
        <f>IFERROR(X272/H272,"0")+IFERROR(X273/H273,"0")+IFERROR(X274/H274,"0")+IFERROR(X275/H275,"0")+IFERROR(X276/H276,"0")+IFERROR(X277/H277,"0")+IFERROR(X278/H278,"0")+IFERROR(X279/H279,"0")</f>
        <v>400</v>
      </c>
      <c r="Y280" s="41">
        <f>IFERROR(Y272/H272,"0")+IFERROR(Y273/H273,"0")+IFERROR(Y274/H274,"0")+IFERROR(Y275/H275,"0")+IFERROR(Y276/H276,"0")+IFERROR(Y277/H277,"0")+IFERROR(Y278/H278,"0")+IFERROR(Y279/H279,"0")</f>
        <v>400</v>
      </c>
      <c r="Z280" s="41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2.008</v>
      </c>
      <c r="AA280" s="64"/>
      <c r="AB280" s="64"/>
      <c r="AC280" s="64"/>
    </row>
    <row r="281" spans="1:68" x14ac:dyDescent="0.2">
      <c r="A281" s="728"/>
      <c r="B281" s="728"/>
      <c r="C281" s="728"/>
      <c r="D281" s="728"/>
      <c r="E281" s="728"/>
      <c r="F281" s="728"/>
      <c r="G281" s="728"/>
      <c r="H281" s="728"/>
      <c r="I281" s="728"/>
      <c r="J281" s="728"/>
      <c r="K281" s="728"/>
      <c r="L281" s="728"/>
      <c r="M281" s="728"/>
      <c r="N281" s="728"/>
      <c r="O281" s="729"/>
      <c r="P281" s="725" t="s">
        <v>40</v>
      </c>
      <c r="Q281" s="726"/>
      <c r="R281" s="726"/>
      <c r="S281" s="726"/>
      <c r="T281" s="726"/>
      <c r="U281" s="726"/>
      <c r="V281" s="727"/>
      <c r="W281" s="40" t="s">
        <v>0</v>
      </c>
      <c r="X281" s="41">
        <f>IFERROR(SUM(X272:X279),"0")</f>
        <v>720</v>
      </c>
      <c r="Y281" s="41">
        <f>IFERROR(SUM(Y272:Y279),"0")</f>
        <v>720</v>
      </c>
      <c r="Z281" s="40"/>
      <c r="AA281" s="64"/>
      <c r="AB281" s="64"/>
      <c r="AC281" s="64"/>
    </row>
    <row r="282" spans="1:68" ht="14.25" hidden="1" customHeight="1" x14ac:dyDescent="0.25">
      <c r="A282" s="719" t="s">
        <v>86</v>
      </c>
      <c r="B282" s="719"/>
      <c r="C282" s="719"/>
      <c r="D282" s="719"/>
      <c r="E282" s="719"/>
      <c r="F282" s="719"/>
      <c r="G282" s="719"/>
      <c r="H282" s="719"/>
      <c r="I282" s="719"/>
      <c r="J282" s="719"/>
      <c r="K282" s="719"/>
      <c r="L282" s="719"/>
      <c r="M282" s="719"/>
      <c r="N282" s="719"/>
      <c r="O282" s="719"/>
      <c r="P282" s="719"/>
      <c r="Q282" s="719"/>
      <c r="R282" s="719"/>
      <c r="S282" s="719"/>
      <c r="T282" s="719"/>
      <c r="U282" s="719"/>
      <c r="V282" s="719"/>
      <c r="W282" s="719"/>
      <c r="X282" s="719"/>
      <c r="Y282" s="719"/>
      <c r="Z282" s="719"/>
      <c r="AA282" s="63"/>
      <c r="AB282" s="63"/>
      <c r="AC282" s="63"/>
    </row>
    <row r="283" spans="1:68" ht="27" hidden="1" customHeight="1" x14ac:dyDescent="0.25">
      <c r="A283" s="60" t="s">
        <v>480</v>
      </c>
      <c r="B283" s="60" t="s">
        <v>481</v>
      </c>
      <c r="C283" s="34">
        <v>4301051408</v>
      </c>
      <c r="D283" s="720">
        <v>4680115881594</v>
      </c>
      <c r="E283" s="720"/>
      <c r="F283" s="59">
        <v>1.35</v>
      </c>
      <c r="G283" s="35">
        <v>6</v>
      </c>
      <c r="H283" s="59">
        <v>8.1</v>
      </c>
      <c r="I283" s="59">
        <v>8.5939999999999994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7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2"/>
      <c r="R283" s="722"/>
      <c r="S283" s="722"/>
      <c r="T283" s="723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ref="Y283:Y294" si="48">IFERROR(IF(X283="",0,CEILING((X283/$H283),1)*$H283),"")</f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482</v>
      </c>
      <c r="AG283" s="75"/>
      <c r="AJ283" s="79" t="s">
        <v>46</v>
      </c>
      <c r="AK283" s="79">
        <v>0</v>
      </c>
      <c r="BB283" s="372" t="s">
        <v>67</v>
      </c>
      <c r="BM283" s="75">
        <f t="shared" ref="BM283:BM294" si="49">IFERROR(X283*I283/H283,"0")</f>
        <v>0</v>
      </c>
      <c r="BN283" s="75">
        <f t="shared" ref="BN283:BN294" si="50">IFERROR(Y283*I283/H283,"0")</f>
        <v>0</v>
      </c>
      <c r="BO283" s="75">
        <f t="shared" ref="BO283:BO294" si="51">IFERROR(1/J283*(X283/H283),"0")</f>
        <v>0</v>
      </c>
      <c r="BP283" s="75">
        <f t="shared" ref="BP283:BP294" si="52">IFERROR(1/J283*(Y283/H283),"0")</f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4301051411</v>
      </c>
      <c r="D284" s="720">
        <v>4680115881617</v>
      </c>
      <c r="E284" s="720"/>
      <c r="F284" s="59">
        <v>1.35</v>
      </c>
      <c r="G284" s="35">
        <v>6</v>
      </c>
      <c r="H284" s="59">
        <v>8.1</v>
      </c>
      <c r="I284" s="59">
        <v>8.5760000000000005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40</v>
      </c>
      <c r="P284" s="87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2"/>
      <c r="R284" s="722"/>
      <c r="S284" s="722"/>
      <c r="T284" s="723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8"/>
        <v>0</v>
      </c>
      <c r="Z284" s="39" t="str">
        <f>IFERROR(IF(Y284=0,"",ROUNDUP(Y284/H284,0)*0.01898),"")</f>
        <v/>
      </c>
      <c r="AA284" s="65" t="s">
        <v>46</v>
      </c>
      <c r="AB284" s="66" t="s">
        <v>46</v>
      </c>
      <c r="AC284" s="373" t="s">
        <v>485</v>
      </c>
      <c r="AG284" s="75"/>
      <c r="AJ284" s="79" t="s">
        <v>46</v>
      </c>
      <c r="AK284" s="79">
        <v>0</v>
      </c>
      <c r="BB284" s="374" t="s">
        <v>67</v>
      </c>
      <c r="BM284" s="75">
        <f t="shared" si="49"/>
        <v>0</v>
      </c>
      <c r="BN284" s="75">
        <f t="shared" si="50"/>
        <v>0</v>
      </c>
      <c r="BO284" s="75">
        <f t="shared" si="51"/>
        <v>0</v>
      </c>
      <c r="BP284" s="75">
        <f t="shared" si="52"/>
        <v>0</v>
      </c>
    </row>
    <row r="285" spans="1:68" ht="27" hidden="1" customHeight="1" x14ac:dyDescent="0.25">
      <c r="A285" s="60" t="s">
        <v>486</v>
      </c>
      <c r="B285" s="60" t="s">
        <v>487</v>
      </c>
      <c r="C285" s="34">
        <v>4301051656</v>
      </c>
      <c r="D285" s="720">
        <v>4680115880573</v>
      </c>
      <c r="E285" s="720"/>
      <c r="F285" s="59">
        <v>1.45</v>
      </c>
      <c r="G285" s="35">
        <v>6</v>
      </c>
      <c r="H285" s="59">
        <v>8.6999999999999993</v>
      </c>
      <c r="I285" s="59">
        <v>9.1940000000000008</v>
      </c>
      <c r="J285" s="35">
        <v>64</v>
      </c>
      <c r="K285" s="35" t="s">
        <v>127</v>
      </c>
      <c r="L285" s="35" t="s">
        <v>46</v>
      </c>
      <c r="M285" s="36" t="s">
        <v>90</v>
      </c>
      <c r="N285" s="36"/>
      <c r="O285" s="35">
        <v>45</v>
      </c>
      <c r="P285" s="8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2"/>
      <c r="R285" s="722"/>
      <c r="S285" s="722"/>
      <c r="T285" s="723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8"/>
        <v>0</v>
      </c>
      <c r="Z285" s="39" t="str">
        <f>IFERROR(IF(Y285=0,"",ROUNDUP(Y285/H285,0)*0.01898),"")</f>
        <v/>
      </c>
      <c r="AA285" s="65" t="s">
        <v>46</v>
      </c>
      <c r="AB285" s="66" t="s">
        <v>46</v>
      </c>
      <c r="AC285" s="375" t="s">
        <v>488</v>
      </c>
      <c r="AG285" s="75"/>
      <c r="AJ285" s="79" t="s">
        <v>46</v>
      </c>
      <c r="AK285" s="79">
        <v>0</v>
      </c>
      <c r="BB285" s="376" t="s">
        <v>67</v>
      </c>
      <c r="BM285" s="75">
        <f t="shared" si="49"/>
        <v>0</v>
      </c>
      <c r="BN285" s="75">
        <f t="shared" si="50"/>
        <v>0</v>
      </c>
      <c r="BO285" s="75">
        <f t="shared" si="51"/>
        <v>0</v>
      </c>
      <c r="BP285" s="75">
        <f t="shared" si="52"/>
        <v>0</v>
      </c>
    </row>
    <row r="286" spans="1:68" ht="27" customHeight="1" x14ac:dyDescent="0.25">
      <c r="A286" s="60" t="s">
        <v>489</v>
      </c>
      <c r="B286" s="60" t="s">
        <v>490</v>
      </c>
      <c r="C286" s="34">
        <v>4301051407</v>
      </c>
      <c r="D286" s="720">
        <v>4680115882195</v>
      </c>
      <c r="E286" s="720"/>
      <c r="F286" s="59">
        <v>0.4</v>
      </c>
      <c r="G286" s="35">
        <v>6</v>
      </c>
      <c r="H286" s="59">
        <v>2.4</v>
      </c>
      <c r="I286" s="59">
        <v>2.67</v>
      </c>
      <c r="J286" s="35">
        <v>182</v>
      </c>
      <c r="K286" s="35" t="s">
        <v>91</v>
      </c>
      <c r="L286" s="35" t="s">
        <v>46</v>
      </c>
      <c r="M286" s="36" t="s">
        <v>90</v>
      </c>
      <c r="N286" s="36"/>
      <c r="O286" s="35">
        <v>40</v>
      </c>
      <c r="P286" s="8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2"/>
      <c r="R286" s="722"/>
      <c r="S286" s="722"/>
      <c r="T286" s="723"/>
      <c r="U286" s="37" t="s">
        <v>46</v>
      </c>
      <c r="V286" s="37" t="s">
        <v>46</v>
      </c>
      <c r="W286" s="38" t="s">
        <v>0</v>
      </c>
      <c r="X286" s="56">
        <v>1000</v>
      </c>
      <c r="Y286" s="53">
        <f t="shared" si="48"/>
        <v>1000.8</v>
      </c>
      <c r="Z286" s="39">
        <f>IFERROR(IF(Y286=0,"",ROUNDUP(Y286/H286,0)*0.00651),"")</f>
        <v>2.7146699999999999</v>
      </c>
      <c r="AA286" s="65" t="s">
        <v>46</v>
      </c>
      <c r="AB286" s="66" t="s">
        <v>46</v>
      </c>
      <c r="AC286" s="377" t="s">
        <v>482</v>
      </c>
      <c r="AG286" s="75"/>
      <c r="AJ286" s="79" t="s">
        <v>46</v>
      </c>
      <c r="AK286" s="79">
        <v>0</v>
      </c>
      <c r="BB286" s="378" t="s">
        <v>67</v>
      </c>
      <c r="BM286" s="75">
        <f t="shared" si="49"/>
        <v>1112.5</v>
      </c>
      <c r="BN286" s="75">
        <f t="shared" si="50"/>
        <v>1113.3900000000001</v>
      </c>
      <c r="BO286" s="75">
        <f t="shared" si="51"/>
        <v>2.2893772893772897</v>
      </c>
      <c r="BP286" s="75">
        <f t="shared" si="52"/>
        <v>2.2912087912087915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4301051752</v>
      </c>
      <c r="D287" s="720">
        <v>4680115882607</v>
      </c>
      <c r="E287" s="720"/>
      <c r="F287" s="59">
        <v>0.3</v>
      </c>
      <c r="G287" s="35">
        <v>6</v>
      </c>
      <c r="H287" s="59">
        <v>1.8</v>
      </c>
      <c r="I287" s="59">
        <v>2.052</v>
      </c>
      <c r="J287" s="35">
        <v>182</v>
      </c>
      <c r="K287" s="35" t="s">
        <v>91</v>
      </c>
      <c r="L287" s="35" t="s">
        <v>46</v>
      </c>
      <c r="M287" s="36" t="s">
        <v>97</v>
      </c>
      <c r="N287" s="36"/>
      <c r="O287" s="35">
        <v>45</v>
      </c>
      <c r="P287" s="8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2"/>
      <c r="R287" s="722"/>
      <c r="S287" s="722"/>
      <c r="T287" s="723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8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79" t="s">
        <v>488</v>
      </c>
      <c r="AG287" s="75"/>
      <c r="AJ287" s="79" t="s">
        <v>46</v>
      </c>
      <c r="AK287" s="79">
        <v>0</v>
      </c>
      <c r="BB287" s="380" t="s">
        <v>67</v>
      </c>
      <c r="BM287" s="75">
        <f t="shared" si="49"/>
        <v>0</v>
      </c>
      <c r="BN287" s="75">
        <f t="shared" si="50"/>
        <v>0</v>
      </c>
      <c r="BO287" s="75">
        <f t="shared" si="51"/>
        <v>0</v>
      </c>
      <c r="BP287" s="75">
        <f t="shared" si="52"/>
        <v>0</v>
      </c>
    </row>
    <row r="288" spans="1:68" ht="27" hidden="1" customHeight="1" x14ac:dyDescent="0.25">
      <c r="A288" s="60" t="s">
        <v>493</v>
      </c>
      <c r="B288" s="60" t="s">
        <v>494</v>
      </c>
      <c r="C288" s="34">
        <v>4301052143</v>
      </c>
      <c r="D288" s="720">
        <v>4680115882607</v>
      </c>
      <c r="E288" s="720"/>
      <c r="F288" s="59">
        <v>0.3</v>
      </c>
      <c r="G288" s="35">
        <v>6</v>
      </c>
      <c r="H288" s="59">
        <v>1.8</v>
      </c>
      <c r="I288" s="59">
        <v>2.0619999999999998</v>
      </c>
      <c r="J288" s="35">
        <v>132</v>
      </c>
      <c r="K288" s="35" t="s">
        <v>134</v>
      </c>
      <c r="L288" s="35" t="s">
        <v>46</v>
      </c>
      <c r="M288" s="36" t="s">
        <v>90</v>
      </c>
      <c r="N288" s="36"/>
      <c r="O288" s="35">
        <v>45</v>
      </c>
      <c r="P288" s="87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2"/>
      <c r="R288" s="722"/>
      <c r="S288" s="722"/>
      <c r="T288" s="723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8"/>
        <v>0</v>
      </c>
      <c r="Z288" s="39" t="str">
        <f>IFERROR(IF(Y288=0,"",ROUNDUP(Y288/H288,0)*0.00902),"")</f>
        <v/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49"/>
        <v>0</v>
      </c>
      <c r="BN288" s="75">
        <f t="shared" si="50"/>
        <v>0</v>
      </c>
      <c r="BO288" s="75">
        <f t="shared" si="51"/>
        <v>0</v>
      </c>
      <c r="BP288" s="75">
        <f t="shared" si="52"/>
        <v>0</v>
      </c>
    </row>
    <row r="289" spans="1:68" ht="27" customHeight="1" x14ac:dyDescent="0.25">
      <c r="A289" s="60" t="s">
        <v>496</v>
      </c>
      <c r="B289" s="60" t="s">
        <v>497</v>
      </c>
      <c r="C289" s="34">
        <v>4301051666</v>
      </c>
      <c r="D289" s="720">
        <v>4680115880092</v>
      </c>
      <c r="E289" s="720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91</v>
      </c>
      <c r="L289" s="35" t="s">
        <v>46</v>
      </c>
      <c r="M289" s="36" t="s">
        <v>90</v>
      </c>
      <c r="N289" s="36"/>
      <c r="O289" s="35">
        <v>45</v>
      </c>
      <c r="P289" s="8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2"/>
      <c r="R289" s="722"/>
      <c r="S289" s="722"/>
      <c r="T289" s="723"/>
      <c r="U289" s="37" t="s">
        <v>46</v>
      </c>
      <c r="V289" s="37" t="s">
        <v>46</v>
      </c>
      <c r="W289" s="38" t="s">
        <v>0</v>
      </c>
      <c r="X289" s="56">
        <v>1400</v>
      </c>
      <c r="Y289" s="53">
        <f t="shared" si="48"/>
        <v>1401.6</v>
      </c>
      <c r="Z289" s="39">
        <f>IFERROR(IF(Y289=0,"",ROUNDUP(Y289/H289,0)*0.00651),"")</f>
        <v>3.8018399999999999</v>
      </c>
      <c r="AA289" s="65" t="s">
        <v>46</v>
      </c>
      <c r="AB289" s="66" t="s">
        <v>46</v>
      </c>
      <c r="AC289" s="383" t="s">
        <v>488</v>
      </c>
      <c r="AG289" s="75"/>
      <c r="AJ289" s="79" t="s">
        <v>46</v>
      </c>
      <c r="AK289" s="79">
        <v>0</v>
      </c>
      <c r="BB289" s="384" t="s">
        <v>67</v>
      </c>
      <c r="BM289" s="75">
        <f t="shared" si="49"/>
        <v>1547.0000000000002</v>
      </c>
      <c r="BN289" s="75">
        <f t="shared" si="50"/>
        <v>1548.768</v>
      </c>
      <c r="BO289" s="75">
        <f t="shared" si="51"/>
        <v>3.2051282051282057</v>
      </c>
      <c r="BP289" s="75">
        <f t="shared" si="52"/>
        <v>3.2087912087912089</v>
      </c>
    </row>
    <row r="290" spans="1:68" ht="27" hidden="1" customHeight="1" x14ac:dyDescent="0.25">
      <c r="A290" s="60" t="s">
        <v>498</v>
      </c>
      <c r="B290" s="60" t="s">
        <v>499</v>
      </c>
      <c r="C290" s="34">
        <v>4301052214</v>
      </c>
      <c r="D290" s="720">
        <v>4680115889064</v>
      </c>
      <c r="E290" s="720"/>
      <c r="F290" s="59">
        <v>0.7</v>
      </c>
      <c r="G290" s="35">
        <v>6</v>
      </c>
      <c r="H290" s="59">
        <v>4.2</v>
      </c>
      <c r="I290" s="59">
        <v>4.6159999999999997</v>
      </c>
      <c r="J290" s="35">
        <v>104</v>
      </c>
      <c r="K290" s="35" t="s">
        <v>127</v>
      </c>
      <c r="L290" s="35" t="s">
        <v>46</v>
      </c>
      <c r="M290" s="36" t="s">
        <v>90</v>
      </c>
      <c r="N290" s="36"/>
      <c r="O290" s="35">
        <v>45</v>
      </c>
      <c r="P290" s="88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2"/>
      <c r="R290" s="722"/>
      <c r="S290" s="722"/>
      <c r="T290" s="723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8"/>
        <v>0</v>
      </c>
      <c r="Z290" s="39" t="str">
        <f>IFERROR(IF(Y290=0,"",ROUNDUP(Y290/H290,0)*0.01196),"")</f>
        <v/>
      </c>
      <c r="AA290" s="65" t="s">
        <v>46</v>
      </c>
      <c r="AB290" s="66" t="s">
        <v>46</v>
      </c>
      <c r="AC290" s="385" t="s">
        <v>495</v>
      </c>
      <c r="AG290" s="75"/>
      <c r="AJ290" s="79" t="s">
        <v>46</v>
      </c>
      <c r="AK290" s="79">
        <v>0</v>
      </c>
      <c r="BB290" s="386" t="s">
        <v>67</v>
      </c>
      <c r="BM290" s="75">
        <f t="shared" si="49"/>
        <v>0</v>
      </c>
      <c r="BN290" s="75">
        <f t="shared" si="50"/>
        <v>0</v>
      </c>
      <c r="BO290" s="75">
        <f t="shared" si="51"/>
        <v>0</v>
      </c>
      <c r="BP290" s="75">
        <f t="shared" si="52"/>
        <v>0</v>
      </c>
    </row>
    <row r="291" spans="1:68" ht="27" hidden="1" customHeight="1" x14ac:dyDescent="0.25">
      <c r="A291" s="60" t="s">
        <v>500</v>
      </c>
      <c r="B291" s="60" t="s">
        <v>501</v>
      </c>
      <c r="C291" s="34">
        <v>4301051668</v>
      </c>
      <c r="D291" s="720">
        <v>4680115880221</v>
      </c>
      <c r="E291" s="720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90</v>
      </c>
      <c r="N291" s="36"/>
      <c r="O291" s="35">
        <v>45</v>
      </c>
      <c r="P291" s="88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2"/>
      <c r="R291" s="722"/>
      <c r="S291" s="722"/>
      <c r="T291" s="723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48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488</v>
      </c>
      <c r="AG291" s="75"/>
      <c r="AJ291" s="79" t="s">
        <v>46</v>
      </c>
      <c r="AK291" s="79">
        <v>0</v>
      </c>
      <c r="BB291" s="388" t="s">
        <v>67</v>
      </c>
      <c r="BM291" s="75">
        <f t="shared" si="49"/>
        <v>0</v>
      </c>
      <c r="BN291" s="75">
        <f t="shared" si="50"/>
        <v>0</v>
      </c>
      <c r="BO291" s="75">
        <f t="shared" si="51"/>
        <v>0</v>
      </c>
      <c r="BP291" s="75">
        <f t="shared" si="52"/>
        <v>0</v>
      </c>
    </row>
    <row r="292" spans="1:68" ht="27" hidden="1" customHeight="1" x14ac:dyDescent="0.25">
      <c r="A292" s="60" t="s">
        <v>502</v>
      </c>
      <c r="B292" s="60" t="s">
        <v>503</v>
      </c>
      <c r="C292" s="34">
        <v>4301051945</v>
      </c>
      <c r="D292" s="720">
        <v>4680115880504</v>
      </c>
      <c r="E292" s="720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88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2"/>
      <c r="R292" s="722"/>
      <c r="S292" s="722"/>
      <c r="T292" s="723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48"/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 t="shared" si="49"/>
        <v>0</v>
      </c>
      <c r="BN292" s="75">
        <f t="shared" si="50"/>
        <v>0</v>
      </c>
      <c r="BO292" s="75">
        <f t="shared" si="51"/>
        <v>0</v>
      </c>
      <c r="BP292" s="75">
        <f t="shared" si="52"/>
        <v>0</v>
      </c>
    </row>
    <row r="293" spans="1:68" ht="27" customHeight="1" x14ac:dyDescent="0.25">
      <c r="A293" s="60" t="s">
        <v>505</v>
      </c>
      <c r="B293" s="60" t="s">
        <v>506</v>
      </c>
      <c r="C293" s="34">
        <v>4301051410</v>
      </c>
      <c r="D293" s="720">
        <v>4680115882164</v>
      </c>
      <c r="E293" s="720"/>
      <c r="F293" s="59">
        <v>0.4</v>
      </c>
      <c r="G293" s="35">
        <v>6</v>
      </c>
      <c r="H293" s="59">
        <v>2.4</v>
      </c>
      <c r="I293" s="59">
        <v>2.6579999999999999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88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2"/>
      <c r="R293" s="722"/>
      <c r="S293" s="722"/>
      <c r="T293" s="723"/>
      <c r="U293" s="37" t="s">
        <v>46</v>
      </c>
      <c r="V293" s="37" t="s">
        <v>46</v>
      </c>
      <c r="W293" s="38" t="s">
        <v>0</v>
      </c>
      <c r="X293" s="56">
        <v>400</v>
      </c>
      <c r="Y293" s="53">
        <f t="shared" si="48"/>
        <v>400.8</v>
      </c>
      <c r="Z293" s="39">
        <f>IFERROR(IF(Y293=0,"",ROUNDUP(Y293/H293,0)*0.00651),"")</f>
        <v>1.08717</v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 t="shared" si="49"/>
        <v>443.00000000000006</v>
      </c>
      <c r="BN293" s="75">
        <f t="shared" si="50"/>
        <v>443.88599999999997</v>
      </c>
      <c r="BO293" s="75">
        <f t="shared" si="51"/>
        <v>0.91575091575091594</v>
      </c>
      <c r="BP293" s="75">
        <f t="shared" si="52"/>
        <v>0.91758241758241765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4301052180</v>
      </c>
      <c r="D294" s="720">
        <v>4680115888340</v>
      </c>
      <c r="E294" s="720"/>
      <c r="F294" s="59">
        <v>0.4</v>
      </c>
      <c r="G294" s="35">
        <v>6</v>
      </c>
      <c r="H294" s="59">
        <v>2.4</v>
      </c>
      <c r="I294" s="59">
        <v>2.6520000000000001</v>
      </c>
      <c r="J294" s="35">
        <v>182</v>
      </c>
      <c r="K294" s="35" t="s">
        <v>91</v>
      </c>
      <c r="L294" s="35" t="s">
        <v>46</v>
      </c>
      <c r="M294" s="36" t="s">
        <v>90</v>
      </c>
      <c r="N294" s="36"/>
      <c r="O294" s="35">
        <v>45</v>
      </c>
      <c r="P294" s="8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2"/>
      <c r="R294" s="722"/>
      <c r="S294" s="722"/>
      <c r="T294" s="723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48"/>
        <v>0</v>
      </c>
      <c r="Z294" s="39" t="str">
        <f>IFERROR(IF(Y294=0,"",ROUNDUP(Y294/H294,0)*0.00651),"")</f>
        <v/>
      </c>
      <c r="AA294" s="65" t="s">
        <v>46</v>
      </c>
      <c r="AB294" s="66" t="s">
        <v>46</v>
      </c>
      <c r="AC294" s="393" t="s">
        <v>510</v>
      </c>
      <c r="AG294" s="75"/>
      <c r="AJ294" s="79" t="s">
        <v>46</v>
      </c>
      <c r="AK294" s="79">
        <v>0</v>
      </c>
      <c r="BB294" s="394" t="s">
        <v>67</v>
      </c>
      <c r="BM294" s="75">
        <f t="shared" si="49"/>
        <v>0</v>
      </c>
      <c r="BN294" s="75">
        <f t="shared" si="50"/>
        <v>0</v>
      </c>
      <c r="BO294" s="75">
        <f t="shared" si="51"/>
        <v>0</v>
      </c>
      <c r="BP294" s="75">
        <f t="shared" si="52"/>
        <v>0</v>
      </c>
    </row>
    <row r="295" spans="1:68" x14ac:dyDescent="0.2">
      <c r="A295" s="728"/>
      <c r="B295" s="728"/>
      <c r="C295" s="728"/>
      <c r="D295" s="728"/>
      <c r="E295" s="728"/>
      <c r="F295" s="728"/>
      <c r="G295" s="728"/>
      <c r="H295" s="728"/>
      <c r="I295" s="728"/>
      <c r="J295" s="728"/>
      <c r="K295" s="728"/>
      <c r="L295" s="728"/>
      <c r="M295" s="728"/>
      <c r="N295" s="728"/>
      <c r="O295" s="729"/>
      <c r="P295" s="725" t="s">
        <v>40</v>
      </c>
      <c r="Q295" s="726"/>
      <c r="R295" s="726"/>
      <c r="S295" s="726"/>
      <c r="T295" s="726"/>
      <c r="U295" s="726"/>
      <c r="V295" s="727"/>
      <c r="W295" s="40" t="s">
        <v>39</v>
      </c>
      <c r="X295" s="41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1166.6666666666667</v>
      </c>
      <c r="Y295" s="41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1168</v>
      </c>
      <c r="Z295" s="41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7.6036800000000007</v>
      </c>
      <c r="AA295" s="64"/>
      <c r="AB295" s="64"/>
      <c r="AC295" s="64"/>
    </row>
    <row r="296" spans="1:68" x14ac:dyDescent="0.2">
      <c r="A296" s="728"/>
      <c r="B296" s="728"/>
      <c r="C296" s="728"/>
      <c r="D296" s="728"/>
      <c r="E296" s="728"/>
      <c r="F296" s="728"/>
      <c r="G296" s="728"/>
      <c r="H296" s="728"/>
      <c r="I296" s="728"/>
      <c r="J296" s="728"/>
      <c r="K296" s="728"/>
      <c r="L296" s="728"/>
      <c r="M296" s="728"/>
      <c r="N296" s="728"/>
      <c r="O296" s="729"/>
      <c r="P296" s="725" t="s">
        <v>40</v>
      </c>
      <c r="Q296" s="726"/>
      <c r="R296" s="726"/>
      <c r="S296" s="726"/>
      <c r="T296" s="726"/>
      <c r="U296" s="726"/>
      <c r="V296" s="727"/>
      <c r="W296" s="40" t="s">
        <v>0</v>
      </c>
      <c r="X296" s="41">
        <f>IFERROR(SUM(X283:X294),"0")</f>
        <v>2800</v>
      </c>
      <c r="Y296" s="41">
        <f>IFERROR(SUM(Y283:Y294),"0")</f>
        <v>2803.2</v>
      </c>
      <c r="Z296" s="40"/>
      <c r="AA296" s="64"/>
      <c r="AB296" s="64"/>
      <c r="AC296" s="64"/>
    </row>
    <row r="297" spans="1:68" ht="14.25" hidden="1" customHeight="1" x14ac:dyDescent="0.25">
      <c r="A297" s="719" t="s">
        <v>173</v>
      </c>
      <c r="B297" s="719"/>
      <c r="C297" s="719"/>
      <c r="D297" s="719"/>
      <c r="E297" s="719"/>
      <c r="F297" s="719"/>
      <c r="G297" s="719"/>
      <c r="H297" s="719"/>
      <c r="I297" s="719"/>
      <c r="J297" s="719"/>
      <c r="K297" s="719"/>
      <c r="L297" s="719"/>
      <c r="M297" s="719"/>
      <c r="N297" s="719"/>
      <c r="O297" s="719"/>
      <c r="P297" s="719"/>
      <c r="Q297" s="719"/>
      <c r="R297" s="719"/>
      <c r="S297" s="719"/>
      <c r="T297" s="719"/>
      <c r="U297" s="719"/>
      <c r="V297" s="719"/>
      <c r="W297" s="719"/>
      <c r="X297" s="719"/>
      <c r="Y297" s="719"/>
      <c r="Z297" s="719"/>
      <c r="AA297" s="63"/>
      <c r="AB297" s="63"/>
      <c r="AC297" s="63"/>
    </row>
    <row r="298" spans="1:68" ht="27" customHeight="1" x14ac:dyDescent="0.25">
      <c r="A298" s="60" t="s">
        <v>511</v>
      </c>
      <c r="B298" s="60" t="s">
        <v>512</v>
      </c>
      <c r="C298" s="34">
        <v>4301060463</v>
      </c>
      <c r="D298" s="720">
        <v>4680115880818</v>
      </c>
      <c r="E298" s="720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97</v>
      </c>
      <c r="N298" s="36"/>
      <c r="O298" s="35">
        <v>40</v>
      </c>
      <c r="P298" s="88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2"/>
      <c r="R298" s="722"/>
      <c r="S298" s="722"/>
      <c r="T298" s="723"/>
      <c r="U298" s="37" t="s">
        <v>46</v>
      </c>
      <c r="V298" s="37" t="s">
        <v>46</v>
      </c>
      <c r="W298" s="38" t="s">
        <v>0</v>
      </c>
      <c r="X298" s="56">
        <v>48</v>
      </c>
      <c r="Y298" s="53">
        <f>IFERROR(IF(X298="",0,CEILING((X298/$H298),1)*$H298),"")</f>
        <v>48</v>
      </c>
      <c r="Z298" s="39">
        <f>IFERROR(IF(Y298=0,"",ROUNDUP(Y298/H298,0)*0.00651),"")</f>
        <v>0.13020000000000001</v>
      </c>
      <c r="AA298" s="65" t="s">
        <v>46</v>
      </c>
      <c r="AB298" s="66" t="s">
        <v>46</v>
      </c>
      <c r="AC298" s="395" t="s">
        <v>513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53.040000000000006</v>
      </c>
      <c r="BN298" s="75">
        <f>IFERROR(Y298*I298/H298,"0")</f>
        <v>53.040000000000006</v>
      </c>
      <c r="BO298" s="75">
        <f>IFERROR(1/J298*(X298/H298),"0")</f>
        <v>0.1098901098901099</v>
      </c>
      <c r="BP298" s="75">
        <f>IFERROR(1/J298*(Y298/H298),"0")</f>
        <v>0.1098901098901099</v>
      </c>
    </row>
    <row r="299" spans="1:68" ht="27" customHeight="1" x14ac:dyDescent="0.25">
      <c r="A299" s="60" t="s">
        <v>514</v>
      </c>
      <c r="B299" s="60" t="s">
        <v>515</v>
      </c>
      <c r="C299" s="34">
        <v>4301060389</v>
      </c>
      <c r="D299" s="720">
        <v>4680115880801</v>
      </c>
      <c r="E299" s="720"/>
      <c r="F299" s="59">
        <v>0.4</v>
      </c>
      <c r="G299" s="35">
        <v>6</v>
      </c>
      <c r="H299" s="59">
        <v>2.4</v>
      </c>
      <c r="I299" s="59">
        <v>2.6520000000000001</v>
      </c>
      <c r="J299" s="35">
        <v>182</v>
      </c>
      <c r="K299" s="35" t="s">
        <v>91</v>
      </c>
      <c r="L299" s="35" t="s">
        <v>46</v>
      </c>
      <c r="M299" s="36" t="s">
        <v>90</v>
      </c>
      <c r="N299" s="36"/>
      <c r="O299" s="35">
        <v>40</v>
      </c>
      <c r="P299" s="8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2"/>
      <c r="R299" s="722"/>
      <c r="S299" s="722"/>
      <c r="T299" s="723"/>
      <c r="U299" s="37" t="s">
        <v>46</v>
      </c>
      <c r="V299" s="37" t="s">
        <v>46</v>
      </c>
      <c r="W299" s="38" t="s">
        <v>0</v>
      </c>
      <c r="X299" s="56">
        <v>240</v>
      </c>
      <c r="Y299" s="53">
        <f>IFERROR(IF(X299="",0,CEILING((X299/$H299),1)*$H299),"")</f>
        <v>240</v>
      </c>
      <c r="Z299" s="39">
        <f>IFERROR(IF(Y299=0,"",ROUNDUP(Y299/H299,0)*0.00651),"")</f>
        <v>0.65100000000000002</v>
      </c>
      <c r="AA299" s="65" t="s">
        <v>46</v>
      </c>
      <c r="AB299" s="66" t="s">
        <v>46</v>
      </c>
      <c r="AC299" s="397" t="s">
        <v>516</v>
      </c>
      <c r="AG299" s="75"/>
      <c r="AJ299" s="79" t="s">
        <v>46</v>
      </c>
      <c r="AK299" s="79">
        <v>0</v>
      </c>
      <c r="BB299" s="398" t="s">
        <v>67</v>
      </c>
      <c r="BM299" s="75">
        <f>IFERROR(X299*I299/H299,"0")</f>
        <v>265.20000000000005</v>
      </c>
      <c r="BN299" s="75">
        <f>IFERROR(Y299*I299/H299,"0")</f>
        <v>265.20000000000005</v>
      </c>
      <c r="BO299" s="75">
        <f>IFERROR(1/J299*(X299/H299),"0")</f>
        <v>0.5494505494505495</v>
      </c>
      <c r="BP299" s="75">
        <f>IFERROR(1/J299*(Y299/H299),"0")</f>
        <v>0.5494505494505495</v>
      </c>
    </row>
    <row r="300" spans="1:68" x14ac:dyDescent="0.2">
      <c r="A300" s="728"/>
      <c r="B300" s="728"/>
      <c r="C300" s="728"/>
      <c r="D300" s="728"/>
      <c r="E300" s="728"/>
      <c r="F300" s="728"/>
      <c r="G300" s="728"/>
      <c r="H300" s="728"/>
      <c r="I300" s="728"/>
      <c r="J300" s="728"/>
      <c r="K300" s="728"/>
      <c r="L300" s="728"/>
      <c r="M300" s="728"/>
      <c r="N300" s="728"/>
      <c r="O300" s="729"/>
      <c r="P300" s="725" t="s">
        <v>40</v>
      </c>
      <c r="Q300" s="726"/>
      <c r="R300" s="726"/>
      <c r="S300" s="726"/>
      <c r="T300" s="726"/>
      <c r="U300" s="726"/>
      <c r="V300" s="727"/>
      <c r="W300" s="40" t="s">
        <v>39</v>
      </c>
      <c r="X300" s="41">
        <f>IFERROR(X298/H298,"0")+IFERROR(X299/H299,"0")</f>
        <v>120</v>
      </c>
      <c r="Y300" s="41">
        <f>IFERROR(Y298/H298,"0")+IFERROR(Y299/H299,"0")</f>
        <v>120</v>
      </c>
      <c r="Z300" s="41">
        <f>IFERROR(IF(Z298="",0,Z298),"0")+IFERROR(IF(Z299="",0,Z299),"0")</f>
        <v>0.78120000000000001</v>
      </c>
      <c r="AA300" s="64"/>
      <c r="AB300" s="64"/>
      <c r="AC300" s="64"/>
    </row>
    <row r="301" spans="1:68" x14ac:dyDescent="0.2">
      <c r="A301" s="728"/>
      <c r="B301" s="728"/>
      <c r="C301" s="728"/>
      <c r="D301" s="728"/>
      <c r="E301" s="728"/>
      <c r="F301" s="728"/>
      <c r="G301" s="728"/>
      <c r="H301" s="728"/>
      <c r="I301" s="728"/>
      <c r="J301" s="728"/>
      <c r="K301" s="728"/>
      <c r="L301" s="728"/>
      <c r="M301" s="728"/>
      <c r="N301" s="728"/>
      <c r="O301" s="729"/>
      <c r="P301" s="725" t="s">
        <v>40</v>
      </c>
      <c r="Q301" s="726"/>
      <c r="R301" s="726"/>
      <c r="S301" s="726"/>
      <c r="T301" s="726"/>
      <c r="U301" s="726"/>
      <c r="V301" s="727"/>
      <c r="W301" s="40" t="s">
        <v>0</v>
      </c>
      <c r="X301" s="41">
        <f>IFERROR(SUM(X298:X299),"0")</f>
        <v>288</v>
      </c>
      <c r="Y301" s="41">
        <f>IFERROR(SUM(Y298:Y299),"0")</f>
        <v>288</v>
      </c>
      <c r="Z301" s="40"/>
      <c r="AA301" s="64"/>
      <c r="AB301" s="64"/>
      <c r="AC301" s="64"/>
    </row>
    <row r="302" spans="1:68" ht="16.5" hidden="1" customHeight="1" x14ac:dyDescent="0.25">
      <c r="A302" s="718" t="s">
        <v>517</v>
      </c>
      <c r="B302" s="718"/>
      <c r="C302" s="718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18"/>
      <c r="Y302" s="718"/>
      <c r="Z302" s="718"/>
      <c r="AA302" s="62"/>
      <c r="AB302" s="62"/>
      <c r="AC302" s="62"/>
    </row>
    <row r="303" spans="1:68" ht="14.25" hidden="1" customHeight="1" x14ac:dyDescent="0.25">
      <c r="A303" s="719" t="s">
        <v>122</v>
      </c>
      <c r="B303" s="719"/>
      <c r="C303" s="719"/>
      <c r="D303" s="719"/>
      <c r="E303" s="719"/>
      <c r="F303" s="719"/>
      <c r="G303" s="719"/>
      <c r="H303" s="719"/>
      <c r="I303" s="719"/>
      <c r="J303" s="719"/>
      <c r="K303" s="719"/>
      <c r="L303" s="719"/>
      <c r="M303" s="719"/>
      <c r="N303" s="719"/>
      <c r="O303" s="719"/>
      <c r="P303" s="719"/>
      <c r="Q303" s="719"/>
      <c r="R303" s="719"/>
      <c r="S303" s="719"/>
      <c r="T303" s="719"/>
      <c r="U303" s="719"/>
      <c r="V303" s="719"/>
      <c r="W303" s="719"/>
      <c r="X303" s="719"/>
      <c r="Y303" s="719"/>
      <c r="Z303" s="719"/>
      <c r="AA303" s="63"/>
      <c r="AB303" s="63"/>
      <c r="AC303" s="63"/>
    </row>
    <row r="304" spans="1:68" ht="27" hidden="1" customHeight="1" x14ac:dyDescent="0.25">
      <c r="A304" s="60" t="s">
        <v>518</v>
      </c>
      <c r="B304" s="60" t="s">
        <v>519</v>
      </c>
      <c r="C304" s="34">
        <v>4301011826</v>
      </c>
      <c r="D304" s="720">
        <v>4680115884137</v>
      </c>
      <c r="E304" s="720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8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2"/>
      <c r="R304" s="722"/>
      <c r="S304" s="722"/>
      <c r="T304" s="723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ref="Y304:Y310" si="53">IFERROR(IF(X304="",0,CEILING((X304/$H304),1)*$H304),"")</f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520</v>
      </c>
      <c r="AG304" s="75"/>
      <c r="AJ304" s="79" t="s">
        <v>46</v>
      </c>
      <c r="AK304" s="79">
        <v>0</v>
      </c>
      <c r="BB304" s="400" t="s">
        <v>67</v>
      </c>
      <c r="BM304" s="75">
        <f t="shared" ref="BM304:BM310" si="54">IFERROR(X304*I304/H304,"0")</f>
        <v>0</v>
      </c>
      <c r="BN304" s="75">
        <f t="shared" ref="BN304:BN310" si="55">IFERROR(Y304*I304/H304,"0")</f>
        <v>0</v>
      </c>
      <c r="BO304" s="75">
        <f t="shared" ref="BO304:BO310" si="56">IFERROR(1/J304*(X304/H304),"0")</f>
        <v>0</v>
      </c>
      <c r="BP304" s="75">
        <f t="shared" ref="BP304:BP310" si="57">IFERROR(1/J304*(Y304/H304),"0")</f>
        <v>0</v>
      </c>
    </row>
    <row r="305" spans="1:68" ht="27" hidden="1" customHeight="1" x14ac:dyDescent="0.25">
      <c r="A305" s="60" t="s">
        <v>521</v>
      </c>
      <c r="B305" s="60" t="s">
        <v>522</v>
      </c>
      <c r="C305" s="34">
        <v>4301011724</v>
      </c>
      <c r="D305" s="720">
        <v>4680115884236</v>
      </c>
      <c r="E305" s="720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88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2"/>
      <c r="R305" s="722"/>
      <c r="S305" s="722"/>
      <c r="T305" s="723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53"/>
        <v>0</v>
      </c>
      <c r="Z305" s="39" t="str">
        <f>IFERROR(IF(Y305=0,"",ROUNDUP(Y305/H305,0)*0.01898),"")</f>
        <v/>
      </c>
      <c r="AA305" s="65" t="s">
        <v>46</v>
      </c>
      <c r="AB305" s="66" t="s">
        <v>46</v>
      </c>
      <c r="AC305" s="401" t="s">
        <v>523</v>
      </c>
      <c r="AG305" s="75"/>
      <c r="AJ305" s="79" t="s">
        <v>46</v>
      </c>
      <c r="AK305" s="79">
        <v>0</v>
      </c>
      <c r="BB305" s="402" t="s">
        <v>67</v>
      </c>
      <c r="BM305" s="75">
        <f t="shared" si="54"/>
        <v>0</v>
      </c>
      <c r="BN305" s="75">
        <f t="shared" si="55"/>
        <v>0</v>
      </c>
      <c r="BO305" s="75">
        <f t="shared" si="56"/>
        <v>0</v>
      </c>
      <c r="BP305" s="75">
        <f t="shared" si="57"/>
        <v>0</v>
      </c>
    </row>
    <row r="306" spans="1:68" ht="27" hidden="1" customHeight="1" x14ac:dyDescent="0.25">
      <c r="A306" s="60" t="s">
        <v>524</v>
      </c>
      <c r="B306" s="60" t="s">
        <v>525</v>
      </c>
      <c r="C306" s="34">
        <v>4301011721</v>
      </c>
      <c r="D306" s="720">
        <v>4680115884175</v>
      </c>
      <c r="E306" s="720"/>
      <c r="F306" s="59">
        <v>1.45</v>
      </c>
      <c r="G306" s="35">
        <v>8</v>
      </c>
      <c r="H306" s="59">
        <v>11.6</v>
      </c>
      <c r="I306" s="59">
        <v>12.01</v>
      </c>
      <c r="J306" s="35">
        <v>64</v>
      </c>
      <c r="K306" s="35" t="s">
        <v>127</v>
      </c>
      <c r="L306" s="35" t="s">
        <v>46</v>
      </c>
      <c r="M306" s="36" t="s">
        <v>126</v>
      </c>
      <c r="N306" s="36"/>
      <c r="O306" s="35">
        <v>55</v>
      </c>
      <c r="P306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2"/>
      <c r="R306" s="722"/>
      <c r="S306" s="722"/>
      <c r="T306" s="723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53"/>
        <v>0</v>
      </c>
      <c r="Z306" s="39" t="str">
        <f>IFERROR(IF(Y306=0,"",ROUNDUP(Y306/H306,0)*0.01898),"")</f>
        <v/>
      </c>
      <c r="AA306" s="65" t="s">
        <v>46</v>
      </c>
      <c r="AB306" s="66" t="s">
        <v>46</v>
      </c>
      <c r="AC306" s="403" t="s">
        <v>378</v>
      </c>
      <c r="AG306" s="75"/>
      <c r="AJ306" s="79" t="s">
        <v>46</v>
      </c>
      <c r="AK306" s="79">
        <v>0</v>
      </c>
      <c r="BB306" s="404" t="s">
        <v>67</v>
      </c>
      <c r="BM306" s="75">
        <f t="shared" si="54"/>
        <v>0</v>
      </c>
      <c r="BN306" s="75">
        <f t="shared" si="55"/>
        <v>0</v>
      </c>
      <c r="BO306" s="75">
        <f t="shared" si="56"/>
        <v>0</v>
      </c>
      <c r="BP306" s="75">
        <f t="shared" si="57"/>
        <v>0</v>
      </c>
    </row>
    <row r="307" spans="1:68" ht="27" hidden="1" customHeight="1" x14ac:dyDescent="0.25">
      <c r="A307" s="60" t="s">
        <v>526</v>
      </c>
      <c r="B307" s="60" t="s">
        <v>527</v>
      </c>
      <c r="C307" s="34">
        <v>4301011824</v>
      </c>
      <c r="D307" s="720">
        <v>4680115884144</v>
      </c>
      <c r="E307" s="720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9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2"/>
      <c r="R307" s="722"/>
      <c r="S307" s="722"/>
      <c r="T307" s="723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53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520</v>
      </c>
      <c r="AG307" s="75"/>
      <c r="AJ307" s="79" t="s">
        <v>46</v>
      </c>
      <c r="AK307" s="79">
        <v>0</v>
      </c>
      <c r="BB307" s="406" t="s">
        <v>67</v>
      </c>
      <c r="BM307" s="75">
        <f t="shared" si="54"/>
        <v>0</v>
      </c>
      <c r="BN307" s="75">
        <f t="shared" si="55"/>
        <v>0</v>
      </c>
      <c r="BO307" s="75">
        <f t="shared" si="56"/>
        <v>0</v>
      </c>
      <c r="BP307" s="75">
        <f t="shared" si="57"/>
        <v>0</v>
      </c>
    </row>
    <row r="308" spans="1:68" ht="27" hidden="1" customHeight="1" x14ac:dyDescent="0.25">
      <c r="A308" s="60" t="s">
        <v>528</v>
      </c>
      <c r="B308" s="60" t="s">
        <v>529</v>
      </c>
      <c r="C308" s="34">
        <v>4301012149</v>
      </c>
      <c r="D308" s="720">
        <v>4680115886551</v>
      </c>
      <c r="E308" s="720"/>
      <c r="F308" s="59">
        <v>0.4</v>
      </c>
      <c r="G308" s="35">
        <v>10</v>
      </c>
      <c r="H308" s="59">
        <v>4</v>
      </c>
      <c r="I308" s="59">
        <v>4.1900000000000004</v>
      </c>
      <c r="J308" s="35">
        <v>132</v>
      </c>
      <c r="K308" s="35" t="s">
        <v>134</v>
      </c>
      <c r="L308" s="35" t="s">
        <v>46</v>
      </c>
      <c r="M308" s="36" t="s">
        <v>126</v>
      </c>
      <c r="N308" s="36"/>
      <c r="O308" s="35">
        <v>55</v>
      </c>
      <c r="P308" s="89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2"/>
      <c r="R308" s="722"/>
      <c r="S308" s="722"/>
      <c r="T308" s="723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53"/>
        <v>0</v>
      </c>
      <c r="Z308" s="39" t="str">
        <f>IFERROR(IF(Y308=0,"",ROUNDUP(Y308/H308,0)*0.00902),"")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si="54"/>
        <v>0</v>
      </c>
      <c r="BN308" s="75">
        <f t="shared" si="55"/>
        <v>0</v>
      </c>
      <c r="BO308" s="75">
        <f t="shared" si="56"/>
        <v>0</v>
      </c>
      <c r="BP308" s="75">
        <f t="shared" si="57"/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4301012228</v>
      </c>
      <c r="D309" s="720">
        <v>4680115887282</v>
      </c>
      <c r="E309" s="720"/>
      <c r="F309" s="59">
        <v>0.4</v>
      </c>
      <c r="G309" s="35">
        <v>6</v>
      </c>
      <c r="H309" s="59">
        <v>2.4</v>
      </c>
      <c r="I309" s="59">
        <v>2.58</v>
      </c>
      <c r="J309" s="35">
        <v>182</v>
      </c>
      <c r="K309" s="35" t="s">
        <v>91</v>
      </c>
      <c r="L309" s="35" t="s">
        <v>46</v>
      </c>
      <c r="M309" s="36" t="s">
        <v>126</v>
      </c>
      <c r="N309" s="36"/>
      <c r="O309" s="35">
        <v>55</v>
      </c>
      <c r="P309" s="89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2"/>
      <c r="R309" s="722"/>
      <c r="S309" s="722"/>
      <c r="T309" s="723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3"/>
        <v>0</v>
      </c>
      <c r="Z309" s="39" t="str">
        <f>IFERROR(IF(Y309=0,"",ROUNDUP(Y309/H309,0)*0.00651),"")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4"/>
        <v>0</v>
      </c>
      <c r="BN309" s="75">
        <f t="shared" si="55"/>
        <v>0</v>
      </c>
      <c r="BO309" s="75">
        <f t="shared" si="56"/>
        <v>0</v>
      </c>
      <c r="BP309" s="75">
        <f t="shared" si="57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4301011722</v>
      </c>
      <c r="D310" s="720">
        <v>4680115884205</v>
      </c>
      <c r="E310" s="720"/>
      <c r="F310" s="59">
        <v>0.4</v>
      </c>
      <c r="G310" s="35">
        <v>10</v>
      </c>
      <c r="H310" s="59">
        <v>4</v>
      </c>
      <c r="I310" s="59">
        <v>4.1900000000000004</v>
      </c>
      <c r="J310" s="35">
        <v>132</v>
      </c>
      <c r="K310" s="35" t="s">
        <v>134</v>
      </c>
      <c r="L310" s="35" t="s">
        <v>46</v>
      </c>
      <c r="M310" s="36" t="s">
        <v>126</v>
      </c>
      <c r="N310" s="36"/>
      <c r="O310" s="35">
        <v>55</v>
      </c>
      <c r="P310" s="89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2"/>
      <c r="R310" s="722"/>
      <c r="S310" s="722"/>
      <c r="T310" s="723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3"/>
        <v>0</v>
      </c>
      <c r="Z310" s="39" t="str">
        <f>IFERROR(IF(Y310=0,"",ROUNDUP(Y310/H310,0)*0.00902),"")</f>
        <v/>
      </c>
      <c r="AA310" s="65" t="s">
        <v>46</v>
      </c>
      <c r="AB310" s="66" t="s">
        <v>46</v>
      </c>
      <c r="AC310" s="411" t="s">
        <v>378</v>
      </c>
      <c r="AG310" s="75"/>
      <c r="AJ310" s="79" t="s">
        <v>46</v>
      </c>
      <c r="AK310" s="79">
        <v>0</v>
      </c>
      <c r="BB310" s="412" t="s">
        <v>67</v>
      </c>
      <c r="BM310" s="75">
        <f t="shared" si="54"/>
        <v>0</v>
      </c>
      <c r="BN310" s="75">
        <f t="shared" si="55"/>
        <v>0</v>
      </c>
      <c r="BO310" s="75">
        <f t="shared" si="56"/>
        <v>0</v>
      </c>
      <c r="BP310" s="75">
        <f t="shared" si="57"/>
        <v>0</v>
      </c>
    </row>
    <row r="311" spans="1:68" hidden="1" x14ac:dyDescent="0.2">
      <c r="A311" s="728"/>
      <c r="B311" s="728"/>
      <c r="C311" s="728"/>
      <c r="D311" s="728"/>
      <c r="E311" s="728"/>
      <c r="F311" s="728"/>
      <c r="G311" s="728"/>
      <c r="H311" s="728"/>
      <c r="I311" s="728"/>
      <c r="J311" s="728"/>
      <c r="K311" s="728"/>
      <c r="L311" s="728"/>
      <c r="M311" s="728"/>
      <c r="N311" s="728"/>
      <c r="O311" s="729"/>
      <c r="P311" s="725" t="s">
        <v>40</v>
      </c>
      <c r="Q311" s="726"/>
      <c r="R311" s="726"/>
      <c r="S311" s="726"/>
      <c r="T311" s="726"/>
      <c r="U311" s="726"/>
      <c r="V311" s="727"/>
      <c r="W311" s="40" t="s">
        <v>39</v>
      </c>
      <c r="X311" s="41">
        <f>IFERROR(X304/H304,"0")+IFERROR(X305/H305,"0")+IFERROR(X306/H306,"0")+IFERROR(X307/H307,"0")+IFERROR(X308/H308,"0")+IFERROR(X309/H309,"0")+IFERROR(X310/H310,"0")</f>
        <v>0</v>
      </c>
      <c r="Y311" s="41">
        <f>IFERROR(Y304/H304,"0")+IFERROR(Y305/H305,"0")+IFERROR(Y306/H306,"0")+IFERROR(Y307/H307,"0")+IFERROR(Y308/H308,"0")+IFERROR(Y309/H309,"0")+IFERROR(Y310/H310,"0")</f>
        <v>0</v>
      </c>
      <c r="Z311" s="41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4"/>
      <c r="AB311" s="64"/>
      <c r="AC311" s="64"/>
    </row>
    <row r="312" spans="1:68" hidden="1" x14ac:dyDescent="0.2">
      <c r="A312" s="728"/>
      <c r="B312" s="728"/>
      <c r="C312" s="728"/>
      <c r="D312" s="728"/>
      <c r="E312" s="728"/>
      <c r="F312" s="728"/>
      <c r="G312" s="728"/>
      <c r="H312" s="728"/>
      <c r="I312" s="728"/>
      <c r="J312" s="728"/>
      <c r="K312" s="728"/>
      <c r="L312" s="728"/>
      <c r="M312" s="728"/>
      <c r="N312" s="728"/>
      <c r="O312" s="729"/>
      <c r="P312" s="725" t="s">
        <v>40</v>
      </c>
      <c r="Q312" s="726"/>
      <c r="R312" s="726"/>
      <c r="S312" s="726"/>
      <c r="T312" s="726"/>
      <c r="U312" s="726"/>
      <c r="V312" s="727"/>
      <c r="W312" s="40" t="s">
        <v>0</v>
      </c>
      <c r="X312" s="41">
        <f>IFERROR(SUM(X304:X310),"0")</f>
        <v>0</v>
      </c>
      <c r="Y312" s="41">
        <f>IFERROR(SUM(Y304:Y310),"0")</f>
        <v>0</v>
      </c>
      <c r="Z312" s="40"/>
      <c r="AA312" s="64"/>
      <c r="AB312" s="64"/>
      <c r="AC312" s="64"/>
    </row>
    <row r="313" spans="1:68" ht="14.25" hidden="1" customHeight="1" x14ac:dyDescent="0.25">
      <c r="A313" s="719" t="s">
        <v>155</v>
      </c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19"/>
      <c r="P313" s="719"/>
      <c r="Q313" s="719"/>
      <c r="R313" s="719"/>
      <c r="S313" s="719"/>
      <c r="T313" s="719"/>
      <c r="U313" s="719"/>
      <c r="V313" s="719"/>
      <c r="W313" s="719"/>
      <c r="X313" s="719"/>
      <c r="Y313" s="719"/>
      <c r="Z313" s="719"/>
      <c r="AA313" s="63"/>
      <c r="AB313" s="63"/>
      <c r="AC313" s="63"/>
    </row>
    <row r="314" spans="1:68" ht="27" hidden="1" customHeight="1" x14ac:dyDescent="0.25">
      <c r="A314" s="60" t="s">
        <v>536</v>
      </c>
      <c r="B314" s="60" t="s">
        <v>537</v>
      </c>
      <c r="C314" s="34">
        <v>4301020377</v>
      </c>
      <c r="D314" s="720">
        <v>4680115885981</v>
      </c>
      <c r="E314" s="720"/>
      <c r="F314" s="59">
        <v>0.33</v>
      </c>
      <c r="G314" s="35">
        <v>6</v>
      </c>
      <c r="H314" s="59">
        <v>1.98</v>
      </c>
      <c r="I314" s="59">
        <v>2.08</v>
      </c>
      <c r="J314" s="35">
        <v>234</v>
      </c>
      <c r="K314" s="35" t="s">
        <v>82</v>
      </c>
      <c r="L314" s="35" t="s">
        <v>46</v>
      </c>
      <c r="M314" s="36" t="s">
        <v>90</v>
      </c>
      <c r="N314" s="36"/>
      <c r="O314" s="35">
        <v>50</v>
      </c>
      <c r="P314" s="89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2"/>
      <c r="R314" s="722"/>
      <c r="S314" s="722"/>
      <c r="T314" s="723"/>
      <c r="U314" s="37" t="s">
        <v>46</v>
      </c>
      <c r="V314" s="37" t="s">
        <v>46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IFERROR(IF(Y314=0,"",ROUNDUP(Y314/H314,0)*0.00502),"")</f>
        <v/>
      </c>
      <c r="AA314" s="65" t="s">
        <v>46</v>
      </c>
      <c r="AB314" s="66" t="s">
        <v>46</v>
      </c>
      <c r="AC314" s="413" t="s">
        <v>538</v>
      </c>
      <c r="AG314" s="75"/>
      <c r="AJ314" s="79" t="s">
        <v>46</v>
      </c>
      <c r="AK314" s="79">
        <v>0</v>
      </c>
      <c r="BB314" s="414" t="s">
        <v>67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hidden="1" x14ac:dyDescent="0.2">
      <c r="A315" s="728"/>
      <c r="B315" s="728"/>
      <c r="C315" s="728"/>
      <c r="D315" s="728"/>
      <c r="E315" s="728"/>
      <c r="F315" s="728"/>
      <c r="G315" s="728"/>
      <c r="H315" s="728"/>
      <c r="I315" s="728"/>
      <c r="J315" s="728"/>
      <c r="K315" s="728"/>
      <c r="L315" s="728"/>
      <c r="M315" s="728"/>
      <c r="N315" s="728"/>
      <c r="O315" s="729"/>
      <c r="P315" s="725" t="s">
        <v>40</v>
      </c>
      <c r="Q315" s="726"/>
      <c r="R315" s="726"/>
      <c r="S315" s="726"/>
      <c r="T315" s="726"/>
      <c r="U315" s="726"/>
      <c r="V315" s="72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hidden="1" x14ac:dyDescent="0.2">
      <c r="A316" s="728"/>
      <c r="B316" s="728"/>
      <c r="C316" s="728"/>
      <c r="D316" s="728"/>
      <c r="E316" s="728"/>
      <c r="F316" s="728"/>
      <c r="G316" s="728"/>
      <c r="H316" s="728"/>
      <c r="I316" s="728"/>
      <c r="J316" s="728"/>
      <c r="K316" s="728"/>
      <c r="L316" s="728"/>
      <c r="M316" s="728"/>
      <c r="N316" s="728"/>
      <c r="O316" s="729"/>
      <c r="P316" s="725" t="s">
        <v>40</v>
      </c>
      <c r="Q316" s="726"/>
      <c r="R316" s="726"/>
      <c r="S316" s="726"/>
      <c r="T316" s="726"/>
      <c r="U316" s="726"/>
      <c r="V316" s="72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19" t="s">
        <v>539</v>
      </c>
      <c r="B317" s="719"/>
      <c r="C317" s="719"/>
      <c r="D317" s="719"/>
      <c r="E317" s="719"/>
      <c r="F317" s="719"/>
      <c r="G317" s="719"/>
      <c r="H317" s="719"/>
      <c r="I317" s="719"/>
      <c r="J317" s="719"/>
      <c r="K317" s="719"/>
      <c r="L317" s="719"/>
      <c r="M317" s="719"/>
      <c r="N317" s="719"/>
      <c r="O317" s="719"/>
      <c r="P317" s="719"/>
      <c r="Q317" s="719"/>
      <c r="R317" s="719"/>
      <c r="S317" s="719"/>
      <c r="T317" s="719"/>
      <c r="U317" s="719"/>
      <c r="V317" s="719"/>
      <c r="W317" s="719"/>
      <c r="X317" s="719"/>
      <c r="Y317" s="719"/>
      <c r="Z317" s="719"/>
      <c r="AA317" s="63"/>
      <c r="AB317" s="63"/>
      <c r="AC317" s="63"/>
    </row>
    <row r="318" spans="1:68" ht="27" hidden="1" customHeight="1" x14ac:dyDescent="0.25">
      <c r="A318" s="60" t="s">
        <v>540</v>
      </c>
      <c r="B318" s="60" t="s">
        <v>541</v>
      </c>
      <c r="C318" s="34">
        <v>4301040362</v>
      </c>
      <c r="D318" s="720">
        <v>4680115886803</v>
      </c>
      <c r="E318" s="720"/>
      <c r="F318" s="59">
        <v>0.12</v>
      </c>
      <c r="G318" s="35">
        <v>15</v>
      </c>
      <c r="H318" s="59">
        <v>1.8</v>
      </c>
      <c r="I318" s="59">
        <v>1.9750000000000001</v>
      </c>
      <c r="J318" s="35">
        <v>216</v>
      </c>
      <c r="K318" s="35" t="s">
        <v>355</v>
      </c>
      <c r="L318" s="35" t="s">
        <v>46</v>
      </c>
      <c r="M318" s="36" t="s">
        <v>294</v>
      </c>
      <c r="N318" s="36"/>
      <c r="O318" s="35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2"/>
      <c r="R318" s="722"/>
      <c r="S318" s="722"/>
      <c r="T318" s="723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IFERROR(IF(Y318=0,"",ROUNDUP(Y318/H318,0)*0.0059),"")</f>
        <v/>
      </c>
      <c r="AA318" s="65" t="s">
        <v>46</v>
      </c>
      <c r="AB318" s="66" t="s">
        <v>46</v>
      </c>
      <c r="AC318" s="415" t="s">
        <v>542</v>
      </c>
      <c r="AG318" s="75"/>
      <c r="AJ318" s="79" t="s">
        <v>46</v>
      </c>
      <c r="AK318" s="79">
        <v>0</v>
      </c>
      <c r="BB318" s="416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28"/>
      <c r="B319" s="728"/>
      <c r="C319" s="728"/>
      <c r="D319" s="728"/>
      <c r="E319" s="728"/>
      <c r="F319" s="728"/>
      <c r="G319" s="728"/>
      <c r="H319" s="728"/>
      <c r="I319" s="728"/>
      <c r="J319" s="728"/>
      <c r="K319" s="728"/>
      <c r="L319" s="728"/>
      <c r="M319" s="728"/>
      <c r="N319" s="728"/>
      <c r="O319" s="729"/>
      <c r="P319" s="725" t="s">
        <v>40</v>
      </c>
      <c r="Q319" s="726"/>
      <c r="R319" s="726"/>
      <c r="S319" s="726"/>
      <c r="T319" s="726"/>
      <c r="U319" s="726"/>
      <c r="V319" s="727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28"/>
      <c r="B320" s="728"/>
      <c r="C320" s="728"/>
      <c r="D320" s="728"/>
      <c r="E320" s="728"/>
      <c r="F320" s="728"/>
      <c r="G320" s="728"/>
      <c r="H320" s="728"/>
      <c r="I320" s="728"/>
      <c r="J320" s="728"/>
      <c r="K320" s="728"/>
      <c r="L320" s="728"/>
      <c r="M320" s="728"/>
      <c r="N320" s="728"/>
      <c r="O320" s="729"/>
      <c r="P320" s="725" t="s">
        <v>40</v>
      </c>
      <c r="Q320" s="726"/>
      <c r="R320" s="726"/>
      <c r="S320" s="726"/>
      <c r="T320" s="726"/>
      <c r="U320" s="726"/>
      <c r="V320" s="727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19" t="s">
        <v>356</v>
      </c>
      <c r="B321" s="719"/>
      <c r="C321" s="719"/>
      <c r="D321" s="719"/>
      <c r="E321" s="719"/>
      <c r="F321" s="719"/>
      <c r="G321" s="719"/>
      <c r="H321" s="719"/>
      <c r="I321" s="719"/>
      <c r="J321" s="719"/>
      <c r="K321" s="719"/>
      <c r="L321" s="719"/>
      <c r="M321" s="719"/>
      <c r="N321" s="719"/>
      <c r="O321" s="719"/>
      <c r="P321" s="719"/>
      <c r="Q321" s="719"/>
      <c r="R321" s="719"/>
      <c r="S321" s="719"/>
      <c r="T321" s="719"/>
      <c r="U321" s="719"/>
      <c r="V321" s="719"/>
      <c r="W321" s="719"/>
      <c r="X321" s="719"/>
      <c r="Y321" s="719"/>
      <c r="Z321" s="719"/>
      <c r="AA321" s="63"/>
      <c r="AB321" s="63"/>
      <c r="AC321" s="63"/>
    </row>
    <row r="322" spans="1:68" ht="27" hidden="1" customHeight="1" x14ac:dyDescent="0.25">
      <c r="A322" s="60" t="s">
        <v>543</v>
      </c>
      <c r="B322" s="60" t="s">
        <v>544</v>
      </c>
      <c r="C322" s="34">
        <v>4301041004</v>
      </c>
      <c r="D322" s="720">
        <v>4680115886704</v>
      </c>
      <c r="E322" s="720"/>
      <c r="F322" s="59">
        <v>5.5E-2</v>
      </c>
      <c r="G322" s="35">
        <v>18</v>
      </c>
      <c r="H322" s="59">
        <v>0.99</v>
      </c>
      <c r="I322" s="59">
        <v>1.18</v>
      </c>
      <c r="J322" s="35">
        <v>216</v>
      </c>
      <c r="K322" s="35" t="s">
        <v>355</v>
      </c>
      <c r="L322" s="35" t="s">
        <v>46</v>
      </c>
      <c r="M322" s="36" t="s">
        <v>294</v>
      </c>
      <c r="N322" s="36"/>
      <c r="O322" s="35">
        <v>90</v>
      </c>
      <c r="P322" s="89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722"/>
      <c r="R322" s="722"/>
      <c r="S322" s="722"/>
      <c r="T322" s="723"/>
      <c r="U322" s="37" t="s">
        <v>46</v>
      </c>
      <c r="V322" s="37" t="s">
        <v>46</v>
      </c>
      <c r="W322" s="38" t="s">
        <v>0</v>
      </c>
      <c r="X322" s="56">
        <v>0</v>
      </c>
      <c r="Y322" s="53">
        <f>IFERROR(IF(X322="",0,CEILING((X322/$H322),1)*$H322),"")</f>
        <v>0</v>
      </c>
      <c r="Z322" s="39" t="str">
        <f>IFERROR(IF(Y322=0,"",ROUNDUP(Y322/H322,0)*0.0059),"")</f>
        <v/>
      </c>
      <c r="AA322" s="65" t="s">
        <v>46</v>
      </c>
      <c r="AB322" s="66" t="s">
        <v>46</v>
      </c>
      <c r="AC322" s="417" t="s">
        <v>545</v>
      </c>
      <c r="AG322" s="75"/>
      <c r="AJ322" s="79" t="s">
        <v>46</v>
      </c>
      <c r="AK322" s="79">
        <v>0</v>
      </c>
      <c r="BB322" s="418" t="s">
        <v>67</v>
      </c>
      <c r="BM322" s="75">
        <f>IFERROR(X322*I322/H322,"0")</f>
        <v>0</v>
      </c>
      <c r="BN322" s="75">
        <f>IFERROR(Y322*I322/H322,"0")</f>
        <v>0</v>
      </c>
      <c r="BO322" s="75">
        <f>IFERROR(1/J322*(X322/H322),"0")</f>
        <v>0</v>
      </c>
      <c r="BP322" s="75">
        <f>IFERROR(1/J322*(Y322/H322),"0")</f>
        <v>0</v>
      </c>
    </row>
    <row r="323" spans="1:68" ht="27" hidden="1" customHeight="1" x14ac:dyDescent="0.25">
      <c r="A323" s="60" t="s">
        <v>546</v>
      </c>
      <c r="B323" s="60" t="s">
        <v>547</v>
      </c>
      <c r="C323" s="34">
        <v>4301041008</v>
      </c>
      <c r="D323" s="720">
        <v>4680115886681</v>
      </c>
      <c r="E323" s="720"/>
      <c r="F323" s="59">
        <v>0.12</v>
      </c>
      <c r="G323" s="35">
        <v>15</v>
      </c>
      <c r="H323" s="59">
        <v>1.8</v>
      </c>
      <c r="I323" s="59">
        <v>1.9750000000000001</v>
      </c>
      <c r="J323" s="35">
        <v>216</v>
      </c>
      <c r="K323" s="35" t="s">
        <v>355</v>
      </c>
      <c r="L323" s="35" t="s">
        <v>46</v>
      </c>
      <c r="M323" s="36" t="s">
        <v>294</v>
      </c>
      <c r="N323" s="36"/>
      <c r="O323" s="35">
        <v>90</v>
      </c>
      <c r="P323" s="89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722"/>
      <c r="R323" s="722"/>
      <c r="S323" s="722"/>
      <c r="T323" s="723"/>
      <c r="U323" s="37" t="s">
        <v>46</v>
      </c>
      <c r="V323" s="37" t="s">
        <v>46</v>
      </c>
      <c r="W323" s="38" t="s">
        <v>0</v>
      </c>
      <c r="X323" s="56">
        <v>0</v>
      </c>
      <c r="Y323" s="53">
        <f>IFERROR(IF(X323="",0,CEILING((X323/$H323),1)*$H323),"")</f>
        <v>0</v>
      </c>
      <c r="Z323" s="39" t="str">
        <f>IFERROR(IF(Y323=0,"",ROUNDUP(Y323/H323,0)*0.0059),"")</f>
        <v/>
      </c>
      <c r="AA323" s="65" t="s">
        <v>46</v>
      </c>
      <c r="AB323" s="66" t="s">
        <v>46</v>
      </c>
      <c r="AC323" s="419" t="s">
        <v>545</v>
      </c>
      <c r="AG323" s="75"/>
      <c r="AJ323" s="79" t="s">
        <v>46</v>
      </c>
      <c r="AK323" s="79">
        <v>0</v>
      </c>
      <c r="BB323" s="420" t="s">
        <v>67</v>
      </c>
      <c r="BM323" s="75">
        <f>IFERROR(X323*I323/H323,"0")</f>
        <v>0</v>
      </c>
      <c r="BN323" s="75">
        <f>IFERROR(Y323*I323/H323,"0")</f>
        <v>0</v>
      </c>
      <c r="BO323" s="75">
        <f>IFERROR(1/J323*(X323/H323),"0")</f>
        <v>0</v>
      </c>
      <c r="BP323" s="75">
        <f>IFERROR(1/J323*(Y323/H323),"0")</f>
        <v>0</v>
      </c>
    </row>
    <row r="324" spans="1:68" ht="27" hidden="1" customHeight="1" x14ac:dyDescent="0.25">
      <c r="A324" s="60" t="s">
        <v>548</v>
      </c>
      <c r="B324" s="60" t="s">
        <v>549</v>
      </c>
      <c r="C324" s="34">
        <v>4301041007</v>
      </c>
      <c r="D324" s="720">
        <v>4680115886735</v>
      </c>
      <c r="E324" s="720"/>
      <c r="F324" s="59">
        <v>0.05</v>
      </c>
      <c r="G324" s="35">
        <v>18</v>
      </c>
      <c r="H324" s="59">
        <v>0.9</v>
      </c>
      <c r="I324" s="59">
        <v>1.0900000000000001</v>
      </c>
      <c r="J324" s="35">
        <v>216</v>
      </c>
      <c r="K324" s="35" t="s">
        <v>355</v>
      </c>
      <c r="L324" s="35" t="s">
        <v>46</v>
      </c>
      <c r="M324" s="36" t="s">
        <v>294</v>
      </c>
      <c r="N324" s="36"/>
      <c r="O324" s="35">
        <v>90</v>
      </c>
      <c r="P324" s="8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722"/>
      <c r="R324" s="722"/>
      <c r="S324" s="722"/>
      <c r="T324" s="723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IFERROR(IF(Y324=0,"",ROUNDUP(Y324/H324,0)*0.0059),"")</f>
        <v/>
      </c>
      <c r="AA324" s="65" t="s">
        <v>46</v>
      </c>
      <c r="AB324" s="66" t="s">
        <v>46</v>
      </c>
      <c r="AC324" s="421" t="s">
        <v>545</v>
      </c>
      <c r="AG324" s="75"/>
      <c r="AJ324" s="79" t="s">
        <v>46</v>
      </c>
      <c r="AK324" s="79">
        <v>0</v>
      </c>
      <c r="BB324" s="422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idden="1" x14ac:dyDescent="0.2">
      <c r="A325" s="728"/>
      <c r="B325" s="728"/>
      <c r="C325" s="728"/>
      <c r="D325" s="728"/>
      <c r="E325" s="728"/>
      <c r="F325" s="728"/>
      <c r="G325" s="728"/>
      <c r="H325" s="728"/>
      <c r="I325" s="728"/>
      <c r="J325" s="728"/>
      <c r="K325" s="728"/>
      <c r="L325" s="728"/>
      <c r="M325" s="728"/>
      <c r="N325" s="728"/>
      <c r="O325" s="729"/>
      <c r="P325" s="725" t="s">
        <v>40</v>
      </c>
      <c r="Q325" s="726"/>
      <c r="R325" s="726"/>
      <c r="S325" s="726"/>
      <c r="T325" s="726"/>
      <c r="U325" s="726"/>
      <c r="V325" s="727"/>
      <c r="W325" s="40" t="s">
        <v>39</v>
      </c>
      <c r="X325" s="41">
        <f>IFERROR(X322/H322,"0")+IFERROR(X323/H323,"0")+IFERROR(X324/H324,"0")</f>
        <v>0</v>
      </c>
      <c r="Y325" s="41">
        <f>IFERROR(Y322/H322,"0")+IFERROR(Y323/H323,"0")+IFERROR(Y324/H324,"0")</f>
        <v>0</v>
      </c>
      <c r="Z325" s="41">
        <f>IFERROR(IF(Z322="",0,Z322),"0")+IFERROR(IF(Z323="",0,Z323),"0")+IFERROR(IF(Z324="",0,Z324),"0")</f>
        <v>0</v>
      </c>
      <c r="AA325" s="64"/>
      <c r="AB325" s="64"/>
      <c r="AC325" s="64"/>
    </row>
    <row r="326" spans="1:68" hidden="1" x14ac:dyDescent="0.2">
      <c r="A326" s="728"/>
      <c r="B326" s="728"/>
      <c r="C326" s="728"/>
      <c r="D326" s="728"/>
      <c r="E326" s="728"/>
      <c r="F326" s="728"/>
      <c r="G326" s="728"/>
      <c r="H326" s="728"/>
      <c r="I326" s="728"/>
      <c r="J326" s="728"/>
      <c r="K326" s="728"/>
      <c r="L326" s="728"/>
      <c r="M326" s="728"/>
      <c r="N326" s="728"/>
      <c r="O326" s="729"/>
      <c r="P326" s="725" t="s">
        <v>40</v>
      </c>
      <c r="Q326" s="726"/>
      <c r="R326" s="726"/>
      <c r="S326" s="726"/>
      <c r="T326" s="726"/>
      <c r="U326" s="726"/>
      <c r="V326" s="727"/>
      <c r="W326" s="40" t="s">
        <v>0</v>
      </c>
      <c r="X326" s="41">
        <f>IFERROR(SUM(X322:X324),"0")</f>
        <v>0</v>
      </c>
      <c r="Y326" s="41">
        <f>IFERROR(SUM(Y322:Y324),"0")</f>
        <v>0</v>
      </c>
      <c r="Z326" s="40"/>
      <c r="AA326" s="64"/>
      <c r="AB326" s="64"/>
      <c r="AC326" s="64"/>
    </row>
    <row r="327" spans="1:68" ht="16.5" hidden="1" customHeight="1" x14ac:dyDescent="0.25">
      <c r="A327" s="718" t="s">
        <v>550</v>
      </c>
      <c r="B327" s="718"/>
      <c r="C327" s="718"/>
      <c r="D327" s="718"/>
      <c r="E327" s="718"/>
      <c r="F327" s="718"/>
      <c r="G327" s="718"/>
      <c r="H327" s="718"/>
      <c r="I327" s="718"/>
      <c r="J327" s="718"/>
      <c r="K327" s="718"/>
      <c r="L327" s="718"/>
      <c r="M327" s="718"/>
      <c r="N327" s="718"/>
      <c r="O327" s="718"/>
      <c r="P327" s="718"/>
      <c r="Q327" s="718"/>
      <c r="R327" s="718"/>
      <c r="S327" s="718"/>
      <c r="T327" s="718"/>
      <c r="U327" s="718"/>
      <c r="V327" s="718"/>
      <c r="W327" s="718"/>
      <c r="X327" s="718"/>
      <c r="Y327" s="718"/>
      <c r="Z327" s="718"/>
      <c r="AA327" s="62"/>
      <c r="AB327" s="62"/>
      <c r="AC327" s="62"/>
    </row>
    <row r="328" spans="1:68" ht="14.25" hidden="1" customHeight="1" x14ac:dyDescent="0.25">
      <c r="A328" s="719" t="s">
        <v>122</v>
      </c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19"/>
      <c r="P328" s="719"/>
      <c r="Q328" s="719"/>
      <c r="R328" s="719"/>
      <c r="S328" s="719"/>
      <c r="T328" s="719"/>
      <c r="U328" s="719"/>
      <c r="V328" s="719"/>
      <c r="W328" s="719"/>
      <c r="X328" s="719"/>
      <c r="Y328" s="719"/>
      <c r="Z328" s="719"/>
      <c r="AA328" s="63"/>
      <c r="AB328" s="63"/>
      <c r="AC328" s="63"/>
    </row>
    <row r="329" spans="1:68" ht="27" hidden="1" customHeight="1" x14ac:dyDescent="0.25">
      <c r="A329" s="60" t="s">
        <v>551</v>
      </c>
      <c r="B329" s="60" t="s">
        <v>552</v>
      </c>
      <c r="C329" s="34">
        <v>4301011855</v>
      </c>
      <c r="D329" s="720">
        <v>4680115885837</v>
      </c>
      <c r="E329" s="720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89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2"/>
      <c r="R329" s="722"/>
      <c r="S329" s="722"/>
      <c r="T329" s="723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553</v>
      </c>
      <c r="AG329" s="75"/>
      <c r="AJ329" s="79" t="s">
        <v>46</v>
      </c>
      <c r="AK329" s="79">
        <v>0</v>
      </c>
      <c r="BB329" s="424" t="s">
        <v>67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554</v>
      </c>
      <c r="B330" s="60" t="s">
        <v>555</v>
      </c>
      <c r="C330" s="34">
        <v>4301012234</v>
      </c>
      <c r="D330" s="720">
        <v>4680115887237</v>
      </c>
      <c r="E330" s="720"/>
      <c r="F330" s="59">
        <v>1.35</v>
      </c>
      <c r="G330" s="35">
        <v>8</v>
      </c>
      <c r="H330" s="59">
        <v>10.8</v>
      </c>
      <c r="I330" s="59">
        <v>11.21</v>
      </c>
      <c r="J330" s="35">
        <v>64</v>
      </c>
      <c r="K330" s="35" t="s">
        <v>127</v>
      </c>
      <c r="L330" s="35" t="s">
        <v>46</v>
      </c>
      <c r="M330" s="36" t="s">
        <v>126</v>
      </c>
      <c r="N330" s="36"/>
      <c r="O330" s="35">
        <v>55</v>
      </c>
      <c r="P330" s="90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2"/>
      <c r="R330" s="722"/>
      <c r="S330" s="722"/>
      <c r="T330" s="723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IFERROR(IF(Y330=0,"",ROUNDUP(Y330/H330,0)*0.01898),"")</f>
        <v/>
      </c>
      <c r="AA330" s="65" t="s">
        <v>46</v>
      </c>
      <c r="AB330" s="66" t="s">
        <v>46</v>
      </c>
      <c r="AC330" s="425" t="s">
        <v>556</v>
      </c>
      <c r="AG330" s="75"/>
      <c r="AJ330" s="79" t="s">
        <v>46</v>
      </c>
      <c r="AK330" s="79">
        <v>0</v>
      </c>
      <c r="BB330" s="426" t="s">
        <v>67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557</v>
      </c>
      <c r="B331" s="60" t="s">
        <v>558</v>
      </c>
      <c r="C331" s="34">
        <v>4301011850</v>
      </c>
      <c r="D331" s="720">
        <v>4680115885806</v>
      </c>
      <c r="E331" s="720"/>
      <c r="F331" s="59">
        <v>1.35</v>
      </c>
      <c r="G331" s="35">
        <v>8</v>
      </c>
      <c r="H331" s="59">
        <v>10.8</v>
      </c>
      <c r="I331" s="59">
        <v>11.21</v>
      </c>
      <c r="J331" s="35">
        <v>64</v>
      </c>
      <c r="K331" s="35" t="s">
        <v>127</v>
      </c>
      <c r="L331" s="35" t="s">
        <v>46</v>
      </c>
      <c r="M331" s="36" t="s">
        <v>126</v>
      </c>
      <c r="N331" s="36"/>
      <c r="O331" s="35">
        <v>55</v>
      </c>
      <c r="P331" s="90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2"/>
      <c r="R331" s="722"/>
      <c r="S331" s="722"/>
      <c r="T331" s="723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IFERROR(IF(Y331=0,"",ROUNDUP(Y331/H331,0)*0.01898),"")</f>
        <v/>
      </c>
      <c r="AA331" s="65" t="s">
        <v>46</v>
      </c>
      <c r="AB331" s="66" t="s">
        <v>46</v>
      </c>
      <c r="AC331" s="427" t="s">
        <v>559</v>
      </c>
      <c r="AG331" s="75"/>
      <c r="AJ331" s="79" t="s">
        <v>46</v>
      </c>
      <c r="AK331" s="79">
        <v>0</v>
      </c>
      <c r="BB331" s="428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560</v>
      </c>
      <c r="B332" s="60" t="s">
        <v>561</v>
      </c>
      <c r="C332" s="34">
        <v>4301011852</v>
      </c>
      <c r="D332" s="720">
        <v>4680115885844</v>
      </c>
      <c r="E332" s="720"/>
      <c r="F332" s="59">
        <v>0.4</v>
      </c>
      <c r="G332" s="35">
        <v>10</v>
      </c>
      <c r="H332" s="59">
        <v>4</v>
      </c>
      <c r="I332" s="59">
        <v>4.1900000000000004</v>
      </c>
      <c r="J332" s="35">
        <v>132</v>
      </c>
      <c r="K332" s="35" t="s">
        <v>134</v>
      </c>
      <c r="L332" s="35" t="s">
        <v>46</v>
      </c>
      <c r="M332" s="36" t="s">
        <v>126</v>
      </c>
      <c r="N332" s="36"/>
      <c r="O332" s="35">
        <v>55</v>
      </c>
      <c r="P332" s="90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2"/>
      <c r="R332" s="722"/>
      <c r="S332" s="722"/>
      <c r="T332" s="723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29" t="s">
        <v>562</v>
      </c>
      <c r="AG332" s="75"/>
      <c r="AJ332" s="79" t="s">
        <v>46</v>
      </c>
      <c r="AK332" s="79">
        <v>0</v>
      </c>
      <c r="BB332" s="430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37.5" hidden="1" customHeight="1" x14ac:dyDescent="0.25">
      <c r="A333" s="60" t="s">
        <v>563</v>
      </c>
      <c r="B333" s="60" t="s">
        <v>564</v>
      </c>
      <c r="C333" s="34">
        <v>4301011851</v>
      </c>
      <c r="D333" s="720">
        <v>4680115885820</v>
      </c>
      <c r="E333" s="720"/>
      <c r="F333" s="59">
        <v>0.4</v>
      </c>
      <c r="G333" s="35">
        <v>10</v>
      </c>
      <c r="H333" s="59">
        <v>4</v>
      </c>
      <c r="I333" s="59">
        <v>4.1900000000000004</v>
      </c>
      <c r="J333" s="35">
        <v>132</v>
      </c>
      <c r="K333" s="35" t="s">
        <v>134</v>
      </c>
      <c r="L333" s="35" t="s">
        <v>46</v>
      </c>
      <c r="M333" s="36" t="s">
        <v>126</v>
      </c>
      <c r="N333" s="36"/>
      <c r="O333" s="35">
        <v>55</v>
      </c>
      <c r="P333" s="90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2"/>
      <c r="R333" s="722"/>
      <c r="S333" s="722"/>
      <c r="T333" s="723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31" t="s">
        <v>565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728"/>
      <c r="B334" s="728"/>
      <c r="C334" s="728"/>
      <c r="D334" s="728"/>
      <c r="E334" s="728"/>
      <c r="F334" s="728"/>
      <c r="G334" s="728"/>
      <c r="H334" s="728"/>
      <c r="I334" s="728"/>
      <c r="J334" s="728"/>
      <c r="K334" s="728"/>
      <c r="L334" s="728"/>
      <c r="M334" s="728"/>
      <c r="N334" s="728"/>
      <c r="O334" s="729"/>
      <c r="P334" s="725" t="s">
        <v>40</v>
      </c>
      <c r="Q334" s="726"/>
      <c r="R334" s="726"/>
      <c r="S334" s="726"/>
      <c r="T334" s="726"/>
      <c r="U334" s="726"/>
      <c r="V334" s="727"/>
      <c r="W334" s="40" t="s">
        <v>39</v>
      </c>
      <c r="X334" s="41">
        <f>IFERROR(X329/H329,"0")+IFERROR(X330/H330,"0")+IFERROR(X331/H331,"0")+IFERROR(X332/H332,"0")+IFERROR(X333/H333,"0")</f>
        <v>0</v>
      </c>
      <c r="Y334" s="41">
        <f>IFERROR(Y329/H329,"0")+IFERROR(Y330/H330,"0")+IFERROR(Y331/H331,"0")+IFERROR(Y332/H332,"0")+IFERROR(Y333/H333,"0")</f>
        <v>0</v>
      </c>
      <c r="Z334" s="41">
        <f>IFERROR(IF(Z329="",0,Z329),"0")+IFERROR(IF(Z330="",0,Z330),"0")+IFERROR(IF(Z331="",0,Z331),"0")+IFERROR(IF(Z332="",0,Z332),"0")+IFERROR(IF(Z333="",0,Z333),"0")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728"/>
      <c r="B335" s="728"/>
      <c r="C335" s="728"/>
      <c r="D335" s="728"/>
      <c r="E335" s="728"/>
      <c r="F335" s="728"/>
      <c r="G335" s="728"/>
      <c r="H335" s="728"/>
      <c r="I335" s="728"/>
      <c r="J335" s="728"/>
      <c r="K335" s="728"/>
      <c r="L335" s="728"/>
      <c r="M335" s="728"/>
      <c r="N335" s="728"/>
      <c r="O335" s="729"/>
      <c r="P335" s="725" t="s">
        <v>40</v>
      </c>
      <c r="Q335" s="726"/>
      <c r="R335" s="726"/>
      <c r="S335" s="726"/>
      <c r="T335" s="726"/>
      <c r="U335" s="726"/>
      <c r="V335" s="727"/>
      <c r="W335" s="40" t="s">
        <v>0</v>
      </c>
      <c r="X335" s="41">
        <f>IFERROR(SUM(X329:X333),"0")</f>
        <v>0</v>
      </c>
      <c r="Y335" s="41">
        <f>IFERROR(SUM(Y329:Y333),"0")</f>
        <v>0</v>
      </c>
      <c r="Z335" s="40"/>
      <c r="AA335" s="64"/>
      <c r="AB335" s="64"/>
      <c r="AC335" s="64"/>
    </row>
    <row r="336" spans="1:68" ht="16.5" hidden="1" customHeight="1" x14ac:dyDescent="0.25">
      <c r="A336" s="718" t="s">
        <v>566</v>
      </c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  <c r="AA336" s="62"/>
      <c r="AB336" s="62"/>
      <c r="AC336" s="62"/>
    </row>
    <row r="337" spans="1:68" ht="14.25" hidden="1" customHeight="1" x14ac:dyDescent="0.25">
      <c r="A337" s="719" t="s">
        <v>86</v>
      </c>
      <c r="B337" s="719"/>
      <c r="C337" s="719"/>
      <c r="D337" s="719"/>
      <c r="E337" s="719"/>
      <c r="F337" s="719"/>
      <c r="G337" s="719"/>
      <c r="H337" s="719"/>
      <c r="I337" s="719"/>
      <c r="J337" s="719"/>
      <c r="K337" s="719"/>
      <c r="L337" s="719"/>
      <c r="M337" s="719"/>
      <c r="N337" s="719"/>
      <c r="O337" s="719"/>
      <c r="P337" s="719"/>
      <c r="Q337" s="719"/>
      <c r="R337" s="719"/>
      <c r="S337" s="719"/>
      <c r="T337" s="719"/>
      <c r="U337" s="719"/>
      <c r="V337" s="719"/>
      <c r="W337" s="719"/>
      <c r="X337" s="719"/>
      <c r="Y337" s="719"/>
      <c r="Z337" s="719"/>
      <c r="AA337" s="63"/>
      <c r="AB337" s="63"/>
      <c r="AC337" s="63"/>
    </row>
    <row r="338" spans="1:68" ht="27" hidden="1" customHeight="1" x14ac:dyDescent="0.25">
      <c r="A338" s="60" t="s">
        <v>567</v>
      </c>
      <c r="B338" s="60" t="s">
        <v>568</v>
      </c>
      <c r="C338" s="34">
        <v>4301051893</v>
      </c>
      <c r="D338" s="720">
        <v>4680115886186</v>
      </c>
      <c r="E338" s="720"/>
      <c r="F338" s="59">
        <v>0.3</v>
      </c>
      <c r="G338" s="35">
        <v>6</v>
      </c>
      <c r="H338" s="59">
        <v>1.8</v>
      </c>
      <c r="I338" s="59">
        <v>1.98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9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2"/>
      <c r="R338" s="722"/>
      <c r="S338" s="722"/>
      <c r="T338" s="723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46</v>
      </c>
      <c r="AB338" s="66" t="s">
        <v>46</v>
      </c>
      <c r="AC338" s="433" t="s">
        <v>569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4301051795</v>
      </c>
      <c r="D339" s="720">
        <v>4680115881228</v>
      </c>
      <c r="E339" s="720"/>
      <c r="F339" s="59">
        <v>0.4</v>
      </c>
      <c r="G339" s="35">
        <v>6</v>
      </c>
      <c r="H339" s="59">
        <v>2.4</v>
      </c>
      <c r="I339" s="59">
        <v>2.6520000000000001</v>
      </c>
      <c r="J339" s="35">
        <v>182</v>
      </c>
      <c r="K339" s="35" t="s">
        <v>91</v>
      </c>
      <c r="L339" s="35" t="s">
        <v>46</v>
      </c>
      <c r="M339" s="36" t="s">
        <v>97</v>
      </c>
      <c r="N339" s="36"/>
      <c r="O339" s="35">
        <v>40</v>
      </c>
      <c r="P339" s="90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2"/>
      <c r="R339" s="722"/>
      <c r="S339" s="722"/>
      <c r="T339" s="723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46</v>
      </c>
      <c r="AB339" s="66" t="s">
        <v>46</v>
      </c>
      <c r="AC339" s="435" t="s">
        <v>572</v>
      </c>
      <c r="AG339" s="75"/>
      <c r="AJ339" s="79" t="s">
        <v>46</v>
      </c>
      <c r="AK339" s="79">
        <v>0</v>
      </c>
      <c r="BB339" s="436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customHeight="1" x14ac:dyDescent="0.25">
      <c r="A340" s="60" t="s">
        <v>573</v>
      </c>
      <c r="B340" s="60" t="s">
        <v>574</v>
      </c>
      <c r="C340" s="34">
        <v>4301051388</v>
      </c>
      <c r="D340" s="720">
        <v>4680115881211</v>
      </c>
      <c r="E340" s="720"/>
      <c r="F340" s="59">
        <v>0.4</v>
      </c>
      <c r="G340" s="35">
        <v>6</v>
      </c>
      <c r="H340" s="59">
        <v>2.4</v>
      </c>
      <c r="I340" s="59">
        <v>2.58</v>
      </c>
      <c r="J340" s="35">
        <v>182</v>
      </c>
      <c r="K340" s="35" t="s">
        <v>91</v>
      </c>
      <c r="L340" s="35" t="s">
        <v>46</v>
      </c>
      <c r="M340" s="36" t="s">
        <v>90</v>
      </c>
      <c r="N340" s="36"/>
      <c r="O340" s="35">
        <v>45</v>
      </c>
      <c r="P340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2"/>
      <c r="R340" s="722"/>
      <c r="S340" s="722"/>
      <c r="T340" s="723"/>
      <c r="U340" s="37" t="s">
        <v>46</v>
      </c>
      <c r="V340" s="37" t="s">
        <v>46</v>
      </c>
      <c r="W340" s="38" t="s">
        <v>0</v>
      </c>
      <c r="X340" s="56">
        <v>400</v>
      </c>
      <c r="Y340" s="53">
        <f>IFERROR(IF(X340="",0,CEILING((X340/$H340),1)*$H340),"")</f>
        <v>400.8</v>
      </c>
      <c r="Z340" s="39">
        <f>IFERROR(IF(Y340=0,"",ROUNDUP(Y340/H340,0)*0.00651),"")</f>
        <v>1.08717</v>
      </c>
      <c r="AA340" s="65" t="s">
        <v>46</v>
      </c>
      <c r="AB340" s="66" t="s">
        <v>46</v>
      </c>
      <c r="AC340" s="437" t="s">
        <v>569</v>
      </c>
      <c r="AG340" s="75"/>
      <c r="AJ340" s="79" t="s">
        <v>46</v>
      </c>
      <c r="AK340" s="79">
        <v>0</v>
      </c>
      <c r="BB340" s="438" t="s">
        <v>67</v>
      </c>
      <c r="BM340" s="75">
        <f>IFERROR(X340*I340/H340,"0")</f>
        <v>430</v>
      </c>
      <c r="BN340" s="75">
        <f>IFERROR(Y340*I340/H340,"0")</f>
        <v>430.86000000000007</v>
      </c>
      <c r="BO340" s="75">
        <f>IFERROR(1/J340*(X340/H340),"0")</f>
        <v>0.91575091575091594</v>
      </c>
      <c r="BP340" s="75">
        <f>IFERROR(1/J340*(Y340/H340),"0")</f>
        <v>0.91758241758241765</v>
      </c>
    </row>
    <row r="341" spans="1:68" x14ac:dyDescent="0.2">
      <c r="A341" s="728"/>
      <c r="B341" s="728"/>
      <c r="C341" s="728"/>
      <c r="D341" s="728"/>
      <c r="E341" s="728"/>
      <c r="F341" s="728"/>
      <c r="G341" s="728"/>
      <c r="H341" s="728"/>
      <c r="I341" s="728"/>
      <c r="J341" s="728"/>
      <c r="K341" s="728"/>
      <c r="L341" s="728"/>
      <c r="M341" s="728"/>
      <c r="N341" s="728"/>
      <c r="O341" s="729"/>
      <c r="P341" s="725" t="s">
        <v>40</v>
      </c>
      <c r="Q341" s="726"/>
      <c r="R341" s="726"/>
      <c r="S341" s="726"/>
      <c r="T341" s="726"/>
      <c r="U341" s="726"/>
      <c r="V341" s="727"/>
      <c r="W341" s="40" t="s">
        <v>39</v>
      </c>
      <c r="X341" s="41">
        <f>IFERROR(X338/H338,"0")+IFERROR(X339/H339,"0")+IFERROR(X340/H340,"0")</f>
        <v>166.66666666666669</v>
      </c>
      <c r="Y341" s="41">
        <f>IFERROR(Y338/H338,"0")+IFERROR(Y339/H339,"0")+IFERROR(Y340/H340,"0")</f>
        <v>167</v>
      </c>
      <c r="Z341" s="41">
        <f>IFERROR(IF(Z338="",0,Z338),"0")+IFERROR(IF(Z339="",0,Z339),"0")+IFERROR(IF(Z340="",0,Z340),"0")</f>
        <v>1.08717</v>
      </c>
      <c r="AA341" s="64"/>
      <c r="AB341" s="64"/>
      <c r="AC341" s="64"/>
    </row>
    <row r="342" spans="1:68" x14ac:dyDescent="0.2">
      <c r="A342" s="728"/>
      <c r="B342" s="728"/>
      <c r="C342" s="728"/>
      <c r="D342" s="728"/>
      <c r="E342" s="728"/>
      <c r="F342" s="728"/>
      <c r="G342" s="728"/>
      <c r="H342" s="728"/>
      <c r="I342" s="728"/>
      <c r="J342" s="728"/>
      <c r="K342" s="728"/>
      <c r="L342" s="728"/>
      <c r="M342" s="728"/>
      <c r="N342" s="728"/>
      <c r="O342" s="729"/>
      <c r="P342" s="725" t="s">
        <v>40</v>
      </c>
      <c r="Q342" s="726"/>
      <c r="R342" s="726"/>
      <c r="S342" s="726"/>
      <c r="T342" s="726"/>
      <c r="U342" s="726"/>
      <c r="V342" s="727"/>
      <c r="W342" s="40" t="s">
        <v>0</v>
      </c>
      <c r="X342" s="41">
        <f>IFERROR(SUM(X338:X340),"0")</f>
        <v>400</v>
      </c>
      <c r="Y342" s="41">
        <f>IFERROR(SUM(Y338:Y340),"0")</f>
        <v>400.8</v>
      </c>
      <c r="Z342" s="40"/>
      <c r="AA342" s="64"/>
      <c r="AB342" s="64"/>
      <c r="AC342" s="64"/>
    </row>
    <row r="343" spans="1:68" ht="16.5" hidden="1" customHeight="1" x14ac:dyDescent="0.25">
      <c r="A343" s="718" t="s">
        <v>575</v>
      </c>
      <c r="B343" s="718"/>
      <c r="C343" s="718"/>
      <c r="D343" s="718"/>
      <c r="E343" s="718"/>
      <c r="F343" s="718"/>
      <c r="G343" s="718"/>
      <c r="H343" s="718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  <c r="AA343" s="62"/>
      <c r="AB343" s="62"/>
      <c r="AC343" s="62"/>
    </row>
    <row r="344" spans="1:68" ht="14.25" hidden="1" customHeight="1" x14ac:dyDescent="0.25">
      <c r="A344" s="719" t="s">
        <v>77</v>
      </c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19"/>
      <c r="P344" s="719"/>
      <c r="Q344" s="719"/>
      <c r="R344" s="719"/>
      <c r="S344" s="719"/>
      <c r="T344" s="719"/>
      <c r="U344" s="719"/>
      <c r="V344" s="719"/>
      <c r="W344" s="719"/>
      <c r="X344" s="719"/>
      <c r="Y344" s="719"/>
      <c r="Z344" s="719"/>
      <c r="AA344" s="63"/>
      <c r="AB344" s="63"/>
      <c r="AC344" s="63"/>
    </row>
    <row r="345" spans="1:68" ht="27" hidden="1" customHeight="1" x14ac:dyDescent="0.25">
      <c r="A345" s="60" t="s">
        <v>576</v>
      </c>
      <c r="B345" s="60" t="s">
        <v>577</v>
      </c>
      <c r="C345" s="34">
        <v>4301031445</v>
      </c>
      <c r="D345" s="720">
        <v>4680115888319</v>
      </c>
      <c r="E345" s="720"/>
      <c r="F345" s="59">
        <v>0.35</v>
      </c>
      <c r="G345" s="35">
        <v>6</v>
      </c>
      <c r="H345" s="59">
        <v>2.1</v>
      </c>
      <c r="I345" s="59">
        <v>2.23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45</v>
      </c>
      <c r="P345" s="90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2"/>
      <c r="R345" s="722"/>
      <c r="S345" s="722"/>
      <c r="T345" s="723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410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578</v>
      </c>
      <c r="B346" s="60" t="s">
        <v>579</v>
      </c>
      <c r="C346" s="34">
        <v>4301031502</v>
      </c>
      <c r="D346" s="720">
        <v>4680115884700</v>
      </c>
      <c r="E346" s="720"/>
      <c r="F346" s="59">
        <v>0.57999999999999996</v>
      </c>
      <c r="G346" s="35">
        <v>4</v>
      </c>
      <c r="H346" s="59">
        <v>2.3199999999999998</v>
      </c>
      <c r="I346" s="59">
        <v>2.42</v>
      </c>
      <c r="J346" s="35">
        <v>234</v>
      </c>
      <c r="K346" s="35" t="s">
        <v>82</v>
      </c>
      <c r="L346" s="35" t="s">
        <v>46</v>
      </c>
      <c r="M346" s="36" t="s">
        <v>81</v>
      </c>
      <c r="N346" s="36"/>
      <c r="O346" s="35">
        <v>40</v>
      </c>
      <c r="P346" s="90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2"/>
      <c r="R346" s="722"/>
      <c r="S346" s="722"/>
      <c r="T346" s="723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41" t="s">
        <v>580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581</v>
      </c>
      <c r="B347" s="60" t="s">
        <v>582</v>
      </c>
      <c r="C347" s="34">
        <v>4301031307</v>
      </c>
      <c r="D347" s="720">
        <v>4680115880344</v>
      </c>
      <c r="E347" s="720"/>
      <c r="F347" s="59">
        <v>0.28000000000000003</v>
      </c>
      <c r="G347" s="35">
        <v>6</v>
      </c>
      <c r="H347" s="59">
        <v>1.68</v>
      </c>
      <c r="I347" s="59">
        <v>1.78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90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2"/>
      <c r="R347" s="722"/>
      <c r="S347" s="722"/>
      <c r="T347" s="723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583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584</v>
      </c>
      <c r="B348" s="60" t="s">
        <v>585</v>
      </c>
      <c r="C348" s="34">
        <v>4301031501</v>
      </c>
      <c r="D348" s="720">
        <v>4680115886919</v>
      </c>
      <c r="E348" s="720"/>
      <c r="F348" s="59">
        <v>0.4</v>
      </c>
      <c r="G348" s="35">
        <v>6</v>
      </c>
      <c r="H348" s="59">
        <v>2.4</v>
      </c>
      <c r="I348" s="59">
        <v>2.58</v>
      </c>
      <c r="J348" s="35">
        <v>182</v>
      </c>
      <c r="K348" s="35" t="s">
        <v>91</v>
      </c>
      <c r="L348" s="35" t="s">
        <v>46</v>
      </c>
      <c r="M348" s="36" t="s">
        <v>81</v>
      </c>
      <c r="N348" s="36"/>
      <c r="O348" s="35">
        <v>40</v>
      </c>
      <c r="P348" s="91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2"/>
      <c r="R348" s="722"/>
      <c r="S348" s="722"/>
      <c r="T348" s="723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IFERROR(IF(Y348=0,"",ROUNDUP(Y348/H348,0)*0.00651),"")</f>
        <v/>
      </c>
      <c r="AA348" s="65" t="s">
        <v>46</v>
      </c>
      <c r="AB348" s="66" t="s">
        <v>46</v>
      </c>
      <c r="AC348" s="445" t="s">
        <v>586</v>
      </c>
      <c r="AG348" s="75"/>
      <c r="AJ348" s="79" t="s">
        <v>46</v>
      </c>
      <c r="AK348" s="79">
        <v>0</v>
      </c>
      <c r="BB348" s="446" t="s">
        <v>67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t="27" hidden="1" customHeight="1" x14ac:dyDescent="0.25">
      <c r="A349" s="60" t="s">
        <v>587</v>
      </c>
      <c r="B349" s="60" t="s">
        <v>588</v>
      </c>
      <c r="C349" s="34">
        <v>4301031246</v>
      </c>
      <c r="D349" s="720">
        <v>4680115883970</v>
      </c>
      <c r="E349" s="720"/>
      <c r="F349" s="59">
        <v>0.28000000000000003</v>
      </c>
      <c r="G349" s="35">
        <v>6</v>
      </c>
      <c r="H349" s="59">
        <v>1.68</v>
      </c>
      <c r="I349" s="59">
        <v>2.5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40</v>
      </c>
      <c r="P349" s="91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2"/>
      <c r="R349" s="722"/>
      <c r="S349" s="722"/>
      <c r="T349" s="723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589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idden="1" x14ac:dyDescent="0.2">
      <c r="A350" s="728"/>
      <c r="B350" s="728"/>
      <c r="C350" s="728"/>
      <c r="D350" s="728"/>
      <c r="E350" s="728"/>
      <c r="F350" s="728"/>
      <c r="G350" s="728"/>
      <c r="H350" s="728"/>
      <c r="I350" s="728"/>
      <c r="J350" s="728"/>
      <c r="K350" s="728"/>
      <c r="L350" s="728"/>
      <c r="M350" s="728"/>
      <c r="N350" s="728"/>
      <c r="O350" s="729"/>
      <c r="P350" s="725" t="s">
        <v>40</v>
      </c>
      <c r="Q350" s="726"/>
      <c r="R350" s="726"/>
      <c r="S350" s="726"/>
      <c r="T350" s="726"/>
      <c r="U350" s="726"/>
      <c r="V350" s="727"/>
      <c r="W350" s="40" t="s">
        <v>39</v>
      </c>
      <c r="X350" s="41">
        <f>IFERROR(X345/H345,"0")+IFERROR(X346/H346,"0")+IFERROR(X347/H347,"0")+IFERROR(X348/H348,"0")+IFERROR(X349/H349,"0")</f>
        <v>0</v>
      </c>
      <c r="Y350" s="41">
        <f>IFERROR(Y345/H345,"0")+IFERROR(Y346/H346,"0")+IFERROR(Y347/H347,"0")+IFERROR(Y348/H348,"0")+IFERROR(Y349/H349,"0")</f>
        <v>0</v>
      </c>
      <c r="Z350" s="41">
        <f>IFERROR(IF(Z345="",0,Z345),"0")+IFERROR(IF(Z346="",0,Z346),"0")+IFERROR(IF(Z347="",0,Z347),"0")+IFERROR(IF(Z348="",0,Z348),"0")+IFERROR(IF(Z349="",0,Z349),"0")</f>
        <v>0</v>
      </c>
      <c r="AA350" s="64"/>
      <c r="AB350" s="64"/>
      <c r="AC350" s="64"/>
    </row>
    <row r="351" spans="1:68" hidden="1" x14ac:dyDescent="0.2">
      <c r="A351" s="728"/>
      <c r="B351" s="728"/>
      <c r="C351" s="728"/>
      <c r="D351" s="728"/>
      <c r="E351" s="728"/>
      <c r="F351" s="728"/>
      <c r="G351" s="728"/>
      <c r="H351" s="728"/>
      <c r="I351" s="728"/>
      <c r="J351" s="728"/>
      <c r="K351" s="728"/>
      <c r="L351" s="728"/>
      <c r="M351" s="728"/>
      <c r="N351" s="728"/>
      <c r="O351" s="729"/>
      <c r="P351" s="725" t="s">
        <v>40</v>
      </c>
      <c r="Q351" s="726"/>
      <c r="R351" s="726"/>
      <c r="S351" s="726"/>
      <c r="T351" s="726"/>
      <c r="U351" s="726"/>
      <c r="V351" s="727"/>
      <c r="W351" s="40" t="s">
        <v>0</v>
      </c>
      <c r="X351" s="41">
        <f>IFERROR(SUM(X345:X349),"0")</f>
        <v>0</v>
      </c>
      <c r="Y351" s="41">
        <f>IFERROR(SUM(Y345:Y349),"0")</f>
        <v>0</v>
      </c>
      <c r="Z351" s="40"/>
      <c r="AA351" s="64"/>
      <c r="AB351" s="64"/>
      <c r="AC351" s="64"/>
    </row>
    <row r="352" spans="1:68" ht="14.25" hidden="1" customHeight="1" x14ac:dyDescent="0.25">
      <c r="A352" s="719" t="s">
        <v>86</v>
      </c>
      <c r="B352" s="719"/>
      <c r="C352" s="719"/>
      <c r="D352" s="719"/>
      <c r="E352" s="719"/>
      <c r="F352" s="719"/>
      <c r="G352" s="719"/>
      <c r="H352" s="719"/>
      <c r="I352" s="719"/>
      <c r="J352" s="719"/>
      <c r="K352" s="719"/>
      <c r="L352" s="719"/>
      <c r="M352" s="719"/>
      <c r="N352" s="719"/>
      <c r="O352" s="719"/>
      <c r="P352" s="719"/>
      <c r="Q352" s="719"/>
      <c r="R352" s="719"/>
      <c r="S352" s="719"/>
      <c r="T352" s="719"/>
      <c r="U352" s="719"/>
      <c r="V352" s="719"/>
      <c r="W352" s="719"/>
      <c r="X352" s="719"/>
      <c r="Y352" s="719"/>
      <c r="Z352" s="719"/>
      <c r="AA352" s="63"/>
      <c r="AB352" s="63"/>
      <c r="AC352" s="63"/>
    </row>
    <row r="353" spans="1:68" ht="27" hidden="1" customHeight="1" x14ac:dyDescent="0.25">
      <c r="A353" s="60" t="s">
        <v>590</v>
      </c>
      <c r="B353" s="60" t="s">
        <v>591</v>
      </c>
      <c r="C353" s="34">
        <v>4301051782</v>
      </c>
      <c r="D353" s="720">
        <v>4680115884618</v>
      </c>
      <c r="E353" s="720"/>
      <c r="F353" s="59">
        <v>0.6</v>
      </c>
      <c r="G353" s="35">
        <v>6</v>
      </c>
      <c r="H353" s="59">
        <v>3.6</v>
      </c>
      <c r="I353" s="59">
        <v>3.79</v>
      </c>
      <c r="J353" s="35">
        <v>132</v>
      </c>
      <c r="K353" s="35" t="s">
        <v>134</v>
      </c>
      <c r="L353" s="35" t="s">
        <v>46</v>
      </c>
      <c r="M353" s="36" t="s">
        <v>90</v>
      </c>
      <c r="N353" s="36"/>
      <c r="O353" s="35">
        <v>45</v>
      </c>
      <c r="P353" s="91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2"/>
      <c r="R353" s="722"/>
      <c r="S353" s="722"/>
      <c r="T353" s="723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IFERROR(IF(Y353=0,"",ROUNDUP(Y353/H353,0)*0.00902),"")</f>
        <v/>
      </c>
      <c r="AA353" s="65" t="s">
        <v>46</v>
      </c>
      <c r="AB353" s="66" t="s">
        <v>46</v>
      </c>
      <c r="AC353" s="449" t="s">
        <v>592</v>
      </c>
      <c r="AG353" s="75"/>
      <c r="AJ353" s="79" t="s">
        <v>46</v>
      </c>
      <c r="AK353" s="79">
        <v>0</v>
      </c>
      <c r="BB353" s="450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593</v>
      </c>
      <c r="B354" s="60" t="s">
        <v>594</v>
      </c>
      <c r="C354" s="34">
        <v>4301052057</v>
      </c>
      <c r="D354" s="720">
        <v>4680115887114</v>
      </c>
      <c r="E354" s="720"/>
      <c r="F354" s="59">
        <v>0.55000000000000004</v>
      </c>
      <c r="G354" s="35">
        <v>6</v>
      </c>
      <c r="H354" s="59">
        <v>3.3</v>
      </c>
      <c r="I354" s="59">
        <v>3.49</v>
      </c>
      <c r="J354" s="35">
        <v>132</v>
      </c>
      <c r="K354" s="35" t="s">
        <v>134</v>
      </c>
      <c r="L354" s="35" t="s">
        <v>46</v>
      </c>
      <c r="M354" s="36" t="s">
        <v>90</v>
      </c>
      <c r="N354" s="36"/>
      <c r="O354" s="35">
        <v>45</v>
      </c>
      <c r="P354" s="91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2"/>
      <c r="R354" s="722"/>
      <c r="S354" s="722"/>
      <c r="T354" s="723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IFERROR(IF(Y354=0,"",ROUNDUP(Y354/H354,0)*0.00902),"")</f>
        <v/>
      </c>
      <c r="AA354" s="65" t="s">
        <v>46</v>
      </c>
      <c r="AB354" s="66" t="s">
        <v>46</v>
      </c>
      <c r="AC354" s="451" t="s">
        <v>595</v>
      </c>
      <c r="AG354" s="75"/>
      <c r="AJ354" s="79" t="s">
        <v>46</v>
      </c>
      <c r="AK354" s="79">
        <v>0</v>
      </c>
      <c r="BB354" s="452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728"/>
      <c r="B355" s="728"/>
      <c r="C355" s="728"/>
      <c r="D355" s="728"/>
      <c r="E355" s="728"/>
      <c r="F355" s="728"/>
      <c r="G355" s="728"/>
      <c r="H355" s="728"/>
      <c r="I355" s="728"/>
      <c r="J355" s="728"/>
      <c r="K355" s="728"/>
      <c r="L355" s="728"/>
      <c r="M355" s="728"/>
      <c r="N355" s="728"/>
      <c r="O355" s="729"/>
      <c r="P355" s="725" t="s">
        <v>40</v>
      </c>
      <c r="Q355" s="726"/>
      <c r="R355" s="726"/>
      <c r="S355" s="726"/>
      <c r="T355" s="726"/>
      <c r="U355" s="726"/>
      <c r="V355" s="727"/>
      <c r="W355" s="40" t="s">
        <v>39</v>
      </c>
      <c r="X355" s="41">
        <f>IFERROR(X353/H353,"0")+IFERROR(X354/H354,"0")</f>
        <v>0</v>
      </c>
      <c r="Y355" s="41">
        <f>IFERROR(Y353/H353,"0")+IFERROR(Y354/H354,"0")</f>
        <v>0</v>
      </c>
      <c r="Z355" s="41">
        <f>IFERROR(IF(Z353="",0,Z353),"0")+IFERROR(IF(Z354="",0,Z354),"0")</f>
        <v>0</v>
      </c>
      <c r="AA355" s="64"/>
      <c r="AB355" s="64"/>
      <c r="AC355" s="64"/>
    </row>
    <row r="356" spans="1:68" hidden="1" x14ac:dyDescent="0.2">
      <c r="A356" s="728"/>
      <c r="B356" s="728"/>
      <c r="C356" s="728"/>
      <c r="D356" s="728"/>
      <c r="E356" s="728"/>
      <c r="F356" s="728"/>
      <c r="G356" s="728"/>
      <c r="H356" s="728"/>
      <c r="I356" s="728"/>
      <c r="J356" s="728"/>
      <c r="K356" s="728"/>
      <c r="L356" s="728"/>
      <c r="M356" s="728"/>
      <c r="N356" s="728"/>
      <c r="O356" s="729"/>
      <c r="P356" s="725" t="s">
        <v>40</v>
      </c>
      <c r="Q356" s="726"/>
      <c r="R356" s="726"/>
      <c r="S356" s="726"/>
      <c r="T356" s="726"/>
      <c r="U356" s="726"/>
      <c r="V356" s="727"/>
      <c r="W356" s="40" t="s">
        <v>0</v>
      </c>
      <c r="X356" s="41">
        <f>IFERROR(SUM(X353:X354),"0")</f>
        <v>0</v>
      </c>
      <c r="Y356" s="41">
        <f>IFERROR(SUM(Y353:Y354),"0")</f>
        <v>0</v>
      </c>
      <c r="Z356" s="40"/>
      <c r="AA356" s="64"/>
      <c r="AB356" s="64"/>
      <c r="AC356" s="64"/>
    </row>
    <row r="357" spans="1:68" ht="16.5" hidden="1" customHeight="1" x14ac:dyDescent="0.25">
      <c r="A357" s="718" t="s">
        <v>596</v>
      </c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8"/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  <c r="AA357" s="62"/>
      <c r="AB357" s="62"/>
      <c r="AC357" s="62"/>
    </row>
    <row r="358" spans="1:68" ht="14.25" hidden="1" customHeight="1" x14ac:dyDescent="0.25">
      <c r="A358" s="719" t="s">
        <v>122</v>
      </c>
      <c r="B358" s="719"/>
      <c r="C358" s="719"/>
      <c r="D358" s="719"/>
      <c r="E358" s="719"/>
      <c r="F358" s="719"/>
      <c r="G358" s="719"/>
      <c r="H358" s="719"/>
      <c r="I358" s="719"/>
      <c r="J358" s="719"/>
      <c r="K358" s="719"/>
      <c r="L358" s="719"/>
      <c r="M358" s="719"/>
      <c r="N358" s="719"/>
      <c r="O358" s="719"/>
      <c r="P358" s="719"/>
      <c r="Q358" s="719"/>
      <c r="R358" s="719"/>
      <c r="S358" s="719"/>
      <c r="T358" s="719"/>
      <c r="U358" s="719"/>
      <c r="V358" s="719"/>
      <c r="W358" s="719"/>
      <c r="X358" s="719"/>
      <c r="Y358" s="719"/>
      <c r="Z358" s="719"/>
      <c r="AA358" s="63"/>
      <c r="AB358" s="63"/>
      <c r="AC358" s="63"/>
    </row>
    <row r="359" spans="1:68" ht="27" hidden="1" customHeight="1" x14ac:dyDescent="0.25">
      <c r="A359" s="60" t="s">
        <v>597</v>
      </c>
      <c r="B359" s="60" t="s">
        <v>598</v>
      </c>
      <c r="C359" s="34">
        <v>4301012324</v>
      </c>
      <c r="D359" s="720">
        <v>4680115887947</v>
      </c>
      <c r="E359" s="720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91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2"/>
      <c r="R359" s="722"/>
      <c r="S359" s="722"/>
      <c r="T359" s="723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369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t="27" hidden="1" customHeight="1" x14ac:dyDescent="0.25">
      <c r="A360" s="60" t="s">
        <v>599</v>
      </c>
      <c r="B360" s="60" t="s">
        <v>600</v>
      </c>
      <c r="C360" s="34">
        <v>4301012325</v>
      </c>
      <c r="D360" s="720">
        <v>4680115887978</v>
      </c>
      <c r="E360" s="720"/>
      <c r="F360" s="59">
        <v>1.3</v>
      </c>
      <c r="G360" s="35">
        <v>6</v>
      </c>
      <c r="H360" s="59">
        <v>7.8</v>
      </c>
      <c r="I360" s="59">
        <v>8.2100000000000009</v>
      </c>
      <c r="J360" s="35">
        <v>64</v>
      </c>
      <c r="K360" s="35" t="s">
        <v>127</v>
      </c>
      <c r="L360" s="35" t="s">
        <v>46</v>
      </c>
      <c r="M360" s="36" t="s">
        <v>90</v>
      </c>
      <c r="N360" s="36"/>
      <c r="O360" s="35">
        <v>60</v>
      </c>
      <c r="P360" s="91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2"/>
      <c r="R360" s="722"/>
      <c r="S360" s="722"/>
      <c r="T360" s="723"/>
      <c r="U360" s="37" t="s">
        <v>46</v>
      </c>
      <c r="V360" s="37" t="s">
        <v>46</v>
      </c>
      <c r="W360" s="38" t="s">
        <v>0</v>
      </c>
      <c r="X360" s="56">
        <v>0</v>
      </c>
      <c r="Y360" s="53">
        <f>IFERROR(IF(X360="",0,CEILING((X360/$H360),1)*$H360),"")</f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5" t="s">
        <v>601</v>
      </c>
      <c r="AG360" s="75"/>
      <c r="AJ360" s="79" t="s">
        <v>46</v>
      </c>
      <c r="AK360" s="79">
        <v>0</v>
      </c>
      <c r="BB360" s="456" t="s">
        <v>67</v>
      </c>
      <c r="BM360" s="75">
        <f>IFERROR(X360*I360/H360,"0")</f>
        <v>0</v>
      </c>
      <c r="BN360" s="75">
        <f>IFERROR(Y360*I360/H360,"0")</f>
        <v>0</v>
      </c>
      <c r="BO360" s="75">
        <f>IFERROR(1/J360*(X360/H360),"0")</f>
        <v>0</v>
      </c>
      <c r="BP360" s="75">
        <f>IFERROR(1/J360*(Y360/H360),"0")</f>
        <v>0</v>
      </c>
    </row>
    <row r="361" spans="1:68" ht="27" hidden="1" customHeight="1" x14ac:dyDescent="0.25">
      <c r="A361" s="60" t="s">
        <v>602</v>
      </c>
      <c r="B361" s="60" t="s">
        <v>603</v>
      </c>
      <c r="C361" s="34">
        <v>4301012327</v>
      </c>
      <c r="D361" s="720">
        <v>4680115887992</v>
      </c>
      <c r="E361" s="720"/>
      <c r="F361" s="59">
        <v>1.3</v>
      </c>
      <c r="G361" s="35">
        <v>6</v>
      </c>
      <c r="H361" s="59">
        <v>7.8</v>
      </c>
      <c r="I361" s="59">
        <v>8.2100000000000009</v>
      </c>
      <c r="J361" s="35">
        <v>64</v>
      </c>
      <c r="K361" s="35" t="s">
        <v>127</v>
      </c>
      <c r="L361" s="35" t="s">
        <v>46</v>
      </c>
      <c r="M361" s="36" t="s">
        <v>90</v>
      </c>
      <c r="N361" s="36"/>
      <c r="O361" s="35">
        <v>60</v>
      </c>
      <c r="P361" s="91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2"/>
      <c r="R361" s="722"/>
      <c r="S361" s="722"/>
      <c r="T361" s="723"/>
      <c r="U361" s="37" t="s">
        <v>46</v>
      </c>
      <c r="V361" s="37" t="s">
        <v>46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7" t="s">
        <v>604</v>
      </c>
      <c r="AG361" s="75"/>
      <c r="AJ361" s="79" t="s">
        <v>46</v>
      </c>
      <c r="AK361" s="79">
        <v>0</v>
      </c>
      <c r="BB361" s="458" t="s">
        <v>67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hidden="1" x14ac:dyDescent="0.2">
      <c r="A362" s="728"/>
      <c r="B362" s="728"/>
      <c r="C362" s="728"/>
      <c r="D362" s="728"/>
      <c r="E362" s="728"/>
      <c r="F362" s="728"/>
      <c r="G362" s="728"/>
      <c r="H362" s="728"/>
      <c r="I362" s="728"/>
      <c r="J362" s="728"/>
      <c r="K362" s="728"/>
      <c r="L362" s="728"/>
      <c r="M362" s="728"/>
      <c r="N362" s="728"/>
      <c r="O362" s="729"/>
      <c r="P362" s="725" t="s">
        <v>40</v>
      </c>
      <c r="Q362" s="726"/>
      <c r="R362" s="726"/>
      <c r="S362" s="726"/>
      <c r="T362" s="726"/>
      <c r="U362" s="726"/>
      <c r="V362" s="727"/>
      <c r="W362" s="40" t="s">
        <v>39</v>
      </c>
      <c r="X362" s="41">
        <f>IFERROR(X359/H359,"0")+IFERROR(X360/H360,"0")+IFERROR(X361/H361,"0")</f>
        <v>0</v>
      </c>
      <c r="Y362" s="41">
        <f>IFERROR(Y359/H359,"0")+IFERROR(Y360/H360,"0")+IFERROR(Y361/H361,"0")</f>
        <v>0</v>
      </c>
      <c r="Z362" s="41">
        <f>IFERROR(IF(Z359="",0,Z359),"0")+IFERROR(IF(Z360="",0,Z360),"0")+IFERROR(IF(Z361="",0,Z361),"0")</f>
        <v>0</v>
      </c>
      <c r="AA362" s="64"/>
      <c r="AB362" s="64"/>
      <c r="AC362" s="64"/>
    </row>
    <row r="363" spans="1:68" hidden="1" x14ac:dyDescent="0.2">
      <c r="A363" s="728"/>
      <c r="B363" s="728"/>
      <c r="C363" s="728"/>
      <c r="D363" s="728"/>
      <c r="E363" s="728"/>
      <c r="F363" s="728"/>
      <c r="G363" s="728"/>
      <c r="H363" s="728"/>
      <c r="I363" s="728"/>
      <c r="J363" s="728"/>
      <c r="K363" s="728"/>
      <c r="L363" s="728"/>
      <c r="M363" s="728"/>
      <c r="N363" s="728"/>
      <c r="O363" s="729"/>
      <c r="P363" s="725" t="s">
        <v>40</v>
      </c>
      <c r="Q363" s="726"/>
      <c r="R363" s="726"/>
      <c r="S363" s="726"/>
      <c r="T363" s="726"/>
      <c r="U363" s="726"/>
      <c r="V363" s="727"/>
      <c r="W363" s="40" t="s">
        <v>0</v>
      </c>
      <c r="X363" s="41">
        <f>IFERROR(SUM(X359:X361),"0")</f>
        <v>0</v>
      </c>
      <c r="Y363" s="41">
        <f>IFERROR(SUM(Y359:Y361),"0")</f>
        <v>0</v>
      </c>
      <c r="Z363" s="40"/>
      <c r="AA363" s="64"/>
      <c r="AB363" s="64"/>
      <c r="AC363" s="64"/>
    </row>
    <row r="364" spans="1:68" ht="16.5" hidden="1" customHeight="1" x14ac:dyDescent="0.25">
      <c r="A364" s="718" t="s">
        <v>605</v>
      </c>
      <c r="B364" s="718"/>
      <c r="C364" s="718"/>
      <c r="D364" s="718"/>
      <c r="E364" s="718"/>
      <c r="F364" s="718"/>
      <c r="G364" s="718"/>
      <c r="H364" s="718"/>
      <c r="I364" s="718"/>
      <c r="J364" s="718"/>
      <c r="K364" s="718"/>
      <c r="L364" s="718"/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  <c r="AA364" s="62"/>
      <c r="AB364" s="62"/>
      <c r="AC364" s="62"/>
    </row>
    <row r="365" spans="1:68" ht="14.25" hidden="1" customHeight="1" x14ac:dyDescent="0.25">
      <c r="A365" s="719" t="s">
        <v>122</v>
      </c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19"/>
      <c r="P365" s="719"/>
      <c r="Q365" s="719"/>
      <c r="R365" s="719"/>
      <c r="S365" s="719"/>
      <c r="T365" s="719"/>
      <c r="U365" s="719"/>
      <c r="V365" s="719"/>
      <c r="W365" s="719"/>
      <c r="X365" s="719"/>
      <c r="Y365" s="719"/>
      <c r="Z365" s="719"/>
      <c r="AA365" s="63"/>
      <c r="AB365" s="63"/>
      <c r="AC365" s="63"/>
    </row>
    <row r="366" spans="1:68" ht="27" hidden="1" customHeight="1" x14ac:dyDescent="0.25">
      <c r="A366" s="60" t="s">
        <v>606</v>
      </c>
      <c r="B366" s="60" t="s">
        <v>607</v>
      </c>
      <c r="C366" s="34">
        <v>4301012126</v>
      </c>
      <c r="D366" s="720">
        <v>4607091386004</v>
      </c>
      <c r="E366" s="720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91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722"/>
      <c r="R366" s="722"/>
      <c r="S366" s="722"/>
      <c r="T366" s="723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ref="Y366:Y371" si="58"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608</v>
      </c>
      <c r="AG366" s="75"/>
      <c r="AJ366" s="79" t="s">
        <v>46</v>
      </c>
      <c r="AK366" s="79">
        <v>0</v>
      </c>
      <c r="BB366" s="460" t="s">
        <v>67</v>
      </c>
      <c r="BM366" s="75">
        <f t="shared" ref="BM366:BM371" si="59">IFERROR(X366*I366/H366,"0")</f>
        <v>0</v>
      </c>
      <c r="BN366" s="75">
        <f t="shared" ref="BN366:BN371" si="60">IFERROR(Y366*I366/H366,"0")</f>
        <v>0</v>
      </c>
      <c r="BO366" s="75">
        <f t="shared" ref="BO366:BO371" si="61">IFERROR(1/J366*(X366/H366),"0")</f>
        <v>0</v>
      </c>
      <c r="BP366" s="75">
        <f t="shared" ref="BP366:BP371" si="62">IFERROR(1/J366*(Y366/H366),"0")</f>
        <v>0</v>
      </c>
    </row>
    <row r="367" spans="1:68" ht="27" hidden="1" customHeight="1" x14ac:dyDescent="0.25">
      <c r="A367" s="60" t="s">
        <v>609</v>
      </c>
      <c r="B367" s="60" t="s">
        <v>610</v>
      </c>
      <c r="C367" s="34">
        <v>4301012235</v>
      </c>
      <c r="D367" s="720">
        <v>4680115887190</v>
      </c>
      <c r="E367" s="720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91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2"/>
      <c r="R367" s="722"/>
      <c r="S367" s="722"/>
      <c r="T367" s="723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611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37.5" hidden="1" customHeight="1" x14ac:dyDescent="0.25">
      <c r="A368" s="60" t="s">
        <v>612</v>
      </c>
      <c r="B368" s="60" t="s">
        <v>613</v>
      </c>
      <c r="C368" s="34">
        <v>4301012233</v>
      </c>
      <c r="D368" s="720">
        <v>4680115887138</v>
      </c>
      <c r="E368" s="720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126</v>
      </c>
      <c r="N368" s="36"/>
      <c r="O368" s="35">
        <v>55</v>
      </c>
      <c r="P368" s="91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2"/>
      <c r="R368" s="722"/>
      <c r="S368" s="722"/>
      <c r="T368" s="723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614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615</v>
      </c>
      <c r="B369" s="60" t="s">
        <v>616</v>
      </c>
      <c r="C369" s="34">
        <v>4301012016</v>
      </c>
      <c r="D369" s="720">
        <v>4680115885554</v>
      </c>
      <c r="E369" s="720"/>
      <c r="F369" s="59">
        <v>1.35</v>
      </c>
      <c r="G369" s="35">
        <v>8</v>
      </c>
      <c r="H369" s="59">
        <v>10.8</v>
      </c>
      <c r="I369" s="59">
        <v>11.21</v>
      </c>
      <c r="J369" s="35">
        <v>64</v>
      </c>
      <c r="K369" s="35" t="s">
        <v>127</v>
      </c>
      <c r="L369" s="35" t="s">
        <v>46</v>
      </c>
      <c r="M369" s="36" t="s">
        <v>90</v>
      </c>
      <c r="N369" s="36"/>
      <c r="O369" s="35">
        <v>55</v>
      </c>
      <c r="P369" s="9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2"/>
      <c r="R369" s="722"/>
      <c r="S369" s="722"/>
      <c r="T369" s="723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IFERROR(IF(Y369=0,"",ROUNDUP(Y369/H369,0)*0.01898),"")</f>
        <v/>
      </c>
      <c r="AA369" s="65" t="s">
        <v>46</v>
      </c>
      <c r="AB369" s="66" t="s">
        <v>46</v>
      </c>
      <c r="AC369" s="465" t="s">
        <v>617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618</v>
      </c>
      <c r="B370" s="60" t="s">
        <v>619</v>
      </c>
      <c r="C370" s="34">
        <v>4301012236</v>
      </c>
      <c r="D370" s="720">
        <v>4680115887220</v>
      </c>
      <c r="E370" s="720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92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2"/>
      <c r="R370" s="722"/>
      <c r="S370" s="722"/>
      <c r="T370" s="723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611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t="27" hidden="1" customHeight="1" x14ac:dyDescent="0.25">
      <c r="A371" s="60" t="s">
        <v>620</v>
      </c>
      <c r="B371" s="60" t="s">
        <v>621</v>
      </c>
      <c r="C371" s="34">
        <v>4301011859</v>
      </c>
      <c r="D371" s="720">
        <v>4680115885608</v>
      </c>
      <c r="E371" s="720"/>
      <c r="F371" s="59">
        <v>0.4</v>
      </c>
      <c r="G371" s="35">
        <v>10</v>
      </c>
      <c r="H371" s="59">
        <v>4</v>
      </c>
      <c r="I371" s="59">
        <v>4.1900000000000004</v>
      </c>
      <c r="J371" s="35">
        <v>132</v>
      </c>
      <c r="K371" s="35" t="s">
        <v>134</v>
      </c>
      <c r="L371" s="35" t="s">
        <v>46</v>
      </c>
      <c r="M371" s="36" t="s">
        <v>126</v>
      </c>
      <c r="N371" s="36"/>
      <c r="O371" s="35">
        <v>55</v>
      </c>
      <c r="P371" s="9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2"/>
      <c r="R371" s="722"/>
      <c r="S371" s="722"/>
      <c r="T371" s="723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58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622</v>
      </c>
      <c r="AG371" s="75"/>
      <c r="AJ371" s="79" t="s">
        <v>46</v>
      </c>
      <c r="AK371" s="79">
        <v>0</v>
      </c>
      <c r="BB371" s="470" t="s">
        <v>67</v>
      </c>
      <c r="BM371" s="75">
        <f t="shared" si="59"/>
        <v>0</v>
      </c>
      <c r="BN371" s="75">
        <f t="shared" si="60"/>
        <v>0</v>
      </c>
      <c r="BO371" s="75">
        <f t="shared" si="61"/>
        <v>0</v>
      </c>
      <c r="BP371" s="75">
        <f t="shared" si="62"/>
        <v>0</v>
      </c>
    </row>
    <row r="372" spans="1:68" hidden="1" x14ac:dyDescent="0.2">
      <c r="A372" s="728"/>
      <c r="B372" s="728"/>
      <c r="C372" s="728"/>
      <c r="D372" s="728"/>
      <c r="E372" s="728"/>
      <c r="F372" s="728"/>
      <c r="G372" s="728"/>
      <c r="H372" s="728"/>
      <c r="I372" s="728"/>
      <c r="J372" s="728"/>
      <c r="K372" s="728"/>
      <c r="L372" s="728"/>
      <c r="M372" s="728"/>
      <c r="N372" s="728"/>
      <c r="O372" s="729"/>
      <c r="P372" s="725" t="s">
        <v>40</v>
      </c>
      <c r="Q372" s="726"/>
      <c r="R372" s="726"/>
      <c r="S372" s="726"/>
      <c r="T372" s="726"/>
      <c r="U372" s="726"/>
      <c r="V372" s="727"/>
      <c r="W372" s="40" t="s">
        <v>39</v>
      </c>
      <c r="X372" s="41">
        <f>IFERROR(X366/H366,"0")+IFERROR(X367/H367,"0")+IFERROR(X368/H368,"0")+IFERROR(X369/H369,"0")+IFERROR(X370/H370,"0")+IFERROR(X371/H371,"0")</f>
        <v>0</v>
      </c>
      <c r="Y372" s="41">
        <f>IFERROR(Y366/H366,"0")+IFERROR(Y367/H367,"0")+IFERROR(Y368/H368,"0")+IFERROR(Y369/H369,"0")+IFERROR(Y370/H370,"0")+IFERROR(Y371/H371,"0")</f>
        <v>0</v>
      </c>
      <c r="Z372" s="41">
        <f>IFERROR(IF(Z366="",0,Z366),"0")+IFERROR(IF(Z367="",0,Z367),"0")+IFERROR(IF(Z368="",0,Z368),"0")+IFERROR(IF(Z369="",0,Z369),"0")+IFERROR(IF(Z370="",0,Z370),"0")+IFERROR(IF(Z371="",0,Z371),"0")</f>
        <v>0</v>
      </c>
      <c r="AA372" s="64"/>
      <c r="AB372" s="64"/>
      <c r="AC372" s="64"/>
    </row>
    <row r="373" spans="1:68" hidden="1" x14ac:dyDescent="0.2">
      <c r="A373" s="728"/>
      <c r="B373" s="728"/>
      <c r="C373" s="728"/>
      <c r="D373" s="728"/>
      <c r="E373" s="728"/>
      <c r="F373" s="728"/>
      <c r="G373" s="728"/>
      <c r="H373" s="728"/>
      <c r="I373" s="728"/>
      <c r="J373" s="728"/>
      <c r="K373" s="728"/>
      <c r="L373" s="728"/>
      <c r="M373" s="728"/>
      <c r="N373" s="728"/>
      <c r="O373" s="729"/>
      <c r="P373" s="725" t="s">
        <v>40</v>
      </c>
      <c r="Q373" s="726"/>
      <c r="R373" s="726"/>
      <c r="S373" s="726"/>
      <c r="T373" s="726"/>
      <c r="U373" s="726"/>
      <c r="V373" s="727"/>
      <c r="W373" s="40" t="s">
        <v>0</v>
      </c>
      <c r="X373" s="41">
        <f>IFERROR(SUM(X366:X371),"0")</f>
        <v>0</v>
      </c>
      <c r="Y373" s="41">
        <f>IFERROR(SUM(Y366:Y371),"0")</f>
        <v>0</v>
      </c>
      <c r="Z373" s="40"/>
      <c r="AA373" s="64"/>
      <c r="AB373" s="64"/>
      <c r="AC373" s="64"/>
    </row>
    <row r="374" spans="1:68" ht="14.25" hidden="1" customHeight="1" x14ac:dyDescent="0.25">
      <c r="A374" s="719" t="s">
        <v>77</v>
      </c>
      <c r="B374" s="719"/>
      <c r="C374" s="719"/>
      <c r="D374" s="719"/>
      <c r="E374" s="719"/>
      <c r="F374" s="719"/>
      <c r="G374" s="719"/>
      <c r="H374" s="719"/>
      <c r="I374" s="719"/>
      <c r="J374" s="719"/>
      <c r="K374" s="719"/>
      <c r="L374" s="719"/>
      <c r="M374" s="719"/>
      <c r="N374" s="719"/>
      <c r="O374" s="719"/>
      <c r="P374" s="719"/>
      <c r="Q374" s="719"/>
      <c r="R374" s="719"/>
      <c r="S374" s="719"/>
      <c r="T374" s="719"/>
      <c r="U374" s="719"/>
      <c r="V374" s="719"/>
      <c r="W374" s="719"/>
      <c r="X374" s="719"/>
      <c r="Y374" s="719"/>
      <c r="Z374" s="719"/>
      <c r="AA374" s="63"/>
      <c r="AB374" s="63"/>
      <c r="AC374" s="63"/>
    </row>
    <row r="375" spans="1:68" ht="27" hidden="1" customHeight="1" x14ac:dyDescent="0.25">
      <c r="A375" s="60" t="s">
        <v>623</v>
      </c>
      <c r="B375" s="60" t="s">
        <v>624</v>
      </c>
      <c r="C375" s="34">
        <v>4301030878</v>
      </c>
      <c r="D375" s="720">
        <v>4607091387193</v>
      </c>
      <c r="E375" s="720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35</v>
      </c>
      <c r="P375" s="9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2"/>
      <c r="R375" s="722"/>
      <c r="S375" s="722"/>
      <c r="T375" s="723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ref="Y375:Y381" si="63">IFERROR(IF(X375="",0,CEILING((X375/$H375),1)*$H375),"")</f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625</v>
      </c>
      <c r="AG375" s="75"/>
      <c r="AJ375" s="79" t="s">
        <v>46</v>
      </c>
      <c r="AK375" s="79">
        <v>0</v>
      </c>
      <c r="BB375" s="472" t="s">
        <v>67</v>
      </c>
      <c r="BM375" s="75">
        <f t="shared" ref="BM375:BM381" si="64">IFERROR(X375*I375/H375,"0")</f>
        <v>0</v>
      </c>
      <c r="BN375" s="75">
        <f t="shared" ref="BN375:BN381" si="65">IFERROR(Y375*I375/H375,"0")</f>
        <v>0</v>
      </c>
      <c r="BO375" s="75">
        <f t="shared" ref="BO375:BO381" si="66">IFERROR(1/J375*(X375/H375),"0")</f>
        <v>0</v>
      </c>
      <c r="BP375" s="75">
        <f t="shared" ref="BP375:BP381" si="67">IFERROR(1/J375*(Y375/H375),"0")</f>
        <v>0</v>
      </c>
    </row>
    <row r="376" spans="1:68" ht="27" hidden="1" customHeight="1" x14ac:dyDescent="0.25">
      <c r="A376" s="60" t="s">
        <v>626</v>
      </c>
      <c r="B376" s="60" t="s">
        <v>627</v>
      </c>
      <c r="C376" s="34">
        <v>4301031153</v>
      </c>
      <c r="D376" s="720">
        <v>4607091387230</v>
      </c>
      <c r="E376" s="720"/>
      <c r="F376" s="59">
        <v>0.7</v>
      </c>
      <c r="G376" s="35">
        <v>6</v>
      </c>
      <c r="H376" s="59">
        <v>4.2</v>
      </c>
      <c r="I376" s="59">
        <v>4.45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40</v>
      </c>
      <c r="P376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2"/>
      <c r="R376" s="722"/>
      <c r="S376" s="722"/>
      <c r="T376" s="723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628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629</v>
      </c>
      <c r="B377" s="60" t="s">
        <v>630</v>
      </c>
      <c r="C377" s="34">
        <v>4301031154</v>
      </c>
      <c r="D377" s="720">
        <v>4607091387292</v>
      </c>
      <c r="E377" s="720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134</v>
      </c>
      <c r="L377" s="35" t="s">
        <v>46</v>
      </c>
      <c r="M377" s="36" t="s">
        <v>81</v>
      </c>
      <c r="N377" s="36"/>
      <c r="O377" s="35">
        <v>45</v>
      </c>
      <c r="P377" s="9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2"/>
      <c r="R377" s="722"/>
      <c r="S377" s="722"/>
      <c r="T377" s="723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75" t="s">
        <v>631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hidden="1" customHeight="1" x14ac:dyDescent="0.25">
      <c r="A378" s="60" t="s">
        <v>632</v>
      </c>
      <c r="B378" s="60" t="s">
        <v>633</v>
      </c>
      <c r="C378" s="34">
        <v>4301031152</v>
      </c>
      <c r="D378" s="720">
        <v>4607091387285</v>
      </c>
      <c r="E378" s="720"/>
      <c r="F378" s="59">
        <v>0.35</v>
      </c>
      <c r="G378" s="35">
        <v>6</v>
      </c>
      <c r="H378" s="59">
        <v>2.1</v>
      </c>
      <c r="I378" s="59">
        <v>2.23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9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2"/>
      <c r="R378" s="722"/>
      <c r="S378" s="722"/>
      <c r="T378" s="723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63"/>
        <v>0</v>
      </c>
      <c r="Z378" s="39" t="str">
        <f>IFERROR(IF(Y378=0,"",ROUNDUP(Y378/H378,0)*0.00502),"")</f>
        <v/>
      </c>
      <c r="AA378" s="65" t="s">
        <v>46</v>
      </c>
      <c r="AB378" s="66" t="s">
        <v>46</v>
      </c>
      <c r="AC378" s="477" t="s">
        <v>628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0</v>
      </c>
      <c r="BN378" s="75">
        <f t="shared" si="65"/>
        <v>0</v>
      </c>
      <c r="BO378" s="75">
        <f t="shared" si="66"/>
        <v>0</v>
      </c>
      <c r="BP378" s="75">
        <f t="shared" si="67"/>
        <v>0</v>
      </c>
    </row>
    <row r="379" spans="1:68" ht="27" customHeight="1" x14ac:dyDescent="0.25">
      <c r="A379" s="60" t="s">
        <v>634</v>
      </c>
      <c r="B379" s="60" t="s">
        <v>635</v>
      </c>
      <c r="C379" s="34">
        <v>4301031305</v>
      </c>
      <c r="D379" s="720">
        <v>4607091389845</v>
      </c>
      <c r="E379" s="720"/>
      <c r="F379" s="59">
        <v>0.35</v>
      </c>
      <c r="G379" s="35">
        <v>6</v>
      </c>
      <c r="H379" s="59">
        <v>2.1</v>
      </c>
      <c r="I379" s="59">
        <v>2.2000000000000002</v>
      </c>
      <c r="J379" s="35">
        <v>234</v>
      </c>
      <c r="K379" s="35" t="s">
        <v>82</v>
      </c>
      <c r="L379" s="35" t="s">
        <v>46</v>
      </c>
      <c r="M379" s="36" t="s">
        <v>81</v>
      </c>
      <c r="N379" s="36"/>
      <c r="O379" s="35">
        <v>40</v>
      </c>
      <c r="P379" s="9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2"/>
      <c r="R379" s="722"/>
      <c r="S379" s="722"/>
      <c r="T379" s="723"/>
      <c r="U379" s="37" t="s">
        <v>46</v>
      </c>
      <c r="V379" s="37" t="s">
        <v>46</v>
      </c>
      <c r="W379" s="38" t="s">
        <v>0</v>
      </c>
      <c r="X379" s="56">
        <v>525</v>
      </c>
      <c r="Y379" s="53">
        <f t="shared" si="63"/>
        <v>525</v>
      </c>
      <c r="Z379" s="39">
        <f>IFERROR(IF(Y379=0,"",ROUNDUP(Y379/H379,0)*0.00502),"")</f>
        <v>1.2550000000000001</v>
      </c>
      <c r="AA379" s="65" t="s">
        <v>46</v>
      </c>
      <c r="AB379" s="66" t="s">
        <v>46</v>
      </c>
      <c r="AC379" s="479" t="s">
        <v>636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550</v>
      </c>
      <c r="BN379" s="75">
        <f t="shared" si="65"/>
        <v>550</v>
      </c>
      <c r="BO379" s="75">
        <f t="shared" si="66"/>
        <v>1.0683760683760686</v>
      </c>
      <c r="BP379" s="75">
        <f t="shared" si="67"/>
        <v>1.0683760683760686</v>
      </c>
    </row>
    <row r="380" spans="1:68" ht="27" hidden="1" customHeight="1" x14ac:dyDescent="0.25">
      <c r="A380" s="60" t="s">
        <v>637</v>
      </c>
      <c r="B380" s="60" t="s">
        <v>638</v>
      </c>
      <c r="C380" s="34">
        <v>4301031460</v>
      </c>
      <c r="D380" s="720">
        <v>4680115887442</v>
      </c>
      <c r="E380" s="720"/>
      <c r="F380" s="59">
        <v>0.73</v>
      </c>
      <c r="G380" s="35">
        <v>6</v>
      </c>
      <c r="H380" s="59">
        <v>4.38</v>
      </c>
      <c r="I380" s="59">
        <v>4.63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45</v>
      </c>
      <c r="P380" s="9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2"/>
      <c r="R380" s="722"/>
      <c r="S380" s="722"/>
      <c r="T380" s="723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3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631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0</v>
      </c>
      <c r="BN380" s="75">
        <f t="shared" si="65"/>
        <v>0</v>
      </c>
      <c r="BO380" s="75">
        <f t="shared" si="66"/>
        <v>0</v>
      </c>
      <c r="BP380" s="75">
        <f t="shared" si="67"/>
        <v>0</v>
      </c>
    </row>
    <row r="381" spans="1:68" ht="27" customHeight="1" x14ac:dyDescent="0.25">
      <c r="A381" s="60" t="s">
        <v>639</v>
      </c>
      <c r="B381" s="60" t="s">
        <v>640</v>
      </c>
      <c r="C381" s="34">
        <v>4301031066</v>
      </c>
      <c r="D381" s="720">
        <v>4607091383836</v>
      </c>
      <c r="E381" s="720"/>
      <c r="F381" s="59">
        <v>0.3</v>
      </c>
      <c r="G381" s="35">
        <v>6</v>
      </c>
      <c r="H381" s="59">
        <v>1.8</v>
      </c>
      <c r="I381" s="59">
        <v>2.028</v>
      </c>
      <c r="J381" s="35">
        <v>182</v>
      </c>
      <c r="K381" s="35" t="s">
        <v>91</v>
      </c>
      <c r="L381" s="35" t="s">
        <v>46</v>
      </c>
      <c r="M381" s="36" t="s">
        <v>81</v>
      </c>
      <c r="N381" s="36"/>
      <c r="O381" s="35">
        <v>40</v>
      </c>
      <c r="P381" s="9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2"/>
      <c r="R381" s="722"/>
      <c r="S381" s="722"/>
      <c r="T381" s="723"/>
      <c r="U381" s="37" t="s">
        <v>46</v>
      </c>
      <c r="V381" s="37" t="s">
        <v>46</v>
      </c>
      <c r="W381" s="38" t="s">
        <v>0</v>
      </c>
      <c r="X381" s="56">
        <v>240</v>
      </c>
      <c r="Y381" s="53">
        <f t="shared" si="63"/>
        <v>241.20000000000002</v>
      </c>
      <c r="Z381" s="39">
        <f>IFERROR(IF(Y381=0,"",ROUNDUP(Y381/H381,0)*0.00651),"")</f>
        <v>0.87234</v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4"/>
        <v>270.40000000000003</v>
      </c>
      <c r="BN381" s="75">
        <f t="shared" si="65"/>
        <v>271.75200000000001</v>
      </c>
      <c r="BO381" s="75">
        <f t="shared" si="66"/>
        <v>0.73260073260073266</v>
      </c>
      <c r="BP381" s="75">
        <f t="shared" si="67"/>
        <v>0.73626373626373631</v>
      </c>
    </row>
    <row r="382" spans="1:68" x14ac:dyDescent="0.2">
      <c r="A382" s="728"/>
      <c r="B382" s="728"/>
      <c r="C382" s="728"/>
      <c r="D382" s="728"/>
      <c r="E382" s="728"/>
      <c r="F382" s="728"/>
      <c r="G382" s="728"/>
      <c r="H382" s="728"/>
      <c r="I382" s="728"/>
      <c r="J382" s="728"/>
      <c r="K382" s="728"/>
      <c r="L382" s="728"/>
      <c r="M382" s="728"/>
      <c r="N382" s="728"/>
      <c r="O382" s="729"/>
      <c r="P382" s="725" t="s">
        <v>40</v>
      </c>
      <c r="Q382" s="726"/>
      <c r="R382" s="726"/>
      <c r="S382" s="726"/>
      <c r="T382" s="726"/>
      <c r="U382" s="726"/>
      <c r="V382" s="727"/>
      <c r="W382" s="40" t="s">
        <v>39</v>
      </c>
      <c r="X382" s="41">
        <f>IFERROR(X375/H375,"0")+IFERROR(X376/H376,"0")+IFERROR(X377/H377,"0")+IFERROR(X378/H378,"0")+IFERROR(X379/H379,"0")+IFERROR(X380/H380,"0")+IFERROR(X381/H381,"0")</f>
        <v>383.33333333333337</v>
      </c>
      <c r="Y382" s="41">
        <f>IFERROR(Y375/H375,"0")+IFERROR(Y376/H376,"0")+IFERROR(Y377/H377,"0")+IFERROR(Y378/H378,"0")+IFERROR(Y379/H379,"0")+IFERROR(Y380/H380,"0")+IFERROR(Y381/H381,"0")</f>
        <v>384</v>
      </c>
      <c r="Z382" s="41">
        <f>IFERROR(IF(Z375="",0,Z375),"0")+IFERROR(IF(Z376="",0,Z376),"0")+IFERROR(IF(Z377="",0,Z377),"0")+IFERROR(IF(Z378="",0,Z378),"0")+IFERROR(IF(Z379="",0,Z379),"0")+IFERROR(IF(Z380="",0,Z380),"0")+IFERROR(IF(Z381="",0,Z381),"0")</f>
        <v>2.1273400000000002</v>
      </c>
      <c r="AA382" s="64"/>
      <c r="AB382" s="64"/>
      <c r="AC382" s="64"/>
    </row>
    <row r="383" spans="1:68" x14ac:dyDescent="0.2">
      <c r="A383" s="728"/>
      <c r="B383" s="728"/>
      <c r="C383" s="728"/>
      <c r="D383" s="728"/>
      <c r="E383" s="728"/>
      <c r="F383" s="728"/>
      <c r="G383" s="728"/>
      <c r="H383" s="728"/>
      <c r="I383" s="728"/>
      <c r="J383" s="728"/>
      <c r="K383" s="728"/>
      <c r="L383" s="728"/>
      <c r="M383" s="728"/>
      <c r="N383" s="728"/>
      <c r="O383" s="729"/>
      <c r="P383" s="725" t="s">
        <v>40</v>
      </c>
      <c r="Q383" s="726"/>
      <c r="R383" s="726"/>
      <c r="S383" s="726"/>
      <c r="T383" s="726"/>
      <c r="U383" s="726"/>
      <c r="V383" s="727"/>
      <c r="W383" s="40" t="s">
        <v>0</v>
      </c>
      <c r="X383" s="41">
        <f>IFERROR(SUM(X375:X381),"0")</f>
        <v>765</v>
      </c>
      <c r="Y383" s="41">
        <f>IFERROR(SUM(Y375:Y381),"0")</f>
        <v>766.2</v>
      </c>
      <c r="Z383" s="40"/>
      <c r="AA383" s="64"/>
      <c r="AB383" s="64"/>
      <c r="AC383" s="64"/>
    </row>
    <row r="384" spans="1:68" ht="14.25" hidden="1" customHeight="1" x14ac:dyDescent="0.25">
      <c r="A384" s="719" t="s">
        <v>86</v>
      </c>
      <c r="B384" s="719"/>
      <c r="C384" s="719"/>
      <c r="D384" s="719"/>
      <c r="E384" s="719"/>
      <c r="F384" s="719"/>
      <c r="G384" s="719"/>
      <c r="H384" s="719"/>
      <c r="I384" s="719"/>
      <c r="J384" s="719"/>
      <c r="K384" s="719"/>
      <c r="L384" s="719"/>
      <c r="M384" s="719"/>
      <c r="N384" s="719"/>
      <c r="O384" s="719"/>
      <c r="P384" s="719"/>
      <c r="Q384" s="719"/>
      <c r="R384" s="719"/>
      <c r="S384" s="719"/>
      <c r="T384" s="719"/>
      <c r="U384" s="719"/>
      <c r="V384" s="719"/>
      <c r="W384" s="719"/>
      <c r="X384" s="719"/>
      <c r="Y384" s="719"/>
      <c r="Z384" s="719"/>
      <c r="AA384" s="63"/>
      <c r="AB384" s="63"/>
      <c r="AC384" s="63"/>
    </row>
    <row r="385" spans="1:68" ht="27" hidden="1" customHeight="1" x14ac:dyDescent="0.25">
      <c r="A385" s="60" t="s">
        <v>642</v>
      </c>
      <c r="B385" s="60" t="s">
        <v>643</v>
      </c>
      <c r="C385" s="34">
        <v>4301051100</v>
      </c>
      <c r="D385" s="720">
        <v>4607091387766</v>
      </c>
      <c r="E385" s="720"/>
      <c r="F385" s="59">
        <v>1.3</v>
      </c>
      <c r="G385" s="35">
        <v>6</v>
      </c>
      <c r="H385" s="59">
        <v>7.8</v>
      </c>
      <c r="I385" s="59">
        <v>8.2880000000000003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93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2"/>
      <c r="R385" s="722"/>
      <c r="S385" s="722"/>
      <c r="T385" s="723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644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645</v>
      </c>
      <c r="B386" s="60" t="s">
        <v>646</v>
      </c>
      <c r="C386" s="34">
        <v>4301051818</v>
      </c>
      <c r="D386" s="720">
        <v>4607091387957</v>
      </c>
      <c r="E386" s="720"/>
      <c r="F386" s="59">
        <v>1.3</v>
      </c>
      <c r="G386" s="35">
        <v>6</v>
      </c>
      <c r="H386" s="59">
        <v>7.8</v>
      </c>
      <c r="I386" s="59">
        <v>8.2940000000000005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93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2"/>
      <c r="R386" s="722"/>
      <c r="S386" s="722"/>
      <c r="T386" s="723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647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648</v>
      </c>
      <c r="B387" s="60" t="s">
        <v>649</v>
      </c>
      <c r="C387" s="34">
        <v>4301051819</v>
      </c>
      <c r="D387" s="720">
        <v>4607091387964</v>
      </c>
      <c r="E387" s="720"/>
      <c r="F387" s="59">
        <v>1.35</v>
      </c>
      <c r="G387" s="35">
        <v>6</v>
      </c>
      <c r="H387" s="59">
        <v>8.1</v>
      </c>
      <c r="I387" s="59">
        <v>8.5760000000000005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40</v>
      </c>
      <c r="P387" s="93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2"/>
      <c r="R387" s="722"/>
      <c r="S387" s="722"/>
      <c r="T387" s="723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650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651</v>
      </c>
      <c r="B388" s="60" t="s">
        <v>652</v>
      </c>
      <c r="C388" s="34">
        <v>4301051734</v>
      </c>
      <c r="D388" s="720">
        <v>4680115884588</v>
      </c>
      <c r="E388" s="720"/>
      <c r="F388" s="59">
        <v>0.5</v>
      </c>
      <c r="G388" s="35">
        <v>6</v>
      </c>
      <c r="H388" s="59">
        <v>3</v>
      </c>
      <c r="I388" s="59">
        <v>3.246</v>
      </c>
      <c r="J388" s="35">
        <v>182</v>
      </c>
      <c r="K388" s="35" t="s">
        <v>91</v>
      </c>
      <c r="L388" s="35" t="s">
        <v>46</v>
      </c>
      <c r="M388" s="36" t="s">
        <v>90</v>
      </c>
      <c r="N388" s="36"/>
      <c r="O388" s="35">
        <v>40</v>
      </c>
      <c r="P388" s="93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2"/>
      <c r="R388" s="722"/>
      <c r="S388" s="722"/>
      <c r="T388" s="723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91" t="s">
        <v>644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28"/>
      <c r="B389" s="728"/>
      <c r="C389" s="728"/>
      <c r="D389" s="728"/>
      <c r="E389" s="728"/>
      <c r="F389" s="728"/>
      <c r="G389" s="728"/>
      <c r="H389" s="728"/>
      <c r="I389" s="728"/>
      <c r="J389" s="728"/>
      <c r="K389" s="728"/>
      <c r="L389" s="728"/>
      <c r="M389" s="728"/>
      <c r="N389" s="728"/>
      <c r="O389" s="729"/>
      <c r="P389" s="725" t="s">
        <v>40</v>
      </c>
      <c r="Q389" s="726"/>
      <c r="R389" s="726"/>
      <c r="S389" s="726"/>
      <c r="T389" s="726"/>
      <c r="U389" s="726"/>
      <c r="V389" s="727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28"/>
      <c r="B390" s="728"/>
      <c r="C390" s="728"/>
      <c r="D390" s="728"/>
      <c r="E390" s="728"/>
      <c r="F390" s="728"/>
      <c r="G390" s="728"/>
      <c r="H390" s="728"/>
      <c r="I390" s="728"/>
      <c r="J390" s="728"/>
      <c r="K390" s="728"/>
      <c r="L390" s="728"/>
      <c r="M390" s="728"/>
      <c r="N390" s="728"/>
      <c r="O390" s="729"/>
      <c r="P390" s="725" t="s">
        <v>40</v>
      </c>
      <c r="Q390" s="726"/>
      <c r="R390" s="726"/>
      <c r="S390" s="726"/>
      <c r="T390" s="726"/>
      <c r="U390" s="726"/>
      <c r="V390" s="727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719" t="s">
        <v>173</v>
      </c>
      <c r="B391" s="719"/>
      <c r="C391" s="719"/>
      <c r="D391" s="719"/>
      <c r="E391" s="719"/>
      <c r="F391" s="719"/>
      <c r="G391" s="719"/>
      <c r="H391" s="719"/>
      <c r="I391" s="719"/>
      <c r="J391" s="719"/>
      <c r="K391" s="719"/>
      <c r="L391" s="719"/>
      <c r="M391" s="719"/>
      <c r="N391" s="719"/>
      <c r="O391" s="719"/>
      <c r="P391" s="719"/>
      <c r="Q391" s="719"/>
      <c r="R391" s="719"/>
      <c r="S391" s="719"/>
      <c r="T391" s="719"/>
      <c r="U391" s="719"/>
      <c r="V391" s="719"/>
      <c r="W391" s="719"/>
      <c r="X391" s="719"/>
      <c r="Y391" s="719"/>
      <c r="Z391" s="719"/>
      <c r="AA391" s="63"/>
      <c r="AB391" s="63"/>
      <c r="AC391" s="63"/>
    </row>
    <row r="392" spans="1:68" ht="27" hidden="1" customHeight="1" x14ac:dyDescent="0.25">
      <c r="A392" s="60" t="s">
        <v>653</v>
      </c>
      <c r="B392" s="60" t="s">
        <v>654</v>
      </c>
      <c r="C392" s="34">
        <v>4301060387</v>
      </c>
      <c r="D392" s="720">
        <v>4607091380880</v>
      </c>
      <c r="E392" s="720"/>
      <c r="F392" s="59">
        <v>1.4</v>
      </c>
      <c r="G392" s="35">
        <v>6</v>
      </c>
      <c r="H392" s="59">
        <v>8.4</v>
      </c>
      <c r="I392" s="59">
        <v>8.8940000000000001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9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2"/>
      <c r="R392" s="722"/>
      <c r="S392" s="722"/>
      <c r="T392" s="723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IFERROR(IF(Y392=0,"",ROUNDUP(Y392/H392,0)*0.01898),"")</f>
        <v/>
      </c>
      <c r="AA392" s="65" t="s">
        <v>46</v>
      </c>
      <c r="AB392" s="66" t="s">
        <v>46</v>
      </c>
      <c r="AC392" s="493" t="s">
        <v>655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656</v>
      </c>
      <c r="B393" s="60" t="s">
        <v>657</v>
      </c>
      <c r="C393" s="34">
        <v>4301060406</v>
      </c>
      <c r="D393" s="720">
        <v>4607091384482</v>
      </c>
      <c r="E393" s="720"/>
      <c r="F393" s="59">
        <v>1.3</v>
      </c>
      <c r="G393" s="35">
        <v>6</v>
      </c>
      <c r="H393" s="59">
        <v>7.8</v>
      </c>
      <c r="I393" s="59">
        <v>8.2940000000000005</v>
      </c>
      <c r="J393" s="35">
        <v>64</v>
      </c>
      <c r="K393" s="35" t="s">
        <v>127</v>
      </c>
      <c r="L393" s="35" t="s">
        <v>46</v>
      </c>
      <c r="M393" s="36" t="s">
        <v>90</v>
      </c>
      <c r="N393" s="36"/>
      <c r="O393" s="35">
        <v>30</v>
      </c>
      <c r="P393" s="9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2"/>
      <c r="R393" s="722"/>
      <c r="S393" s="722"/>
      <c r="T393" s="723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IFERROR(IF(Y393=0,"",ROUNDUP(Y393/H393,0)*0.01898),"")</f>
        <v/>
      </c>
      <c r="AA393" s="65" t="s">
        <v>46</v>
      </c>
      <c r="AB393" s="66" t="s">
        <v>46</v>
      </c>
      <c r="AC393" s="495" t="s">
        <v>658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659</v>
      </c>
      <c r="B394" s="60" t="s">
        <v>660</v>
      </c>
      <c r="C394" s="34">
        <v>4301060484</v>
      </c>
      <c r="D394" s="720">
        <v>4607091380897</v>
      </c>
      <c r="E394" s="720"/>
      <c r="F394" s="59">
        <v>1.4</v>
      </c>
      <c r="G394" s="35">
        <v>6</v>
      </c>
      <c r="H394" s="59">
        <v>8.4</v>
      </c>
      <c r="I394" s="59">
        <v>8.8940000000000001</v>
      </c>
      <c r="J394" s="35">
        <v>64</v>
      </c>
      <c r="K394" s="35" t="s">
        <v>127</v>
      </c>
      <c r="L394" s="35" t="s">
        <v>46</v>
      </c>
      <c r="M394" s="36" t="s">
        <v>97</v>
      </c>
      <c r="N394" s="36"/>
      <c r="O394" s="35">
        <v>30</v>
      </c>
      <c r="P394" s="9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2"/>
      <c r="R394" s="722"/>
      <c r="S394" s="722"/>
      <c r="T394" s="723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IFERROR(IF(Y394=0,"",ROUNDUP(Y394/H394,0)*0.01898),"")</f>
        <v/>
      </c>
      <c r="AA394" s="65" t="s">
        <v>46</v>
      </c>
      <c r="AB394" s="66" t="s">
        <v>46</v>
      </c>
      <c r="AC394" s="497" t="s">
        <v>661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28"/>
      <c r="B395" s="728"/>
      <c r="C395" s="728"/>
      <c r="D395" s="728"/>
      <c r="E395" s="728"/>
      <c r="F395" s="728"/>
      <c r="G395" s="728"/>
      <c r="H395" s="728"/>
      <c r="I395" s="728"/>
      <c r="J395" s="728"/>
      <c r="K395" s="728"/>
      <c r="L395" s="728"/>
      <c r="M395" s="728"/>
      <c r="N395" s="728"/>
      <c r="O395" s="729"/>
      <c r="P395" s="725" t="s">
        <v>40</v>
      </c>
      <c r="Q395" s="726"/>
      <c r="R395" s="726"/>
      <c r="S395" s="726"/>
      <c r="T395" s="726"/>
      <c r="U395" s="726"/>
      <c r="V395" s="727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28"/>
      <c r="B396" s="728"/>
      <c r="C396" s="728"/>
      <c r="D396" s="728"/>
      <c r="E396" s="728"/>
      <c r="F396" s="728"/>
      <c r="G396" s="728"/>
      <c r="H396" s="728"/>
      <c r="I396" s="728"/>
      <c r="J396" s="728"/>
      <c r="K396" s="728"/>
      <c r="L396" s="728"/>
      <c r="M396" s="728"/>
      <c r="N396" s="728"/>
      <c r="O396" s="729"/>
      <c r="P396" s="725" t="s">
        <v>40</v>
      </c>
      <c r="Q396" s="726"/>
      <c r="R396" s="726"/>
      <c r="S396" s="726"/>
      <c r="T396" s="726"/>
      <c r="U396" s="726"/>
      <c r="V396" s="727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719" t="s">
        <v>289</v>
      </c>
      <c r="B397" s="719"/>
      <c r="C397" s="719"/>
      <c r="D397" s="719"/>
      <c r="E397" s="719"/>
      <c r="F397" s="719"/>
      <c r="G397" s="719"/>
      <c r="H397" s="719"/>
      <c r="I397" s="719"/>
      <c r="J397" s="719"/>
      <c r="K397" s="719"/>
      <c r="L397" s="719"/>
      <c r="M397" s="719"/>
      <c r="N397" s="719"/>
      <c r="O397" s="719"/>
      <c r="P397" s="719"/>
      <c r="Q397" s="719"/>
      <c r="R397" s="719"/>
      <c r="S397" s="719"/>
      <c r="T397" s="719"/>
      <c r="U397" s="719"/>
      <c r="V397" s="719"/>
      <c r="W397" s="719"/>
      <c r="X397" s="719"/>
      <c r="Y397" s="719"/>
      <c r="Z397" s="719"/>
      <c r="AA397" s="63"/>
      <c r="AB397" s="63"/>
      <c r="AC397" s="63"/>
    </row>
    <row r="398" spans="1:68" ht="27" hidden="1" customHeight="1" x14ac:dyDescent="0.25">
      <c r="A398" s="60" t="s">
        <v>662</v>
      </c>
      <c r="B398" s="60" t="s">
        <v>663</v>
      </c>
      <c r="C398" s="34">
        <v>4301030235</v>
      </c>
      <c r="D398" s="720">
        <v>4607091388381</v>
      </c>
      <c r="E398" s="720"/>
      <c r="F398" s="59">
        <v>0.38</v>
      </c>
      <c r="G398" s="35">
        <v>8</v>
      </c>
      <c r="H398" s="59">
        <v>3.04</v>
      </c>
      <c r="I398" s="59">
        <v>3.31</v>
      </c>
      <c r="J398" s="35">
        <v>132</v>
      </c>
      <c r="K398" s="35" t="s">
        <v>134</v>
      </c>
      <c r="L398" s="35" t="s">
        <v>46</v>
      </c>
      <c r="M398" s="36" t="s">
        <v>264</v>
      </c>
      <c r="N398" s="36"/>
      <c r="O398" s="35">
        <v>180</v>
      </c>
      <c r="P398" s="93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2"/>
      <c r="R398" s="722"/>
      <c r="S398" s="722"/>
      <c r="T398" s="723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664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665</v>
      </c>
      <c r="B399" s="60" t="s">
        <v>666</v>
      </c>
      <c r="C399" s="34">
        <v>4301030232</v>
      </c>
      <c r="D399" s="720">
        <v>4607091388374</v>
      </c>
      <c r="E399" s="720"/>
      <c r="F399" s="59">
        <v>0.38</v>
      </c>
      <c r="G399" s="35">
        <v>8</v>
      </c>
      <c r="H399" s="59">
        <v>3.04</v>
      </c>
      <c r="I399" s="59">
        <v>3.27</v>
      </c>
      <c r="J399" s="35">
        <v>132</v>
      </c>
      <c r="K399" s="35" t="s">
        <v>134</v>
      </c>
      <c r="L399" s="35" t="s">
        <v>46</v>
      </c>
      <c r="M399" s="36" t="s">
        <v>264</v>
      </c>
      <c r="N399" s="36"/>
      <c r="O399" s="35">
        <v>180</v>
      </c>
      <c r="P399" s="93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2"/>
      <c r="R399" s="722"/>
      <c r="S399" s="722"/>
      <c r="T399" s="723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IFERROR(IF(Y399=0,"",ROUNDUP(Y399/H399,0)*0.00902),"")</f>
        <v/>
      </c>
      <c r="AA399" s="65" t="s">
        <v>46</v>
      </c>
      <c r="AB399" s="66" t="s">
        <v>46</v>
      </c>
      <c r="AC399" s="501" t="s">
        <v>664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customHeight="1" x14ac:dyDescent="0.25">
      <c r="A400" s="60" t="s">
        <v>667</v>
      </c>
      <c r="B400" s="60" t="s">
        <v>668</v>
      </c>
      <c r="C400" s="34">
        <v>4301032015</v>
      </c>
      <c r="D400" s="720">
        <v>4607091383102</v>
      </c>
      <c r="E400" s="720"/>
      <c r="F400" s="59">
        <v>0.17</v>
      </c>
      <c r="G400" s="35">
        <v>15</v>
      </c>
      <c r="H400" s="59">
        <v>2.5499999999999998</v>
      </c>
      <c r="I400" s="59">
        <v>2.9550000000000001</v>
      </c>
      <c r="J400" s="35">
        <v>182</v>
      </c>
      <c r="K400" s="35" t="s">
        <v>91</v>
      </c>
      <c r="L400" s="35" t="s">
        <v>46</v>
      </c>
      <c r="M400" s="36" t="s">
        <v>264</v>
      </c>
      <c r="N400" s="36"/>
      <c r="O400" s="35">
        <v>180</v>
      </c>
      <c r="P400" s="9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2"/>
      <c r="R400" s="722"/>
      <c r="S400" s="722"/>
      <c r="T400" s="723"/>
      <c r="U400" s="37" t="s">
        <v>46</v>
      </c>
      <c r="V400" s="37" t="s">
        <v>46</v>
      </c>
      <c r="W400" s="38" t="s">
        <v>0</v>
      </c>
      <c r="X400" s="56">
        <v>85</v>
      </c>
      <c r="Y400" s="53">
        <f>IFERROR(IF(X400="",0,CEILING((X400/$H400),1)*$H400),"")</f>
        <v>86.699999999999989</v>
      </c>
      <c r="Z400" s="39">
        <f>IFERROR(IF(Y400=0,"",ROUNDUP(Y400/H400,0)*0.00651),"")</f>
        <v>0.22134000000000001</v>
      </c>
      <c r="AA400" s="65" t="s">
        <v>46</v>
      </c>
      <c r="AB400" s="66" t="s">
        <v>46</v>
      </c>
      <c r="AC400" s="503" t="s">
        <v>664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98.500000000000014</v>
      </c>
      <c r="BN400" s="75">
        <f>IFERROR(Y400*I400/H400,"0")</f>
        <v>100.47</v>
      </c>
      <c r="BO400" s="75">
        <f>IFERROR(1/J400*(X400/H400),"0")</f>
        <v>0.18315018315018317</v>
      </c>
      <c r="BP400" s="75">
        <f>IFERROR(1/J400*(Y400/H400),"0")</f>
        <v>0.18681318681318682</v>
      </c>
    </row>
    <row r="401" spans="1:68" ht="27" customHeight="1" x14ac:dyDescent="0.25">
      <c r="A401" s="60" t="s">
        <v>669</v>
      </c>
      <c r="B401" s="60" t="s">
        <v>670</v>
      </c>
      <c r="C401" s="34">
        <v>4301030233</v>
      </c>
      <c r="D401" s="720">
        <v>4607091388404</v>
      </c>
      <c r="E401" s="720"/>
      <c r="F401" s="59">
        <v>0.17</v>
      </c>
      <c r="G401" s="35">
        <v>15</v>
      </c>
      <c r="H401" s="59">
        <v>2.5499999999999998</v>
      </c>
      <c r="I401" s="59">
        <v>2.88</v>
      </c>
      <c r="J401" s="35">
        <v>182</v>
      </c>
      <c r="K401" s="35" t="s">
        <v>91</v>
      </c>
      <c r="L401" s="35" t="s">
        <v>46</v>
      </c>
      <c r="M401" s="36" t="s">
        <v>264</v>
      </c>
      <c r="N401" s="36"/>
      <c r="O401" s="35">
        <v>180</v>
      </c>
      <c r="P401" s="9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2"/>
      <c r="R401" s="722"/>
      <c r="S401" s="722"/>
      <c r="T401" s="723"/>
      <c r="U401" s="37" t="s">
        <v>46</v>
      </c>
      <c r="V401" s="37" t="s">
        <v>46</v>
      </c>
      <c r="W401" s="38" t="s">
        <v>0</v>
      </c>
      <c r="X401" s="56">
        <v>340</v>
      </c>
      <c r="Y401" s="53">
        <f>IFERROR(IF(X401="",0,CEILING((X401/$H401),1)*$H401),"")</f>
        <v>341.7</v>
      </c>
      <c r="Z401" s="39">
        <f>IFERROR(IF(Y401=0,"",ROUNDUP(Y401/H401,0)*0.00651),"")</f>
        <v>0.87234</v>
      </c>
      <c r="AA401" s="65" t="s">
        <v>46</v>
      </c>
      <c r="AB401" s="66" t="s">
        <v>46</v>
      </c>
      <c r="AC401" s="505" t="s">
        <v>664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384</v>
      </c>
      <c r="BN401" s="75">
        <f>IFERROR(Y401*I401/H401,"0")</f>
        <v>385.91999999999996</v>
      </c>
      <c r="BO401" s="75">
        <f>IFERROR(1/J401*(X401/H401),"0")</f>
        <v>0.73260073260073266</v>
      </c>
      <c r="BP401" s="75">
        <f>IFERROR(1/J401*(Y401/H401),"0")</f>
        <v>0.73626373626373631</v>
      </c>
    </row>
    <row r="402" spans="1:68" x14ac:dyDescent="0.2">
      <c r="A402" s="728"/>
      <c r="B402" s="728"/>
      <c r="C402" s="728"/>
      <c r="D402" s="728"/>
      <c r="E402" s="728"/>
      <c r="F402" s="728"/>
      <c r="G402" s="728"/>
      <c r="H402" s="728"/>
      <c r="I402" s="728"/>
      <c r="J402" s="728"/>
      <c r="K402" s="728"/>
      <c r="L402" s="728"/>
      <c r="M402" s="728"/>
      <c r="N402" s="728"/>
      <c r="O402" s="729"/>
      <c r="P402" s="725" t="s">
        <v>40</v>
      </c>
      <c r="Q402" s="726"/>
      <c r="R402" s="726"/>
      <c r="S402" s="726"/>
      <c r="T402" s="726"/>
      <c r="U402" s="726"/>
      <c r="V402" s="727"/>
      <c r="W402" s="40" t="s">
        <v>39</v>
      </c>
      <c r="X402" s="41">
        <f>IFERROR(X398/H398,"0")+IFERROR(X399/H399,"0")+IFERROR(X400/H400,"0")+IFERROR(X401/H401,"0")</f>
        <v>166.66666666666669</v>
      </c>
      <c r="Y402" s="41">
        <f>IFERROR(Y398/H398,"0")+IFERROR(Y399/H399,"0")+IFERROR(Y400/H400,"0")+IFERROR(Y401/H401,"0")</f>
        <v>168</v>
      </c>
      <c r="Z402" s="41">
        <f>IFERROR(IF(Z398="",0,Z398),"0")+IFERROR(IF(Z399="",0,Z399),"0")+IFERROR(IF(Z400="",0,Z400),"0")+IFERROR(IF(Z401="",0,Z401),"0")</f>
        <v>1.09368</v>
      </c>
      <c r="AA402" s="64"/>
      <c r="AB402" s="64"/>
      <c r="AC402" s="64"/>
    </row>
    <row r="403" spans="1:68" x14ac:dyDescent="0.2">
      <c r="A403" s="728"/>
      <c r="B403" s="728"/>
      <c r="C403" s="728"/>
      <c r="D403" s="728"/>
      <c r="E403" s="728"/>
      <c r="F403" s="728"/>
      <c r="G403" s="728"/>
      <c r="H403" s="728"/>
      <c r="I403" s="728"/>
      <c r="J403" s="728"/>
      <c r="K403" s="728"/>
      <c r="L403" s="728"/>
      <c r="M403" s="728"/>
      <c r="N403" s="728"/>
      <c r="O403" s="729"/>
      <c r="P403" s="725" t="s">
        <v>40</v>
      </c>
      <c r="Q403" s="726"/>
      <c r="R403" s="726"/>
      <c r="S403" s="726"/>
      <c r="T403" s="726"/>
      <c r="U403" s="726"/>
      <c r="V403" s="727"/>
      <c r="W403" s="40" t="s">
        <v>0</v>
      </c>
      <c r="X403" s="41">
        <f>IFERROR(SUM(X398:X401),"0")</f>
        <v>425</v>
      </c>
      <c r="Y403" s="41">
        <f>IFERROR(SUM(Y398:Y401),"0")</f>
        <v>428.4</v>
      </c>
      <c r="Z403" s="40"/>
      <c r="AA403" s="64"/>
      <c r="AB403" s="64"/>
      <c r="AC403" s="64"/>
    </row>
    <row r="404" spans="1:68" ht="14.25" hidden="1" customHeight="1" x14ac:dyDescent="0.25">
      <c r="A404" s="719" t="s">
        <v>671</v>
      </c>
      <c r="B404" s="719"/>
      <c r="C404" s="719"/>
      <c r="D404" s="719"/>
      <c r="E404" s="719"/>
      <c r="F404" s="719"/>
      <c r="G404" s="719"/>
      <c r="H404" s="719"/>
      <c r="I404" s="719"/>
      <c r="J404" s="719"/>
      <c r="K404" s="719"/>
      <c r="L404" s="719"/>
      <c r="M404" s="719"/>
      <c r="N404" s="719"/>
      <c r="O404" s="719"/>
      <c r="P404" s="719"/>
      <c r="Q404" s="719"/>
      <c r="R404" s="719"/>
      <c r="S404" s="719"/>
      <c r="T404" s="719"/>
      <c r="U404" s="719"/>
      <c r="V404" s="719"/>
      <c r="W404" s="719"/>
      <c r="X404" s="719"/>
      <c r="Y404" s="719"/>
      <c r="Z404" s="719"/>
      <c r="AA404" s="63"/>
      <c r="AB404" s="63"/>
      <c r="AC404" s="63"/>
    </row>
    <row r="405" spans="1:68" ht="16.5" hidden="1" customHeight="1" x14ac:dyDescent="0.25">
      <c r="A405" s="60" t="s">
        <v>672</v>
      </c>
      <c r="B405" s="60" t="s">
        <v>673</v>
      </c>
      <c r="C405" s="34">
        <v>4301180007</v>
      </c>
      <c r="D405" s="720">
        <v>4680115881808</v>
      </c>
      <c r="E405" s="720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675</v>
      </c>
      <c r="N405" s="36"/>
      <c r="O405" s="35">
        <v>731</v>
      </c>
      <c r="P405" s="9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2"/>
      <c r="R405" s="722"/>
      <c r="S405" s="722"/>
      <c r="T405" s="723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674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676</v>
      </c>
      <c r="B406" s="60" t="s">
        <v>677</v>
      </c>
      <c r="C406" s="34">
        <v>4301180006</v>
      </c>
      <c r="D406" s="720">
        <v>4680115881822</v>
      </c>
      <c r="E406" s="720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675</v>
      </c>
      <c r="N406" s="36"/>
      <c r="O406" s="35">
        <v>731</v>
      </c>
      <c r="P406" s="9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2"/>
      <c r="R406" s="722"/>
      <c r="S406" s="722"/>
      <c r="T406" s="723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674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678</v>
      </c>
      <c r="B407" s="60" t="s">
        <v>679</v>
      </c>
      <c r="C407" s="34">
        <v>4301180001</v>
      </c>
      <c r="D407" s="720">
        <v>4680115880016</v>
      </c>
      <c r="E407" s="720"/>
      <c r="F407" s="59">
        <v>0.1</v>
      </c>
      <c r="G407" s="35">
        <v>20</v>
      </c>
      <c r="H407" s="59">
        <v>2</v>
      </c>
      <c r="I407" s="59">
        <v>2.2400000000000002</v>
      </c>
      <c r="J407" s="35">
        <v>238</v>
      </c>
      <c r="K407" s="35" t="s">
        <v>91</v>
      </c>
      <c r="L407" s="35" t="s">
        <v>46</v>
      </c>
      <c r="M407" s="36" t="s">
        <v>675</v>
      </c>
      <c r="N407" s="36"/>
      <c r="O407" s="35">
        <v>731</v>
      </c>
      <c r="P407" s="9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2"/>
      <c r="R407" s="722"/>
      <c r="S407" s="722"/>
      <c r="T407" s="723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IFERROR(IF(Y407=0,"",ROUNDUP(Y407/H407,0)*0.00474),"")</f>
        <v/>
      </c>
      <c r="AA407" s="65" t="s">
        <v>46</v>
      </c>
      <c r="AB407" s="66" t="s">
        <v>46</v>
      </c>
      <c r="AC407" s="511" t="s">
        <v>674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28"/>
      <c r="B408" s="728"/>
      <c r="C408" s="728"/>
      <c r="D408" s="728"/>
      <c r="E408" s="728"/>
      <c r="F408" s="728"/>
      <c r="G408" s="728"/>
      <c r="H408" s="728"/>
      <c r="I408" s="728"/>
      <c r="J408" s="728"/>
      <c r="K408" s="728"/>
      <c r="L408" s="728"/>
      <c r="M408" s="728"/>
      <c r="N408" s="728"/>
      <c r="O408" s="729"/>
      <c r="P408" s="725" t="s">
        <v>40</v>
      </c>
      <c r="Q408" s="726"/>
      <c r="R408" s="726"/>
      <c r="S408" s="726"/>
      <c r="T408" s="726"/>
      <c r="U408" s="726"/>
      <c r="V408" s="727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28"/>
      <c r="B409" s="728"/>
      <c r="C409" s="728"/>
      <c r="D409" s="728"/>
      <c r="E409" s="728"/>
      <c r="F409" s="728"/>
      <c r="G409" s="728"/>
      <c r="H409" s="728"/>
      <c r="I409" s="728"/>
      <c r="J409" s="728"/>
      <c r="K409" s="728"/>
      <c r="L409" s="728"/>
      <c r="M409" s="728"/>
      <c r="N409" s="728"/>
      <c r="O409" s="729"/>
      <c r="P409" s="725" t="s">
        <v>40</v>
      </c>
      <c r="Q409" s="726"/>
      <c r="R409" s="726"/>
      <c r="S409" s="726"/>
      <c r="T409" s="726"/>
      <c r="U409" s="726"/>
      <c r="V409" s="727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4.25" hidden="1" customHeight="1" x14ac:dyDescent="0.25">
      <c r="A410" s="719" t="s">
        <v>680</v>
      </c>
      <c r="B410" s="719"/>
      <c r="C410" s="719"/>
      <c r="D410" s="719"/>
      <c r="E410" s="719"/>
      <c r="F410" s="719"/>
      <c r="G410" s="719"/>
      <c r="H410" s="719"/>
      <c r="I410" s="719"/>
      <c r="J410" s="719"/>
      <c r="K410" s="719"/>
      <c r="L410" s="719"/>
      <c r="M410" s="719"/>
      <c r="N410" s="719"/>
      <c r="O410" s="719"/>
      <c r="P410" s="719"/>
      <c r="Q410" s="719"/>
      <c r="R410" s="719"/>
      <c r="S410" s="719"/>
      <c r="T410" s="719"/>
      <c r="U410" s="719"/>
      <c r="V410" s="719"/>
      <c r="W410" s="719"/>
      <c r="X410" s="719"/>
      <c r="Y410" s="719"/>
      <c r="Z410" s="719"/>
      <c r="AA410" s="63"/>
      <c r="AB410" s="63"/>
      <c r="AC410" s="63"/>
    </row>
    <row r="411" spans="1:68" ht="27" hidden="1" customHeight="1" x14ac:dyDescent="0.25">
      <c r="A411" s="60" t="s">
        <v>681</v>
      </c>
      <c r="B411" s="60" t="s">
        <v>682</v>
      </c>
      <c r="C411" s="34">
        <v>4301220003</v>
      </c>
      <c r="D411" s="720">
        <v>4680115888678</v>
      </c>
      <c r="E411" s="720"/>
      <c r="F411" s="59">
        <v>0.25</v>
      </c>
      <c r="G411" s="35">
        <v>12</v>
      </c>
      <c r="H411" s="59">
        <v>3</v>
      </c>
      <c r="I411" s="59">
        <v>3.22</v>
      </c>
      <c r="J411" s="35">
        <v>224</v>
      </c>
      <c r="K411" s="35" t="s">
        <v>91</v>
      </c>
      <c r="L411" s="35" t="s">
        <v>46</v>
      </c>
      <c r="M411" s="36" t="s">
        <v>675</v>
      </c>
      <c r="N411" s="36"/>
      <c r="O411" s="35">
        <v>1096</v>
      </c>
      <c r="P411" s="9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2"/>
      <c r="R411" s="722"/>
      <c r="S411" s="722"/>
      <c r="T411" s="723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IFERROR(IF(Y411=0,"",ROUNDUP(Y411/H411,0)*0.0045),"")</f>
        <v/>
      </c>
      <c r="AA411" s="65" t="s">
        <v>46</v>
      </c>
      <c r="AB411" s="66" t="s">
        <v>46</v>
      </c>
      <c r="AC411" s="513" t="s">
        <v>683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4301220001</v>
      </c>
      <c r="D412" s="720">
        <v>4680115888654</v>
      </c>
      <c r="E412" s="720"/>
      <c r="F412" s="59">
        <v>0.32500000000000001</v>
      </c>
      <c r="G412" s="35">
        <v>12</v>
      </c>
      <c r="H412" s="59">
        <v>3.9</v>
      </c>
      <c r="I412" s="59">
        <v>4.17</v>
      </c>
      <c r="J412" s="35">
        <v>144</v>
      </c>
      <c r="K412" s="35" t="s">
        <v>134</v>
      </c>
      <c r="L412" s="35" t="s">
        <v>46</v>
      </c>
      <c r="M412" s="36" t="s">
        <v>675</v>
      </c>
      <c r="N412" s="36"/>
      <c r="O412" s="35">
        <v>1096</v>
      </c>
      <c r="P412" s="9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2"/>
      <c r="R412" s="722"/>
      <c r="S412" s="722"/>
      <c r="T412" s="723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IFERROR(IF(Y412=0,"",ROUNDUP(Y412/H412,0)*0.006),"")</f>
        <v/>
      </c>
      <c r="AA412" s="65" t="s">
        <v>46</v>
      </c>
      <c r="AB412" s="66" t="s">
        <v>46</v>
      </c>
      <c r="AC412" s="515" t="s">
        <v>686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27" hidden="1" customHeight="1" x14ac:dyDescent="0.25">
      <c r="A413" s="60" t="s">
        <v>687</v>
      </c>
      <c r="B413" s="60" t="s">
        <v>688</v>
      </c>
      <c r="C413" s="34">
        <v>4301220002</v>
      </c>
      <c r="D413" s="720">
        <v>4680115888753</v>
      </c>
      <c r="E413" s="720"/>
      <c r="F413" s="59">
        <v>0.25</v>
      </c>
      <c r="G413" s="35">
        <v>12</v>
      </c>
      <c r="H413" s="59">
        <v>3</v>
      </c>
      <c r="I413" s="59">
        <v>3.22</v>
      </c>
      <c r="J413" s="35">
        <v>224</v>
      </c>
      <c r="K413" s="35" t="s">
        <v>91</v>
      </c>
      <c r="L413" s="35" t="s">
        <v>46</v>
      </c>
      <c r="M413" s="36" t="s">
        <v>675</v>
      </c>
      <c r="N413" s="36"/>
      <c r="O413" s="35">
        <v>1096</v>
      </c>
      <c r="P413" s="9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2"/>
      <c r="R413" s="722"/>
      <c r="S413" s="722"/>
      <c r="T413" s="723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IFERROR(IF(Y413=0,"",ROUNDUP(Y413/H413,0)*0.0045),"")</f>
        <v/>
      </c>
      <c r="AA413" s="65" t="s">
        <v>46</v>
      </c>
      <c r="AB413" s="66" t="s">
        <v>46</v>
      </c>
      <c r="AC413" s="517" t="s">
        <v>683</v>
      </c>
      <c r="AG413" s="75"/>
      <c r="AJ413" s="79" t="s">
        <v>46</v>
      </c>
      <c r="AK413" s="79">
        <v>0</v>
      </c>
      <c r="BB413" s="518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728"/>
      <c r="B414" s="728"/>
      <c r="C414" s="728"/>
      <c r="D414" s="728"/>
      <c r="E414" s="728"/>
      <c r="F414" s="728"/>
      <c r="G414" s="728"/>
      <c r="H414" s="728"/>
      <c r="I414" s="728"/>
      <c r="J414" s="728"/>
      <c r="K414" s="728"/>
      <c r="L414" s="728"/>
      <c r="M414" s="728"/>
      <c r="N414" s="728"/>
      <c r="O414" s="729"/>
      <c r="P414" s="725" t="s">
        <v>40</v>
      </c>
      <c r="Q414" s="726"/>
      <c r="R414" s="726"/>
      <c r="S414" s="726"/>
      <c r="T414" s="726"/>
      <c r="U414" s="726"/>
      <c r="V414" s="727"/>
      <c r="W414" s="40" t="s">
        <v>39</v>
      </c>
      <c r="X414" s="41">
        <f>IFERROR(X411/H411,"0")+IFERROR(X412/H412,"0")+IFERROR(X413/H413,"0")</f>
        <v>0</v>
      </c>
      <c r="Y414" s="41">
        <f>IFERROR(Y411/H411,"0")+IFERROR(Y412/H412,"0")+IFERROR(Y413/H413,"0")</f>
        <v>0</v>
      </c>
      <c r="Z414" s="41">
        <f>IFERROR(IF(Z411="",0,Z411),"0")+IFERROR(IF(Z412="",0,Z412),"0")+IFERROR(IF(Z413="",0,Z413),"0")</f>
        <v>0</v>
      </c>
      <c r="AA414" s="64"/>
      <c r="AB414" s="64"/>
      <c r="AC414" s="64"/>
    </row>
    <row r="415" spans="1:68" hidden="1" x14ac:dyDescent="0.2">
      <c r="A415" s="728"/>
      <c r="B415" s="728"/>
      <c r="C415" s="728"/>
      <c r="D415" s="728"/>
      <c r="E415" s="728"/>
      <c r="F415" s="728"/>
      <c r="G415" s="728"/>
      <c r="H415" s="728"/>
      <c r="I415" s="728"/>
      <c r="J415" s="728"/>
      <c r="K415" s="728"/>
      <c r="L415" s="728"/>
      <c r="M415" s="728"/>
      <c r="N415" s="728"/>
      <c r="O415" s="729"/>
      <c r="P415" s="725" t="s">
        <v>40</v>
      </c>
      <c r="Q415" s="726"/>
      <c r="R415" s="726"/>
      <c r="S415" s="726"/>
      <c r="T415" s="726"/>
      <c r="U415" s="726"/>
      <c r="V415" s="727"/>
      <c r="W415" s="40" t="s">
        <v>0</v>
      </c>
      <c r="X415" s="41">
        <f>IFERROR(SUM(X411:X413),"0")</f>
        <v>0</v>
      </c>
      <c r="Y415" s="41">
        <f>IFERROR(SUM(Y411:Y413),"0")</f>
        <v>0</v>
      </c>
      <c r="Z415" s="40"/>
      <c r="AA415" s="64"/>
      <c r="AB415" s="64"/>
      <c r="AC415" s="64"/>
    </row>
    <row r="416" spans="1:68" ht="16.5" hidden="1" customHeight="1" x14ac:dyDescent="0.25">
      <c r="A416" s="718" t="s">
        <v>689</v>
      </c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8"/>
      <c r="P416" s="718"/>
      <c r="Q416" s="718"/>
      <c r="R416" s="718"/>
      <c r="S416" s="718"/>
      <c r="T416" s="718"/>
      <c r="U416" s="718"/>
      <c r="V416" s="718"/>
      <c r="W416" s="718"/>
      <c r="X416" s="718"/>
      <c r="Y416" s="718"/>
      <c r="Z416" s="718"/>
      <c r="AA416" s="62"/>
      <c r="AB416" s="62"/>
      <c r="AC416" s="62"/>
    </row>
    <row r="417" spans="1:68" ht="14.25" hidden="1" customHeight="1" x14ac:dyDescent="0.25">
      <c r="A417" s="719" t="s">
        <v>86</v>
      </c>
      <c r="B417" s="719"/>
      <c r="C417" s="719"/>
      <c r="D417" s="719"/>
      <c r="E417" s="719"/>
      <c r="F417" s="719"/>
      <c r="G417" s="719"/>
      <c r="H417" s="719"/>
      <c r="I417" s="719"/>
      <c r="J417" s="719"/>
      <c r="K417" s="719"/>
      <c r="L417" s="719"/>
      <c r="M417" s="719"/>
      <c r="N417" s="719"/>
      <c r="O417" s="719"/>
      <c r="P417" s="719"/>
      <c r="Q417" s="719"/>
      <c r="R417" s="719"/>
      <c r="S417" s="719"/>
      <c r="T417" s="719"/>
      <c r="U417" s="719"/>
      <c r="V417" s="719"/>
      <c r="W417" s="719"/>
      <c r="X417" s="719"/>
      <c r="Y417" s="719"/>
      <c r="Z417" s="719"/>
      <c r="AA417" s="63"/>
      <c r="AB417" s="63"/>
      <c r="AC417" s="63"/>
    </row>
    <row r="418" spans="1:68" ht="16.5" hidden="1" customHeight="1" x14ac:dyDescent="0.25">
      <c r="A418" s="60" t="s">
        <v>690</v>
      </c>
      <c r="B418" s="60" t="s">
        <v>691</v>
      </c>
      <c r="C418" s="34">
        <v>4301052235</v>
      </c>
      <c r="D418" s="720">
        <v>4680115889415</v>
      </c>
      <c r="E418" s="720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9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2"/>
      <c r="R418" s="722"/>
      <c r="S418" s="722"/>
      <c r="T418" s="723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692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16.5" hidden="1" customHeight="1" x14ac:dyDescent="0.25">
      <c r="A419" s="60" t="s">
        <v>693</v>
      </c>
      <c r="B419" s="60" t="s">
        <v>694</v>
      </c>
      <c r="C419" s="34">
        <v>4301052236</v>
      </c>
      <c r="D419" s="720">
        <v>4680115889422</v>
      </c>
      <c r="E419" s="720"/>
      <c r="F419" s="59">
        <v>1.3</v>
      </c>
      <c r="G419" s="35">
        <v>6</v>
      </c>
      <c r="H419" s="59">
        <v>7.8</v>
      </c>
      <c r="I419" s="59">
        <v>8.2100000000000009</v>
      </c>
      <c r="J419" s="35">
        <v>64</v>
      </c>
      <c r="K419" s="35" t="s">
        <v>127</v>
      </c>
      <c r="L419" s="35" t="s">
        <v>46</v>
      </c>
      <c r="M419" s="36" t="s">
        <v>90</v>
      </c>
      <c r="N419" s="36"/>
      <c r="O419" s="35">
        <v>40</v>
      </c>
      <c r="P419" s="9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2"/>
      <c r="R419" s="722"/>
      <c r="S419" s="722"/>
      <c r="T419" s="723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IFERROR(IF(Y419=0,"",ROUNDUP(Y419/H419,0)*0.01898),"")</f>
        <v/>
      </c>
      <c r="AA419" s="65" t="s">
        <v>46</v>
      </c>
      <c r="AB419" s="66" t="s">
        <v>46</v>
      </c>
      <c r="AC419" s="521" t="s">
        <v>695</v>
      </c>
      <c r="AG419" s="75"/>
      <c r="AJ419" s="79" t="s">
        <v>46</v>
      </c>
      <c r="AK419" s="79">
        <v>0</v>
      </c>
      <c r="BB419" s="522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idden="1" x14ac:dyDescent="0.2">
      <c r="A420" s="728"/>
      <c r="B420" s="728"/>
      <c r="C420" s="728"/>
      <c r="D420" s="728"/>
      <c r="E420" s="728"/>
      <c r="F420" s="728"/>
      <c r="G420" s="728"/>
      <c r="H420" s="728"/>
      <c r="I420" s="728"/>
      <c r="J420" s="728"/>
      <c r="K420" s="728"/>
      <c r="L420" s="728"/>
      <c r="M420" s="728"/>
      <c r="N420" s="728"/>
      <c r="O420" s="729"/>
      <c r="P420" s="725" t="s">
        <v>40</v>
      </c>
      <c r="Q420" s="726"/>
      <c r="R420" s="726"/>
      <c r="S420" s="726"/>
      <c r="T420" s="726"/>
      <c r="U420" s="726"/>
      <c r="V420" s="727"/>
      <c r="W420" s="40" t="s">
        <v>39</v>
      </c>
      <c r="X420" s="41">
        <f>IFERROR(X418/H418,"0")+IFERROR(X419/H419,"0")</f>
        <v>0</v>
      </c>
      <c r="Y420" s="41">
        <f>IFERROR(Y418/H418,"0")+IFERROR(Y419/H419,"0")</f>
        <v>0</v>
      </c>
      <c r="Z420" s="41">
        <f>IFERROR(IF(Z418="",0,Z418),"0")+IFERROR(IF(Z419="",0,Z419),"0")</f>
        <v>0</v>
      </c>
      <c r="AA420" s="64"/>
      <c r="AB420" s="64"/>
      <c r="AC420" s="64"/>
    </row>
    <row r="421" spans="1:68" hidden="1" x14ac:dyDescent="0.2">
      <c r="A421" s="728"/>
      <c r="B421" s="728"/>
      <c r="C421" s="728"/>
      <c r="D421" s="728"/>
      <c r="E421" s="728"/>
      <c r="F421" s="728"/>
      <c r="G421" s="728"/>
      <c r="H421" s="728"/>
      <c r="I421" s="728"/>
      <c r="J421" s="728"/>
      <c r="K421" s="728"/>
      <c r="L421" s="728"/>
      <c r="M421" s="728"/>
      <c r="N421" s="728"/>
      <c r="O421" s="729"/>
      <c r="P421" s="725" t="s">
        <v>40</v>
      </c>
      <c r="Q421" s="726"/>
      <c r="R421" s="726"/>
      <c r="S421" s="726"/>
      <c r="T421" s="726"/>
      <c r="U421" s="726"/>
      <c r="V421" s="727"/>
      <c r="W421" s="40" t="s">
        <v>0</v>
      </c>
      <c r="X421" s="41">
        <f>IFERROR(SUM(X418:X419),"0")</f>
        <v>0</v>
      </c>
      <c r="Y421" s="41">
        <f>IFERROR(SUM(Y418:Y419),"0")</f>
        <v>0</v>
      </c>
      <c r="Z421" s="40"/>
      <c r="AA421" s="64"/>
      <c r="AB421" s="64"/>
      <c r="AC421" s="64"/>
    </row>
    <row r="422" spans="1:68" ht="16.5" hidden="1" customHeight="1" x14ac:dyDescent="0.25">
      <c r="A422" s="718" t="s">
        <v>696</v>
      </c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8"/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  <c r="AA422" s="62"/>
      <c r="AB422" s="62"/>
      <c r="AC422" s="62"/>
    </row>
    <row r="423" spans="1:68" ht="14.25" hidden="1" customHeight="1" x14ac:dyDescent="0.25">
      <c r="A423" s="719" t="s">
        <v>86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63"/>
      <c r="AB423" s="63"/>
      <c r="AC423" s="63"/>
    </row>
    <row r="424" spans="1:68" ht="27" hidden="1" customHeight="1" x14ac:dyDescent="0.25">
      <c r="A424" s="60" t="s">
        <v>697</v>
      </c>
      <c r="B424" s="60" t="s">
        <v>698</v>
      </c>
      <c r="C424" s="34">
        <v>4301051489</v>
      </c>
      <c r="D424" s="720">
        <v>4607091387919</v>
      </c>
      <c r="E424" s="720"/>
      <c r="F424" s="59">
        <v>1.35</v>
      </c>
      <c r="G424" s="35">
        <v>6</v>
      </c>
      <c r="H424" s="59">
        <v>8.1</v>
      </c>
      <c r="I424" s="59">
        <v>8.5939999999999994</v>
      </c>
      <c r="J424" s="35">
        <v>64</v>
      </c>
      <c r="K424" s="35" t="s">
        <v>127</v>
      </c>
      <c r="L424" s="35" t="s">
        <v>46</v>
      </c>
      <c r="M424" s="36" t="s">
        <v>97</v>
      </c>
      <c r="N424" s="36"/>
      <c r="O424" s="35">
        <v>45</v>
      </c>
      <c r="P424" s="94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2"/>
      <c r="R424" s="722"/>
      <c r="S424" s="722"/>
      <c r="T424" s="723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46</v>
      </c>
      <c r="AB424" s="66" t="s">
        <v>46</v>
      </c>
      <c r="AC424" s="523" t="s">
        <v>699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700</v>
      </c>
      <c r="B425" s="60" t="s">
        <v>701</v>
      </c>
      <c r="C425" s="34">
        <v>4301051461</v>
      </c>
      <c r="D425" s="720">
        <v>4680115883604</v>
      </c>
      <c r="E425" s="720"/>
      <c r="F425" s="59">
        <v>0.35</v>
      </c>
      <c r="G425" s="35">
        <v>6</v>
      </c>
      <c r="H425" s="59">
        <v>2.1</v>
      </c>
      <c r="I425" s="59">
        <v>2.3519999999999999</v>
      </c>
      <c r="J425" s="35">
        <v>182</v>
      </c>
      <c r="K425" s="35" t="s">
        <v>91</v>
      </c>
      <c r="L425" s="35" t="s">
        <v>46</v>
      </c>
      <c r="M425" s="36" t="s">
        <v>90</v>
      </c>
      <c r="N425" s="36"/>
      <c r="O425" s="35">
        <v>45</v>
      </c>
      <c r="P425" s="95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2"/>
      <c r="R425" s="722"/>
      <c r="S425" s="722"/>
      <c r="T425" s="723"/>
      <c r="U425" s="37" t="s">
        <v>46</v>
      </c>
      <c r="V425" s="37" t="s">
        <v>46</v>
      </c>
      <c r="W425" s="38" t="s">
        <v>0</v>
      </c>
      <c r="X425" s="56">
        <v>5250</v>
      </c>
      <c r="Y425" s="53">
        <f>IFERROR(IF(X425="",0,CEILING((X425/$H425),1)*$H425),"")</f>
        <v>5250</v>
      </c>
      <c r="Z425" s="39">
        <f>IFERROR(IF(Y425=0,"",ROUNDUP(Y425/H425,0)*0.00651),"")</f>
        <v>16.275000000000002</v>
      </c>
      <c r="AA425" s="65" t="s">
        <v>46</v>
      </c>
      <c r="AB425" s="66" t="s">
        <v>46</v>
      </c>
      <c r="AC425" s="525" t="s">
        <v>702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5880</v>
      </c>
      <c r="BN425" s="75">
        <f>IFERROR(Y425*I425/H425,"0")</f>
        <v>5880</v>
      </c>
      <c r="BO425" s="75">
        <f>IFERROR(1/J425*(X425/H425),"0")</f>
        <v>13.736263736263737</v>
      </c>
      <c r="BP425" s="75">
        <f>IFERROR(1/J425*(Y425/H425),"0")</f>
        <v>13.736263736263737</v>
      </c>
    </row>
    <row r="426" spans="1:68" ht="27" customHeight="1" x14ac:dyDescent="0.25">
      <c r="A426" s="60" t="s">
        <v>703</v>
      </c>
      <c r="B426" s="60" t="s">
        <v>704</v>
      </c>
      <c r="C426" s="34">
        <v>4301051864</v>
      </c>
      <c r="D426" s="720">
        <v>4680115883567</v>
      </c>
      <c r="E426" s="720"/>
      <c r="F426" s="59">
        <v>0.35</v>
      </c>
      <c r="G426" s="35">
        <v>6</v>
      </c>
      <c r="H426" s="59">
        <v>2.1</v>
      </c>
      <c r="I426" s="59">
        <v>2.34</v>
      </c>
      <c r="J426" s="35">
        <v>182</v>
      </c>
      <c r="K426" s="35" t="s">
        <v>91</v>
      </c>
      <c r="L426" s="35" t="s">
        <v>46</v>
      </c>
      <c r="M426" s="36" t="s">
        <v>97</v>
      </c>
      <c r="N426" s="36"/>
      <c r="O426" s="35">
        <v>40</v>
      </c>
      <c r="P426" s="95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2"/>
      <c r="R426" s="722"/>
      <c r="S426" s="722"/>
      <c r="T426" s="723"/>
      <c r="U426" s="37" t="s">
        <v>46</v>
      </c>
      <c r="V426" s="37" t="s">
        <v>46</v>
      </c>
      <c r="W426" s="38" t="s">
        <v>0</v>
      </c>
      <c r="X426" s="56">
        <v>2450</v>
      </c>
      <c r="Y426" s="53">
        <f>IFERROR(IF(X426="",0,CEILING((X426/$H426),1)*$H426),"")</f>
        <v>2450.7000000000003</v>
      </c>
      <c r="Z426" s="39">
        <f>IFERROR(IF(Y426=0,"",ROUNDUP(Y426/H426,0)*0.00651),"")</f>
        <v>7.5971700000000002</v>
      </c>
      <c r="AA426" s="65" t="s">
        <v>46</v>
      </c>
      <c r="AB426" s="66" t="s">
        <v>46</v>
      </c>
      <c r="AC426" s="527" t="s">
        <v>705</v>
      </c>
      <c r="AG426" s="75"/>
      <c r="AJ426" s="79" t="s">
        <v>46</v>
      </c>
      <c r="AK426" s="79">
        <v>0</v>
      </c>
      <c r="BB426" s="528" t="s">
        <v>67</v>
      </c>
      <c r="BM426" s="75">
        <f>IFERROR(X426*I426/H426,"0")</f>
        <v>2730</v>
      </c>
      <c r="BN426" s="75">
        <f>IFERROR(Y426*I426/H426,"0")</f>
        <v>2730.7799999999997</v>
      </c>
      <c r="BO426" s="75">
        <f>IFERROR(1/J426*(X426/H426),"0")</f>
        <v>6.4102564102564097</v>
      </c>
      <c r="BP426" s="75">
        <f>IFERROR(1/J426*(Y426/H426),"0")</f>
        <v>6.4120879120879124</v>
      </c>
    </row>
    <row r="427" spans="1:68" x14ac:dyDescent="0.2">
      <c r="A427" s="728"/>
      <c r="B427" s="728"/>
      <c r="C427" s="728"/>
      <c r="D427" s="728"/>
      <c r="E427" s="728"/>
      <c r="F427" s="728"/>
      <c r="G427" s="728"/>
      <c r="H427" s="728"/>
      <c r="I427" s="728"/>
      <c r="J427" s="728"/>
      <c r="K427" s="728"/>
      <c r="L427" s="728"/>
      <c r="M427" s="728"/>
      <c r="N427" s="728"/>
      <c r="O427" s="729"/>
      <c r="P427" s="725" t="s">
        <v>40</v>
      </c>
      <c r="Q427" s="726"/>
      <c r="R427" s="726"/>
      <c r="S427" s="726"/>
      <c r="T427" s="726"/>
      <c r="U427" s="726"/>
      <c r="V427" s="727"/>
      <c r="W427" s="40" t="s">
        <v>39</v>
      </c>
      <c r="X427" s="41">
        <f>IFERROR(X424/H424,"0")+IFERROR(X425/H425,"0")+IFERROR(X426/H426,"0")</f>
        <v>3666.6666666666665</v>
      </c>
      <c r="Y427" s="41">
        <f>IFERROR(Y424/H424,"0")+IFERROR(Y425/H425,"0")+IFERROR(Y426/H426,"0")</f>
        <v>3667</v>
      </c>
      <c r="Z427" s="41">
        <f>IFERROR(IF(Z424="",0,Z424),"0")+IFERROR(IF(Z425="",0,Z425),"0")+IFERROR(IF(Z426="",0,Z426),"0")</f>
        <v>23.872170000000004</v>
      </c>
      <c r="AA427" s="64"/>
      <c r="AB427" s="64"/>
      <c r="AC427" s="64"/>
    </row>
    <row r="428" spans="1:68" x14ac:dyDescent="0.2">
      <c r="A428" s="728"/>
      <c r="B428" s="728"/>
      <c r="C428" s="728"/>
      <c r="D428" s="728"/>
      <c r="E428" s="728"/>
      <c r="F428" s="728"/>
      <c r="G428" s="728"/>
      <c r="H428" s="728"/>
      <c r="I428" s="728"/>
      <c r="J428" s="728"/>
      <c r="K428" s="728"/>
      <c r="L428" s="728"/>
      <c r="M428" s="728"/>
      <c r="N428" s="728"/>
      <c r="O428" s="729"/>
      <c r="P428" s="725" t="s">
        <v>40</v>
      </c>
      <c r="Q428" s="726"/>
      <c r="R428" s="726"/>
      <c r="S428" s="726"/>
      <c r="T428" s="726"/>
      <c r="U428" s="726"/>
      <c r="V428" s="727"/>
      <c r="W428" s="40" t="s">
        <v>0</v>
      </c>
      <c r="X428" s="41">
        <f>IFERROR(SUM(X424:X426),"0")</f>
        <v>7700</v>
      </c>
      <c r="Y428" s="41">
        <f>IFERROR(SUM(Y424:Y426),"0")</f>
        <v>7700.7000000000007</v>
      </c>
      <c r="Z428" s="40"/>
      <c r="AA428" s="64"/>
      <c r="AB428" s="64"/>
      <c r="AC428" s="64"/>
    </row>
    <row r="429" spans="1:68" ht="27.75" hidden="1" customHeight="1" x14ac:dyDescent="0.2">
      <c r="A429" s="717" t="s">
        <v>706</v>
      </c>
      <c r="B429" s="717"/>
      <c r="C429" s="717"/>
      <c r="D429" s="717"/>
      <c r="E429" s="717"/>
      <c r="F429" s="717"/>
      <c r="G429" s="717"/>
      <c r="H429" s="717"/>
      <c r="I429" s="717"/>
      <c r="J429" s="717"/>
      <c r="K429" s="717"/>
      <c r="L429" s="717"/>
      <c r="M429" s="717"/>
      <c r="N429" s="717"/>
      <c r="O429" s="717"/>
      <c r="P429" s="717"/>
      <c r="Q429" s="717"/>
      <c r="R429" s="717"/>
      <c r="S429" s="717"/>
      <c r="T429" s="717"/>
      <c r="U429" s="717"/>
      <c r="V429" s="717"/>
      <c r="W429" s="717"/>
      <c r="X429" s="717"/>
      <c r="Y429" s="717"/>
      <c r="Z429" s="717"/>
      <c r="AA429" s="52"/>
      <c r="AB429" s="52"/>
      <c r="AC429" s="52"/>
    </row>
    <row r="430" spans="1:68" ht="16.5" hidden="1" customHeight="1" x14ac:dyDescent="0.25">
      <c r="A430" s="718" t="s">
        <v>707</v>
      </c>
      <c r="B430" s="718"/>
      <c r="C430" s="718"/>
      <c r="D430" s="718"/>
      <c r="E430" s="718"/>
      <c r="F430" s="718"/>
      <c r="G430" s="718"/>
      <c r="H430" s="718"/>
      <c r="I430" s="718"/>
      <c r="J430" s="718"/>
      <c r="K430" s="718"/>
      <c r="L430" s="718"/>
      <c r="M430" s="718"/>
      <c r="N430" s="718"/>
      <c r="O430" s="718"/>
      <c r="P430" s="718"/>
      <c r="Q430" s="718"/>
      <c r="R430" s="718"/>
      <c r="S430" s="718"/>
      <c r="T430" s="718"/>
      <c r="U430" s="718"/>
      <c r="V430" s="718"/>
      <c r="W430" s="718"/>
      <c r="X430" s="718"/>
      <c r="Y430" s="718"/>
      <c r="Z430" s="718"/>
      <c r="AA430" s="62"/>
      <c r="AB430" s="62"/>
      <c r="AC430" s="62"/>
    </row>
    <row r="431" spans="1:68" ht="14.25" hidden="1" customHeight="1" x14ac:dyDescent="0.25">
      <c r="A431" s="719" t="s">
        <v>122</v>
      </c>
      <c r="B431" s="719"/>
      <c r="C431" s="719"/>
      <c r="D431" s="719"/>
      <c r="E431" s="719"/>
      <c r="F431" s="719"/>
      <c r="G431" s="719"/>
      <c r="H431" s="719"/>
      <c r="I431" s="719"/>
      <c r="J431" s="719"/>
      <c r="K431" s="719"/>
      <c r="L431" s="719"/>
      <c r="M431" s="719"/>
      <c r="N431" s="719"/>
      <c r="O431" s="719"/>
      <c r="P431" s="719"/>
      <c r="Q431" s="719"/>
      <c r="R431" s="719"/>
      <c r="S431" s="719"/>
      <c r="T431" s="719"/>
      <c r="U431" s="719"/>
      <c r="V431" s="719"/>
      <c r="W431" s="719"/>
      <c r="X431" s="719"/>
      <c r="Y431" s="719"/>
      <c r="Z431" s="719"/>
      <c r="AA431" s="63"/>
      <c r="AB431" s="63"/>
      <c r="AC431" s="63"/>
    </row>
    <row r="432" spans="1:68" ht="27" hidden="1" customHeight="1" x14ac:dyDescent="0.25">
      <c r="A432" s="60" t="s">
        <v>708</v>
      </c>
      <c r="B432" s="60" t="s">
        <v>709</v>
      </c>
      <c r="C432" s="34">
        <v>4301012332</v>
      </c>
      <c r="D432" s="720">
        <v>4680115888401</v>
      </c>
      <c r="E432" s="720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97</v>
      </c>
      <c r="N432" s="36"/>
      <c r="O432" s="35">
        <v>60</v>
      </c>
      <c r="P432" s="95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2"/>
      <c r="R432" s="722"/>
      <c r="S432" s="722"/>
      <c r="T432" s="723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ref="Y432:Y439" si="68">IFERROR(IF(X432="",0,CEILING((X432/$H432),1)*$H432),"")</f>
        <v>0</v>
      </c>
      <c r="Z432" s="39" t="str">
        <f>IFERROR(IF(Y432=0,"",ROUNDUP(Y432/H432,0)*0.02175),"")</f>
        <v/>
      </c>
      <c r="AA432" s="65" t="s">
        <v>46</v>
      </c>
      <c r="AB432" s="66" t="s">
        <v>46</v>
      </c>
      <c r="AC432" s="529" t="s">
        <v>710</v>
      </c>
      <c r="AG432" s="75"/>
      <c r="AJ432" s="79" t="s">
        <v>46</v>
      </c>
      <c r="AK432" s="79">
        <v>0</v>
      </c>
      <c r="BB432" s="530" t="s">
        <v>67</v>
      </c>
      <c r="BM432" s="75">
        <f t="shared" ref="BM432:BM439" si="69">IFERROR(X432*I432/H432,"0")</f>
        <v>0</v>
      </c>
      <c r="BN432" s="75">
        <f t="shared" ref="BN432:BN439" si="70">IFERROR(Y432*I432/H432,"0")</f>
        <v>0</v>
      </c>
      <c r="BO432" s="75">
        <f t="shared" ref="BO432:BO439" si="71">IFERROR(1/J432*(X432/H432),"0")</f>
        <v>0</v>
      </c>
      <c r="BP432" s="75">
        <f t="shared" ref="BP432:BP439" si="72">IFERROR(1/J432*(Y432/H432),"0")</f>
        <v>0</v>
      </c>
    </row>
    <row r="433" spans="1:68" ht="37.5" hidden="1" customHeight="1" x14ac:dyDescent="0.25">
      <c r="A433" s="60" t="s">
        <v>711</v>
      </c>
      <c r="B433" s="60" t="s">
        <v>712</v>
      </c>
      <c r="C433" s="34">
        <v>4301011869</v>
      </c>
      <c r="D433" s="720">
        <v>4680115884847</v>
      </c>
      <c r="E433" s="720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81</v>
      </c>
      <c r="N433" s="36"/>
      <c r="O433" s="35">
        <v>60</v>
      </c>
      <c r="P433" s="9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2"/>
      <c r="R433" s="722"/>
      <c r="S433" s="722"/>
      <c r="T433" s="723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IFERROR(IF(Y433=0,"",ROUNDUP(Y433/H433,0)*0.02175),"")</f>
        <v/>
      </c>
      <c r="AA433" s="65" t="s">
        <v>46</v>
      </c>
      <c r="AB433" s="66" t="s">
        <v>46</v>
      </c>
      <c r="AC433" s="531" t="s">
        <v>713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ht="27" hidden="1" customHeight="1" x14ac:dyDescent="0.25">
      <c r="A434" s="60" t="s">
        <v>714</v>
      </c>
      <c r="B434" s="60" t="s">
        <v>715</v>
      </c>
      <c r="C434" s="34">
        <v>4301012083</v>
      </c>
      <c r="D434" s="720">
        <v>4680115884854</v>
      </c>
      <c r="E434" s="720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126</v>
      </c>
      <c r="N434" s="36"/>
      <c r="O434" s="35">
        <v>60</v>
      </c>
      <c r="P434" s="95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2"/>
      <c r="R434" s="722"/>
      <c r="S434" s="722"/>
      <c r="T434" s="723"/>
      <c r="U434" s="37" t="s">
        <v>46</v>
      </c>
      <c r="V434" s="37" t="s">
        <v>46</v>
      </c>
      <c r="W434" s="38" t="s">
        <v>0</v>
      </c>
      <c r="X434" s="56">
        <v>0</v>
      </c>
      <c r="Y434" s="53">
        <f t="shared" si="68"/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33" t="s">
        <v>716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0</v>
      </c>
      <c r="BN434" s="75">
        <f t="shared" si="70"/>
        <v>0</v>
      </c>
      <c r="BO434" s="75">
        <f t="shared" si="71"/>
        <v>0</v>
      </c>
      <c r="BP434" s="75">
        <f t="shared" si="72"/>
        <v>0</v>
      </c>
    </row>
    <row r="435" spans="1:68" ht="27" hidden="1" customHeight="1" x14ac:dyDescent="0.25">
      <c r="A435" s="60" t="s">
        <v>717</v>
      </c>
      <c r="B435" s="60" t="s">
        <v>718</v>
      </c>
      <c r="C435" s="34">
        <v>4301011867</v>
      </c>
      <c r="D435" s="720">
        <v>4680115884830</v>
      </c>
      <c r="E435" s="720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81</v>
      </c>
      <c r="N435" s="36"/>
      <c r="O435" s="35">
        <v>60</v>
      </c>
      <c r="P435" s="9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2"/>
      <c r="R435" s="722"/>
      <c r="S435" s="722"/>
      <c r="T435" s="723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719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720</v>
      </c>
      <c r="B436" s="60" t="s">
        <v>721</v>
      </c>
      <c r="C436" s="34">
        <v>4301012356</v>
      </c>
      <c r="D436" s="720">
        <v>4680115889231</v>
      </c>
      <c r="E436" s="720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95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2"/>
      <c r="R436" s="722"/>
      <c r="S436" s="722"/>
      <c r="T436" s="723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IFERROR(IF(Y436=0,"",ROUNDUP(Y436/H436,0)*0.02175),"")</f>
        <v/>
      </c>
      <c r="AA436" s="65" t="s">
        <v>46</v>
      </c>
      <c r="AB436" s="66" t="s">
        <v>46</v>
      </c>
      <c r="AC436" s="537" t="s">
        <v>722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723</v>
      </c>
      <c r="B437" s="60" t="s">
        <v>724</v>
      </c>
      <c r="C437" s="34">
        <v>4301011433</v>
      </c>
      <c r="D437" s="720">
        <v>4680115882638</v>
      </c>
      <c r="E437" s="720"/>
      <c r="F437" s="59">
        <v>0.4</v>
      </c>
      <c r="G437" s="35">
        <v>10</v>
      </c>
      <c r="H437" s="59">
        <v>4</v>
      </c>
      <c r="I437" s="59">
        <v>4.1900000000000004</v>
      </c>
      <c r="J437" s="35">
        <v>132</v>
      </c>
      <c r="K437" s="35" t="s">
        <v>134</v>
      </c>
      <c r="L437" s="35" t="s">
        <v>46</v>
      </c>
      <c r="M437" s="36" t="s">
        <v>126</v>
      </c>
      <c r="N437" s="36"/>
      <c r="O437" s="35">
        <v>90</v>
      </c>
      <c r="P437" s="95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2"/>
      <c r="R437" s="722"/>
      <c r="S437" s="722"/>
      <c r="T437" s="723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725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27" hidden="1" customHeight="1" x14ac:dyDescent="0.25">
      <c r="A438" s="60" t="s">
        <v>726</v>
      </c>
      <c r="B438" s="60" t="s">
        <v>727</v>
      </c>
      <c r="C438" s="34">
        <v>4301011952</v>
      </c>
      <c r="D438" s="720">
        <v>4680115884922</v>
      </c>
      <c r="E438" s="720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95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2"/>
      <c r="R438" s="722"/>
      <c r="S438" s="722"/>
      <c r="T438" s="723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728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ht="37.5" hidden="1" customHeight="1" x14ac:dyDescent="0.25">
      <c r="A439" s="60" t="s">
        <v>729</v>
      </c>
      <c r="B439" s="60" t="s">
        <v>730</v>
      </c>
      <c r="C439" s="34">
        <v>4301011868</v>
      </c>
      <c r="D439" s="720">
        <v>4680115884861</v>
      </c>
      <c r="E439" s="720"/>
      <c r="F439" s="59">
        <v>0.5</v>
      </c>
      <c r="G439" s="35">
        <v>10</v>
      </c>
      <c r="H439" s="59">
        <v>5</v>
      </c>
      <c r="I439" s="59">
        <v>5.19</v>
      </c>
      <c r="J439" s="35">
        <v>132</v>
      </c>
      <c r="K439" s="35" t="s">
        <v>134</v>
      </c>
      <c r="L439" s="35" t="s">
        <v>46</v>
      </c>
      <c r="M439" s="36" t="s">
        <v>81</v>
      </c>
      <c r="N439" s="36"/>
      <c r="O439" s="35">
        <v>60</v>
      </c>
      <c r="P439" s="9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2"/>
      <c r="R439" s="722"/>
      <c r="S439" s="722"/>
      <c r="T439" s="723"/>
      <c r="U439" s="37" t="s">
        <v>46</v>
      </c>
      <c r="V439" s="37" t="s">
        <v>46</v>
      </c>
      <c r="W439" s="38" t="s">
        <v>0</v>
      </c>
      <c r="X439" s="56">
        <v>0</v>
      </c>
      <c r="Y439" s="53">
        <f t="shared" si="68"/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731</v>
      </c>
      <c r="AG439" s="75"/>
      <c r="AJ439" s="79" t="s">
        <v>46</v>
      </c>
      <c r="AK439" s="79">
        <v>0</v>
      </c>
      <c r="BB439" s="544" t="s">
        <v>67</v>
      </c>
      <c r="BM439" s="75">
        <f t="shared" si="69"/>
        <v>0</v>
      </c>
      <c r="BN439" s="75">
        <f t="shared" si="70"/>
        <v>0</v>
      </c>
      <c r="BO439" s="75">
        <f t="shared" si="71"/>
        <v>0</v>
      </c>
      <c r="BP439" s="75">
        <f t="shared" si="72"/>
        <v>0</v>
      </c>
    </row>
    <row r="440" spans="1:68" hidden="1" x14ac:dyDescent="0.2">
      <c r="A440" s="728"/>
      <c r="B440" s="728"/>
      <c r="C440" s="728"/>
      <c r="D440" s="728"/>
      <c r="E440" s="728"/>
      <c r="F440" s="728"/>
      <c r="G440" s="728"/>
      <c r="H440" s="728"/>
      <c r="I440" s="728"/>
      <c r="J440" s="728"/>
      <c r="K440" s="728"/>
      <c r="L440" s="728"/>
      <c r="M440" s="728"/>
      <c r="N440" s="728"/>
      <c r="O440" s="729"/>
      <c r="P440" s="725" t="s">
        <v>40</v>
      </c>
      <c r="Q440" s="726"/>
      <c r="R440" s="726"/>
      <c r="S440" s="726"/>
      <c r="T440" s="726"/>
      <c r="U440" s="726"/>
      <c r="V440" s="727"/>
      <c r="W440" s="40" t="s">
        <v>39</v>
      </c>
      <c r="X440" s="41">
        <f>IFERROR(X432/H432,"0")+IFERROR(X433/H433,"0")+IFERROR(X434/H434,"0")+IFERROR(X435/H435,"0")+IFERROR(X436/H436,"0")+IFERROR(X437/H437,"0")+IFERROR(X438/H438,"0")+IFERROR(X439/H439,"0")</f>
        <v>0</v>
      </c>
      <c r="Y440" s="41">
        <f>IFERROR(Y432/H432,"0")+IFERROR(Y433/H433,"0")+IFERROR(Y434/H434,"0")+IFERROR(Y435/H435,"0")+IFERROR(Y436/H436,"0")+IFERROR(Y437/H437,"0")+IFERROR(Y438/H438,"0")+IFERROR(Y439/H439,"0")</f>
        <v>0</v>
      </c>
      <c r="Z440" s="41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4"/>
      <c r="AB440" s="64"/>
      <c r="AC440" s="64"/>
    </row>
    <row r="441" spans="1:68" hidden="1" x14ac:dyDescent="0.2">
      <c r="A441" s="728"/>
      <c r="B441" s="728"/>
      <c r="C441" s="728"/>
      <c r="D441" s="728"/>
      <c r="E441" s="728"/>
      <c r="F441" s="728"/>
      <c r="G441" s="728"/>
      <c r="H441" s="728"/>
      <c r="I441" s="728"/>
      <c r="J441" s="728"/>
      <c r="K441" s="728"/>
      <c r="L441" s="728"/>
      <c r="M441" s="728"/>
      <c r="N441" s="728"/>
      <c r="O441" s="729"/>
      <c r="P441" s="725" t="s">
        <v>40</v>
      </c>
      <c r="Q441" s="726"/>
      <c r="R441" s="726"/>
      <c r="S441" s="726"/>
      <c r="T441" s="726"/>
      <c r="U441" s="726"/>
      <c r="V441" s="727"/>
      <c r="W441" s="40" t="s">
        <v>0</v>
      </c>
      <c r="X441" s="41">
        <f>IFERROR(SUM(X432:X439),"0")</f>
        <v>0</v>
      </c>
      <c r="Y441" s="41">
        <f>IFERROR(SUM(Y432:Y439),"0")</f>
        <v>0</v>
      </c>
      <c r="Z441" s="40"/>
      <c r="AA441" s="64"/>
      <c r="AB441" s="64"/>
      <c r="AC441" s="64"/>
    </row>
    <row r="442" spans="1:68" ht="14.25" hidden="1" customHeight="1" x14ac:dyDescent="0.25">
      <c r="A442" s="719" t="s">
        <v>155</v>
      </c>
      <c r="B442" s="719"/>
      <c r="C442" s="719"/>
      <c r="D442" s="719"/>
      <c r="E442" s="719"/>
      <c r="F442" s="719"/>
      <c r="G442" s="719"/>
      <c r="H442" s="719"/>
      <c r="I442" s="719"/>
      <c r="J442" s="719"/>
      <c r="K442" s="719"/>
      <c r="L442" s="719"/>
      <c r="M442" s="719"/>
      <c r="N442" s="719"/>
      <c r="O442" s="719"/>
      <c r="P442" s="719"/>
      <c r="Q442" s="719"/>
      <c r="R442" s="719"/>
      <c r="S442" s="719"/>
      <c r="T442" s="719"/>
      <c r="U442" s="719"/>
      <c r="V442" s="719"/>
      <c r="W442" s="719"/>
      <c r="X442" s="719"/>
      <c r="Y442" s="719"/>
      <c r="Z442" s="719"/>
      <c r="AA442" s="63"/>
      <c r="AB442" s="63"/>
      <c r="AC442" s="63"/>
    </row>
    <row r="443" spans="1:68" ht="27" hidden="1" customHeight="1" x14ac:dyDescent="0.25">
      <c r="A443" s="60" t="s">
        <v>732</v>
      </c>
      <c r="B443" s="60" t="s">
        <v>733</v>
      </c>
      <c r="C443" s="34">
        <v>4301020178</v>
      </c>
      <c r="D443" s="720">
        <v>4607091383980</v>
      </c>
      <c r="E443" s="720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96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2"/>
      <c r="R443" s="722"/>
      <c r="S443" s="722"/>
      <c r="T443" s="723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IFERROR(IF(Y443=0,"",ROUNDUP(Y443/H443,0)*0.02175),"")</f>
        <v/>
      </c>
      <c r="AA443" s="65" t="s">
        <v>46</v>
      </c>
      <c r="AB443" s="66" t="s">
        <v>46</v>
      </c>
      <c r="AC443" s="545" t="s">
        <v>734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735</v>
      </c>
      <c r="B444" s="60" t="s">
        <v>736</v>
      </c>
      <c r="C444" s="34">
        <v>4301020355</v>
      </c>
      <c r="D444" s="720">
        <v>4680115888425</v>
      </c>
      <c r="E444" s="720"/>
      <c r="F444" s="59">
        <v>2.5</v>
      </c>
      <c r="G444" s="35">
        <v>6</v>
      </c>
      <c r="H444" s="59">
        <v>15</v>
      </c>
      <c r="I444" s="59">
        <v>15.47</v>
      </c>
      <c r="J444" s="35">
        <v>48</v>
      </c>
      <c r="K444" s="35" t="s">
        <v>127</v>
      </c>
      <c r="L444" s="35" t="s">
        <v>46</v>
      </c>
      <c r="M444" s="36" t="s">
        <v>126</v>
      </c>
      <c r="N444" s="36"/>
      <c r="O444" s="35">
        <v>50</v>
      </c>
      <c r="P444" s="96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2"/>
      <c r="R444" s="722"/>
      <c r="S444" s="722"/>
      <c r="T444" s="723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IFERROR(IF(Y444=0,"",ROUNDUP(Y444/H444,0)*0.02175),"")</f>
        <v/>
      </c>
      <c r="AA444" s="65" t="s">
        <v>46</v>
      </c>
      <c r="AB444" s="66" t="s">
        <v>46</v>
      </c>
      <c r="AC444" s="547" t="s">
        <v>737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738</v>
      </c>
      <c r="B445" s="60" t="s">
        <v>739</v>
      </c>
      <c r="C445" s="34">
        <v>4301020179</v>
      </c>
      <c r="D445" s="720">
        <v>4607091384178</v>
      </c>
      <c r="E445" s="720"/>
      <c r="F445" s="59">
        <v>0.4</v>
      </c>
      <c r="G445" s="35">
        <v>10</v>
      </c>
      <c r="H445" s="59">
        <v>4</v>
      </c>
      <c r="I445" s="59">
        <v>4.1900000000000004</v>
      </c>
      <c r="J445" s="35">
        <v>132</v>
      </c>
      <c r="K445" s="35" t="s">
        <v>134</v>
      </c>
      <c r="L445" s="35" t="s">
        <v>46</v>
      </c>
      <c r="M445" s="36" t="s">
        <v>126</v>
      </c>
      <c r="N445" s="36"/>
      <c r="O445" s="35">
        <v>50</v>
      </c>
      <c r="P445" s="96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2"/>
      <c r="R445" s="722"/>
      <c r="S445" s="722"/>
      <c r="T445" s="723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46</v>
      </c>
      <c r="AB445" s="66" t="s">
        <v>46</v>
      </c>
      <c r="AC445" s="549" t="s">
        <v>740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728"/>
      <c r="B446" s="728"/>
      <c r="C446" s="728"/>
      <c r="D446" s="728"/>
      <c r="E446" s="728"/>
      <c r="F446" s="728"/>
      <c r="G446" s="728"/>
      <c r="H446" s="728"/>
      <c r="I446" s="728"/>
      <c r="J446" s="728"/>
      <c r="K446" s="728"/>
      <c r="L446" s="728"/>
      <c r="M446" s="728"/>
      <c r="N446" s="728"/>
      <c r="O446" s="729"/>
      <c r="P446" s="725" t="s">
        <v>40</v>
      </c>
      <c r="Q446" s="726"/>
      <c r="R446" s="726"/>
      <c r="S446" s="726"/>
      <c r="T446" s="726"/>
      <c r="U446" s="726"/>
      <c r="V446" s="727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728"/>
      <c r="B447" s="728"/>
      <c r="C447" s="728"/>
      <c r="D447" s="728"/>
      <c r="E447" s="728"/>
      <c r="F447" s="728"/>
      <c r="G447" s="728"/>
      <c r="H447" s="728"/>
      <c r="I447" s="728"/>
      <c r="J447" s="728"/>
      <c r="K447" s="728"/>
      <c r="L447" s="728"/>
      <c r="M447" s="728"/>
      <c r="N447" s="728"/>
      <c r="O447" s="729"/>
      <c r="P447" s="725" t="s">
        <v>40</v>
      </c>
      <c r="Q447" s="726"/>
      <c r="R447" s="726"/>
      <c r="S447" s="726"/>
      <c r="T447" s="726"/>
      <c r="U447" s="726"/>
      <c r="V447" s="727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719" t="s">
        <v>86</v>
      </c>
      <c r="B448" s="719"/>
      <c r="C448" s="719"/>
      <c r="D448" s="719"/>
      <c r="E448" s="719"/>
      <c r="F448" s="719"/>
      <c r="G448" s="719"/>
      <c r="H448" s="719"/>
      <c r="I448" s="719"/>
      <c r="J448" s="719"/>
      <c r="K448" s="719"/>
      <c r="L448" s="719"/>
      <c r="M448" s="719"/>
      <c r="N448" s="719"/>
      <c r="O448" s="719"/>
      <c r="P448" s="719"/>
      <c r="Q448" s="719"/>
      <c r="R448" s="719"/>
      <c r="S448" s="719"/>
      <c r="T448" s="719"/>
      <c r="U448" s="719"/>
      <c r="V448" s="719"/>
      <c r="W448" s="719"/>
      <c r="X448" s="719"/>
      <c r="Y448" s="719"/>
      <c r="Z448" s="719"/>
      <c r="AA448" s="63"/>
      <c r="AB448" s="63"/>
      <c r="AC448" s="63"/>
    </row>
    <row r="449" spans="1:68" ht="27" hidden="1" customHeight="1" x14ac:dyDescent="0.25">
      <c r="A449" s="60" t="s">
        <v>741</v>
      </c>
      <c r="B449" s="60" t="s">
        <v>742</v>
      </c>
      <c r="C449" s="34">
        <v>4301051903</v>
      </c>
      <c r="D449" s="720">
        <v>4607091383928</v>
      </c>
      <c r="E449" s="720"/>
      <c r="F449" s="59">
        <v>1.5</v>
      </c>
      <c r="G449" s="35">
        <v>6</v>
      </c>
      <c r="H449" s="59">
        <v>9</v>
      </c>
      <c r="I449" s="59">
        <v>9.5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96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2"/>
      <c r="R449" s="722"/>
      <c r="S449" s="722"/>
      <c r="T449" s="723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743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744</v>
      </c>
      <c r="B450" s="60" t="s">
        <v>745</v>
      </c>
      <c r="C450" s="34">
        <v>4301051897</v>
      </c>
      <c r="D450" s="720">
        <v>4607091384260</v>
      </c>
      <c r="E450" s="72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96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2"/>
      <c r="R450" s="722"/>
      <c r="S450" s="722"/>
      <c r="T450" s="723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746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hidden="1" customHeight="1" x14ac:dyDescent="0.25">
      <c r="A451" s="60" t="s">
        <v>747</v>
      </c>
      <c r="B451" s="60" t="s">
        <v>748</v>
      </c>
      <c r="C451" s="34">
        <v>4301052220</v>
      </c>
      <c r="D451" s="720">
        <v>4680115889538</v>
      </c>
      <c r="E451" s="720"/>
      <c r="F451" s="59">
        <v>0.8</v>
      </c>
      <c r="G451" s="35">
        <v>6</v>
      </c>
      <c r="H451" s="59">
        <v>4.8</v>
      </c>
      <c r="I451" s="59">
        <v>5.2160000000000002</v>
      </c>
      <c r="J451" s="35">
        <v>104</v>
      </c>
      <c r="K451" s="35" t="s">
        <v>127</v>
      </c>
      <c r="L451" s="35" t="s">
        <v>46</v>
      </c>
      <c r="M451" s="36" t="s">
        <v>90</v>
      </c>
      <c r="N451" s="36"/>
      <c r="O451" s="35">
        <v>45</v>
      </c>
      <c r="P451" s="96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2"/>
      <c r="R451" s="722"/>
      <c r="S451" s="722"/>
      <c r="T451" s="723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IFERROR(IF(Y451=0,"",ROUNDUP(Y451/H451,0)*0.01196),"")</f>
        <v/>
      </c>
      <c r="AA451" s="65" t="s">
        <v>46</v>
      </c>
      <c r="AB451" s="66" t="s">
        <v>46</v>
      </c>
      <c r="AC451" s="555" t="s">
        <v>749</v>
      </c>
      <c r="AG451" s="75"/>
      <c r="AJ451" s="79" t="s">
        <v>46</v>
      </c>
      <c r="AK451" s="79">
        <v>0</v>
      </c>
      <c r="BB451" s="556" t="s">
        <v>67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idden="1" x14ac:dyDescent="0.2">
      <c r="A452" s="728"/>
      <c r="B452" s="728"/>
      <c r="C452" s="728"/>
      <c r="D452" s="728"/>
      <c r="E452" s="728"/>
      <c r="F452" s="728"/>
      <c r="G452" s="728"/>
      <c r="H452" s="728"/>
      <c r="I452" s="728"/>
      <c r="J452" s="728"/>
      <c r="K452" s="728"/>
      <c r="L452" s="728"/>
      <c r="M452" s="728"/>
      <c r="N452" s="728"/>
      <c r="O452" s="729"/>
      <c r="P452" s="725" t="s">
        <v>40</v>
      </c>
      <c r="Q452" s="726"/>
      <c r="R452" s="726"/>
      <c r="S452" s="726"/>
      <c r="T452" s="726"/>
      <c r="U452" s="726"/>
      <c r="V452" s="727"/>
      <c r="W452" s="40" t="s">
        <v>39</v>
      </c>
      <c r="X452" s="41">
        <f>IFERROR(X449/H449,"0")+IFERROR(X450/H450,"0")+IFERROR(X451/H451,"0")</f>
        <v>0</v>
      </c>
      <c r="Y452" s="41">
        <f>IFERROR(Y449/H449,"0")+IFERROR(Y450/H450,"0")+IFERROR(Y451/H451,"0")</f>
        <v>0</v>
      </c>
      <c r="Z452" s="41">
        <f>IFERROR(IF(Z449="",0,Z449),"0")+IFERROR(IF(Z450="",0,Z450),"0")+IFERROR(IF(Z451="",0,Z451),"0")</f>
        <v>0</v>
      </c>
      <c r="AA452" s="64"/>
      <c r="AB452" s="64"/>
      <c r="AC452" s="64"/>
    </row>
    <row r="453" spans="1:68" hidden="1" x14ac:dyDescent="0.2">
      <c r="A453" s="728"/>
      <c r="B453" s="728"/>
      <c r="C453" s="728"/>
      <c r="D453" s="728"/>
      <c r="E453" s="728"/>
      <c r="F453" s="728"/>
      <c r="G453" s="728"/>
      <c r="H453" s="728"/>
      <c r="I453" s="728"/>
      <c r="J453" s="728"/>
      <c r="K453" s="728"/>
      <c r="L453" s="728"/>
      <c r="M453" s="728"/>
      <c r="N453" s="728"/>
      <c r="O453" s="729"/>
      <c r="P453" s="725" t="s">
        <v>40</v>
      </c>
      <c r="Q453" s="726"/>
      <c r="R453" s="726"/>
      <c r="S453" s="726"/>
      <c r="T453" s="726"/>
      <c r="U453" s="726"/>
      <c r="V453" s="727"/>
      <c r="W453" s="40" t="s">
        <v>0</v>
      </c>
      <c r="X453" s="41">
        <f>IFERROR(SUM(X449:X451),"0")</f>
        <v>0</v>
      </c>
      <c r="Y453" s="41">
        <f>IFERROR(SUM(Y449:Y451),"0")</f>
        <v>0</v>
      </c>
      <c r="Z453" s="40"/>
      <c r="AA453" s="64"/>
      <c r="AB453" s="64"/>
      <c r="AC453" s="64"/>
    </row>
    <row r="454" spans="1:68" ht="14.25" hidden="1" customHeight="1" x14ac:dyDescent="0.25">
      <c r="A454" s="719" t="s">
        <v>173</v>
      </c>
      <c r="B454" s="719"/>
      <c r="C454" s="719"/>
      <c r="D454" s="719"/>
      <c r="E454" s="719"/>
      <c r="F454" s="719"/>
      <c r="G454" s="719"/>
      <c r="H454" s="719"/>
      <c r="I454" s="719"/>
      <c r="J454" s="719"/>
      <c r="K454" s="719"/>
      <c r="L454" s="719"/>
      <c r="M454" s="719"/>
      <c r="N454" s="719"/>
      <c r="O454" s="719"/>
      <c r="P454" s="719"/>
      <c r="Q454" s="719"/>
      <c r="R454" s="719"/>
      <c r="S454" s="719"/>
      <c r="T454" s="719"/>
      <c r="U454" s="719"/>
      <c r="V454" s="719"/>
      <c r="W454" s="719"/>
      <c r="X454" s="719"/>
      <c r="Y454" s="719"/>
      <c r="Z454" s="719"/>
      <c r="AA454" s="63"/>
      <c r="AB454" s="63"/>
      <c r="AC454" s="63"/>
    </row>
    <row r="455" spans="1:68" ht="27" hidden="1" customHeight="1" x14ac:dyDescent="0.25">
      <c r="A455" s="60" t="s">
        <v>750</v>
      </c>
      <c r="B455" s="60" t="s">
        <v>751</v>
      </c>
      <c r="C455" s="34">
        <v>4301060537</v>
      </c>
      <c r="D455" s="720">
        <v>4680115889545</v>
      </c>
      <c r="E455" s="720"/>
      <c r="F455" s="59">
        <v>0.7</v>
      </c>
      <c r="G455" s="35">
        <v>6</v>
      </c>
      <c r="H455" s="59">
        <v>4.2</v>
      </c>
      <c r="I455" s="59">
        <v>4.6159999999999997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30</v>
      </c>
      <c r="P455" s="96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2"/>
      <c r="R455" s="722"/>
      <c r="S455" s="722"/>
      <c r="T455" s="723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57" t="s">
        <v>752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16.5" hidden="1" customHeight="1" x14ac:dyDescent="0.25">
      <c r="A456" s="60" t="s">
        <v>753</v>
      </c>
      <c r="B456" s="60" t="s">
        <v>754</v>
      </c>
      <c r="C456" s="34">
        <v>4301060524</v>
      </c>
      <c r="D456" s="720">
        <v>4607091384673</v>
      </c>
      <c r="E456" s="720"/>
      <c r="F456" s="59">
        <v>1.5</v>
      </c>
      <c r="G456" s="35">
        <v>6</v>
      </c>
      <c r="H456" s="59">
        <v>9</v>
      </c>
      <c r="I456" s="59">
        <v>9.4939999999999998</v>
      </c>
      <c r="J456" s="35">
        <v>64</v>
      </c>
      <c r="K456" s="35" t="s">
        <v>127</v>
      </c>
      <c r="L456" s="35" t="s">
        <v>46</v>
      </c>
      <c r="M456" s="36" t="s">
        <v>90</v>
      </c>
      <c r="N456" s="36"/>
      <c r="O456" s="35">
        <v>40</v>
      </c>
      <c r="P456" s="96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2"/>
      <c r="R456" s="722"/>
      <c r="S456" s="722"/>
      <c r="T456" s="723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IFERROR(IF(Y456=0,"",ROUNDUP(Y456/H456,0)*0.01898),"")</f>
        <v/>
      </c>
      <c r="AA456" s="65" t="s">
        <v>46</v>
      </c>
      <c r="AB456" s="66" t="s">
        <v>46</v>
      </c>
      <c r="AC456" s="559" t="s">
        <v>755</v>
      </c>
      <c r="AG456" s="75"/>
      <c r="AJ456" s="79" t="s">
        <v>46</v>
      </c>
      <c r="AK456" s="79">
        <v>0</v>
      </c>
      <c r="BB456" s="560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728"/>
      <c r="B457" s="728"/>
      <c r="C457" s="728"/>
      <c r="D457" s="728"/>
      <c r="E457" s="728"/>
      <c r="F457" s="728"/>
      <c r="G457" s="728"/>
      <c r="H457" s="728"/>
      <c r="I457" s="728"/>
      <c r="J457" s="728"/>
      <c r="K457" s="728"/>
      <c r="L457" s="728"/>
      <c r="M457" s="728"/>
      <c r="N457" s="728"/>
      <c r="O457" s="729"/>
      <c r="P457" s="725" t="s">
        <v>40</v>
      </c>
      <c r="Q457" s="726"/>
      <c r="R457" s="726"/>
      <c r="S457" s="726"/>
      <c r="T457" s="726"/>
      <c r="U457" s="726"/>
      <c r="V457" s="727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728"/>
      <c r="B458" s="728"/>
      <c r="C458" s="728"/>
      <c r="D458" s="728"/>
      <c r="E458" s="728"/>
      <c r="F458" s="728"/>
      <c r="G458" s="728"/>
      <c r="H458" s="728"/>
      <c r="I458" s="728"/>
      <c r="J458" s="728"/>
      <c r="K458" s="728"/>
      <c r="L458" s="728"/>
      <c r="M458" s="728"/>
      <c r="N458" s="728"/>
      <c r="O458" s="729"/>
      <c r="P458" s="725" t="s">
        <v>40</v>
      </c>
      <c r="Q458" s="726"/>
      <c r="R458" s="726"/>
      <c r="S458" s="726"/>
      <c r="T458" s="726"/>
      <c r="U458" s="726"/>
      <c r="V458" s="727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6.5" hidden="1" customHeight="1" x14ac:dyDescent="0.25">
      <c r="A459" s="718" t="s">
        <v>756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2"/>
      <c r="AB459" s="62"/>
      <c r="AC459" s="62"/>
    </row>
    <row r="460" spans="1:68" ht="14.25" hidden="1" customHeight="1" x14ac:dyDescent="0.25">
      <c r="A460" s="719" t="s">
        <v>122</v>
      </c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19"/>
      <c r="P460" s="719"/>
      <c r="Q460" s="719"/>
      <c r="R460" s="719"/>
      <c r="S460" s="719"/>
      <c r="T460" s="719"/>
      <c r="U460" s="719"/>
      <c r="V460" s="719"/>
      <c r="W460" s="719"/>
      <c r="X460" s="719"/>
      <c r="Y460" s="719"/>
      <c r="Z460" s="719"/>
      <c r="AA460" s="63"/>
      <c r="AB460" s="63"/>
      <c r="AC460" s="63"/>
    </row>
    <row r="461" spans="1:68" ht="27" hidden="1" customHeight="1" x14ac:dyDescent="0.25">
      <c r="A461" s="60" t="s">
        <v>757</v>
      </c>
      <c r="B461" s="60" t="s">
        <v>758</v>
      </c>
      <c r="C461" s="34">
        <v>4301011875</v>
      </c>
      <c r="D461" s="720">
        <v>4680115884885</v>
      </c>
      <c r="E461" s="720"/>
      <c r="F461" s="59">
        <v>0.8</v>
      </c>
      <c r="G461" s="35">
        <v>15</v>
      </c>
      <c r="H461" s="59">
        <v>12</v>
      </c>
      <c r="I461" s="59">
        <v>12.41</v>
      </c>
      <c r="J461" s="35">
        <v>64</v>
      </c>
      <c r="K461" s="35" t="s">
        <v>127</v>
      </c>
      <c r="L461" s="35" t="s">
        <v>46</v>
      </c>
      <c r="M461" s="36" t="s">
        <v>81</v>
      </c>
      <c r="N461" s="36"/>
      <c r="O461" s="35">
        <v>60</v>
      </c>
      <c r="P461" s="9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2"/>
      <c r="R461" s="722"/>
      <c r="S461" s="722"/>
      <c r="T461" s="723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61" t="s">
        <v>759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37.5" hidden="1" customHeight="1" x14ac:dyDescent="0.25">
      <c r="A462" s="60" t="s">
        <v>760</v>
      </c>
      <c r="B462" s="60" t="s">
        <v>761</v>
      </c>
      <c r="C462" s="34">
        <v>4301011871</v>
      </c>
      <c r="D462" s="720">
        <v>4680115884908</v>
      </c>
      <c r="E462" s="720"/>
      <c r="F462" s="59">
        <v>0.4</v>
      </c>
      <c r="G462" s="35">
        <v>10</v>
      </c>
      <c r="H462" s="59">
        <v>4</v>
      </c>
      <c r="I462" s="59">
        <v>4.1900000000000004</v>
      </c>
      <c r="J462" s="35">
        <v>132</v>
      </c>
      <c r="K462" s="35" t="s">
        <v>134</v>
      </c>
      <c r="L462" s="35" t="s">
        <v>46</v>
      </c>
      <c r="M462" s="36" t="s">
        <v>81</v>
      </c>
      <c r="N462" s="36"/>
      <c r="O462" s="35">
        <v>60</v>
      </c>
      <c r="P462" s="9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2"/>
      <c r="R462" s="722"/>
      <c r="S462" s="722"/>
      <c r="T462" s="723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IFERROR(IF(Y462=0,"",ROUNDUP(Y462/H462,0)*0.00902),"")</f>
        <v/>
      </c>
      <c r="AA462" s="65" t="s">
        <v>46</v>
      </c>
      <c r="AB462" s="66" t="s">
        <v>46</v>
      </c>
      <c r="AC462" s="563" t="s">
        <v>759</v>
      </c>
      <c r="AG462" s="75"/>
      <c r="AJ462" s="79" t="s">
        <v>46</v>
      </c>
      <c r="AK462" s="79">
        <v>0</v>
      </c>
      <c r="BB462" s="564" t="s">
        <v>67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idden="1" x14ac:dyDescent="0.2">
      <c r="A463" s="728"/>
      <c r="B463" s="728"/>
      <c r="C463" s="728"/>
      <c r="D463" s="728"/>
      <c r="E463" s="728"/>
      <c r="F463" s="728"/>
      <c r="G463" s="728"/>
      <c r="H463" s="728"/>
      <c r="I463" s="728"/>
      <c r="J463" s="728"/>
      <c r="K463" s="728"/>
      <c r="L463" s="728"/>
      <c r="M463" s="728"/>
      <c r="N463" s="728"/>
      <c r="O463" s="729"/>
      <c r="P463" s="725" t="s">
        <v>40</v>
      </c>
      <c r="Q463" s="726"/>
      <c r="R463" s="726"/>
      <c r="S463" s="726"/>
      <c r="T463" s="726"/>
      <c r="U463" s="726"/>
      <c r="V463" s="727"/>
      <c r="W463" s="40" t="s">
        <v>39</v>
      </c>
      <c r="X463" s="41">
        <f>IFERROR(X461/H461,"0")+IFERROR(X462/H462,"0")</f>
        <v>0</v>
      </c>
      <c r="Y463" s="41">
        <f>IFERROR(Y461/H461,"0")+IFERROR(Y462/H462,"0")</f>
        <v>0</v>
      </c>
      <c r="Z463" s="41">
        <f>IFERROR(IF(Z461="",0,Z461),"0")+IFERROR(IF(Z462="",0,Z462),"0")</f>
        <v>0</v>
      </c>
      <c r="AA463" s="64"/>
      <c r="AB463" s="64"/>
      <c r="AC463" s="64"/>
    </row>
    <row r="464" spans="1:68" hidden="1" x14ac:dyDescent="0.2">
      <c r="A464" s="728"/>
      <c r="B464" s="728"/>
      <c r="C464" s="728"/>
      <c r="D464" s="728"/>
      <c r="E464" s="728"/>
      <c r="F464" s="728"/>
      <c r="G464" s="728"/>
      <c r="H464" s="728"/>
      <c r="I464" s="728"/>
      <c r="J464" s="728"/>
      <c r="K464" s="728"/>
      <c r="L464" s="728"/>
      <c r="M464" s="728"/>
      <c r="N464" s="728"/>
      <c r="O464" s="729"/>
      <c r="P464" s="725" t="s">
        <v>40</v>
      </c>
      <c r="Q464" s="726"/>
      <c r="R464" s="726"/>
      <c r="S464" s="726"/>
      <c r="T464" s="726"/>
      <c r="U464" s="726"/>
      <c r="V464" s="727"/>
      <c r="W464" s="40" t="s">
        <v>0</v>
      </c>
      <c r="X464" s="41">
        <f>IFERROR(SUM(X461:X462),"0")</f>
        <v>0</v>
      </c>
      <c r="Y464" s="41">
        <f>IFERROR(SUM(Y461:Y462),"0")</f>
        <v>0</v>
      </c>
      <c r="Z464" s="40"/>
      <c r="AA464" s="64"/>
      <c r="AB464" s="64"/>
      <c r="AC464" s="64"/>
    </row>
    <row r="465" spans="1:68" ht="14.25" hidden="1" customHeight="1" x14ac:dyDescent="0.25">
      <c r="A465" s="719" t="s">
        <v>77</v>
      </c>
      <c r="B465" s="719"/>
      <c r="C465" s="719"/>
      <c r="D465" s="719"/>
      <c r="E465" s="719"/>
      <c r="F465" s="719"/>
      <c r="G465" s="719"/>
      <c r="H465" s="719"/>
      <c r="I465" s="719"/>
      <c r="J465" s="719"/>
      <c r="K465" s="719"/>
      <c r="L465" s="719"/>
      <c r="M465" s="719"/>
      <c r="N465" s="719"/>
      <c r="O465" s="719"/>
      <c r="P465" s="719"/>
      <c r="Q465" s="719"/>
      <c r="R465" s="719"/>
      <c r="S465" s="719"/>
      <c r="T465" s="719"/>
      <c r="U465" s="719"/>
      <c r="V465" s="719"/>
      <c r="W465" s="719"/>
      <c r="X465" s="719"/>
      <c r="Y465" s="719"/>
      <c r="Z465" s="719"/>
      <c r="AA465" s="63"/>
      <c r="AB465" s="63"/>
      <c r="AC465" s="63"/>
    </row>
    <row r="466" spans="1:68" ht="27" hidden="1" customHeight="1" x14ac:dyDescent="0.25">
      <c r="A466" s="60" t="s">
        <v>762</v>
      </c>
      <c r="B466" s="60" t="s">
        <v>763</v>
      </c>
      <c r="C466" s="34">
        <v>4301031457</v>
      </c>
      <c r="D466" s="720">
        <v>4607091384802</v>
      </c>
      <c r="E466" s="720"/>
      <c r="F466" s="59">
        <v>0.7</v>
      </c>
      <c r="G466" s="35">
        <v>6</v>
      </c>
      <c r="H466" s="59">
        <v>4.2</v>
      </c>
      <c r="I466" s="59">
        <v>4.45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50</v>
      </c>
      <c r="P466" s="97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2"/>
      <c r="R466" s="722"/>
      <c r="S466" s="722"/>
      <c r="T466" s="723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65" t="s">
        <v>764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728"/>
      <c r="B467" s="728"/>
      <c r="C467" s="728"/>
      <c r="D467" s="728"/>
      <c r="E467" s="728"/>
      <c r="F467" s="728"/>
      <c r="G467" s="728"/>
      <c r="H467" s="728"/>
      <c r="I467" s="728"/>
      <c r="J467" s="728"/>
      <c r="K467" s="728"/>
      <c r="L467" s="728"/>
      <c r="M467" s="728"/>
      <c r="N467" s="728"/>
      <c r="O467" s="729"/>
      <c r="P467" s="725" t="s">
        <v>40</v>
      </c>
      <c r="Q467" s="726"/>
      <c r="R467" s="726"/>
      <c r="S467" s="726"/>
      <c r="T467" s="726"/>
      <c r="U467" s="726"/>
      <c r="V467" s="727"/>
      <c r="W467" s="40" t="s">
        <v>39</v>
      </c>
      <c r="X467" s="41">
        <f>IFERROR(X466/H466,"0")</f>
        <v>0</v>
      </c>
      <c r="Y467" s="41">
        <f>IFERROR(Y466/H466,"0")</f>
        <v>0</v>
      </c>
      <c r="Z467" s="41">
        <f>IFERROR(IF(Z466="",0,Z466),"0")</f>
        <v>0</v>
      </c>
      <c r="AA467" s="64"/>
      <c r="AB467" s="64"/>
      <c r="AC467" s="64"/>
    </row>
    <row r="468" spans="1:68" hidden="1" x14ac:dyDescent="0.2">
      <c r="A468" s="728"/>
      <c r="B468" s="728"/>
      <c r="C468" s="728"/>
      <c r="D468" s="728"/>
      <c r="E468" s="728"/>
      <c r="F468" s="728"/>
      <c r="G468" s="728"/>
      <c r="H468" s="728"/>
      <c r="I468" s="728"/>
      <c r="J468" s="728"/>
      <c r="K468" s="728"/>
      <c r="L468" s="728"/>
      <c r="M468" s="728"/>
      <c r="N468" s="728"/>
      <c r="O468" s="729"/>
      <c r="P468" s="725" t="s">
        <v>40</v>
      </c>
      <c r="Q468" s="726"/>
      <c r="R468" s="726"/>
      <c r="S468" s="726"/>
      <c r="T468" s="726"/>
      <c r="U468" s="726"/>
      <c r="V468" s="727"/>
      <c r="W468" s="40" t="s">
        <v>0</v>
      </c>
      <c r="X468" s="41">
        <f>IFERROR(SUM(X466:X466),"0")</f>
        <v>0</v>
      </c>
      <c r="Y468" s="41">
        <f>IFERROR(SUM(Y466:Y466),"0")</f>
        <v>0</v>
      </c>
      <c r="Z468" s="40"/>
      <c r="AA468" s="64"/>
      <c r="AB468" s="64"/>
      <c r="AC468" s="64"/>
    </row>
    <row r="469" spans="1:68" ht="14.25" hidden="1" customHeight="1" x14ac:dyDescent="0.25">
      <c r="A469" s="719" t="s">
        <v>86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63"/>
      <c r="AB469" s="63"/>
      <c r="AC469" s="63"/>
    </row>
    <row r="470" spans="1:68" ht="27" hidden="1" customHeight="1" x14ac:dyDescent="0.25">
      <c r="A470" s="60" t="s">
        <v>765</v>
      </c>
      <c r="B470" s="60" t="s">
        <v>766</v>
      </c>
      <c r="C470" s="34">
        <v>4301051899</v>
      </c>
      <c r="D470" s="720">
        <v>4607091384246</v>
      </c>
      <c r="E470" s="720"/>
      <c r="F470" s="59">
        <v>1.5</v>
      </c>
      <c r="G470" s="35">
        <v>6</v>
      </c>
      <c r="H470" s="59">
        <v>9</v>
      </c>
      <c r="I470" s="59">
        <v>9.4939999999999998</v>
      </c>
      <c r="J470" s="35">
        <v>64</v>
      </c>
      <c r="K470" s="35" t="s">
        <v>127</v>
      </c>
      <c r="L470" s="35" t="s">
        <v>46</v>
      </c>
      <c r="M470" s="36" t="s">
        <v>90</v>
      </c>
      <c r="N470" s="36"/>
      <c r="O470" s="35">
        <v>40</v>
      </c>
      <c r="P470" s="9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2"/>
      <c r="R470" s="722"/>
      <c r="S470" s="722"/>
      <c r="T470" s="723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IFERROR(IF(Y470=0,"",ROUNDUP(Y470/H470,0)*0.01898),"")</f>
        <v/>
      </c>
      <c r="AA470" s="65" t="s">
        <v>46</v>
      </c>
      <c r="AB470" s="66" t="s">
        <v>46</v>
      </c>
      <c r="AC470" s="567" t="s">
        <v>767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768</v>
      </c>
      <c r="B471" s="60" t="s">
        <v>769</v>
      </c>
      <c r="C471" s="34">
        <v>4301051660</v>
      </c>
      <c r="D471" s="720">
        <v>4607091384253</v>
      </c>
      <c r="E471" s="720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97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2"/>
      <c r="R471" s="722"/>
      <c r="S471" s="722"/>
      <c r="T471" s="723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767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t="27" hidden="1" customHeight="1" x14ac:dyDescent="0.25">
      <c r="A472" s="60" t="s">
        <v>768</v>
      </c>
      <c r="B472" s="60" t="s">
        <v>770</v>
      </c>
      <c r="C472" s="34">
        <v>4301052069</v>
      </c>
      <c r="D472" s="720">
        <v>4607091384253</v>
      </c>
      <c r="E472" s="720"/>
      <c r="F472" s="59">
        <v>0.4</v>
      </c>
      <c r="G472" s="35">
        <v>6</v>
      </c>
      <c r="H472" s="59">
        <v>2.4</v>
      </c>
      <c r="I472" s="59">
        <v>2.6640000000000001</v>
      </c>
      <c r="J472" s="35">
        <v>182</v>
      </c>
      <c r="K472" s="35" t="s">
        <v>91</v>
      </c>
      <c r="L472" s="35" t="s">
        <v>46</v>
      </c>
      <c r="M472" s="36" t="s">
        <v>90</v>
      </c>
      <c r="N472" s="36"/>
      <c r="O472" s="35">
        <v>40</v>
      </c>
      <c r="P472" s="97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2"/>
      <c r="R472" s="722"/>
      <c r="S472" s="722"/>
      <c r="T472" s="723"/>
      <c r="U472" s="37" t="s">
        <v>46</v>
      </c>
      <c r="V472" s="37" t="s">
        <v>46</v>
      </c>
      <c r="W472" s="38" t="s">
        <v>0</v>
      </c>
      <c r="X472" s="56">
        <v>0</v>
      </c>
      <c r="Y472" s="53">
        <f>IFERROR(IF(X472="",0,CEILING((X472/$H472),1)*$H472),"")</f>
        <v>0</v>
      </c>
      <c r="Z472" s="39" t="str">
        <f>IFERROR(IF(Y472=0,"",ROUNDUP(Y472/H472,0)*0.00651),"")</f>
        <v/>
      </c>
      <c r="AA472" s="65" t="s">
        <v>46</v>
      </c>
      <c r="AB472" s="66" t="s">
        <v>46</v>
      </c>
      <c r="AC472" s="571" t="s">
        <v>771</v>
      </c>
      <c r="AG472" s="75"/>
      <c r="AJ472" s="79" t="s">
        <v>46</v>
      </c>
      <c r="AK472" s="79">
        <v>0</v>
      </c>
      <c r="BB472" s="572" t="s">
        <v>67</v>
      </c>
      <c r="BM472" s="75">
        <f>IFERROR(X472*I472/H472,"0")</f>
        <v>0</v>
      </c>
      <c r="BN472" s="75">
        <f>IFERROR(Y472*I472/H472,"0")</f>
        <v>0</v>
      </c>
      <c r="BO472" s="75">
        <f>IFERROR(1/J472*(X472/H472),"0")</f>
        <v>0</v>
      </c>
      <c r="BP472" s="75">
        <f>IFERROR(1/J472*(Y472/H472),"0")</f>
        <v>0</v>
      </c>
    </row>
    <row r="473" spans="1:68" hidden="1" x14ac:dyDescent="0.2">
      <c r="A473" s="728"/>
      <c r="B473" s="728"/>
      <c r="C473" s="728"/>
      <c r="D473" s="728"/>
      <c r="E473" s="728"/>
      <c r="F473" s="728"/>
      <c r="G473" s="728"/>
      <c r="H473" s="728"/>
      <c r="I473" s="728"/>
      <c r="J473" s="728"/>
      <c r="K473" s="728"/>
      <c r="L473" s="728"/>
      <c r="M473" s="728"/>
      <c r="N473" s="728"/>
      <c r="O473" s="729"/>
      <c r="P473" s="725" t="s">
        <v>40</v>
      </c>
      <c r="Q473" s="726"/>
      <c r="R473" s="726"/>
      <c r="S473" s="726"/>
      <c r="T473" s="726"/>
      <c r="U473" s="726"/>
      <c r="V473" s="727"/>
      <c r="W473" s="40" t="s">
        <v>39</v>
      </c>
      <c r="X473" s="41">
        <f>IFERROR(X470/H470,"0")+IFERROR(X471/H471,"0")+IFERROR(X472/H472,"0")</f>
        <v>0</v>
      </c>
      <c r="Y473" s="41">
        <f>IFERROR(Y470/H470,"0")+IFERROR(Y471/H471,"0")+IFERROR(Y472/H472,"0")</f>
        <v>0</v>
      </c>
      <c r="Z473" s="41">
        <f>IFERROR(IF(Z470="",0,Z470),"0")+IFERROR(IF(Z471="",0,Z471),"0")+IFERROR(IF(Z472="",0,Z472),"0")</f>
        <v>0</v>
      </c>
      <c r="AA473" s="64"/>
      <c r="AB473" s="64"/>
      <c r="AC473" s="64"/>
    </row>
    <row r="474" spans="1:68" hidden="1" x14ac:dyDescent="0.2">
      <c r="A474" s="728"/>
      <c r="B474" s="728"/>
      <c r="C474" s="728"/>
      <c r="D474" s="728"/>
      <c r="E474" s="728"/>
      <c r="F474" s="728"/>
      <c r="G474" s="728"/>
      <c r="H474" s="728"/>
      <c r="I474" s="728"/>
      <c r="J474" s="728"/>
      <c r="K474" s="728"/>
      <c r="L474" s="728"/>
      <c r="M474" s="728"/>
      <c r="N474" s="728"/>
      <c r="O474" s="729"/>
      <c r="P474" s="725" t="s">
        <v>40</v>
      </c>
      <c r="Q474" s="726"/>
      <c r="R474" s="726"/>
      <c r="S474" s="726"/>
      <c r="T474" s="726"/>
      <c r="U474" s="726"/>
      <c r="V474" s="727"/>
      <c r="W474" s="40" t="s">
        <v>0</v>
      </c>
      <c r="X474" s="41">
        <f>IFERROR(SUM(X470:X472),"0")</f>
        <v>0</v>
      </c>
      <c r="Y474" s="41">
        <f>IFERROR(SUM(Y470:Y472),"0")</f>
        <v>0</v>
      </c>
      <c r="Z474" s="40"/>
      <c r="AA474" s="64"/>
      <c r="AB474" s="64"/>
      <c r="AC474" s="64"/>
    </row>
    <row r="475" spans="1:68" ht="27.75" hidden="1" customHeight="1" x14ac:dyDescent="0.2">
      <c r="A475" s="717" t="s">
        <v>772</v>
      </c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7"/>
      <c r="P475" s="717"/>
      <c r="Q475" s="717"/>
      <c r="R475" s="717"/>
      <c r="S475" s="717"/>
      <c r="T475" s="717"/>
      <c r="U475" s="717"/>
      <c r="V475" s="717"/>
      <c r="W475" s="717"/>
      <c r="X475" s="717"/>
      <c r="Y475" s="717"/>
      <c r="Z475" s="717"/>
      <c r="AA475" s="52"/>
      <c r="AB475" s="52"/>
      <c r="AC475" s="52"/>
    </row>
    <row r="476" spans="1:68" ht="16.5" hidden="1" customHeight="1" x14ac:dyDescent="0.25">
      <c r="A476" s="718" t="s">
        <v>773</v>
      </c>
      <c r="B476" s="718"/>
      <c r="C476" s="718"/>
      <c r="D476" s="718"/>
      <c r="E476" s="718"/>
      <c r="F476" s="718"/>
      <c r="G476" s="718"/>
      <c r="H476" s="718"/>
      <c r="I476" s="718"/>
      <c r="J476" s="718"/>
      <c r="K476" s="718"/>
      <c r="L476" s="718"/>
      <c r="M476" s="718"/>
      <c r="N476" s="718"/>
      <c r="O476" s="718"/>
      <c r="P476" s="718"/>
      <c r="Q476" s="718"/>
      <c r="R476" s="718"/>
      <c r="S476" s="718"/>
      <c r="T476" s="718"/>
      <c r="U476" s="718"/>
      <c r="V476" s="718"/>
      <c r="W476" s="718"/>
      <c r="X476" s="718"/>
      <c r="Y476" s="718"/>
      <c r="Z476" s="718"/>
      <c r="AA476" s="62"/>
      <c r="AB476" s="62"/>
      <c r="AC476" s="62"/>
    </row>
    <row r="477" spans="1:68" ht="14.25" hidden="1" customHeight="1" x14ac:dyDescent="0.25">
      <c r="A477" s="719" t="s">
        <v>77</v>
      </c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19"/>
      <c r="P477" s="719"/>
      <c r="Q477" s="719"/>
      <c r="R477" s="719"/>
      <c r="S477" s="719"/>
      <c r="T477" s="719"/>
      <c r="U477" s="719"/>
      <c r="V477" s="719"/>
      <c r="W477" s="719"/>
      <c r="X477" s="719"/>
      <c r="Y477" s="719"/>
      <c r="Z477" s="719"/>
      <c r="AA477" s="63"/>
      <c r="AB477" s="63"/>
      <c r="AC477" s="63"/>
    </row>
    <row r="478" spans="1:68" ht="27" hidden="1" customHeight="1" x14ac:dyDescent="0.25">
      <c r="A478" s="60" t="s">
        <v>774</v>
      </c>
      <c r="B478" s="60" t="s">
        <v>775</v>
      </c>
      <c r="C478" s="34">
        <v>4301031405</v>
      </c>
      <c r="D478" s="720">
        <v>4680115886100</v>
      </c>
      <c r="E478" s="720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9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2"/>
      <c r="R478" s="722"/>
      <c r="S478" s="722"/>
      <c r="T478" s="723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ref="Y478:Y483" si="73"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776</v>
      </c>
      <c r="AG478" s="75"/>
      <c r="AJ478" s="79" t="s">
        <v>46</v>
      </c>
      <c r="AK478" s="79">
        <v>0</v>
      </c>
      <c r="BB478" s="574" t="s">
        <v>67</v>
      </c>
      <c r="BM478" s="75">
        <f t="shared" ref="BM478:BM483" si="74">IFERROR(X478*I478/H478,"0")</f>
        <v>0</v>
      </c>
      <c r="BN478" s="75">
        <f t="shared" ref="BN478:BN483" si="75">IFERROR(Y478*I478/H478,"0")</f>
        <v>0</v>
      </c>
      <c r="BO478" s="75">
        <f t="shared" ref="BO478:BO483" si="76">IFERROR(1/J478*(X478/H478),"0")</f>
        <v>0</v>
      </c>
      <c r="BP478" s="75">
        <f t="shared" ref="BP478:BP483" si="77">IFERROR(1/J478*(Y478/H478),"0")</f>
        <v>0</v>
      </c>
    </row>
    <row r="479" spans="1:68" ht="27" hidden="1" customHeight="1" x14ac:dyDescent="0.25">
      <c r="A479" s="60" t="s">
        <v>777</v>
      </c>
      <c r="B479" s="60" t="s">
        <v>778</v>
      </c>
      <c r="C479" s="34">
        <v>4301031402</v>
      </c>
      <c r="D479" s="720">
        <v>4680115886124</v>
      </c>
      <c r="E479" s="720"/>
      <c r="F479" s="59">
        <v>0.9</v>
      </c>
      <c r="G479" s="35">
        <v>6</v>
      </c>
      <c r="H479" s="59">
        <v>5.4</v>
      </c>
      <c r="I479" s="59">
        <v>5.59</v>
      </c>
      <c r="J479" s="35">
        <v>132</v>
      </c>
      <c r="K479" s="35" t="s">
        <v>134</v>
      </c>
      <c r="L479" s="35" t="s">
        <v>46</v>
      </c>
      <c r="M479" s="36" t="s">
        <v>81</v>
      </c>
      <c r="N479" s="36"/>
      <c r="O479" s="35">
        <v>50</v>
      </c>
      <c r="P479" s="97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2"/>
      <c r="R479" s="722"/>
      <c r="S479" s="722"/>
      <c r="T479" s="723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IFERROR(IF(Y479=0,"",ROUNDUP(Y479/H479,0)*0.00902),"")</f>
        <v/>
      </c>
      <c r="AA479" s="65" t="s">
        <v>46</v>
      </c>
      <c r="AB479" s="66" t="s">
        <v>46</v>
      </c>
      <c r="AC479" s="575" t="s">
        <v>779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780</v>
      </c>
      <c r="B480" s="60" t="s">
        <v>781</v>
      </c>
      <c r="C480" s="34">
        <v>4301031362</v>
      </c>
      <c r="D480" s="720">
        <v>4607091384338</v>
      </c>
      <c r="E480" s="720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2"/>
      <c r="R480" s="722"/>
      <c r="S480" s="722"/>
      <c r="T480" s="723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776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782</v>
      </c>
      <c r="B481" s="60" t="s">
        <v>783</v>
      </c>
      <c r="C481" s="34">
        <v>4301031364</v>
      </c>
      <c r="D481" s="720">
        <v>4680115883161</v>
      </c>
      <c r="E481" s="720"/>
      <c r="F481" s="59">
        <v>0.28000000000000003</v>
      </c>
      <c r="G481" s="35">
        <v>6</v>
      </c>
      <c r="H481" s="59">
        <v>1.68</v>
      </c>
      <c r="I481" s="59">
        <v>1.81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97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2"/>
      <c r="R481" s="722"/>
      <c r="S481" s="722"/>
      <c r="T481" s="723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784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27" hidden="1" customHeight="1" x14ac:dyDescent="0.25">
      <c r="A482" s="60" t="s">
        <v>785</v>
      </c>
      <c r="B482" s="60" t="s">
        <v>786</v>
      </c>
      <c r="C482" s="34">
        <v>4301031358</v>
      </c>
      <c r="D482" s="720">
        <v>4607091389531</v>
      </c>
      <c r="E482" s="720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9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2"/>
      <c r="R482" s="722"/>
      <c r="S482" s="722"/>
      <c r="T482" s="723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787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t="37.5" hidden="1" customHeight="1" x14ac:dyDescent="0.25">
      <c r="A483" s="60" t="s">
        <v>788</v>
      </c>
      <c r="B483" s="60" t="s">
        <v>789</v>
      </c>
      <c r="C483" s="34">
        <v>4301031360</v>
      </c>
      <c r="D483" s="720">
        <v>4607091384345</v>
      </c>
      <c r="E483" s="720"/>
      <c r="F483" s="59">
        <v>0.35</v>
      </c>
      <c r="G483" s="35">
        <v>6</v>
      </c>
      <c r="H483" s="59">
        <v>2.1</v>
      </c>
      <c r="I483" s="59">
        <v>2.23</v>
      </c>
      <c r="J483" s="35">
        <v>234</v>
      </c>
      <c r="K483" s="35" t="s">
        <v>82</v>
      </c>
      <c r="L483" s="35" t="s">
        <v>46</v>
      </c>
      <c r="M483" s="36" t="s">
        <v>81</v>
      </c>
      <c r="N483" s="36"/>
      <c r="O483" s="35">
        <v>50</v>
      </c>
      <c r="P483" s="9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2"/>
      <c r="R483" s="722"/>
      <c r="S483" s="722"/>
      <c r="T483" s="723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3"/>
        <v>0</v>
      </c>
      <c r="Z483" s="39" t="str">
        <f>IFERROR(IF(Y483=0,"",ROUNDUP(Y483/H483,0)*0.00502),"")</f>
        <v/>
      </c>
      <c r="AA483" s="65" t="s">
        <v>46</v>
      </c>
      <c r="AB483" s="66" t="s">
        <v>46</v>
      </c>
      <c r="AC483" s="583" t="s">
        <v>784</v>
      </c>
      <c r="AG483" s="75"/>
      <c r="AJ483" s="79" t="s">
        <v>46</v>
      </c>
      <c r="AK483" s="79">
        <v>0</v>
      </c>
      <c r="BB483" s="584" t="s">
        <v>67</v>
      </c>
      <c r="BM483" s="75">
        <f t="shared" si="74"/>
        <v>0</v>
      </c>
      <c r="BN483" s="75">
        <f t="shared" si="75"/>
        <v>0</v>
      </c>
      <c r="BO483" s="75">
        <f t="shared" si="76"/>
        <v>0</v>
      </c>
      <c r="BP483" s="75">
        <f t="shared" si="77"/>
        <v>0</v>
      </c>
    </row>
    <row r="484" spans="1:68" hidden="1" x14ac:dyDescent="0.2">
      <c r="A484" s="728"/>
      <c r="B484" s="728"/>
      <c r="C484" s="728"/>
      <c r="D484" s="728"/>
      <c r="E484" s="728"/>
      <c r="F484" s="728"/>
      <c r="G484" s="728"/>
      <c r="H484" s="728"/>
      <c r="I484" s="728"/>
      <c r="J484" s="728"/>
      <c r="K484" s="728"/>
      <c r="L484" s="728"/>
      <c r="M484" s="728"/>
      <c r="N484" s="728"/>
      <c r="O484" s="729"/>
      <c r="P484" s="725" t="s">
        <v>40</v>
      </c>
      <c r="Q484" s="726"/>
      <c r="R484" s="726"/>
      <c r="S484" s="726"/>
      <c r="T484" s="726"/>
      <c r="U484" s="726"/>
      <c r="V484" s="727"/>
      <c r="W484" s="40" t="s">
        <v>39</v>
      </c>
      <c r="X484" s="41">
        <f>IFERROR(X478/H478,"0")+IFERROR(X479/H479,"0")+IFERROR(X480/H480,"0")+IFERROR(X481/H481,"0")+IFERROR(X482/H482,"0")+IFERROR(X483/H483,"0")</f>
        <v>0</v>
      </c>
      <c r="Y484" s="41">
        <f>IFERROR(Y478/H478,"0")+IFERROR(Y479/H479,"0")+IFERROR(Y480/H480,"0")+IFERROR(Y481/H481,"0")+IFERROR(Y482/H482,"0")+IFERROR(Y483/H483,"0")</f>
        <v>0</v>
      </c>
      <c r="Z484" s="41">
        <f>IFERROR(IF(Z478="",0,Z478),"0")+IFERROR(IF(Z479="",0,Z479),"0")+IFERROR(IF(Z480="",0,Z480),"0")+IFERROR(IF(Z481="",0,Z481),"0")+IFERROR(IF(Z482="",0,Z482),"0")+IFERROR(IF(Z483="",0,Z483),"0")</f>
        <v>0</v>
      </c>
      <c r="AA484" s="64"/>
      <c r="AB484" s="64"/>
      <c r="AC484" s="64"/>
    </row>
    <row r="485" spans="1:68" hidden="1" x14ac:dyDescent="0.2">
      <c r="A485" s="728"/>
      <c r="B485" s="728"/>
      <c r="C485" s="728"/>
      <c r="D485" s="728"/>
      <c r="E485" s="728"/>
      <c r="F485" s="728"/>
      <c r="G485" s="728"/>
      <c r="H485" s="728"/>
      <c r="I485" s="728"/>
      <c r="J485" s="728"/>
      <c r="K485" s="728"/>
      <c r="L485" s="728"/>
      <c r="M485" s="728"/>
      <c r="N485" s="728"/>
      <c r="O485" s="729"/>
      <c r="P485" s="725" t="s">
        <v>40</v>
      </c>
      <c r="Q485" s="726"/>
      <c r="R485" s="726"/>
      <c r="S485" s="726"/>
      <c r="T485" s="726"/>
      <c r="U485" s="726"/>
      <c r="V485" s="727"/>
      <c r="W485" s="40" t="s">
        <v>0</v>
      </c>
      <c r="X485" s="41">
        <f>IFERROR(SUM(X478:X483),"0")</f>
        <v>0</v>
      </c>
      <c r="Y485" s="41">
        <f>IFERROR(SUM(Y478:Y483),"0")</f>
        <v>0</v>
      </c>
      <c r="Z485" s="40"/>
      <c r="AA485" s="64"/>
      <c r="AB485" s="64"/>
      <c r="AC485" s="64"/>
    </row>
    <row r="486" spans="1:68" ht="14.25" hidden="1" customHeight="1" x14ac:dyDescent="0.25">
      <c r="A486" s="719" t="s">
        <v>86</v>
      </c>
      <c r="B486" s="719"/>
      <c r="C486" s="719"/>
      <c r="D486" s="719"/>
      <c r="E486" s="719"/>
      <c r="F486" s="719"/>
      <c r="G486" s="719"/>
      <c r="H486" s="719"/>
      <c r="I486" s="719"/>
      <c r="J486" s="719"/>
      <c r="K486" s="719"/>
      <c r="L486" s="719"/>
      <c r="M486" s="719"/>
      <c r="N486" s="719"/>
      <c r="O486" s="719"/>
      <c r="P486" s="719"/>
      <c r="Q486" s="719"/>
      <c r="R486" s="719"/>
      <c r="S486" s="719"/>
      <c r="T486" s="719"/>
      <c r="U486" s="719"/>
      <c r="V486" s="719"/>
      <c r="W486" s="719"/>
      <c r="X486" s="719"/>
      <c r="Y486" s="719"/>
      <c r="Z486" s="719"/>
      <c r="AA486" s="63"/>
      <c r="AB486" s="63"/>
      <c r="AC486" s="63"/>
    </row>
    <row r="487" spans="1:68" ht="27" hidden="1" customHeight="1" x14ac:dyDescent="0.25">
      <c r="A487" s="60" t="s">
        <v>790</v>
      </c>
      <c r="B487" s="60" t="s">
        <v>791</v>
      </c>
      <c r="C487" s="34">
        <v>4301051284</v>
      </c>
      <c r="D487" s="720">
        <v>4607091384352</v>
      </c>
      <c r="E487" s="720"/>
      <c r="F487" s="59">
        <v>0.6</v>
      </c>
      <c r="G487" s="35">
        <v>4</v>
      </c>
      <c r="H487" s="59">
        <v>2.4</v>
      </c>
      <c r="I487" s="59">
        <v>2.6259999999999999</v>
      </c>
      <c r="J487" s="35">
        <v>132</v>
      </c>
      <c r="K487" s="35" t="s">
        <v>134</v>
      </c>
      <c r="L487" s="35" t="s">
        <v>46</v>
      </c>
      <c r="M487" s="36" t="s">
        <v>90</v>
      </c>
      <c r="N487" s="36"/>
      <c r="O487" s="35">
        <v>45</v>
      </c>
      <c r="P487" s="9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2"/>
      <c r="R487" s="722"/>
      <c r="S487" s="722"/>
      <c r="T487" s="723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IFERROR(IF(Y487=0,"",ROUNDUP(Y487/H487,0)*0.00902),"")</f>
        <v/>
      </c>
      <c r="AA487" s="65" t="s">
        <v>46</v>
      </c>
      <c r="AB487" s="66" t="s">
        <v>46</v>
      </c>
      <c r="AC487" s="585" t="s">
        <v>792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t="27" hidden="1" customHeight="1" x14ac:dyDescent="0.25">
      <c r="A488" s="60" t="s">
        <v>793</v>
      </c>
      <c r="B488" s="60" t="s">
        <v>794</v>
      </c>
      <c r="C488" s="34">
        <v>4301051431</v>
      </c>
      <c r="D488" s="720">
        <v>4607091389654</v>
      </c>
      <c r="E488" s="720"/>
      <c r="F488" s="59">
        <v>0.33</v>
      </c>
      <c r="G488" s="35">
        <v>6</v>
      </c>
      <c r="H488" s="59">
        <v>1.98</v>
      </c>
      <c r="I488" s="59">
        <v>2.238</v>
      </c>
      <c r="J488" s="35">
        <v>182</v>
      </c>
      <c r="K488" s="35" t="s">
        <v>91</v>
      </c>
      <c r="L488" s="35" t="s">
        <v>46</v>
      </c>
      <c r="M488" s="36" t="s">
        <v>90</v>
      </c>
      <c r="N488" s="36"/>
      <c r="O488" s="35">
        <v>45</v>
      </c>
      <c r="P488" s="98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2"/>
      <c r="R488" s="722"/>
      <c r="S488" s="722"/>
      <c r="T488" s="723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IFERROR(IF(Y488=0,"",ROUNDUP(Y488/H488,0)*0.00651),"")</f>
        <v/>
      </c>
      <c r="AA488" s="65" t="s">
        <v>46</v>
      </c>
      <c r="AB488" s="66" t="s">
        <v>46</v>
      </c>
      <c r="AC488" s="587" t="s">
        <v>795</v>
      </c>
      <c r="AG488" s="75"/>
      <c r="AJ488" s="79" t="s">
        <v>46</v>
      </c>
      <c r="AK488" s="79">
        <v>0</v>
      </c>
      <c r="BB488" s="588" t="s">
        <v>67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idden="1" x14ac:dyDescent="0.2">
      <c r="A489" s="728"/>
      <c r="B489" s="728"/>
      <c r="C489" s="728"/>
      <c r="D489" s="728"/>
      <c r="E489" s="728"/>
      <c r="F489" s="728"/>
      <c r="G489" s="728"/>
      <c r="H489" s="728"/>
      <c r="I489" s="728"/>
      <c r="J489" s="728"/>
      <c r="K489" s="728"/>
      <c r="L489" s="728"/>
      <c r="M489" s="728"/>
      <c r="N489" s="728"/>
      <c r="O489" s="729"/>
      <c r="P489" s="725" t="s">
        <v>40</v>
      </c>
      <c r="Q489" s="726"/>
      <c r="R489" s="726"/>
      <c r="S489" s="726"/>
      <c r="T489" s="726"/>
      <c r="U489" s="726"/>
      <c r="V489" s="727"/>
      <c r="W489" s="40" t="s">
        <v>39</v>
      </c>
      <c r="X489" s="41">
        <f>IFERROR(X487/H487,"0")+IFERROR(X488/H488,"0")</f>
        <v>0</v>
      </c>
      <c r="Y489" s="41">
        <f>IFERROR(Y487/H487,"0")+IFERROR(Y488/H488,"0")</f>
        <v>0</v>
      </c>
      <c r="Z489" s="41">
        <f>IFERROR(IF(Z487="",0,Z487),"0")+IFERROR(IF(Z488="",0,Z488),"0")</f>
        <v>0</v>
      </c>
      <c r="AA489" s="64"/>
      <c r="AB489" s="64"/>
      <c r="AC489" s="64"/>
    </row>
    <row r="490" spans="1:68" hidden="1" x14ac:dyDescent="0.2">
      <c r="A490" s="728"/>
      <c r="B490" s="728"/>
      <c r="C490" s="728"/>
      <c r="D490" s="728"/>
      <c r="E490" s="728"/>
      <c r="F490" s="728"/>
      <c r="G490" s="728"/>
      <c r="H490" s="728"/>
      <c r="I490" s="728"/>
      <c r="J490" s="728"/>
      <c r="K490" s="728"/>
      <c r="L490" s="728"/>
      <c r="M490" s="728"/>
      <c r="N490" s="728"/>
      <c r="O490" s="729"/>
      <c r="P490" s="725" t="s">
        <v>40</v>
      </c>
      <c r="Q490" s="726"/>
      <c r="R490" s="726"/>
      <c r="S490" s="726"/>
      <c r="T490" s="726"/>
      <c r="U490" s="726"/>
      <c r="V490" s="727"/>
      <c r="W490" s="40" t="s">
        <v>0</v>
      </c>
      <c r="X490" s="41">
        <f>IFERROR(SUM(X487:X488),"0")</f>
        <v>0</v>
      </c>
      <c r="Y490" s="41">
        <f>IFERROR(SUM(Y487:Y488),"0")</f>
        <v>0</v>
      </c>
      <c r="Z490" s="40"/>
      <c r="AA490" s="64"/>
      <c r="AB490" s="64"/>
      <c r="AC490" s="64"/>
    </row>
    <row r="491" spans="1:68" ht="16.5" hidden="1" customHeight="1" x14ac:dyDescent="0.25">
      <c r="A491" s="718" t="s">
        <v>796</v>
      </c>
      <c r="B491" s="718"/>
      <c r="C491" s="718"/>
      <c r="D491" s="718"/>
      <c r="E491" s="718"/>
      <c r="F491" s="718"/>
      <c r="G491" s="718"/>
      <c r="H491" s="718"/>
      <c r="I491" s="718"/>
      <c r="J491" s="718"/>
      <c r="K491" s="718"/>
      <c r="L491" s="718"/>
      <c r="M491" s="718"/>
      <c r="N491" s="718"/>
      <c r="O491" s="718"/>
      <c r="P491" s="718"/>
      <c r="Q491" s="718"/>
      <c r="R491" s="718"/>
      <c r="S491" s="718"/>
      <c r="T491" s="718"/>
      <c r="U491" s="718"/>
      <c r="V491" s="718"/>
      <c r="W491" s="718"/>
      <c r="X491" s="718"/>
      <c r="Y491" s="718"/>
      <c r="Z491" s="718"/>
      <c r="AA491" s="62"/>
      <c r="AB491" s="62"/>
      <c r="AC491" s="62"/>
    </row>
    <row r="492" spans="1:68" ht="14.25" hidden="1" customHeight="1" x14ac:dyDescent="0.25">
      <c r="A492" s="719" t="s">
        <v>155</v>
      </c>
      <c r="B492" s="719"/>
      <c r="C492" s="719"/>
      <c r="D492" s="719"/>
      <c r="E492" s="719"/>
      <c r="F492" s="719"/>
      <c r="G492" s="719"/>
      <c r="H492" s="719"/>
      <c r="I492" s="719"/>
      <c r="J492" s="719"/>
      <c r="K492" s="719"/>
      <c r="L492" s="719"/>
      <c r="M492" s="719"/>
      <c r="N492" s="719"/>
      <c r="O492" s="719"/>
      <c r="P492" s="719"/>
      <c r="Q492" s="719"/>
      <c r="R492" s="719"/>
      <c r="S492" s="719"/>
      <c r="T492" s="719"/>
      <c r="U492" s="719"/>
      <c r="V492" s="719"/>
      <c r="W492" s="719"/>
      <c r="X492" s="719"/>
      <c r="Y492" s="719"/>
      <c r="Z492" s="719"/>
      <c r="AA492" s="63"/>
      <c r="AB492" s="63"/>
      <c r="AC492" s="63"/>
    </row>
    <row r="493" spans="1:68" ht="27" hidden="1" customHeight="1" x14ac:dyDescent="0.25">
      <c r="A493" s="60" t="s">
        <v>797</v>
      </c>
      <c r="B493" s="60" t="s">
        <v>798</v>
      </c>
      <c r="C493" s="34">
        <v>4301020416</v>
      </c>
      <c r="D493" s="720">
        <v>4680115885240</v>
      </c>
      <c r="E493" s="720"/>
      <c r="F493" s="59">
        <v>0.35</v>
      </c>
      <c r="G493" s="35">
        <v>6</v>
      </c>
      <c r="H493" s="59">
        <v>2.1</v>
      </c>
      <c r="I493" s="59">
        <v>2.31</v>
      </c>
      <c r="J493" s="35">
        <v>182</v>
      </c>
      <c r="K493" s="35" t="s">
        <v>91</v>
      </c>
      <c r="L493" s="35" t="s">
        <v>46</v>
      </c>
      <c r="M493" s="36" t="s">
        <v>81</v>
      </c>
      <c r="N493" s="36"/>
      <c r="O493" s="35">
        <v>40</v>
      </c>
      <c r="P493" s="98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2"/>
      <c r="R493" s="722"/>
      <c r="S493" s="722"/>
      <c r="T493" s="723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IFERROR(IF(Y493=0,"",ROUNDUP(Y493/H493,0)*0.00651),"")</f>
        <v/>
      </c>
      <c r="AA493" s="65" t="s">
        <v>46</v>
      </c>
      <c r="AB493" s="66" t="s">
        <v>46</v>
      </c>
      <c r="AC493" s="589" t="s">
        <v>799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728"/>
      <c r="B494" s="728"/>
      <c r="C494" s="728"/>
      <c r="D494" s="728"/>
      <c r="E494" s="728"/>
      <c r="F494" s="728"/>
      <c r="G494" s="728"/>
      <c r="H494" s="728"/>
      <c r="I494" s="728"/>
      <c r="J494" s="728"/>
      <c r="K494" s="728"/>
      <c r="L494" s="728"/>
      <c r="M494" s="728"/>
      <c r="N494" s="728"/>
      <c r="O494" s="729"/>
      <c r="P494" s="725" t="s">
        <v>40</v>
      </c>
      <c r="Q494" s="726"/>
      <c r="R494" s="726"/>
      <c r="S494" s="726"/>
      <c r="T494" s="726"/>
      <c r="U494" s="726"/>
      <c r="V494" s="727"/>
      <c r="W494" s="40" t="s">
        <v>39</v>
      </c>
      <c r="X494" s="41">
        <f>IFERROR(X493/H493,"0")</f>
        <v>0</v>
      </c>
      <c r="Y494" s="41">
        <f>IFERROR(Y493/H493,"0")</f>
        <v>0</v>
      </c>
      <c r="Z494" s="41">
        <f>IFERROR(IF(Z493="",0,Z493),"0")</f>
        <v>0</v>
      </c>
      <c r="AA494" s="64"/>
      <c r="AB494" s="64"/>
      <c r="AC494" s="64"/>
    </row>
    <row r="495" spans="1:68" hidden="1" x14ac:dyDescent="0.2">
      <c r="A495" s="728"/>
      <c r="B495" s="728"/>
      <c r="C495" s="728"/>
      <c r="D495" s="728"/>
      <c r="E495" s="728"/>
      <c r="F495" s="728"/>
      <c r="G495" s="728"/>
      <c r="H495" s="728"/>
      <c r="I495" s="728"/>
      <c r="J495" s="728"/>
      <c r="K495" s="728"/>
      <c r="L495" s="728"/>
      <c r="M495" s="728"/>
      <c r="N495" s="728"/>
      <c r="O495" s="729"/>
      <c r="P495" s="725" t="s">
        <v>40</v>
      </c>
      <c r="Q495" s="726"/>
      <c r="R495" s="726"/>
      <c r="S495" s="726"/>
      <c r="T495" s="726"/>
      <c r="U495" s="726"/>
      <c r="V495" s="727"/>
      <c r="W495" s="40" t="s">
        <v>0</v>
      </c>
      <c r="X495" s="41">
        <f>IFERROR(SUM(X493:X493),"0")</f>
        <v>0</v>
      </c>
      <c r="Y495" s="41">
        <f>IFERROR(SUM(Y493:Y493),"0")</f>
        <v>0</v>
      </c>
      <c r="Z495" s="40"/>
      <c r="AA495" s="64"/>
      <c r="AB495" s="64"/>
      <c r="AC495" s="64"/>
    </row>
    <row r="496" spans="1:68" ht="14.25" hidden="1" customHeight="1" x14ac:dyDescent="0.25">
      <c r="A496" s="719" t="s">
        <v>77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63"/>
      <c r="AB496" s="63"/>
      <c r="AC496" s="63"/>
    </row>
    <row r="497" spans="1:68" ht="27" hidden="1" customHeight="1" x14ac:dyDescent="0.25">
      <c r="A497" s="60" t="s">
        <v>800</v>
      </c>
      <c r="B497" s="60" t="s">
        <v>801</v>
      </c>
      <c r="C497" s="34">
        <v>4301031407</v>
      </c>
      <c r="D497" s="720">
        <v>4680115886094</v>
      </c>
      <c r="E497" s="720"/>
      <c r="F497" s="59">
        <v>0.9</v>
      </c>
      <c r="G497" s="35">
        <v>6</v>
      </c>
      <c r="H497" s="59">
        <v>5.4</v>
      </c>
      <c r="I497" s="59">
        <v>5.59</v>
      </c>
      <c r="J497" s="35">
        <v>132</v>
      </c>
      <c r="K497" s="35" t="s">
        <v>134</v>
      </c>
      <c r="L497" s="35" t="s">
        <v>46</v>
      </c>
      <c r="M497" s="36" t="s">
        <v>81</v>
      </c>
      <c r="N497" s="36"/>
      <c r="O497" s="35">
        <v>50</v>
      </c>
      <c r="P497" s="98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2"/>
      <c r="R497" s="722"/>
      <c r="S497" s="722"/>
      <c r="T497" s="723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IFERROR(IF(Y497=0,"",ROUNDUP(Y497/H497,0)*0.00902),"")</f>
        <v/>
      </c>
      <c r="AA497" s="65" t="s">
        <v>46</v>
      </c>
      <c r="AB497" s="66" t="s">
        <v>46</v>
      </c>
      <c r="AC497" s="591" t="s">
        <v>802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803</v>
      </c>
      <c r="B498" s="60" t="s">
        <v>804</v>
      </c>
      <c r="C498" s="34">
        <v>4301031373</v>
      </c>
      <c r="D498" s="720">
        <v>4680115880771</v>
      </c>
      <c r="E498" s="720"/>
      <c r="F498" s="59">
        <v>0.28000000000000003</v>
      </c>
      <c r="G498" s="35">
        <v>6</v>
      </c>
      <c r="H498" s="59">
        <v>1.68</v>
      </c>
      <c r="I498" s="59">
        <v>1.81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98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2"/>
      <c r="R498" s="722"/>
      <c r="S498" s="722"/>
      <c r="T498" s="723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805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27" hidden="1" customHeight="1" x14ac:dyDescent="0.25">
      <c r="A499" s="60" t="s">
        <v>806</v>
      </c>
      <c r="B499" s="60" t="s">
        <v>807</v>
      </c>
      <c r="C499" s="34">
        <v>4301031359</v>
      </c>
      <c r="D499" s="720">
        <v>4607091389500</v>
      </c>
      <c r="E499" s="720"/>
      <c r="F499" s="59">
        <v>0.35</v>
      </c>
      <c r="G499" s="35">
        <v>6</v>
      </c>
      <c r="H499" s="59">
        <v>2.1</v>
      </c>
      <c r="I499" s="59">
        <v>2.23</v>
      </c>
      <c r="J499" s="35">
        <v>234</v>
      </c>
      <c r="K499" s="35" t="s">
        <v>82</v>
      </c>
      <c r="L499" s="35" t="s">
        <v>46</v>
      </c>
      <c r="M499" s="36" t="s">
        <v>81</v>
      </c>
      <c r="N499" s="36"/>
      <c r="O499" s="35">
        <v>50</v>
      </c>
      <c r="P499" s="9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2"/>
      <c r="R499" s="722"/>
      <c r="S499" s="722"/>
      <c r="T499" s="723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IFERROR(IF(Y499=0,"",ROUNDUP(Y499/H499,0)*0.00502),"")</f>
        <v/>
      </c>
      <c r="AA499" s="65" t="s">
        <v>46</v>
      </c>
      <c r="AB499" s="66" t="s">
        <v>46</v>
      </c>
      <c r="AC499" s="595" t="s">
        <v>805</v>
      </c>
      <c r="AG499" s="75"/>
      <c r="AJ499" s="79" t="s">
        <v>46</v>
      </c>
      <c r="AK499" s="79">
        <v>0</v>
      </c>
      <c r="BB499" s="596" t="s">
        <v>67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idden="1" x14ac:dyDescent="0.2">
      <c r="A500" s="728"/>
      <c r="B500" s="728"/>
      <c r="C500" s="728"/>
      <c r="D500" s="728"/>
      <c r="E500" s="728"/>
      <c r="F500" s="728"/>
      <c r="G500" s="728"/>
      <c r="H500" s="728"/>
      <c r="I500" s="728"/>
      <c r="J500" s="728"/>
      <c r="K500" s="728"/>
      <c r="L500" s="728"/>
      <c r="M500" s="728"/>
      <c r="N500" s="728"/>
      <c r="O500" s="729"/>
      <c r="P500" s="725" t="s">
        <v>40</v>
      </c>
      <c r="Q500" s="726"/>
      <c r="R500" s="726"/>
      <c r="S500" s="726"/>
      <c r="T500" s="726"/>
      <c r="U500" s="726"/>
      <c r="V500" s="727"/>
      <c r="W500" s="40" t="s">
        <v>39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hidden="1" x14ac:dyDescent="0.2">
      <c r="A501" s="728"/>
      <c r="B501" s="728"/>
      <c r="C501" s="728"/>
      <c r="D501" s="728"/>
      <c r="E501" s="728"/>
      <c r="F501" s="728"/>
      <c r="G501" s="728"/>
      <c r="H501" s="728"/>
      <c r="I501" s="728"/>
      <c r="J501" s="728"/>
      <c r="K501" s="728"/>
      <c r="L501" s="728"/>
      <c r="M501" s="728"/>
      <c r="N501" s="728"/>
      <c r="O501" s="729"/>
      <c r="P501" s="725" t="s">
        <v>40</v>
      </c>
      <c r="Q501" s="726"/>
      <c r="R501" s="726"/>
      <c r="S501" s="726"/>
      <c r="T501" s="726"/>
      <c r="U501" s="726"/>
      <c r="V501" s="727"/>
      <c r="W501" s="40" t="s">
        <v>0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27.75" hidden="1" customHeight="1" x14ac:dyDescent="0.2">
      <c r="A502" s="717" t="s">
        <v>808</v>
      </c>
      <c r="B502" s="717"/>
      <c r="C502" s="717"/>
      <c r="D502" s="717"/>
      <c r="E502" s="717"/>
      <c r="F502" s="717"/>
      <c r="G502" s="717"/>
      <c r="H502" s="717"/>
      <c r="I502" s="717"/>
      <c r="J502" s="717"/>
      <c r="K502" s="717"/>
      <c r="L502" s="717"/>
      <c r="M502" s="717"/>
      <c r="N502" s="717"/>
      <c r="O502" s="717"/>
      <c r="P502" s="717"/>
      <c r="Q502" s="717"/>
      <c r="R502" s="717"/>
      <c r="S502" s="717"/>
      <c r="T502" s="717"/>
      <c r="U502" s="717"/>
      <c r="V502" s="717"/>
      <c r="W502" s="717"/>
      <c r="X502" s="717"/>
      <c r="Y502" s="717"/>
      <c r="Z502" s="717"/>
      <c r="AA502" s="52"/>
      <c r="AB502" s="52"/>
      <c r="AC502" s="52"/>
    </row>
    <row r="503" spans="1:68" ht="16.5" hidden="1" customHeight="1" x14ac:dyDescent="0.25">
      <c r="A503" s="718" t="s">
        <v>808</v>
      </c>
      <c r="B503" s="718"/>
      <c r="C503" s="718"/>
      <c r="D503" s="718"/>
      <c r="E503" s="718"/>
      <c r="F503" s="718"/>
      <c r="G503" s="718"/>
      <c r="H503" s="718"/>
      <c r="I503" s="718"/>
      <c r="J503" s="718"/>
      <c r="K503" s="718"/>
      <c r="L503" s="718"/>
      <c r="M503" s="718"/>
      <c r="N503" s="718"/>
      <c r="O503" s="718"/>
      <c r="P503" s="718"/>
      <c r="Q503" s="718"/>
      <c r="R503" s="718"/>
      <c r="S503" s="718"/>
      <c r="T503" s="718"/>
      <c r="U503" s="718"/>
      <c r="V503" s="718"/>
      <c r="W503" s="718"/>
      <c r="X503" s="718"/>
      <c r="Y503" s="718"/>
      <c r="Z503" s="718"/>
      <c r="AA503" s="62"/>
      <c r="AB503" s="62"/>
      <c r="AC503" s="62"/>
    </row>
    <row r="504" spans="1:68" ht="14.25" hidden="1" customHeight="1" x14ac:dyDescent="0.25">
      <c r="A504" s="719" t="s">
        <v>122</v>
      </c>
      <c r="B504" s="719"/>
      <c r="C504" s="719"/>
      <c r="D504" s="719"/>
      <c r="E504" s="719"/>
      <c r="F504" s="719"/>
      <c r="G504" s="719"/>
      <c r="H504" s="719"/>
      <c r="I504" s="719"/>
      <c r="J504" s="719"/>
      <c r="K504" s="719"/>
      <c r="L504" s="719"/>
      <c r="M504" s="719"/>
      <c r="N504" s="719"/>
      <c r="O504" s="719"/>
      <c r="P504" s="719"/>
      <c r="Q504" s="719"/>
      <c r="R504" s="719"/>
      <c r="S504" s="719"/>
      <c r="T504" s="719"/>
      <c r="U504" s="719"/>
      <c r="V504" s="719"/>
      <c r="W504" s="719"/>
      <c r="X504" s="719"/>
      <c r="Y504" s="719"/>
      <c r="Z504" s="719"/>
      <c r="AA504" s="63"/>
      <c r="AB504" s="63"/>
      <c r="AC504" s="63"/>
    </row>
    <row r="505" spans="1:68" ht="27" hidden="1" customHeight="1" x14ac:dyDescent="0.25">
      <c r="A505" s="60" t="s">
        <v>809</v>
      </c>
      <c r="B505" s="60" t="s">
        <v>810</v>
      </c>
      <c r="C505" s="34">
        <v>4301011769</v>
      </c>
      <c r="D505" s="720">
        <v>4607091389067</v>
      </c>
      <c r="E505" s="72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90</v>
      </c>
      <c r="N505" s="36"/>
      <c r="O505" s="35">
        <v>60</v>
      </c>
      <c r="P505" s="9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2"/>
      <c r="R505" s="722"/>
      <c r="S505" s="722"/>
      <c r="T505" s="723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ref="Y505:Y513" si="78">IFERROR(IF(X505="",0,CEILING((X505/$H505),1)*$H505),"")</f>
        <v>0</v>
      </c>
      <c r="Z505" s="39" t="str">
        <f t="shared" ref="Z505:Z510" si="79">IFERROR(IF(Y505=0,"",ROUNDUP(Y505/H505,0)*0.01196),"")</f>
        <v/>
      </c>
      <c r="AA505" s="65" t="s">
        <v>46</v>
      </c>
      <c r="AB505" s="66" t="s">
        <v>46</v>
      </c>
      <c r="AC505" s="597" t="s">
        <v>125</v>
      </c>
      <c r="AG505" s="75"/>
      <c r="AJ505" s="79" t="s">
        <v>46</v>
      </c>
      <c r="AK505" s="79">
        <v>0</v>
      </c>
      <c r="BB505" s="598" t="s">
        <v>67</v>
      </c>
      <c r="BM505" s="75">
        <f t="shared" ref="BM505:BM513" si="80">IFERROR(X505*I505/H505,"0")</f>
        <v>0</v>
      </c>
      <c r="BN505" s="75">
        <f t="shared" ref="BN505:BN513" si="81">IFERROR(Y505*I505/H505,"0")</f>
        <v>0</v>
      </c>
      <c r="BO505" s="75">
        <f t="shared" ref="BO505:BO513" si="82">IFERROR(1/J505*(X505/H505),"0")</f>
        <v>0</v>
      </c>
      <c r="BP505" s="75">
        <f t="shared" ref="BP505:BP513" si="83">IFERROR(1/J505*(Y505/H505),"0")</f>
        <v>0</v>
      </c>
    </row>
    <row r="506" spans="1:68" ht="16.5" hidden="1" customHeight="1" x14ac:dyDescent="0.25">
      <c r="A506" s="60" t="s">
        <v>811</v>
      </c>
      <c r="B506" s="60" t="s">
        <v>812</v>
      </c>
      <c r="C506" s="34">
        <v>4301012380</v>
      </c>
      <c r="D506" s="720">
        <v>4680115889576</v>
      </c>
      <c r="E506" s="720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9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2"/>
      <c r="R506" s="722"/>
      <c r="S506" s="722"/>
      <c r="T506" s="723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813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814</v>
      </c>
      <c r="B507" s="60" t="s">
        <v>815</v>
      </c>
      <c r="C507" s="34">
        <v>4301011961</v>
      </c>
      <c r="D507" s="720">
        <v>4680115885271</v>
      </c>
      <c r="E507" s="720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2"/>
      <c r="R507" s="722"/>
      <c r="S507" s="722"/>
      <c r="T507" s="723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816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27" hidden="1" customHeight="1" x14ac:dyDescent="0.25">
      <c r="A508" s="60" t="s">
        <v>817</v>
      </c>
      <c r="B508" s="60" t="s">
        <v>818</v>
      </c>
      <c r="C508" s="34">
        <v>4301011369</v>
      </c>
      <c r="D508" s="720">
        <v>4680115885226</v>
      </c>
      <c r="E508" s="720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126</v>
      </c>
      <c r="N508" s="36"/>
      <c r="O508" s="35">
        <v>60</v>
      </c>
      <c r="P508" s="98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2"/>
      <c r="R508" s="722"/>
      <c r="S508" s="722"/>
      <c r="T508" s="723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819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16.5" hidden="1" customHeight="1" x14ac:dyDescent="0.25">
      <c r="A509" s="60" t="s">
        <v>820</v>
      </c>
      <c r="B509" s="60" t="s">
        <v>821</v>
      </c>
      <c r="C509" s="34">
        <v>4301011797</v>
      </c>
      <c r="D509" s="720">
        <v>4680115884502</v>
      </c>
      <c r="E509" s="720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99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2"/>
      <c r="R509" s="722"/>
      <c r="S509" s="722"/>
      <c r="T509" s="723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78"/>
        <v>0</v>
      </c>
      <c r="Z509" s="39" t="str">
        <f t="shared" si="79"/>
        <v/>
      </c>
      <c r="AA509" s="65" t="s">
        <v>46</v>
      </c>
      <c r="AB509" s="66" t="s">
        <v>46</v>
      </c>
      <c r="AC509" s="605" t="s">
        <v>822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0</v>
      </c>
      <c r="BN509" s="75">
        <f t="shared" si="81"/>
        <v>0</v>
      </c>
      <c r="BO509" s="75">
        <f t="shared" si="82"/>
        <v>0</v>
      </c>
      <c r="BP509" s="75">
        <f t="shared" si="83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4301011771</v>
      </c>
      <c r="D510" s="720">
        <v>4607091389104</v>
      </c>
      <c r="E510" s="720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99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2"/>
      <c r="R510" s="722"/>
      <c r="S510" s="722"/>
      <c r="T510" s="723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 t="shared" si="79"/>
        <v/>
      </c>
      <c r="AA510" s="65" t="s">
        <v>46</v>
      </c>
      <c r="AB510" s="66" t="s">
        <v>46</v>
      </c>
      <c r="AC510" s="607" t="s">
        <v>825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826</v>
      </c>
      <c r="B511" s="60" t="s">
        <v>827</v>
      </c>
      <c r="C511" s="34">
        <v>4301012125</v>
      </c>
      <c r="D511" s="720">
        <v>4680115886391</v>
      </c>
      <c r="E511" s="720"/>
      <c r="F511" s="59">
        <v>0.4</v>
      </c>
      <c r="G511" s="35">
        <v>6</v>
      </c>
      <c r="H511" s="59">
        <v>2.4</v>
      </c>
      <c r="I511" s="59">
        <v>2.58</v>
      </c>
      <c r="J511" s="35">
        <v>182</v>
      </c>
      <c r="K511" s="35" t="s">
        <v>91</v>
      </c>
      <c r="L511" s="35" t="s">
        <v>46</v>
      </c>
      <c r="M511" s="36" t="s">
        <v>90</v>
      </c>
      <c r="N511" s="36"/>
      <c r="O511" s="35">
        <v>60</v>
      </c>
      <c r="P511" s="9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2"/>
      <c r="R511" s="722"/>
      <c r="S511" s="722"/>
      <c r="T511" s="723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IFERROR(IF(Y511=0,"",ROUNDUP(Y511/H511,0)*0.00651),"")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hidden="1" customHeight="1" x14ac:dyDescent="0.25">
      <c r="A512" s="60" t="s">
        <v>828</v>
      </c>
      <c r="B512" s="60" t="s">
        <v>829</v>
      </c>
      <c r="C512" s="34">
        <v>4301012048</v>
      </c>
      <c r="D512" s="720">
        <v>4680115880603</v>
      </c>
      <c r="E512" s="720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90</v>
      </c>
      <c r="N512" s="36"/>
      <c r="O512" s="35">
        <v>60</v>
      </c>
      <c r="P512" s="9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2"/>
      <c r="R512" s="722"/>
      <c r="S512" s="722"/>
      <c r="T512" s="723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78"/>
        <v>0</v>
      </c>
      <c r="Z512" s="39" t="str">
        <f>IFERROR(IF(Y512=0,"",ROUNDUP(Y512/H512,0)*0.00902),"")</f>
        <v/>
      </c>
      <c r="AA512" s="65" t="s">
        <v>46</v>
      </c>
      <c r="AB512" s="66" t="s">
        <v>46</v>
      </c>
      <c r="AC512" s="611" t="s">
        <v>125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0</v>
      </c>
      <c r="BN512" s="75">
        <f t="shared" si="81"/>
        <v>0</v>
      </c>
      <c r="BO512" s="75">
        <f t="shared" si="82"/>
        <v>0</v>
      </c>
      <c r="BP512" s="75">
        <f t="shared" si="83"/>
        <v>0</v>
      </c>
    </row>
    <row r="513" spans="1:68" ht="27" hidden="1" customHeight="1" x14ac:dyDescent="0.25">
      <c r="A513" s="60" t="s">
        <v>830</v>
      </c>
      <c r="B513" s="60" t="s">
        <v>831</v>
      </c>
      <c r="C513" s="34">
        <v>4301012034</v>
      </c>
      <c r="D513" s="720">
        <v>4607091389982</v>
      </c>
      <c r="E513" s="720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60</v>
      </c>
      <c r="P513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2"/>
      <c r="R513" s="722"/>
      <c r="S513" s="722"/>
      <c r="T513" s="723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78"/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825</v>
      </c>
      <c r="AG513" s="75"/>
      <c r="AJ513" s="79" t="s">
        <v>46</v>
      </c>
      <c r="AK513" s="79">
        <v>0</v>
      </c>
      <c r="BB513" s="614" t="s">
        <v>67</v>
      </c>
      <c r="BM513" s="75">
        <f t="shared" si="80"/>
        <v>0</v>
      </c>
      <c r="BN513" s="75">
        <f t="shared" si="81"/>
        <v>0</v>
      </c>
      <c r="BO513" s="75">
        <f t="shared" si="82"/>
        <v>0</v>
      </c>
      <c r="BP513" s="75">
        <f t="shared" si="83"/>
        <v>0</v>
      </c>
    </row>
    <row r="514" spans="1:68" hidden="1" x14ac:dyDescent="0.2">
      <c r="A514" s="728"/>
      <c r="B514" s="728"/>
      <c r="C514" s="728"/>
      <c r="D514" s="728"/>
      <c r="E514" s="728"/>
      <c r="F514" s="728"/>
      <c r="G514" s="728"/>
      <c r="H514" s="728"/>
      <c r="I514" s="728"/>
      <c r="J514" s="728"/>
      <c r="K514" s="728"/>
      <c r="L514" s="728"/>
      <c r="M514" s="728"/>
      <c r="N514" s="728"/>
      <c r="O514" s="729"/>
      <c r="P514" s="725" t="s">
        <v>40</v>
      </c>
      <c r="Q514" s="726"/>
      <c r="R514" s="726"/>
      <c r="S514" s="726"/>
      <c r="T514" s="726"/>
      <c r="U514" s="726"/>
      <c r="V514" s="727"/>
      <c r="W514" s="40" t="s">
        <v>39</v>
      </c>
      <c r="X514" s="41">
        <f>IFERROR(X505/H505,"0")+IFERROR(X506/H506,"0")+IFERROR(X507/H507,"0")+IFERROR(X508/H508,"0")+IFERROR(X509/H509,"0")+IFERROR(X510/H510,"0")+IFERROR(X511/H511,"0")+IFERROR(X512/H512,"0")+IFERROR(X513/H513,"0")</f>
        <v>0</v>
      </c>
      <c r="Y514" s="41">
        <f>IFERROR(Y505/H505,"0")+IFERROR(Y506/H506,"0")+IFERROR(Y507/H507,"0")+IFERROR(Y508/H508,"0")+IFERROR(Y509/H509,"0")+IFERROR(Y510/H510,"0")+IFERROR(Y511/H511,"0")+IFERROR(Y512/H512,"0")+IFERROR(Y513/H513,"0")</f>
        <v>0</v>
      </c>
      <c r="Z514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728"/>
      <c r="B515" s="728"/>
      <c r="C515" s="728"/>
      <c r="D515" s="728"/>
      <c r="E515" s="728"/>
      <c r="F515" s="728"/>
      <c r="G515" s="728"/>
      <c r="H515" s="728"/>
      <c r="I515" s="728"/>
      <c r="J515" s="728"/>
      <c r="K515" s="728"/>
      <c r="L515" s="728"/>
      <c r="M515" s="728"/>
      <c r="N515" s="728"/>
      <c r="O515" s="729"/>
      <c r="P515" s="725" t="s">
        <v>40</v>
      </c>
      <c r="Q515" s="726"/>
      <c r="R515" s="726"/>
      <c r="S515" s="726"/>
      <c r="T515" s="726"/>
      <c r="U515" s="726"/>
      <c r="V515" s="727"/>
      <c r="W515" s="40" t="s">
        <v>0</v>
      </c>
      <c r="X515" s="41">
        <f>IFERROR(SUM(X505:X513),"0")</f>
        <v>0</v>
      </c>
      <c r="Y515" s="41">
        <f>IFERROR(SUM(Y505:Y513),"0")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719" t="s">
        <v>155</v>
      </c>
      <c r="B516" s="719"/>
      <c r="C516" s="719"/>
      <c r="D516" s="719"/>
      <c r="E516" s="719"/>
      <c r="F516" s="719"/>
      <c r="G516" s="719"/>
      <c r="H516" s="719"/>
      <c r="I516" s="719"/>
      <c r="J516" s="719"/>
      <c r="K516" s="719"/>
      <c r="L516" s="719"/>
      <c r="M516" s="719"/>
      <c r="N516" s="719"/>
      <c r="O516" s="719"/>
      <c r="P516" s="719"/>
      <c r="Q516" s="719"/>
      <c r="R516" s="719"/>
      <c r="S516" s="719"/>
      <c r="T516" s="719"/>
      <c r="U516" s="719"/>
      <c r="V516" s="719"/>
      <c r="W516" s="719"/>
      <c r="X516" s="719"/>
      <c r="Y516" s="719"/>
      <c r="Z516" s="719"/>
      <c r="AA516" s="63"/>
      <c r="AB516" s="63"/>
      <c r="AC516" s="63"/>
    </row>
    <row r="517" spans="1:68" ht="16.5" hidden="1" customHeight="1" x14ac:dyDescent="0.25">
      <c r="A517" s="60" t="s">
        <v>832</v>
      </c>
      <c r="B517" s="60" t="s">
        <v>833</v>
      </c>
      <c r="C517" s="34">
        <v>4301020334</v>
      </c>
      <c r="D517" s="720">
        <v>4607091388930</v>
      </c>
      <c r="E517" s="720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90</v>
      </c>
      <c r="N517" s="36"/>
      <c r="O517" s="35">
        <v>70</v>
      </c>
      <c r="P517" s="99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2"/>
      <c r="R517" s="722"/>
      <c r="S517" s="722"/>
      <c r="T517" s="723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834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hidden="1" customHeight="1" x14ac:dyDescent="0.25">
      <c r="A518" s="60" t="s">
        <v>835</v>
      </c>
      <c r="B518" s="60" t="s">
        <v>836</v>
      </c>
      <c r="C518" s="34">
        <v>4301020374</v>
      </c>
      <c r="D518" s="720">
        <v>4680115886407</v>
      </c>
      <c r="E518" s="720"/>
      <c r="F518" s="59">
        <v>0.4</v>
      </c>
      <c r="G518" s="35">
        <v>6</v>
      </c>
      <c r="H518" s="59">
        <v>2.4</v>
      </c>
      <c r="I518" s="59">
        <v>2.58</v>
      </c>
      <c r="J518" s="35">
        <v>182</v>
      </c>
      <c r="K518" s="35" t="s">
        <v>91</v>
      </c>
      <c r="L518" s="35" t="s">
        <v>46</v>
      </c>
      <c r="M518" s="36" t="s">
        <v>126</v>
      </c>
      <c r="N518" s="36"/>
      <c r="O518" s="35">
        <v>70</v>
      </c>
      <c r="P518" s="99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2"/>
      <c r="R518" s="722"/>
      <c r="S518" s="722"/>
      <c r="T518" s="723"/>
      <c r="U518" s="37" t="s">
        <v>46</v>
      </c>
      <c r="V518" s="37" t="s">
        <v>46</v>
      </c>
      <c r="W518" s="38" t="s">
        <v>0</v>
      </c>
      <c r="X518" s="56">
        <v>0</v>
      </c>
      <c r="Y518" s="53">
        <f>IFERROR(IF(X518="",0,CEILING((X518/$H518),1)*$H518),"")</f>
        <v>0</v>
      </c>
      <c r="Z518" s="39" t="str">
        <f>IFERROR(IF(Y518=0,"",ROUNDUP(Y518/H518,0)*0.00651),"")</f>
        <v/>
      </c>
      <c r="AA518" s="65" t="s">
        <v>46</v>
      </c>
      <c r="AB518" s="66" t="s">
        <v>46</v>
      </c>
      <c r="AC518" s="617" t="s">
        <v>834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0</v>
      </c>
      <c r="BN518" s="75">
        <f>IFERROR(Y518*I518/H518,"0")</f>
        <v>0</v>
      </c>
      <c r="BO518" s="75">
        <f>IFERROR(1/J518*(X518/H518),"0")</f>
        <v>0</v>
      </c>
      <c r="BP518" s="75">
        <f>IFERROR(1/J518*(Y518/H518),"0")</f>
        <v>0</v>
      </c>
    </row>
    <row r="519" spans="1:68" ht="16.5" hidden="1" customHeight="1" x14ac:dyDescent="0.25">
      <c r="A519" s="60" t="s">
        <v>837</v>
      </c>
      <c r="B519" s="60" t="s">
        <v>838</v>
      </c>
      <c r="C519" s="34">
        <v>4301020385</v>
      </c>
      <c r="D519" s="720">
        <v>4680115880054</v>
      </c>
      <c r="E519" s="720"/>
      <c r="F519" s="59">
        <v>0.6</v>
      </c>
      <c r="G519" s="35">
        <v>8</v>
      </c>
      <c r="H519" s="59">
        <v>4.8</v>
      </c>
      <c r="I519" s="59">
        <v>6.91</v>
      </c>
      <c r="J519" s="35">
        <v>132</v>
      </c>
      <c r="K519" s="35" t="s">
        <v>134</v>
      </c>
      <c r="L519" s="35" t="s">
        <v>46</v>
      </c>
      <c r="M519" s="36" t="s">
        <v>126</v>
      </c>
      <c r="N519" s="36"/>
      <c r="O519" s="35">
        <v>70</v>
      </c>
      <c r="P519" s="9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2"/>
      <c r="R519" s="722"/>
      <c r="S519" s="722"/>
      <c r="T519" s="723"/>
      <c r="U519" s="37" t="s">
        <v>46</v>
      </c>
      <c r="V519" s="37" t="s">
        <v>46</v>
      </c>
      <c r="W519" s="38" t="s">
        <v>0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9" t="s">
        <v>834</v>
      </c>
      <c r="AG519" s="75"/>
      <c r="AJ519" s="79" t="s">
        <v>46</v>
      </c>
      <c r="AK519" s="79">
        <v>0</v>
      </c>
      <c r="BB519" s="620" t="s">
        <v>67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hidden="1" x14ac:dyDescent="0.2">
      <c r="A520" s="728"/>
      <c r="B520" s="728"/>
      <c r="C520" s="728"/>
      <c r="D520" s="728"/>
      <c r="E520" s="728"/>
      <c r="F520" s="728"/>
      <c r="G520" s="728"/>
      <c r="H520" s="728"/>
      <c r="I520" s="728"/>
      <c r="J520" s="728"/>
      <c r="K520" s="728"/>
      <c r="L520" s="728"/>
      <c r="M520" s="728"/>
      <c r="N520" s="728"/>
      <c r="O520" s="729"/>
      <c r="P520" s="725" t="s">
        <v>40</v>
      </c>
      <c r="Q520" s="726"/>
      <c r="R520" s="726"/>
      <c r="S520" s="726"/>
      <c r="T520" s="726"/>
      <c r="U520" s="726"/>
      <c r="V520" s="727"/>
      <c r="W520" s="40" t="s">
        <v>39</v>
      </c>
      <c r="X520" s="41">
        <f>IFERROR(X517/H517,"0")+IFERROR(X518/H518,"0")+IFERROR(X519/H519,"0")</f>
        <v>0</v>
      </c>
      <c r="Y520" s="41">
        <f>IFERROR(Y517/H517,"0")+IFERROR(Y518/H518,"0")+IFERROR(Y519/H519,"0")</f>
        <v>0</v>
      </c>
      <c r="Z520" s="41">
        <f>IFERROR(IF(Z517="",0,Z517),"0")+IFERROR(IF(Z518="",0,Z518),"0")+IFERROR(IF(Z519="",0,Z519),"0")</f>
        <v>0</v>
      </c>
      <c r="AA520" s="64"/>
      <c r="AB520" s="64"/>
      <c r="AC520" s="64"/>
    </row>
    <row r="521" spans="1:68" hidden="1" x14ac:dyDescent="0.2">
      <c r="A521" s="728"/>
      <c r="B521" s="728"/>
      <c r="C521" s="728"/>
      <c r="D521" s="728"/>
      <c r="E521" s="728"/>
      <c r="F521" s="728"/>
      <c r="G521" s="728"/>
      <c r="H521" s="728"/>
      <c r="I521" s="728"/>
      <c r="J521" s="728"/>
      <c r="K521" s="728"/>
      <c r="L521" s="728"/>
      <c r="M521" s="728"/>
      <c r="N521" s="728"/>
      <c r="O521" s="729"/>
      <c r="P521" s="725" t="s">
        <v>40</v>
      </c>
      <c r="Q521" s="726"/>
      <c r="R521" s="726"/>
      <c r="S521" s="726"/>
      <c r="T521" s="726"/>
      <c r="U521" s="726"/>
      <c r="V521" s="727"/>
      <c r="W521" s="40" t="s">
        <v>0</v>
      </c>
      <c r="X521" s="41">
        <f>IFERROR(SUM(X517:X519),"0")</f>
        <v>0</v>
      </c>
      <c r="Y521" s="41">
        <f>IFERROR(SUM(Y517:Y519),"0")</f>
        <v>0</v>
      </c>
      <c r="Z521" s="40"/>
      <c r="AA521" s="64"/>
      <c r="AB521" s="64"/>
      <c r="AC521" s="64"/>
    </row>
    <row r="522" spans="1:68" ht="14.25" hidden="1" customHeight="1" x14ac:dyDescent="0.25">
      <c r="A522" s="719" t="s">
        <v>77</v>
      </c>
      <c r="B522" s="719"/>
      <c r="C522" s="719"/>
      <c r="D522" s="719"/>
      <c r="E522" s="719"/>
      <c r="F522" s="719"/>
      <c r="G522" s="719"/>
      <c r="H522" s="719"/>
      <c r="I522" s="719"/>
      <c r="J522" s="719"/>
      <c r="K522" s="719"/>
      <c r="L522" s="719"/>
      <c r="M522" s="719"/>
      <c r="N522" s="719"/>
      <c r="O522" s="719"/>
      <c r="P522" s="719"/>
      <c r="Q522" s="719"/>
      <c r="R522" s="719"/>
      <c r="S522" s="719"/>
      <c r="T522" s="719"/>
      <c r="U522" s="719"/>
      <c r="V522" s="719"/>
      <c r="W522" s="719"/>
      <c r="X522" s="719"/>
      <c r="Y522" s="719"/>
      <c r="Z522" s="719"/>
      <c r="AA522" s="63"/>
      <c r="AB522" s="63"/>
      <c r="AC522" s="63"/>
    </row>
    <row r="523" spans="1:68" ht="27" hidden="1" customHeight="1" x14ac:dyDescent="0.25">
      <c r="A523" s="60" t="s">
        <v>839</v>
      </c>
      <c r="B523" s="60" t="s">
        <v>840</v>
      </c>
      <c r="C523" s="34">
        <v>4301031349</v>
      </c>
      <c r="D523" s="720">
        <v>4680115883116</v>
      </c>
      <c r="E523" s="720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126</v>
      </c>
      <c r="N523" s="36"/>
      <c r="O523" s="35">
        <v>70</v>
      </c>
      <c r="P523" s="99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2"/>
      <c r="R523" s="722"/>
      <c r="S523" s="722"/>
      <c r="T523" s="723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ref="Y523:Y529" si="84">IFERROR(IF(X523="",0,CEILING((X523/$H523),1)*$H523),"")</f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841</v>
      </c>
      <c r="AG523" s="75"/>
      <c r="AJ523" s="79" t="s">
        <v>46</v>
      </c>
      <c r="AK523" s="79">
        <v>0</v>
      </c>
      <c r="BB523" s="622" t="s">
        <v>67</v>
      </c>
      <c r="BM523" s="75">
        <f t="shared" ref="BM523:BM529" si="85">IFERROR(X523*I523/H523,"0")</f>
        <v>0</v>
      </c>
      <c r="BN523" s="75">
        <f t="shared" ref="BN523:BN529" si="86">IFERROR(Y523*I523/H523,"0")</f>
        <v>0</v>
      </c>
      <c r="BO523" s="75">
        <f t="shared" ref="BO523:BO529" si="87">IFERROR(1/J523*(X523/H523),"0")</f>
        <v>0</v>
      </c>
      <c r="BP523" s="75">
        <f t="shared" ref="BP523:BP529" si="88">IFERROR(1/J523*(Y523/H523),"0")</f>
        <v>0</v>
      </c>
    </row>
    <row r="524" spans="1:68" ht="27" hidden="1" customHeight="1" x14ac:dyDescent="0.25">
      <c r="A524" s="60" t="s">
        <v>842</v>
      </c>
      <c r="B524" s="60" t="s">
        <v>843</v>
      </c>
      <c r="C524" s="34">
        <v>4301031350</v>
      </c>
      <c r="D524" s="720">
        <v>4680115883093</v>
      </c>
      <c r="E524" s="720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9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2"/>
      <c r="R524" s="722"/>
      <c r="S524" s="722"/>
      <c r="T524" s="723"/>
      <c r="U524" s="37" t="s">
        <v>46</v>
      </c>
      <c r="V524" s="37" t="s">
        <v>46</v>
      </c>
      <c r="W524" s="38" t="s">
        <v>0</v>
      </c>
      <c r="X524" s="56">
        <v>0</v>
      </c>
      <c r="Y524" s="53">
        <f t="shared" si="84"/>
        <v>0</v>
      </c>
      <c r="Z524" s="39" t="str">
        <f>IFERROR(IF(Y524=0,"",ROUNDUP(Y524/H524,0)*0.01196),"")</f>
        <v/>
      </c>
      <c r="AA524" s="65" t="s">
        <v>46</v>
      </c>
      <c r="AB524" s="66" t="s">
        <v>46</v>
      </c>
      <c r="AC524" s="623" t="s">
        <v>844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0</v>
      </c>
      <c r="BN524" s="75">
        <f t="shared" si="86"/>
        <v>0</v>
      </c>
      <c r="BO524" s="75">
        <f t="shared" si="87"/>
        <v>0</v>
      </c>
      <c r="BP524" s="75">
        <f t="shared" si="88"/>
        <v>0</v>
      </c>
    </row>
    <row r="525" spans="1:68" ht="27" hidden="1" customHeight="1" x14ac:dyDescent="0.25">
      <c r="A525" s="60" t="s">
        <v>845</v>
      </c>
      <c r="B525" s="60" t="s">
        <v>846</v>
      </c>
      <c r="C525" s="34">
        <v>4301031353</v>
      </c>
      <c r="D525" s="720">
        <v>4680115883109</v>
      </c>
      <c r="E525" s="720"/>
      <c r="F525" s="59">
        <v>0.88</v>
      </c>
      <c r="G525" s="35">
        <v>6</v>
      </c>
      <c r="H525" s="59">
        <v>5.28</v>
      </c>
      <c r="I525" s="59">
        <v>5.63</v>
      </c>
      <c r="J525" s="35">
        <v>104</v>
      </c>
      <c r="K525" s="35" t="s">
        <v>127</v>
      </c>
      <c r="L525" s="35" t="s">
        <v>46</v>
      </c>
      <c r="M525" s="36" t="s">
        <v>81</v>
      </c>
      <c r="N525" s="36"/>
      <c r="O525" s="35">
        <v>70</v>
      </c>
      <c r="P525" s="100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2"/>
      <c r="R525" s="722"/>
      <c r="S525" s="722"/>
      <c r="T525" s="723"/>
      <c r="U525" s="37" t="s">
        <v>46</v>
      </c>
      <c r="V525" s="37" t="s">
        <v>46</v>
      </c>
      <c r="W525" s="38" t="s">
        <v>0</v>
      </c>
      <c r="X525" s="56">
        <v>0</v>
      </c>
      <c r="Y525" s="53">
        <f t="shared" si="84"/>
        <v>0</v>
      </c>
      <c r="Z525" s="39" t="str">
        <f>IFERROR(IF(Y525=0,"",ROUNDUP(Y525/H525,0)*0.01196),"")</f>
        <v/>
      </c>
      <c r="AA525" s="65" t="s">
        <v>46</v>
      </c>
      <c r="AB525" s="66" t="s">
        <v>46</v>
      </c>
      <c r="AC525" s="625" t="s">
        <v>847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0</v>
      </c>
      <c r="BN525" s="75">
        <f t="shared" si="86"/>
        <v>0</v>
      </c>
      <c r="BO525" s="75">
        <f t="shared" si="87"/>
        <v>0</v>
      </c>
      <c r="BP525" s="75">
        <f t="shared" si="88"/>
        <v>0</v>
      </c>
    </row>
    <row r="526" spans="1:68" ht="27" hidden="1" customHeight="1" x14ac:dyDescent="0.25">
      <c r="A526" s="60" t="s">
        <v>848</v>
      </c>
      <c r="B526" s="60" t="s">
        <v>849</v>
      </c>
      <c r="C526" s="34">
        <v>4301031419</v>
      </c>
      <c r="D526" s="720">
        <v>4680115882072</v>
      </c>
      <c r="E526" s="720"/>
      <c r="F526" s="59">
        <v>0.6</v>
      </c>
      <c r="G526" s="35">
        <v>8</v>
      </c>
      <c r="H526" s="59">
        <v>4.8</v>
      </c>
      <c r="I526" s="59">
        <v>6.91</v>
      </c>
      <c r="J526" s="35">
        <v>132</v>
      </c>
      <c r="K526" s="35" t="s">
        <v>134</v>
      </c>
      <c r="L526" s="35" t="s">
        <v>46</v>
      </c>
      <c r="M526" s="36" t="s">
        <v>126</v>
      </c>
      <c r="N526" s="36"/>
      <c r="O526" s="35">
        <v>70</v>
      </c>
      <c r="P526" s="100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2"/>
      <c r="R526" s="722"/>
      <c r="S526" s="722"/>
      <c r="T526" s="723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841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850</v>
      </c>
      <c r="B527" s="60" t="s">
        <v>851</v>
      </c>
      <c r="C527" s="34">
        <v>4301031352</v>
      </c>
      <c r="D527" s="720">
        <v>4680115882102</v>
      </c>
      <c r="E527" s="720"/>
      <c r="F527" s="59">
        <v>0.6</v>
      </c>
      <c r="G527" s="35">
        <v>6</v>
      </c>
      <c r="H527" s="59">
        <v>3.6</v>
      </c>
      <c r="I527" s="59">
        <v>3.79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100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2"/>
      <c r="R527" s="722"/>
      <c r="S527" s="722"/>
      <c r="T527" s="723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844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hidden="1" customHeight="1" x14ac:dyDescent="0.25">
      <c r="A528" s="60" t="s">
        <v>850</v>
      </c>
      <c r="B528" s="60" t="s">
        <v>852</v>
      </c>
      <c r="C528" s="34">
        <v>4301031418</v>
      </c>
      <c r="D528" s="720">
        <v>4680115882102</v>
      </c>
      <c r="E528" s="720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10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2"/>
      <c r="R528" s="722"/>
      <c r="S528" s="722"/>
      <c r="T528" s="723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4"/>
        <v>0</v>
      </c>
      <c r="Z528" s="39" t="str">
        <f>IFERROR(IF(Y528=0,"",ROUNDUP(Y528/H528,0)*0.00902),"")</f>
        <v/>
      </c>
      <c r="AA528" s="65" t="s">
        <v>46</v>
      </c>
      <c r="AB528" s="66" t="s">
        <v>46</v>
      </c>
      <c r="AC528" s="631" t="s">
        <v>844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0</v>
      </c>
      <c r="BN528" s="75">
        <f t="shared" si="86"/>
        <v>0</v>
      </c>
      <c r="BO528" s="75">
        <f t="shared" si="87"/>
        <v>0</v>
      </c>
      <c r="BP528" s="75">
        <f t="shared" si="88"/>
        <v>0</v>
      </c>
    </row>
    <row r="529" spans="1:68" ht="27" hidden="1" customHeight="1" x14ac:dyDescent="0.25">
      <c r="A529" s="60" t="s">
        <v>853</v>
      </c>
      <c r="B529" s="60" t="s">
        <v>854</v>
      </c>
      <c r="C529" s="34">
        <v>4301031417</v>
      </c>
      <c r="D529" s="720">
        <v>4680115882096</v>
      </c>
      <c r="E529" s="720"/>
      <c r="F529" s="59">
        <v>0.6</v>
      </c>
      <c r="G529" s="35">
        <v>8</v>
      </c>
      <c r="H529" s="59">
        <v>4.8</v>
      </c>
      <c r="I529" s="59">
        <v>6.67</v>
      </c>
      <c r="J529" s="35">
        <v>132</v>
      </c>
      <c r="K529" s="35" t="s">
        <v>134</v>
      </c>
      <c r="L529" s="35" t="s">
        <v>46</v>
      </c>
      <c r="M529" s="36" t="s">
        <v>81</v>
      </c>
      <c r="N529" s="36"/>
      <c r="O529" s="35">
        <v>70</v>
      </c>
      <c r="P529" s="100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2"/>
      <c r="R529" s="722"/>
      <c r="S529" s="722"/>
      <c r="T529" s="723"/>
      <c r="U529" s="37" t="s">
        <v>46</v>
      </c>
      <c r="V529" s="37" t="s">
        <v>46</v>
      </c>
      <c r="W529" s="38" t="s">
        <v>0</v>
      </c>
      <c r="X529" s="56">
        <v>0</v>
      </c>
      <c r="Y529" s="53">
        <f t="shared" si="84"/>
        <v>0</v>
      </c>
      <c r="Z529" s="39" t="str">
        <f>IFERROR(IF(Y529=0,"",ROUNDUP(Y529/H529,0)*0.00902),"")</f>
        <v/>
      </c>
      <c r="AA529" s="65" t="s">
        <v>46</v>
      </c>
      <c r="AB529" s="66" t="s">
        <v>46</v>
      </c>
      <c r="AC529" s="633" t="s">
        <v>847</v>
      </c>
      <c r="AG529" s="75"/>
      <c r="AJ529" s="79" t="s">
        <v>46</v>
      </c>
      <c r="AK529" s="79">
        <v>0</v>
      </c>
      <c r="BB529" s="634" t="s">
        <v>67</v>
      </c>
      <c r="BM529" s="75">
        <f t="shared" si="85"/>
        <v>0</v>
      </c>
      <c r="BN529" s="75">
        <f t="shared" si="86"/>
        <v>0</v>
      </c>
      <c r="BO529" s="75">
        <f t="shared" si="87"/>
        <v>0</v>
      </c>
      <c r="BP529" s="75">
        <f t="shared" si="88"/>
        <v>0</v>
      </c>
    </row>
    <row r="530" spans="1:68" hidden="1" x14ac:dyDescent="0.2">
      <c r="A530" s="728"/>
      <c r="B530" s="728"/>
      <c r="C530" s="728"/>
      <c r="D530" s="728"/>
      <c r="E530" s="728"/>
      <c r="F530" s="728"/>
      <c r="G530" s="728"/>
      <c r="H530" s="728"/>
      <c r="I530" s="728"/>
      <c r="J530" s="728"/>
      <c r="K530" s="728"/>
      <c r="L530" s="728"/>
      <c r="M530" s="728"/>
      <c r="N530" s="728"/>
      <c r="O530" s="729"/>
      <c r="P530" s="725" t="s">
        <v>40</v>
      </c>
      <c r="Q530" s="726"/>
      <c r="R530" s="726"/>
      <c r="S530" s="726"/>
      <c r="T530" s="726"/>
      <c r="U530" s="726"/>
      <c r="V530" s="727"/>
      <c r="W530" s="40" t="s">
        <v>39</v>
      </c>
      <c r="X530" s="41">
        <f>IFERROR(X523/H523,"0")+IFERROR(X524/H524,"0")+IFERROR(X525/H525,"0")+IFERROR(X526/H526,"0")+IFERROR(X527/H527,"0")+IFERROR(X528/H528,"0")+IFERROR(X529/H529,"0")</f>
        <v>0</v>
      </c>
      <c r="Y530" s="41">
        <f>IFERROR(Y523/H523,"0")+IFERROR(Y524/H524,"0")+IFERROR(Y525/H525,"0")+IFERROR(Y526/H526,"0")+IFERROR(Y527/H527,"0")+IFERROR(Y528/H528,"0")+IFERROR(Y529/H529,"0")</f>
        <v>0</v>
      </c>
      <c r="Z530" s="41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4"/>
      <c r="AB530" s="64"/>
      <c r="AC530" s="64"/>
    </row>
    <row r="531" spans="1:68" hidden="1" x14ac:dyDescent="0.2">
      <c r="A531" s="728"/>
      <c r="B531" s="728"/>
      <c r="C531" s="728"/>
      <c r="D531" s="728"/>
      <c r="E531" s="728"/>
      <c r="F531" s="728"/>
      <c r="G531" s="728"/>
      <c r="H531" s="728"/>
      <c r="I531" s="728"/>
      <c r="J531" s="728"/>
      <c r="K531" s="728"/>
      <c r="L531" s="728"/>
      <c r="M531" s="728"/>
      <c r="N531" s="728"/>
      <c r="O531" s="729"/>
      <c r="P531" s="725" t="s">
        <v>40</v>
      </c>
      <c r="Q531" s="726"/>
      <c r="R531" s="726"/>
      <c r="S531" s="726"/>
      <c r="T531" s="726"/>
      <c r="U531" s="726"/>
      <c r="V531" s="727"/>
      <c r="W531" s="40" t="s">
        <v>0</v>
      </c>
      <c r="X531" s="41">
        <f>IFERROR(SUM(X523:X529),"0")</f>
        <v>0</v>
      </c>
      <c r="Y531" s="41">
        <f>IFERROR(SUM(Y523:Y529),"0")</f>
        <v>0</v>
      </c>
      <c r="Z531" s="40"/>
      <c r="AA531" s="64"/>
      <c r="AB531" s="64"/>
      <c r="AC531" s="64"/>
    </row>
    <row r="532" spans="1:68" ht="27.75" hidden="1" customHeight="1" x14ac:dyDescent="0.2">
      <c r="A532" s="717" t="s">
        <v>855</v>
      </c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7"/>
      <c r="P532" s="717"/>
      <c r="Q532" s="717"/>
      <c r="R532" s="717"/>
      <c r="S532" s="717"/>
      <c r="T532" s="717"/>
      <c r="U532" s="717"/>
      <c r="V532" s="717"/>
      <c r="W532" s="717"/>
      <c r="X532" s="717"/>
      <c r="Y532" s="717"/>
      <c r="Z532" s="717"/>
      <c r="AA532" s="52"/>
      <c r="AB532" s="52"/>
      <c r="AC532" s="52"/>
    </row>
    <row r="533" spans="1:68" ht="16.5" hidden="1" customHeight="1" x14ac:dyDescent="0.25">
      <c r="A533" s="718" t="s">
        <v>855</v>
      </c>
      <c r="B533" s="718"/>
      <c r="C533" s="718"/>
      <c r="D533" s="718"/>
      <c r="E533" s="718"/>
      <c r="F533" s="718"/>
      <c r="G533" s="718"/>
      <c r="H533" s="718"/>
      <c r="I533" s="718"/>
      <c r="J533" s="718"/>
      <c r="K533" s="718"/>
      <c r="L533" s="718"/>
      <c r="M533" s="718"/>
      <c r="N533" s="718"/>
      <c r="O533" s="718"/>
      <c r="P533" s="718"/>
      <c r="Q533" s="718"/>
      <c r="R533" s="718"/>
      <c r="S533" s="718"/>
      <c r="T533" s="718"/>
      <c r="U533" s="718"/>
      <c r="V533" s="718"/>
      <c r="W533" s="718"/>
      <c r="X533" s="718"/>
      <c r="Y533" s="718"/>
      <c r="Z533" s="718"/>
      <c r="AA533" s="62"/>
      <c r="AB533" s="62"/>
      <c r="AC533" s="62"/>
    </row>
    <row r="534" spans="1:68" ht="14.25" hidden="1" customHeight="1" x14ac:dyDescent="0.25">
      <c r="A534" s="719" t="s">
        <v>122</v>
      </c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19"/>
      <c r="P534" s="719"/>
      <c r="Q534" s="719"/>
      <c r="R534" s="719"/>
      <c r="S534" s="719"/>
      <c r="T534" s="719"/>
      <c r="U534" s="719"/>
      <c r="V534" s="719"/>
      <c r="W534" s="719"/>
      <c r="X534" s="719"/>
      <c r="Y534" s="719"/>
      <c r="Z534" s="719"/>
      <c r="AA534" s="63"/>
      <c r="AB534" s="63"/>
      <c r="AC534" s="63"/>
    </row>
    <row r="535" spans="1:68" ht="27" hidden="1" customHeight="1" x14ac:dyDescent="0.25">
      <c r="A535" s="60" t="s">
        <v>856</v>
      </c>
      <c r="B535" s="60" t="s">
        <v>857</v>
      </c>
      <c r="C535" s="34">
        <v>4301011584</v>
      </c>
      <c r="D535" s="720">
        <v>4640242180564</v>
      </c>
      <c r="E535" s="720"/>
      <c r="F535" s="59">
        <v>1.5</v>
      </c>
      <c r="G535" s="35">
        <v>8</v>
      </c>
      <c r="H535" s="59">
        <v>12</v>
      </c>
      <c r="I535" s="59">
        <v>12.41</v>
      </c>
      <c r="J535" s="35">
        <v>64</v>
      </c>
      <c r="K535" s="35" t="s">
        <v>127</v>
      </c>
      <c r="L535" s="35" t="s">
        <v>46</v>
      </c>
      <c r="M535" s="36" t="s">
        <v>126</v>
      </c>
      <c r="N535" s="36"/>
      <c r="O535" s="35">
        <v>50</v>
      </c>
      <c r="P535" s="100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2"/>
      <c r="R535" s="722"/>
      <c r="S535" s="722"/>
      <c r="T535" s="723"/>
      <c r="U535" s="37" t="s">
        <v>46</v>
      </c>
      <c r="V535" s="37" t="s">
        <v>46</v>
      </c>
      <c r="W535" s="38" t="s">
        <v>0</v>
      </c>
      <c r="X535" s="56">
        <v>0</v>
      </c>
      <c r="Y535" s="53">
        <f>IFERROR(IF(X535="",0,CEILING((X535/$H535),1)*$H535),"")</f>
        <v>0</v>
      </c>
      <c r="Z535" s="39" t="str">
        <f>IFERROR(IF(Y535=0,"",ROUNDUP(Y535/H535,0)*0.01898),"")</f>
        <v/>
      </c>
      <c r="AA535" s="65" t="s">
        <v>46</v>
      </c>
      <c r="AB535" s="66" t="s">
        <v>46</v>
      </c>
      <c r="AC535" s="635" t="s">
        <v>858</v>
      </c>
      <c r="AG535" s="75"/>
      <c r="AJ535" s="79" t="s">
        <v>46</v>
      </c>
      <c r="AK535" s="79">
        <v>0</v>
      </c>
      <c r="BB535" s="636" t="s">
        <v>67</v>
      </c>
      <c r="BM535" s="75">
        <f>IFERROR(X535*I535/H535,"0")</f>
        <v>0</v>
      </c>
      <c r="BN535" s="75">
        <f>IFERROR(Y535*I535/H535,"0")</f>
        <v>0</v>
      </c>
      <c r="BO535" s="75">
        <f>IFERROR(1/J535*(X535/H535),"0")</f>
        <v>0</v>
      </c>
      <c r="BP535" s="75">
        <f>IFERROR(1/J535*(Y535/H535),"0")</f>
        <v>0</v>
      </c>
    </row>
    <row r="536" spans="1:68" hidden="1" x14ac:dyDescent="0.2">
      <c r="A536" s="728"/>
      <c r="B536" s="728"/>
      <c r="C536" s="728"/>
      <c r="D536" s="728"/>
      <c r="E536" s="728"/>
      <c r="F536" s="728"/>
      <c r="G536" s="728"/>
      <c r="H536" s="728"/>
      <c r="I536" s="728"/>
      <c r="J536" s="728"/>
      <c r="K536" s="728"/>
      <c r="L536" s="728"/>
      <c r="M536" s="728"/>
      <c r="N536" s="728"/>
      <c r="O536" s="729"/>
      <c r="P536" s="725" t="s">
        <v>40</v>
      </c>
      <c r="Q536" s="726"/>
      <c r="R536" s="726"/>
      <c r="S536" s="726"/>
      <c r="T536" s="726"/>
      <c r="U536" s="726"/>
      <c r="V536" s="727"/>
      <c r="W536" s="40" t="s">
        <v>39</v>
      </c>
      <c r="X536" s="41">
        <f>IFERROR(X535/H535,"0")</f>
        <v>0</v>
      </c>
      <c r="Y536" s="41">
        <f>IFERROR(Y535/H535,"0")</f>
        <v>0</v>
      </c>
      <c r="Z536" s="41">
        <f>IFERROR(IF(Z535="",0,Z535),"0")</f>
        <v>0</v>
      </c>
      <c r="AA536" s="64"/>
      <c r="AB536" s="64"/>
      <c r="AC536" s="64"/>
    </row>
    <row r="537" spans="1:68" hidden="1" x14ac:dyDescent="0.2">
      <c r="A537" s="728"/>
      <c r="B537" s="728"/>
      <c r="C537" s="728"/>
      <c r="D537" s="728"/>
      <c r="E537" s="728"/>
      <c r="F537" s="728"/>
      <c r="G537" s="728"/>
      <c r="H537" s="728"/>
      <c r="I537" s="728"/>
      <c r="J537" s="728"/>
      <c r="K537" s="728"/>
      <c r="L537" s="728"/>
      <c r="M537" s="728"/>
      <c r="N537" s="728"/>
      <c r="O537" s="729"/>
      <c r="P537" s="725" t="s">
        <v>40</v>
      </c>
      <c r="Q537" s="726"/>
      <c r="R537" s="726"/>
      <c r="S537" s="726"/>
      <c r="T537" s="726"/>
      <c r="U537" s="726"/>
      <c r="V537" s="727"/>
      <c r="W537" s="40" t="s">
        <v>0</v>
      </c>
      <c r="X537" s="41">
        <f>IFERROR(SUM(X535:X535),"0")</f>
        <v>0</v>
      </c>
      <c r="Y537" s="41">
        <f>IFERROR(SUM(Y535:Y535),"0")</f>
        <v>0</v>
      </c>
      <c r="Z537" s="40"/>
      <c r="AA537" s="64"/>
      <c r="AB537" s="64"/>
      <c r="AC537" s="64"/>
    </row>
    <row r="538" spans="1:68" ht="14.25" hidden="1" customHeight="1" x14ac:dyDescent="0.25">
      <c r="A538" s="719" t="s">
        <v>155</v>
      </c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19"/>
      <c r="P538" s="719"/>
      <c r="Q538" s="719"/>
      <c r="R538" s="719"/>
      <c r="S538" s="719"/>
      <c r="T538" s="719"/>
      <c r="U538" s="719"/>
      <c r="V538" s="719"/>
      <c r="W538" s="719"/>
      <c r="X538" s="719"/>
      <c r="Y538" s="719"/>
      <c r="Z538" s="719"/>
      <c r="AA538" s="63"/>
      <c r="AB538" s="63"/>
      <c r="AC538" s="63"/>
    </row>
    <row r="539" spans="1:68" ht="27" hidden="1" customHeight="1" x14ac:dyDescent="0.25">
      <c r="A539" s="60" t="s">
        <v>859</v>
      </c>
      <c r="B539" s="60" t="s">
        <v>860</v>
      </c>
      <c r="C539" s="34">
        <v>4301020400</v>
      </c>
      <c r="D539" s="720">
        <v>4640242180519</v>
      </c>
      <c r="E539" s="720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10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722"/>
      <c r="R539" s="722"/>
      <c r="S539" s="722"/>
      <c r="T539" s="723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37" t="s">
        <v>861</v>
      </c>
      <c r="AG539" s="75"/>
      <c r="AJ539" s="79" t="s">
        <v>46</v>
      </c>
      <c r="AK539" s="79">
        <v>0</v>
      </c>
      <c r="BB539" s="638" t="s">
        <v>67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28"/>
      <c r="B540" s="728"/>
      <c r="C540" s="728"/>
      <c r="D540" s="728"/>
      <c r="E540" s="728"/>
      <c r="F540" s="728"/>
      <c r="G540" s="728"/>
      <c r="H540" s="728"/>
      <c r="I540" s="728"/>
      <c r="J540" s="728"/>
      <c r="K540" s="728"/>
      <c r="L540" s="728"/>
      <c r="M540" s="728"/>
      <c r="N540" s="728"/>
      <c r="O540" s="729"/>
      <c r="P540" s="725" t="s">
        <v>40</v>
      </c>
      <c r="Q540" s="726"/>
      <c r="R540" s="726"/>
      <c r="S540" s="726"/>
      <c r="T540" s="726"/>
      <c r="U540" s="726"/>
      <c r="V540" s="727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28"/>
      <c r="B541" s="728"/>
      <c r="C541" s="728"/>
      <c r="D541" s="728"/>
      <c r="E541" s="728"/>
      <c r="F541" s="728"/>
      <c r="G541" s="728"/>
      <c r="H541" s="728"/>
      <c r="I541" s="728"/>
      <c r="J541" s="728"/>
      <c r="K541" s="728"/>
      <c r="L541" s="728"/>
      <c r="M541" s="728"/>
      <c r="N541" s="728"/>
      <c r="O541" s="729"/>
      <c r="P541" s="725" t="s">
        <v>40</v>
      </c>
      <c r="Q541" s="726"/>
      <c r="R541" s="726"/>
      <c r="S541" s="726"/>
      <c r="T541" s="726"/>
      <c r="U541" s="726"/>
      <c r="V541" s="727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4.25" hidden="1" customHeight="1" x14ac:dyDescent="0.25">
      <c r="A542" s="719" t="s">
        <v>77</v>
      </c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19"/>
      <c r="P542" s="719"/>
      <c r="Q542" s="719"/>
      <c r="R542" s="719"/>
      <c r="S542" s="719"/>
      <c r="T542" s="719"/>
      <c r="U542" s="719"/>
      <c r="V542" s="719"/>
      <c r="W542" s="719"/>
      <c r="X542" s="719"/>
      <c r="Y542" s="719"/>
      <c r="Z542" s="719"/>
      <c r="AA542" s="63"/>
      <c r="AB542" s="63"/>
      <c r="AC542" s="63"/>
    </row>
    <row r="543" spans="1:68" ht="27" hidden="1" customHeight="1" x14ac:dyDescent="0.25">
      <c r="A543" s="60" t="s">
        <v>862</v>
      </c>
      <c r="B543" s="60" t="s">
        <v>863</v>
      </c>
      <c r="C543" s="34">
        <v>4301031500</v>
      </c>
      <c r="D543" s="720">
        <v>4640242180595</v>
      </c>
      <c r="E543" s="720"/>
      <c r="F543" s="59">
        <v>0.7</v>
      </c>
      <c r="G543" s="35">
        <v>6</v>
      </c>
      <c r="H543" s="59">
        <v>4.2</v>
      </c>
      <c r="I543" s="59">
        <v>4.45</v>
      </c>
      <c r="J543" s="35">
        <v>132</v>
      </c>
      <c r="K543" s="35" t="s">
        <v>134</v>
      </c>
      <c r="L543" s="35" t="s">
        <v>46</v>
      </c>
      <c r="M543" s="36" t="s">
        <v>81</v>
      </c>
      <c r="N543" s="36"/>
      <c r="O543" s="35">
        <v>40</v>
      </c>
      <c r="P543" s="100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722"/>
      <c r="R543" s="722"/>
      <c r="S543" s="722"/>
      <c r="T543" s="723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IFERROR(IF(Y543=0,"",ROUNDUP(Y543/H543,0)*0.00902),"")</f>
        <v/>
      </c>
      <c r="AA543" s="65" t="s">
        <v>46</v>
      </c>
      <c r="AB543" s="66" t="s">
        <v>46</v>
      </c>
      <c r="AC543" s="639" t="s">
        <v>864</v>
      </c>
      <c r="AG543" s="75"/>
      <c r="AJ543" s="79" t="s">
        <v>46</v>
      </c>
      <c r="AK543" s="79">
        <v>0</v>
      </c>
      <c r="BB543" s="640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28"/>
      <c r="B544" s="728"/>
      <c r="C544" s="728"/>
      <c r="D544" s="728"/>
      <c r="E544" s="728"/>
      <c r="F544" s="728"/>
      <c r="G544" s="728"/>
      <c r="H544" s="728"/>
      <c r="I544" s="728"/>
      <c r="J544" s="728"/>
      <c r="K544" s="728"/>
      <c r="L544" s="728"/>
      <c r="M544" s="728"/>
      <c r="N544" s="728"/>
      <c r="O544" s="729"/>
      <c r="P544" s="725" t="s">
        <v>40</v>
      </c>
      <c r="Q544" s="726"/>
      <c r="R544" s="726"/>
      <c r="S544" s="726"/>
      <c r="T544" s="726"/>
      <c r="U544" s="726"/>
      <c r="V544" s="727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28"/>
      <c r="B545" s="728"/>
      <c r="C545" s="728"/>
      <c r="D545" s="728"/>
      <c r="E545" s="728"/>
      <c r="F545" s="728"/>
      <c r="G545" s="728"/>
      <c r="H545" s="728"/>
      <c r="I545" s="728"/>
      <c r="J545" s="728"/>
      <c r="K545" s="728"/>
      <c r="L545" s="728"/>
      <c r="M545" s="728"/>
      <c r="N545" s="728"/>
      <c r="O545" s="729"/>
      <c r="P545" s="725" t="s">
        <v>40</v>
      </c>
      <c r="Q545" s="726"/>
      <c r="R545" s="726"/>
      <c r="S545" s="726"/>
      <c r="T545" s="726"/>
      <c r="U545" s="726"/>
      <c r="V545" s="727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19" t="s">
        <v>86</v>
      </c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19"/>
      <c r="P546" s="719"/>
      <c r="Q546" s="719"/>
      <c r="R546" s="719"/>
      <c r="S546" s="719"/>
      <c r="T546" s="719"/>
      <c r="U546" s="719"/>
      <c r="V546" s="719"/>
      <c r="W546" s="719"/>
      <c r="X546" s="719"/>
      <c r="Y546" s="719"/>
      <c r="Z546" s="719"/>
      <c r="AA546" s="63"/>
      <c r="AB546" s="63"/>
      <c r="AC546" s="63"/>
    </row>
    <row r="547" spans="1:68" ht="27" hidden="1" customHeight="1" x14ac:dyDescent="0.25">
      <c r="A547" s="60" t="s">
        <v>865</v>
      </c>
      <c r="B547" s="60" t="s">
        <v>866</v>
      </c>
      <c r="C547" s="34">
        <v>4301052043</v>
      </c>
      <c r="D547" s="720">
        <v>4640242180533</v>
      </c>
      <c r="E547" s="720"/>
      <c r="F547" s="59">
        <v>1.5</v>
      </c>
      <c r="G547" s="35">
        <v>6</v>
      </c>
      <c r="H547" s="59">
        <v>9</v>
      </c>
      <c r="I547" s="59">
        <v>9.4939999999999998</v>
      </c>
      <c r="J547" s="35">
        <v>64</v>
      </c>
      <c r="K547" s="35" t="s">
        <v>127</v>
      </c>
      <c r="L547" s="35" t="s">
        <v>46</v>
      </c>
      <c r="M547" s="36" t="s">
        <v>90</v>
      </c>
      <c r="N547" s="36"/>
      <c r="O547" s="35">
        <v>45</v>
      </c>
      <c r="P547" s="100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722"/>
      <c r="R547" s="722"/>
      <c r="S547" s="722"/>
      <c r="T547" s="723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IFERROR(IF(Y547=0,"",ROUNDUP(Y547/H547,0)*0.01898),"")</f>
        <v/>
      </c>
      <c r="AA547" s="65" t="s">
        <v>46</v>
      </c>
      <c r="AB547" s="66" t="s">
        <v>46</v>
      </c>
      <c r="AC547" s="641" t="s">
        <v>867</v>
      </c>
      <c r="AG547" s="75"/>
      <c r="AJ547" s="79" t="s">
        <v>46</v>
      </c>
      <c r="AK547" s="79">
        <v>0</v>
      </c>
      <c r="BB547" s="642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28"/>
      <c r="B548" s="728"/>
      <c r="C548" s="728"/>
      <c r="D548" s="728"/>
      <c r="E548" s="728"/>
      <c r="F548" s="728"/>
      <c r="G548" s="728"/>
      <c r="H548" s="728"/>
      <c r="I548" s="728"/>
      <c r="J548" s="728"/>
      <c r="K548" s="728"/>
      <c r="L548" s="728"/>
      <c r="M548" s="728"/>
      <c r="N548" s="728"/>
      <c r="O548" s="729"/>
      <c r="P548" s="725" t="s">
        <v>40</v>
      </c>
      <c r="Q548" s="726"/>
      <c r="R548" s="726"/>
      <c r="S548" s="726"/>
      <c r="T548" s="726"/>
      <c r="U548" s="726"/>
      <c r="V548" s="727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28"/>
      <c r="B549" s="728"/>
      <c r="C549" s="728"/>
      <c r="D549" s="728"/>
      <c r="E549" s="728"/>
      <c r="F549" s="728"/>
      <c r="G549" s="728"/>
      <c r="H549" s="728"/>
      <c r="I549" s="728"/>
      <c r="J549" s="728"/>
      <c r="K549" s="728"/>
      <c r="L549" s="728"/>
      <c r="M549" s="728"/>
      <c r="N549" s="728"/>
      <c r="O549" s="729"/>
      <c r="P549" s="725" t="s">
        <v>40</v>
      </c>
      <c r="Q549" s="726"/>
      <c r="R549" s="726"/>
      <c r="S549" s="726"/>
      <c r="T549" s="726"/>
      <c r="U549" s="726"/>
      <c r="V549" s="727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19" t="s">
        <v>173</v>
      </c>
      <c r="B550" s="719"/>
      <c r="C550" s="719"/>
      <c r="D550" s="719"/>
      <c r="E550" s="719"/>
      <c r="F550" s="719"/>
      <c r="G550" s="719"/>
      <c r="H550" s="719"/>
      <c r="I550" s="719"/>
      <c r="J550" s="719"/>
      <c r="K550" s="719"/>
      <c r="L550" s="719"/>
      <c r="M550" s="719"/>
      <c r="N550" s="719"/>
      <c r="O550" s="719"/>
      <c r="P550" s="719"/>
      <c r="Q550" s="719"/>
      <c r="R550" s="719"/>
      <c r="S550" s="719"/>
      <c r="T550" s="719"/>
      <c r="U550" s="719"/>
      <c r="V550" s="719"/>
      <c r="W550" s="719"/>
      <c r="X550" s="719"/>
      <c r="Y550" s="719"/>
      <c r="Z550" s="719"/>
      <c r="AA550" s="63"/>
      <c r="AB550" s="63"/>
      <c r="AC550" s="63"/>
    </row>
    <row r="551" spans="1:68" ht="27" hidden="1" customHeight="1" x14ac:dyDescent="0.25">
      <c r="A551" s="60" t="s">
        <v>868</v>
      </c>
      <c r="B551" s="60" t="s">
        <v>869</v>
      </c>
      <c r="C551" s="34">
        <v>4301060535</v>
      </c>
      <c r="D551" s="720">
        <v>4640242180120</v>
      </c>
      <c r="E551" s="720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100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722"/>
      <c r="R551" s="722"/>
      <c r="S551" s="722"/>
      <c r="T551" s="723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870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t="27" hidden="1" customHeight="1" x14ac:dyDescent="0.25">
      <c r="A552" s="60" t="s">
        <v>871</v>
      </c>
      <c r="B552" s="60" t="s">
        <v>872</v>
      </c>
      <c r="C552" s="34">
        <v>4301060536</v>
      </c>
      <c r="D552" s="720">
        <v>4640242180137</v>
      </c>
      <c r="E552" s="720"/>
      <c r="F552" s="59">
        <v>1.5</v>
      </c>
      <c r="G552" s="35">
        <v>6</v>
      </c>
      <c r="H552" s="59">
        <v>9</v>
      </c>
      <c r="I552" s="59">
        <v>9.41</v>
      </c>
      <c r="J552" s="35">
        <v>64</v>
      </c>
      <c r="K552" s="35" t="s">
        <v>127</v>
      </c>
      <c r="L552" s="35" t="s">
        <v>46</v>
      </c>
      <c r="M552" s="36" t="s">
        <v>90</v>
      </c>
      <c r="N552" s="36"/>
      <c r="O552" s="35">
        <v>40</v>
      </c>
      <c r="P552" s="1010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722"/>
      <c r="R552" s="722"/>
      <c r="S552" s="722"/>
      <c r="T552" s="723"/>
      <c r="U552" s="37" t="s">
        <v>46</v>
      </c>
      <c r="V552" s="37" t="s">
        <v>46</v>
      </c>
      <c r="W552" s="38" t="s">
        <v>0</v>
      </c>
      <c r="X552" s="56">
        <v>0</v>
      </c>
      <c r="Y552" s="53">
        <f>IFERROR(IF(X552="",0,CEILING((X552/$H552),1)*$H552),"")</f>
        <v>0</v>
      </c>
      <c r="Z552" s="39" t="str">
        <f>IFERROR(IF(Y552=0,"",ROUNDUP(Y552/H552,0)*0.01898),"")</f>
        <v/>
      </c>
      <c r="AA552" s="65" t="s">
        <v>46</v>
      </c>
      <c r="AB552" s="66" t="s">
        <v>46</v>
      </c>
      <c r="AC552" s="645" t="s">
        <v>873</v>
      </c>
      <c r="AG552" s="75"/>
      <c r="AJ552" s="79" t="s">
        <v>46</v>
      </c>
      <c r="AK552" s="79">
        <v>0</v>
      </c>
      <c r="BB552" s="646" t="s">
        <v>67</v>
      </c>
      <c r="BM552" s="75">
        <f>IFERROR(X552*I552/H552,"0")</f>
        <v>0</v>
      </c>
      <c r="BN552" s="75">
        <f>IFERROR(Y552*I552/H552,"0")</f>
        <v>0</v>
      </c>
      <c r="BO552" s="75">
        <f>IFERROR(1/J552*(X552/H552),"0")</f>
        <v>0</v>
      </c>
      <c r="BP552" s="75">
        <f>IFERROR(1/J552*(Y552/H552),"0")</f>
        <v>0</v>
      </c>
    </row>
    <row r="553" spans="1:68" hidden="1" x14ac:dyDescent="0.2">
      <c r="A553" s="728"/>
      <c r="B553" s="728"/>
      <c r="C553" s="728"/>
      <c r="D553" s="728"/>
      <c r="E553" s="728"/>
      <c r="F553" s="728"/>
      <c r="G553" s="728"/>
      <c r="H553" s="728"/>
      <c r="I553" s="728"/>
      <c r="J553" s="728"/>
      <c r="K553" s="728"/>
      <c r="L553" s="728"/>
      <c r="M553" s="728"/>
      <c r="N553" s="728"/>
      <c r="O553" s="729"/>
      <c r="P553" s="725" t="s">
        <v>40</v>
      </c>
      <c r="Q553" s="726"/>
      <c r="R553" s="726"/>
      <c r="S553" s="726"/>
      <c r="T553" s="726"/>
      <c r="U553" s="726"/>
      <c r="V553" s="727"/>
      <c r="W553" s="40" t="s">
        <v>39</v>
      </c>
      <c r="X553" s="41">
        <f>IFERROR(X551/H551,"0")+IFERROR(X552/H552,"0")</f>
        <v>0</v>
      </c>
      <c r="Y553" s="41">
        <f>IFERROR(Y551/H551,"0")+IFERROR(Y552/H552,"0")</f>
        <v>0</v>
      </c>
      <c r="Z553" s="41">
        <f>IFERROR(IF(Z551="",0,Z551),"0")+IFERROR(IF(Z552="",0,Z552),"0")</f>
        <v>0</v>
      </c>
      <c r="AA553" s="64"/>
      <c r="AB553" s="64"/>
      <c r="AC553" s="64"/>
    </row>
    <row r="554" spans="1:68" hidden="1" x14ac:dyDescent="0.2">
      <c r="A554" s="728"/>
      <c r="B554" s="728"/>
      <c r="C554" s="728"/>
      <c r="D554" s="728"/>
      <c r="E554" s="728"/>
      <c r="F554" s="728"/>
      <c r="G554" s="728"/>
      <c r="H554" s="728"/>
      <c r="I554" s="728"/>
      <c r="J554" s="728"/>
      <c r="K554" s="728"/>
      <c r="L554" s="728"/>
      <c r="M554" s="728"/>
      <c r="N554" s="728"/>
      <c r="O554" s="729"/>
      <c r="P554" s="725" t="s">
        <v>40</v>
      </c>
      <c r="Q554" s="726"/>
      <c r="R554" s="726"/>
      <c r="S554" s="726"/>
      <c r="T554" s="726"/>
      <c r="U554" s="726"/>
      <c r="V554" s="727"/>
      <c r="W554" s="40" t="s">
        <v>0</v>
      </c>
      <c r="X554" s="41">
        <f>IFERROR(SUM(X551:X552),"0")</f>
        <v>0</v>
      </c>
      <c r="Y554" s="41">
        <f>IFERROR(SUM(Y551:Y552),"0")</f>
        <v>0</v>
      </c>
      <c r="Z554" s="40"/>
      <c r="AA554" s="64"/>
      <c r="AB554" s="64"/>
      <c r="AC554" s="64"/>
    </row>
    <row r="555" spans="1:68" ht="16.5" hidden="1" customHeight="1" x14ac:dyDescent="0.25">
      <c r="A555" s="718" t="s">
        <v>874</v>
      </c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718"/>
      <c r="P555" s="718"/>
      <c r="Q555" s="718"/>
      <c r="R555" s="718"/>
      <c r="S555" s="718"/>
      <c r="T555" s="718"/>
      <c r="U555" s="718"/>
      <c r="V555" s="718"/>
      <c r="W555" s="718"/>
      <c r="X555" s="718"/>
      <c r="Y555" s="718"/>
      <c r="Z555" s="718"/>
      <c r="AA555" s="62"/>
      <c r="AB555" s="62"/>
      <c r="AC555" s="62"/>
    </row>
    <row r="556" spans="1:68" ht="14.25" hidden="1" customHeight="1" x14ac:dyDescent="0.25">
      <c r="A556" s="719" t="s">
        <v>155</v>
      </c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719"/>
      <c r="P556" s="719"/>
      <c r="Q556" s="719"/>
      <c r="R556" s="719"/>
      <c r="S556" s="719"/>
      <c r="T556" s="719"/>
      <c r="U556" s="719"/>
      <c r="V556" s="719"/>
      <c r="W556" s="719"/>
      <c r="X556" s="719"/>
      <c r="Y556" s="719"/>
      <c r="Z556" s="719"/>
      <c r="AA556" s="63"/>
      <c r="AB556" s="63"/>
      <c r="AC556" s="63"/>
    </row>
    <row r="557" spans="1:68" ht="27" hidden="1" customHeight="1" x14ac:dyDescent="0.25">
      <c r="A557" s="60" t="s">
        <v>875</v>
      </c>
      <c r="B557" s="60" t="s">
        <v>876</v>
      </c>
      <c r="C557" s="34">
        <v>4301020428</v>
      </c>
      <c r="D557" s="720">
        <v>4640242180090</v>
      </c>
      <c r="E557" s="720"/>
      <c r="F557" s="59">
        <v>1.5</v>
      </c>
      <c r="G557" s="35">
        <v>8</v>
      </c>
      <c r="H557" s="59">
        <v>12</v>
      </c>
      <c r="I557" s="59">
        <v>12.41</v>
      </c>
      <c r="J557" s="35">
        <v>64</v>
      </c>
      <c r="K557" s="35" t="s">
        <v>127</v>
      </c>
      <c r="L557" s="35" t="s">
        <v>46</v>
      </c>
      <c r="M557" s="36" t="s">
        <v>126</v>
      </c>
      <c r="N557" s="36"/>
      <c r="O557" s="35">
        <v>50</v>
      </c>
      <c r="P557" s="10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722"/>
      <c r="R557" s="722"/>
      <c r="S557" s="722"/>
      <c r="T557" s="723"/>
      <c r="U557" s="37" t="s">
        <v>46</v>
      </c>
      <c r="V557" s="37" t="s">
        <v>46</v>
      </c>
      <c r="W557" s="38" t="s">
        <v>0</v>
      </c>
      <c r="X557" s="56">
        <v>0</v>
      </c>
      <c r="Y557" s="53">
        <f>IFERROR(IF(X557="",0,CEILING((X557/$H557),1)*$H557),"")</f>
        <v>0</v>
      </c>
      <c r="Z557" s="39" t="str">
        <f>IFERROR(IF(Y557=0,"",ROUNDUP(Y557/H557,0)*0.01898),"")</f>
        <v/>
      </c>
      <c r="AA557" s="65" t="s">
        <v>46</v>
      </c>
      <c r="AB557" s="66" t="s">
        <v>46</v>
      </c>
      <c r="AC557" s="647" t="s">
        <v>877</v>
      </c>
      <c r="AG557" s="75"/>
      <c r="AJ557" s="79" t="s">
        <v>46</v>
      </c>
      <c r="AK557" s="79">
        <v>0</v>
      </c>
      <c r="BB557" s="648" t="s">
        <v>67</v>
      </c>
      <c r="BM557" s="75">
        <f>IFERROR(X557*I557/H557,"0")</f>
        <v>0</v>
      </c>
      <c r="BN557" s="75">
        <f>IFERROR(Y557*I557/H557,"0")</f>
        <v>0</v>
      </c>
      <c r="BO557" s="75">
        <f>IFERROR(1/J557*(X557/H557),"0")</f>
        <v>0</v>
      </c>
      <c r="BP557" s="75">
        <f>IFERROR(1/J557*(Y557/H557),"0")</f>
        <v>0</v>
      </c>
    </row>
    <row r="558" spans="1:68" hidden="1" x14ac:dyDescent="0.2">
      <c r="A558" s="728"/>
      <c r="B558" s="728"/>
      <c r="C558" s="728"/>
      <c r="D558" s="728"/>
      <c r="E558" s="728"/>
      <c r="F558" s="728"/>
      <c r="G558" s="728"/>
      <c r="H558" s="728"/>
      <c r="I558" s="728"/>
      <c r="J558" s="728"/>
      <c r="K558" s="728"/>
      <c r="L558" s="728"/>
      <c r="M558" s="728"/>
      <c r="N558" s="728"/>
      <c r="O558" s="729"/>
      <c r="P558" s="725" t="s">
        <v>40</v>
      </c>
      <c r="Q558" s="726"/>
      <c r="R558" s="726"/>
      <c r="S558" s="726"/>
      <c r="T558" s="726"/>
      <c r="U558" s="726"/>
      <c r="V558" s="727"/>
      <c r="W558" s="40" t="s">
        <v>39</v>
      </c>
      <c r="X558" s="41">
        <f>IFERROR(X557/H557,"0")</f>
        <v>0</v>
      </c>
      <c r="Y558" s="41">
        <f>IFERROR(Y557/H557,"0")</f>
        <v>0</v>
      </c>
      <c r="Z558" s="41">
        <f>IFERROR(IF(Z557="",0,Z557),"0")</f>
        <v>0</v>
      </c>
      <c r="AA558" s="64"/>
      <c r="AB558" s="64"/>
      <c r="AC558" s="64"/>
    </row>
    <row r="559" spans="1:68" hidden="1" x14ac:dyDescent="0.2">
      <c r="A559" s="728"/>
      <c r="B559" s="728"/>
      <c r="C559" s="728"/>
      <c r="D559" s="728"/>
      <c r="E559" s="728"/>
      <c r="F559" s="728"/>
      <c r="G559" s="728"/>
      <c r="H559" s="728"/>
      <c r="I559" s="728"/>
      <c r="J559" s="728"/>
      <c r="K559" s="728"/>
      <c r="L559" s="728"/>
      <c r="M559" s="728"/>
      <c r="N559" s="728"/>
      <c r="O559" s="729"/>
      <c r="P559" s="725" t="s">
        <v>40</v>
      </c>
      <c r="Q559" s="726"/>
      <c r="R559" s="726"/>
      <c r="S559" s="726"/>
      <c r="T559" s="726"/>
      <c r="U559" s="726"/>
      <c r="V559" s="727"/>
      <c r="W559" s="40" t="s">
        <v>0</v>
      </c>
      <c r="X559" s="41">
        <f>IFERROR(SUM(X557:X557),"0")</f>
        <v>0</v>
      </c>
      <c r="Y559" s="41">
        <f>IFERROR(SUM(Y557:Y557),"0")</f>
        <v>0</v>
      </c>
      <c r="Z559" s="40"/>
      <c r="AA559" s="64"/>
      <c r="AB559" s="64"/>
      <c r="AC559" s="64"/>
    </row>
    <row r="560" spans="1:68" ht="15" customHeight="1" x14ac:dyDescent="0.2">
      <c r="A560" s="728"/>
      <c r="B560" s="728"/>
      <c r="C560" s="728"/>
      <c r="D560" s="728"/>
      <c r="E560" s="728"/>
      <c r="F560" s="728"/>
      <c r="G560" s="728"/>
      <c r="H560" s="728"/>
      <c r="I560" s="728"/>
      <c r="J560" s="728"/>
      <c r="K560" s="728"/>
      <c r="L560" s="728"/>
      <c r="M560" s="728"/>
      <c r="N560" s="728"/>
      <c r="O560" s="1016"/>
      <c r="P560" s="1013" t="s">
        <v>33</v>
      </c>
      <c r="Q560" s="1014"/>
      <c r="R560" s="1014"/>
      <c r="S560" s="1014"/>
      <c r="T560" s="1014"/>
      <c r="U560" s="1014"/>
      <c r="V560" s="1015"/>
      <c r="W560" s="40" t="s">
        <v>0</v>
      </c>
      <c r="X560" s="41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17378</v>
      </c>
      <c r="Y560" s="41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17390.300000000003</v>
      </c>
      <c r="Z560" s="40"/>
      <c r="AA560" s="64"/>
      <c r="AB560" s="64"/>
      <c r="AC560" s="64"/>
    </row>
    <row r="561" spans="1:32" x14ac:dyDescent="0.2">
      <c r="A561" s="728"/>
      <c r="B561" s="728"/>
      <c r="C561" s="728"/>
      <c r="D561" s="728"/>
      <c r="E561" s="728"/>
      <c r="F561" s="728"/>
      <c r="G561" s="728"/>
      <c r="H561" s="728"/>
      <c r="I561" s="728"/>
      <c r="J561" s="728"/>
      <c r="K561" s="728"/>
      <c r="L561" s="728"/>
      <c r="M561" s="728"/>
      <c r="N561" s="728"/>
      <c r="O561" s="1016"/>
      <c r="P561" s="1013" t="s">
        <v>34</v>
      </c>
      <c r="Q561" s="1014"/>
      <c r="R561" s="1014"/>
      <c r="S561" s="1014"/>
      <c r="T561" s="1014"/>
      <c r="U561" s="1014"/>
      <c r="V561" s="1015"/>
      <c r="W561" s="40" t="s">
        <v>0</v>
      </c>
      <c r="X561" s="41">
        <f>IFERROR(SUM(BM22:BM557),"0")</f>
        <v>19065.54</v>
      </c>
      <c r="Y561" s="41">
        <f>IFERROR(SUM(BN22:BN557),"0")</f>
        <v>19079.160000000003</v>
      </c>
      <c r="Z561" s="40"/>
      <c r="AA561" s="64"/>
      <c r="AB561" s="64"/>
      <c r="AC561" s="64"/>
    </row>
    <row r="562" spans="1:32" x14ac:dyDescent="0.2">
      <c r="A562" s="728"/>
      <c r="B562" s="728"/>
      <c r="C562" s="728"/>
      <c r="D562" s="728"/>
      <c r="E562" s="728"/>
      <c r="F562" s="728"/>
      <c r="G562" s="728"/>
      <c r="H562" s="728"/>
      <c r="I562" s="728"/>
      <c r="J562" s="728"/>
      <c r="K562" s="728"/>
      <c r="L562" s="728"/>
      <c r="M562" s="728"/>
      <c r="N562" s="728"/>
      <c r="O562" s="1016"/>
      <c r="P562" s="1013" t="s">
        <v>35</v>
      </c>
      <c r="Q562" s="1014"/>
      <c r="R562" s="1014"/>
      <c r="S562" s="1014"/>
      <c r="T562" s="1014"/>
      <c r="U562" s="1014"/>
      <c r="V562" s="1015"/>
      <c r="W562" s="40" t="s">
        <v>20</v>
      </c>
      <c r="X562" s="42">
        <f>ROUNDUP(SUM(BO22:BO557),0)</f>
        <v>41</v>
      </c>
      <c r="Y562" s="42">
        <f>ROUNDUP(SUM(BP22:BP557),0)</f>
        <v>41</v>
      </c>
      <c r="Z562" s="40"/>
      <c r="AA562" s="64"/>
      <c r="AB562" s="64"/>
      <c r="AC562" s="64"/>
    </row>
    <row r="563" spans="1:32" x14ac:dyDescent="0.2">
      <c r="A563" s="728"/>
      <c r="B563" s="728"/>
      <c r="C563" s="728"/>
      <c r="D563" s="728"/>
      <c r="E563" s="728"/>
      <c r="F563" s="728"/>
      <c r="G563" s="728"/>
      <c r="H563" s="728"/>
      <c r="I563" s="728"/>
      <c r="J563" s="728"/>
      <c r="K563" s="728"/>
      <c r="L563" s="728"/>
      <c r="M563" s="728"/>
      <c r="N563" s="728"/>
      <c r="O563" s="1016"/>
      <c r="P563" s="1013" t="s">
        <v>36</v>
      </c>
      <c r="Q563" s="1014"/>
      <c r="R563" s="1014"/>
      <c r="S563" s="1014"/>
      <c r="T563" s="1014"/>
      <c r="U563" s="1014"/>
      <c r="V563" s="1015"/>
      <c r="W563" s="40" t="s">
        <v>0</v>
      </c>
      <c r="X563" s="41">
        <f>GrossWeightTotal+PalletQtyTotal*25</f>
        <v>20090.54</v>
      </c>
      <c r="Y563" s="41">
        <f>GrossWeightTotalR+PalletQtyTotalR*25</f>
        <v>20104.160000000003</v>
      </c>
      <c r="Z563" s="40"/>
      <c r="AA563" s="64"/>
      <c r="AB563" s="64"/>
      <c r="AC563" s="64"/>
    </row>
    <row r="564" spans="1:32" x14ac:dyDescent="0.2">
      <c r="A564" s="728"/>
      <c r="B564" s="728"/>
      <c r="C564" s="728"/>
      <c r="D564" s="728"/>
      <c r="E564" s="728"/>
      <c r="F564" s="728"/>
      <c r="G564" s="728"/>
      <c r="H564" s="728"/>
      <c r="I564" s="728"/>
      <c r="J564" s="728"/>
      <c r="K564" s="728"/>
      <c r="L564" s="728"/>
      <c r="M564" s="728"/>
      <c r="N564" s="728"/>
      <c r="O564" s="1016"/>
      <c r="P564" s="1013" t="s">
        <v>37</v>
      </c>
      <c r="Q564" s="1014"/>
      <c r="R564" s="1014"/>
      <c r="S564" s="1014"/>
      <c r="T564" s="1014"/>
      <c r="U564" s="1014"/>
      <c r="V564" s="1015"/>
      <c r="W564" s="40" t="s">
        <v>20</v>
      </c>
      <c r="X564" s="41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7506.6666666666661</v>
      </c>
      <c r="Y564" s="41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7512</v>
      </c>
      <c r="Z564" s="40"/>
      <c r="AA564" s="64"/>
      <c r="AB564" s="64"/>
      <c r="AC564" s="64"/>
    </row>
    <row r="565" spans="1:32" ht="14.25" hidden="1" x14ac:dyDescent="0.2">
      <c r="A565" s="728"/>
      <c r="B565" s="728"/>
      <c r="C565" s="728"/>
      <c r="D565" s="728"/>
      <c r="E565" s="728"/>
      <c r="F565" s="728"/>
      <c r="G565" s="728"/>
      <c r="H565" s="728"/>
      <c r="I565" s="728"/>
      <c r="J565" s="728"/>
      <c r="K565" s="728"/>
      <c r="L565" s="728"/>
      <c r="M565" s="728"/>
      <c r="N565" s="728"/>
      <c r="O565" s="1016"/>
      <c r="P565" s="1013" t="s">
        <v>38</v>
      </c>
      <c r="Q565" s="1014"/>
      <c r="R565" s="1014"/>
      <c r="S565" s="1014"/>
      <c r="T565" s="1014"/>
      <c r="U565" s="1014"/>
      <c r="V565" s="1015"/>
      <c r="W565" s="43" t="s">
        <v>52</v>
      </c>
      <c r="X565" s="40"/>
      <c r="Y565" s="40"/>
      <c r="Z565" s="40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48.167830000000002</v>
      </c>
      <c r="AA565" s="64"/>
      <c r="AB565" s="64"/>
      <c r="AC565" s="64"/>
    </row>
    <row r="566" spans="1:32" ht="13.5" thickBot="1" x14ac:dyDescent="0.25"/>
    <row r="567" spans="1:32" ht="27" thickTop="1" thickBot="1" x14ac:dyDescent="0.25">
      <c r="A567" s="44" t="s">
        <v>9</v>
      </c>
      <c r="B567" s="80" t="s">
        <v>76</v>
      </c>
      <c r="C567" s="80" t="s">
        <v>45</v>
      </c>
      <c r="D567" s="1011" t="s">
        <v>120</v>
      </c>
      <c r="E567" s="1011" t="s">
        <v>120</v>
      </c>
      <c r="F567" s="1011" t="s">
        <v>120</v>
      </c>
      <c r="G567" s="1011" t="s">
        <v>120</v>
      </c>
      <c r="H567" s="1011" t="s">
        <v>120</v>
      </c>
      <c r="I567" s="1011" t="s">
        <v>120</v>
      </c>
      <c r="J567" s="1011" t="s">
        <v>120</v>
      </c>
      <c r="K567" s="1011" t="s">
        <v>360</v>
      </c>
      <c r="L567" s="1011" t="s">
        <v>360</v>
      </c>
      <c r="M567" s="1011" t="s">
        <v>360</v>
      </c>
      <c r="N567" s="1017"/>
      <c r="O567" s="1011" t="s">
        <v>360</v>
      </c>
      <c r="P567" s="1011" t="s">
        <v>360</v>
      </c>
      <c r="Q567" s="1011" t="s">
        <v>360</v>
      </c>
      <c r="R567" s="1011" t="s">
        <v>360</v>
      </c>
      <c r="S567" s="1011" t="s">
        <v>360</v>
      </c>
      <c r="T567" s="1011" t="s">
        <v>360</v>
      </c>
      <c r="U567" s="1011" t="s">
        <v>360</v>
      </c>
      <c r="V567" s="1011" t="s">
        <v>360</v>
      </c>
      <c r="W567" s="1011" t="s">
        <v>706</v>
      </c>
      <c r="X567" s="1011" t="s">
        <v>706</v>
      </c>
      <c r="Y567" s="1011" t="s">
        <v>772</v>
      </c>
      <c r="Z567" s="1011" t="s">
        <v>772</v>
      </c>
      <c r="AA567" s="80" t="s">
        <v>808</v>
      </c>
      <c r="AB567" s="1011" t="s">
        <v>855</v>
      </c>
      <c r="AC567" s="1011" t="s">
        <v>855</v>
      </c>
      <c r="AF567" s="1"/>
    </row>
    <row r="568" spans="1:32" ht="14.25" customHeight="1" thickTop="1" x14ac:dyDescent="0.2">
      <c r="A568" s="1018" t="s">
        <v>10</v>
      </c>
      <c r="B568" s="1011" t="s">
        <v>76</v>
      </c>
      <c r="C568" s="1011" t="s">
        <v>104</v>
      </c>
      <c r="D568" s="1011" t="s">
        <v>121</v>
      </c>
      <c r="E568" s="1011" t="s">
        <v>137</v>
      </c>
      <c r="F568" s="1011" t="s">
        <v>182</v>
      </c>
      <c r="G568" s="1011" t="s">
        <v>209</v>
      </c>
      <c r="H568" s="1011" t="s">
        <v>260</v>
      </c>
      <c r="I568" s="1011" t="s">
        <v>273</v>
      </c>
      <c r="J568" s="1011" t="s">
        <v>120</v>
      </c>
      <c r="K568" s="1011" t="s">
        <v>361</v>
      </c>
      <c r="L568" s="1011" t="s">
        <v>382</v>
      </c>
      <c r="M568" s="1011" t="s">
        <v>449</v>
      </c>
      <c r="N568" s="1"/>
      <c r="O568" s="1011" t="s">
        <v>517</v>
      </c>
      <c r="P568" s="1011" t="s">
        <v>550</v>
      </c>
      <c r="Q568" s="1011" t="s">
        <v>566</v>
      </c>
      <c r="R568" s="1011" t="s">
        <v>575</v>
      </c>
      <c r="S568" s="1011" t="s">
        <v>596</v>
      </c>
      <c r="T568" s="1011" t="s">
        <v>605</v>
      </c>
      <c r="U568" s="1011" t="s">
        <v>689</v>
      </c>
      <c r="V568" s="1011" t="s">
        <v>696</v>
      </c>
      <c r="W568" s="1011" t="s">
        <v>707</v>
      </c>
      <c r="X568" s="1011" t="s">
        <v>756</v>
      </c>
      <c r="Y568" s="1011" t="s">
        <v>773</v>
      </c>
      <c r="Z568" s="1011" t="s">
        <v>796</v>
      </c>
      <c r="AA568" s="1011" t="s">
        <v>808</v>
      </c>
      <c r="AB568" s="1011" t="s">
        <v>855</v>
      </c>
      <c r="AC568" s="1011" t="s">
        <v>874</v>
      </c>
      <c r="AF568" s="1"/>
    </row>
    <row r="569" spans="1:32" ht="13.5" thickBot="1" x14ac:dyDescent="0.25">
      <c r="A569" s="1019"/>
      <c r="B569" s="1011"/>
      <c r="C569" s="1011"/>
      <c r="D569" s="1011"/>
      <c r="E569" s="1011"/>
      <c r="F569" s="1011"/>
      <c r="G569" s="1011"/>
      <c r="H569" s="1011"/>
      <c r="I569" s="1011"/>
      <c r="J569" s="1011"/>
      <c r="K569" s="1011"/>
      <c r="L569" s="1011"/>
      <c r="M569" s="1011"/>
      <c r="N569" s="1"/>
      <c r="O569" s="1011"/>
      <c r="P569" s="1011"/>
      <c r="Q569" s="1011"/>
      <c r="R569" s="1011"/>
      <c r="S569" s="1011"/>
      <c r="T569" s="1011"/>
      <c r="U569" s="1011"/>
      <c r="V569" s="1011"/>
      <c r="W569" s="1011"/>
      <c r="X569" s="1011"/>
      <c r="Y569" s="1011"/>
      <c r="Z569" s="1011"/>
      <c r="AA569" s="1011"/>
      <c r="AB569" s="1011"/>
      <c r="AC569" s="1011"/>
      <c r="AF569" s="1"/>
    </row>
    <row r="570" spans="1:32" ht="18" thickTop="1" thickBot="1" x14ac:dyDescent="0.25">
      <c r="A570" s="44" t="s">
        <v>13</v>
      </c>
      <c r="B570" s="50">
        <f>IFERROR(Y22*1,"0")+IFERROR(Y23*1,"0")+IFERROR(Y27*1,"0")+IFERROR(Y28*1,"0")+IFERROR(Y29*1,"0")+IFERROR(Y30*1,"0")+IFERROR(Y31*1,"0")</f>
        <v>0</v>
      </c>
      <c r="C570" s="50">
        <f>IFERROR(Y37*1,"0")+IFERROR(Y38*1,"0")+IFERROR(Y39*1,"0")+IFERROR(Y40*1,"0")+IFERROR(Y41*1,"0")</f>
        <v>0</v>
      </c>
      <c r="D570" s="50">
        <f>IFERROR(Y47*1,"0")+IFERROR(Y48*1,"0")+IFERROR(Y49*1,"0")+IFERROR(Y50*1,"0")</f>
        <v>200</v>
      </c>
      <c r="E570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225</v>
      </c>
      <c r="F570" s="50">
        <f>IFERROR(Y85*1,"0")+IFERROR(Y86*1,"0")+IFERROR(Y87*1,"0")+IFERROR(Y88*1,"0")+IFERROR(Y89*1,"0")+IFERROR(Y93*1,"0")+IFERROR(Y94*1,"0")+IFERROR(Y95*1,"0")+IFERROR(Y96*1,"0")+IFERROR(Y97*1,"0")+IFERROR(Y98*1,"0")</f>
        <v>1350.9</v>
      </c>
      <c r="G570" s="50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1350</v>
      </c>
      <c r="H570" s="50">
        <f>IFERROR(Y138*1,"0")+IFERROR(Y139*1,"0")+IFERROR(Y143*1,"0")+IFERROR(Y144*1,"0")+IFERROR(Y148*1,"0")+IFERROR(Y149*1,"0")</f>
        <v>0</v>
      </c>
      <c r="I570" s="50">
        <f>IFERROR(Y154*1,"0")+IFERROR(Y155*1,"0")+IFERROR(Y156*1,"0")+IFERROR(Y157*1,"0")+IFERROR(Y158*1,"0")+IFERROR(Y159*1,"0")+IFERROR(Y160*1,"0")+IFERROR(Y164*1,"0")</f>
        <v>0</v>
      </c>
      <c r="J570" s="50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0">
        <f>IFERROR(Y211*1,"0")+IFERROR(Y212*1,"0")+IFERROR(Y213*1,"0")+IFERROR(Y214*1,"0")+IFERROR(Y215*1,"0")+IFERROR(Y216*1,"0")+IFERROR(Y217*1,"0")</f>
        <v>0</v>
      </c>
      <c r="L570" s="50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1157.0999999999999</v>
      </c>
      <c r="M570" s="50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3811.2</v>
      </c>
      <c r="N570" s="1"/>
      <c r="O570" s="50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0">
        <f>IFERROR(Y329*1,"0")+IFERROR(Y330*1,"0")+IFERROR(Y331*1,"0")+IFERROR(Y332*1,"0")+IFERROR(Y333*1,"0")</f>
        <v>0</v>
      </c>
      <c r="Q570" s="50">
        <f>IFERROR(Y338*1,"0")+IFERROR(Y339*1,"0")+IFERROR(Y340*1,"0")</f>
        <v>400.8</v>
      </c>
      <c r="R570" s="50">
        <f>IFERROR(Y345*1,"0")+IFERROR(Y346*1,"0")+IFERROR(Y347*1,"0")+IFERROR(Y348*1,"0")+IFERROR(Y349*1,"0")+IFERROR(Y353*1,"0")+IFERROR(Y354*1,"0")</f>
        <v>0</v>
      </c>
      <c r="S570" s="50">
        <f>IFERROR(Y359*1,"0")+IFERROR(Y360*1,"0")+IFERROR(Y361*1,"0")</f>
        <v>0</v>
      </c>
      <c r="T570" s="50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1194.6000000000001</v>
      </c>
      <c r="U570" s="50">
        <f>IFERROR(Y418*1,"0")+IFERROR(Y419*1,"0")</f>
        <v>0</v>
      </c>
      <c r="V570" s="50">
        <f>IFERROR(Y424*1,"0")+IFERROR(Y425*1,"0")+IFERROR(Y426*1,"0")</f>
        <v>7700.7000000000007</v>
      </c>
      <c r="W570" s="50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70" s="50">
        <f>IFERROR(Y461*1,"0")+IFERROR(Y462*1,"0")+IFERROR(Y466*1,"0")+IFERROR(Y470*1,"0")+IFERROR(Y471*1,"0")+IFERROR(Y472*1,"0")</f>
        <v>0</v>
      </c>
      <c r="Y570" s="50">
        <f>IFERROR(Y478*1,"0")+IFERROR(Y479*1,"0")+IFERROR(Y480*1,"0")+IFERROR(Y481*1,"0")+IFERROR(Y482*1,"0")+IFERROR(Y483*1,"0")+IFERROR(Y487*1,"0")+IFERROR(Y488*1,"0")</f>
        <v>0</v>
      </c>
      <c r="Z570" s="50">
        <f>IFERROR(Y493*1,"0")+IFERROR(Y497*1,"0")+IFERROR(Y498*1,"0")+IFERROR(Y499*1,"0")</f>
        <v>0</v>
      </c>
      <c r="AA570" s="50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0">
        <f>IFERROR(Y535*1,"0")+IFERROR(Y539*1,"0")+IFERROR(Y543*1,"0")+IFERROR(Y547*1,"0")+IFERROR(Y551*1,"0")+IFERROR(Y552*1,"0")</f>
        <v>0</v>
      </c>
      <c r="AC570" s="50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55,00"/>
        <filter val="1 166,67"/>
        <filter val="1 400,00"/>
        <filter val="105,00"/>
        <filter val="120,00"/>
        <filter val="150,00"/>
        <filter val="166,67"/>
        <filter val="17 378,00"/>
        <filter val="170,00"/>
        <filter val="180,00"/>
        <filter val="19 065,54"/>
        <filter val="2 450,00"/>
        <filter val="2 800,00"/>
        <filter val="20 090,54"/>
        <filter val="200,00"/>
        <filter val="216,67"/>
        <filter val="225,00"/>
        <filter val="240,00"/>
        <filter val="250,00"/>
        <filter val="288,00"/>
        <filter val="3 666,67"/>
        <filter val="340,00"/>
        <filter val="350,00"/>
        <filter val="383,33"/>
        <filter val="400,00"/>
        <filter val="41"/>
        <filter val="425,00"/>
        <filter val="48,00"/>
        <filter val="5 250,00"/>
        <filter val="50,00"/>
        <filter val="525,00"/>
        <filter val="550,00"/>
        <filter val="585,00"/>
        <filter val="675,00"/>
        <filter val="7 506,67"/>
        <filter val="7 700,00"/>
        <filter val="700,00"/>
        <filter val="720,00"/>
        <filter val="765,00"/>
        <filter val="85,00"/>
      </filters>
    </filterColumn>
    <filterColumn colId="29" showButton="0"/>
    <filterColumn colId="30" showButton="0"/>
  </autoFilter>
  <dataConsolidate/>
  <mergeCells count="1005"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878</v>
      </c>
      <c r="H1" s="9"/>
    </row>
    <row r="3" spans="2:8" x14ac:dyDescent="0.2">
      <c r="B3" s="51" t="s">
        <v>879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880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881</v>
      </c>
      <c r="C6" s="51" t="s">
        <v>882</v>
      </c>
      <c r="D6" s="51" t="s">
        <v>883</v>
      </c>
      <c r="E6" s="51" t="s">
        <v>46</v>
      </c>
    </row>
    <row r="7" spans="2:8" x14ac:dyDescent="0.2">
      <c r="B7" s="51" t="s">
        <v>884</v>
      </c>
      <c r="C7" s="51" t="s">
        <v>885</v>
      </c>
      <c r="D7" s="51" t="s">
        <v>886</v>
      </c>
      <c r="E7" s="51" t="s">
        <v>46</v>
      </c>
    </row>
    <row r="9" spans="2:8" x14ac:dyDescent="0.2">
      <c r="B9" s="51" t="s">
        <v>887</v>
      </c>
      <c r="C9" s="51" t="s">
        <v>882</v>
      </c>
      <c r="D9" s="51" t="s">
        <v>46</v>
      </c>
      <c r="E9" s="51" t="s">
        <v>46</v>
      </c>
    </row>
    <row r="11" spans="2:8" x14ac:dyDescent="0.2">
      <c r="B11" s="51" t="s">
        <v>887</v>
      </c>
      <c r="C11" s="51" t="s">
        <v>885</v>
      </c>
      <c r="D11" s="51" t="s">
        <v>46</v>
      </c>
      <c r="E11" s="51" t="s">
        <v>46</v>
      </c>
    </row>
    <row r="13" spans="2:8" x14ac:dyDescent="0.2">
      <c r="B13" s="51" t="s">
        <v>888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890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891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892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893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894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895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896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898</v>
      </c>
      <c r="C23" s="51" t="s">
        <v>46</v>
      </c>
      <c r="D23" s="51" t="s">
        <v>46</v>
      </c>
      <c r="E23" s="51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2026-09-02T16:04:55Z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