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0A4B32-0263-4079-B271-DB7ACC991A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P158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N49" i="2"/>
  <c r="BM49" i="2"/>
  <c r="Z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37" i="2" l="1"/>
  <c r="Z48" i="2"/>
  <c r="Z67" i="2"/>
  <c r="Z183" i="2"/>
  <c r="Z184" i="2"/>
  <c r="BN184" i="2"/>
  <c r="Z291" i="2"/>
  <c r="BN291" i="2"/>
  <c r="Y315" i="2"/>
  <c r="Y341" i="2"/>
  <c r="Z379" i="2"/>
  <c r="BN23" i="2"/>
  <c r="BN40" i="2"/>
  <c r="BP58" i="2"/>
  <c r="BP59" i="2"/>
  <c r="BN59" i="2"/>
  <c r="Z59" i="2"/>
  <c r="BP64" i="2"/>
  <c r="BN64" i="2"/>
  <c r="Z64" i="2"/>
  <c r="BN85" i="2"/>
  <c r="BP85" i="2"/>
  <c r="BN125" i="2"/>
  <c r="BN126" i="2"/>
  <c r="Z126" i="2"/>
  <c r="BN143" i="2"/>
  <c r="BP195" i="2"/>
  <c r="BN195" i="2"/>
  <c r="Z195" i="2"/>
  <c r="BN229" i="2"/>
  <c r="BN246" i="2"/>
  <c r="Y249" i="2"/>
  <c r="BN252" i="2"/>
  <c r="BN306" i="2"/>
  <c r="BN331" i="2"/>
  <c r="BN375" i="2"/>
  <c r="BN385" i="2"/>
  <c r="BP385" i="2"/>
  <c r="BN392" i="2"/>
  <c r="BN411" i="2"/>
  <c r="BN425" i="2"/>
  <c r="BN450" i="2"/>
  <c r="BP450" i="2"/>
  <c r="BN461" i="2"/>
  <c r="BN510" i="2"/>
  <c r="BP510" i="2"/>
  <c r="BN513" i="2"/>
  <c r="BN525" i="2"/>
  <c r="BN551" i="2"/>
  <c r="Z551" i="2"/>
  <c r="BN30" i="2"/>
  <c r="Z31" i="2"/>
  <c r="BP37" i="2"/>
  <c r="BP48" i="2"/>
  <c r="Z58" i="2"/>
  <c r="BN77" i="2"/>
  <c r="G570" i="2"/>
  <c r="BP106" i="2"/>
  <c r="BN106" i="2"/>
  <c r="Z106" i="2"/>
  <c r="BN115" i="2"/>
  <c r="BN128" i="2"/>
  <c r="BN133" i="2"/>
  <c r="Y135" i="2"/>
  <c r="BN139" i="2"/>
  <c r="Z139" i="2"/>
  <c r="BN157" i="2"/>
  <c r="BP169" i="2"/>
  <c r="BN169" i="2"/>
  <c r="Z169" i="2"/>
  <c r="BN181" i="2"/>
  <c r="BP215" i="2"/>
  <c r="Z215" i="2"/>
  <c r="BP236" i="2"/>
  <c r="BN236" i="2"/>
  <c r="Z236" i="2"/>
  <c r="BN238" i="2"/>
  <c r="BN262" i="2"/>
  <c r="BP262" i="2"/>
  <c r="BP272" i="2"/>
  <c r="BN272" i="2"/>
  <c r="Z272" i="2"/>
  <c r="Y280" i="2"/>
  <c r="BN275" i="2"/>
  <c r="BP275" i="2"/>
  <c r="BP279" i="2"/>
  <c r="BN279" i="2"/>
  <c r="Z279" i="2"/>
  <c r="BP283" i="2"/>
  <c r="BN283" i="2"/>
  <c r="Z283" i="2"/>
  <c r="BN289" i="2"/>
  <c r="BN293" i="2"/>
  <c r="BN322" i="2"/>
  <c r="BP349" i="2"/>
  <c r="BN349" i="2"/>
  <c r="Z349" i="2"/>
  <c r="BN367" i="2"/>
  <c r="Y396" i="2"/>
  <c r="BN401" i="2"/>
  <c r="BN437" i="2"/>
  <c r="BN480" i="2"/>
  <c r="BP519" i="2"/>
  <c r="Z519" i="2"/>
  <c r="Y536" i="2"/>
  <c r="BP535" i="2"/>
  <c r="BN60" i="2"/>
  <c r="Y81" i="2"/>
  <c r="BN80" i="2"/>
  <c r="BN86" i="2"/>
  <c r="BN93" i="2"/>
  <c r="BN107" i="2"/>
  <c r="BN116" i="2"/>
  <c r="BN187" i="2"/>
  <c r="Y198" i="2"/>
  <c r="BN211" i="2"/>
  <c r="Y241" i="2"/>
  <c r="BN232" i="2"/>
  <c r="BN244" i="2"/>
  <c r="BN257" i="2"/>
  <c r="BN263" i="2"/>
  <c r="BN277" i="2"/>
  <c r="BN285" i="2"/>
  <c r="Y300" i="2"/>
  <c r="BN314" i="2"/>
  <c r="BP324" i="2"/>
  <c r="BN347" i="2"/>
  <c r="BN360" i="2"/>
  <c r="BN371" i="2"/>
  <c r="BN387" i="2"/>
  <c r="BN393" i="2"/>
  <c r="BN426" i="2"/>
  <c r="BN438" i="2"/>
  <c r="BN456" i="2"/>
  <c r="BN462" i="2"/>
  <c r="BN482" i="2"/>
  <c r="BN506" i="2"/>
  <c r="BN511" i="2"/>
  <c r="Y52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0" i="2" s="1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Z161" i="2" s="1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25" i="2" l="1"/>
  <c r="Z452" i="2"/>
  <c r="Z177" i="2"/>
  <c r="Z198" i="2"/>
  <c r="Z463" i="2"/>
  <c r="Z68" i="2"/>
  <c r="Z269" i="2"/>
  <c r="Z382" i="2"/>
  <c r="Z218" i="2"/>
  <c r="Z553" i="2"/>
  <c r="Z530" i="2"/>
  <c r="Z484" i="2"/>
  <c r="Z99" i="2"/>
  <c r="Z32" i="2"/>
  <c r="Z414" i="2"/>
  <c r="Z51" i="2"/>
  <c r="Z134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<sst xmlns="http://schemas.openxmlformats.org/spreadsheetml/2006/main" count="4310" uniqueCount="900">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</sst>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46269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700</v>
      </c>
      <c r="Y433" s="55">
        <f t="shared" si="68"/>
        <v>705</v>
      </c>
      <c r="Z433" s="41">
        <f>IFERROR(IF(Y433=0,"",ROUNDUP(Y433/H433,0)*0.02175),"")</f>
        <v>1.0222499999999999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721.93333333333328</v>
      </c>
      <c r="BN433" s="78">
        <f t="shared" si="70"/>
        <v>727.09</v>
      </c>
      <c r="BO433" s="78">
        <f t="shared" si="71"/>
        <v>0.9722222222222221</v>
      </c>
      <c r="BP433" s="78">
        <f t="shared" si="72"/>
        <v>0.97916666666666663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700</v>
      </c>
      <c r="Y434" s="55">
        <f t="shared" si="68"/>
        <v>705</v>
      </c>
      <c r="Z434" s="41">
        <f>IFERROR(IF(Y434=0,"",ROUNDUP(Y434/H434,0)*0.02175),"")</f>
        <v>1.0222499999999999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721.93333333333328</v>
      </c>
      <c r="BN434" s="78">
        <f t="shared" si="70"/>
        <v>727.09</v>
      </c>
      <c r="BO434" s="78">
        <f t="shared" si="71"/>
        <v>0.9722222222222221</v>
      </c>
      <c r="BP434" s="78">
        <f t="shared" si="72"/>
        <v>0.97916666666666663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700</v>
      </c>
      <c r="Y435" s="55">
        <f t="shared" si="68"/>
        <v>705</v>
      </c>
      <c r="Z435" s="41">
        <f>IFERROR(IF(Y435=0,"",ROUNDUP(Y435/H435,0)*0.02175),"")</f>
        <v>1.0222499999999999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721.93333333333328</v>
      </c>
      <c r="BN435" s="78">
        <f t="shared" si="70"/>
        <v>727.09</v>
      </c>
      <c r="BO435" s="78">
        <f t="shared" si="71"/>
        <v>0.9722222222222221</v>
      </c>
      <c r="BP435" s="78">
        <f t="shared" si="72"/>
        <v>0.97916666666666663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68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309.39999999999998</v>
      </c>
      <c r="BN436" s="78">
        <f t="shared" si="70"/>
        <v>309.39999999999998</v>
      </c>
      <c r="BO436" s="78">
        <f t="shared" si="71"/>
        <v>0.41666666666666663</v>
      </c>
      <c r="BP436" s="78">
        <f t="shared" si="72"/>
        <v>0.41666666666666663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160</v>
      </c>
      <c r="Y440" s="43">
        <f>IFERROR(Y432/H432,"0")+IFERROR(Y433/H433,"0")+IFERROR(Y434/H434,"0")+IFERROR(Y435/H435,"0")+IFERROR(Y436/H436,"0")+IFERROR(Y437/H437,"0")+IFERROR(Y438/H438,"0")+IFERROR(Y439/H439,"0")</f>
        <v>161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3.5017499999999999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2400</v>
      </c>
      <c r="Y441" s="43">
        <f>IFERROR(SUM(Y432:Y439),"0")</f>
        <v>2415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700</v>
      </c>
      <c r="Y443" s="55">
        <f>IFERROR(IF(X443="",0,CEILING((X443/$H443),1)*$H443),"")</f>
        <v>705</v>
      </c>
      <c r="Z443" s="41">
        <f>IFERROR(IF(Y443=0,"",ROUNDUP(Y443/H443,0)*0.02175),"")</f>
        <v>1.0222499999999999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721.93333333333328</v>
      </c>
      <c r="BN443" s="78">
        <f>IFERROR(Y443*I443/H443,"0")</f>
        <v>727.09</v>
      </c>
      <c r="BO443" s="78">
        <f>IFERROR(1/J443*(X443/H443),"0")</f>
        <v>0.9722222222222221</v>
      </c>
      <c r="BP443" s="78">
        <f>IFERROR(1/J443*(Y443/H443),"0")</f>
        <v>0.97916666666666663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46.666666666666664</v>
      </c>
      <c r="Y446" s="43">
        <f>IFERROR(Y443/H443,"0")+IFERROR(Y444/H444,"0")+IFERROR(Y445/H445,"0")</f>
        <v>47</v>
      </c>
      <c r="Z446" s="43">
        <f>IFERROR(IF(Z443="",0,Z443),"0")+IFERROR(IF(Z444="",0,Z444),"0")+IFERROR(IF(Z445="",0,Z445),"0")</f>
        <v>1.0222499999999999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700</v>
      </c>
      <c r="Y447" s="43">
        <f>IFERROR(SUM(Y443:Y445),"0")</f>
        <v>705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3100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3120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3197.1333333333332</v>
      </c>
      <c r="Y561" s="43">
        <f>IFERROR(SUM(BN22:BN557),"0")</f>
        <v>3217.76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5</v>
      </c>
      <c r="Y562" s="44">
        <f>ROUNDUP(SUM(BP22:BP557),0)</f>
        <v>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3322.1333333333332</v>
      </c>
      <c r="Y563" s="43">
        <f>GrossWeightTotalR+PalletQtyTotalR*25</f>
        <v>3342.76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206.66666666666666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208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4.524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3120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0,00"/>
        <filter val="2 400,00"/>
        <filter val="206,67"/>
        <filter val="3 100,00"/>
        <filter val="3 197,13"/>
        <filter val="3 322,13"/>
        <filter val="300,00"/>
        <filter val="46,67"/>
        <filter val="5"/>
        <filter val="7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2026-09-04T06:18:01Z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