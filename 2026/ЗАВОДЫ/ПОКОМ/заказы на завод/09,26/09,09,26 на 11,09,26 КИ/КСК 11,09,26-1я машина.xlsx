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B54C269-2382-4778-A82E-A86DF5A7E0E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N486" i="2"/>
  <c r="BM486" i="2"/>
  <c r="Z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Y432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P409" i="2"/>
  <c r="BO409" i="2"/>
  <c r="BM409" i="2"/>
  <c r="Y409" i="2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Z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P161" i="2"/>
  <c r="BO161" i="2"/>
  <c r="BN161" i="2"/>
  <c r="BM161" i="2"/>
  <c r="Z161" i="2"/>
  <c r="Y161" i="2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P86" i="2" l="1"/>
  <c r="BN107" i="2"/>
  <c r="BN185" i="2"/>
  <c r="BN159" i="2"/>
  <c r="BN240" i="2"/>
  <c r="BN250" i="2"/>
  <c r="BN327" i="2"/>
  <c r="BN382" i="2"/>
  <c r="BN410" i="2"/>
  <c r="Z28" i="2"/>
  <c r="BN28" i="2"/>
  <c r="BN31" i="2"/>
  <c r="BP38" i="2"/>
  <c r="BN41" i="2"/>
  <c r="Z86" i="2"/>
  <c r="BP98" i="2"/>
  <c r="BP115" i="2"/>
  <c r="BN118" i="2"/>
  <c r="BP173" i="2"/>
  <c r="BN191" i="2"/>
  <c r="Z205" i="2"/>
  <c r="Z206" i="2" s="1"/>
  <c r="BN292" i="2"/>
  <c r="Z293" i="2"/>
  <c r="BN298" i="2"/>
  <c r="BN336" i="2"/>
  <c r="Z337" i="2"/>
  <c r="BN384" i="2"/>
  <c r="BN416" i="2"/>
  <c r="Z436" i="2"/>
  <c r="BN443" i="2"/>
  <c r="Z466" i="2"/>
  <c r="BN474" i="2"/>
  <c r="Z476" i="2"/>
  <c r="BN516" i="2"/>
  <c r="Z532" i="2"/>
  <c r="BP436" i="2"/>
  <c r="BN397" i="2"/>
  <c r="BN521" i="2"/>
  <c r="Z127" i="2"/>
  <c r="Z93" i="2"/>
  <c r="BP93" i="2"/>
  <c r="BN530" i="2"/>
  <c r="Z521" i="2"/>
  <c r="BN515" i="2"/>
  <c r="BN510" i="2"/>
  <c r="BN503" i="2"/>
  <c r="BN502" i="2"/>
  <c r="Z474" i="2"/>
  <c r="BN466" i="2"/>
  <c r="Z465" i="2"/>
  <c r="BP465" i="2"/>
  <c r="Y467" i="2"/>
  <c r="BN460" i="2"/>
  <c r="Y462" i="2"/>
  <c r="BN455" i="2"/>
  <c r="BN454" i="2"/>
  <c r="Z442" i="2"/>
  <c r="BN442" i="2"/>
  <c r="Z440" i="2"/>
  <c r="BN429" i="2"/>
  <c r="BP428" i="2"/>
  <c r="BP422" i="2"/>
  <c r="Z417" i="2"/>
  <c r="Z415" i="2"/>
  <c r="Z404" i="2"/>
  <c r="Y399" i="2"/>
  <c r="Z397" i="2"/>
  <c r="BP396" i="2"/>
  <c r="BN392" i="2"/>
  <c r="BP389" i="2"/>
  <c r="Y394" i="2"/>
  <c r="Y387" i="2"/>
  <c r="BP379" i="2"/>
  <c r="Z374" i="2"/>
  <c r="BN374" i="2"/>
  <c r="BN372" i="2"/>
  <c r="Y366" i="2"/>
  <c r="Z363" i="2"/>
  <c r="Z353" i="2"/>
  <c r="BN351" i="2"/>
  <c r="BN343" i="2"/>
  <c r="BP333" i="2"/>
  <c r="Z328" i="2"/>
  <c r="Z327" i="2"/>
  <c r="Z326" i="2"/>
  <c r="BN326" i="2"/>
  <c r="BN313" i="2"/>
  <c r="Z295" i="2"/>
  <c r="BN293" i="2"/>
  <c r="Y299" i="2"/>
  <c r="Z277" i="2"/>
  <c r="BN266" i="2"/>
  <c r="Z261" i="2"/>
  <c r="Z262" i="2" s="1"/>
  <c r="Z251" i="2"/>
  <c r="Y252" i="2"/>
  <c r="Z242" i="2"/>
  <c r="Z240" i="2"/>
  <c r="BN233" i="2"/>
  <c r="Z233" i="2"/>
  <c r="Z231" i="2"/>
  <c r="Z230" i="2"/>
  <c r="Z219" i="2"/>
  <c r="BN218" i="2"/>
  <c r="BN199" i="2"/>
  <c r="BN194" i="2"/>
  <c r="BN192" i="2"/>
  <c r="Z191" i="2"/>
  <c r="Z190" i="2"/>
  <c r="BN187" i="2"/>
  <c r="Z185" i="2"/>
  <c r="Z184" i="2"/>
  <c r="BP184" i="2"/>
  <c r="Y179" i="2"/>
  <c r="Y148" i="2"/>
  <c r="BN145" i="2"/>
  <c r="Y136" i="2"/>
  <c r="Z107" i="2"/>
  <c r="BN106" i="2"/>
  <c r="Y112" i="2"/>
  <c r="Z104" i="2"/>
  <c r="Y100" i="2"/>
  <c r="BP80" i="2"/>
  <c r="Z77" i="2"/>
  <c r="BP77" i="2"/>
  <c r="BN77" i="2"/>
  <c r="BP50" i="2"/>
  <c r="Z48" i="2"/>
  <c r="Z31" i="2"/>
  <c r="Y33" i="2"/>
  <c r="X565" i="2"/>
  <c r="X568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2" i="2" l="1"/>
  <c r="Z345" i="2"/>
  <c r="Z174" i="2"/>
  <c r="Z120" i="2"/>
  <c r="Z456" i="2"/>
  <c r="Z418" i="2"/>
  <c r="Z477" i="2"/>
  <c r="Z354" i="2"/>
  <c r="Z467" i="2"/>
  <c r="Z366" i="2"/>
  <c r="Z399" i="2"/>
  <c r="Z534" i="2"/>
  <c r="Z493" i="2"/>
  <c r="Z444" i="2"/>
  <c r="Z431" i="2"/>
  <c r="Z406" i="2"/>
  <c r="Z386" i="2"/>
  <c r="Z338" i="2"/>
  <c r="Z329" i="2"/>
  <c r="Z142" i="2"/>
  <c r="Z131" i="2"/>
  <c r="Z90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<sst xmlns="http://schemas.openxmlformats.org/spreadsheetml/2006/main" count="4366" uniqueCount="910">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</sst>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46276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Пятница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0.375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240</v>
      </c>
      <c r="Y49" s="55">
        <f>IFERROR(IF(X49="",0,CEILING((X49/$H49),1)*$H49),"")</f>
        <v>240</v>
      </c>
      <c r="Z49" s="41">
        <f>IFERROR(IF(Y49=0,"",ROUNDUP(Y49/H49,0)*0.00902),"")</f>
        <v>0.54120000000000001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251.40000000000003</v>
      </c>
      <c r="BN49" s="78">
        <f>IFERROR(Y49*I49/H49,"0")</f>
        <v>251.40000000000003</v>
      </c>
      <c r="BO49" s="78">
        <f>IFERROR(1/J49*(X49/H49),"0")</f>
        <v>0.45454545454545459</v>
      </c>
      <c r="BP49" s="78">
        <f>IFERROR(1/J49*(Y49/H49),"0")</f>
        <v>0.45454545454545459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78.518518518518519</v>
      </c>
      <c r="Y51" s="43">
        <f>IFERROR(Y47/H47,"0")+IFERROR(Y48/H48,"0")+IFERROR(Y49/H49,"0")+IFERROR(Y50/H50,"0")</f>
        <v>79</v>
      </c>
      <c r="Z51" s="43">
        <f>IFERROR(IF(Z47="",0,Z47),"0")+IFERROR(IF(Z48="",0,Z48),"0")+IFERROR(IF(Z49="",0,Z49),"0")+IFERROR(IF(Z50="",0,Z50),"0")</f>
        <v>0.90182000000000007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440</v>
      </c>
      <c r="Y52" s="43">
        <f>IFERROR(SUM(Y47:Y50),"0")</f>
        <v>445.20000000000005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18.518518518518519</v>
      </c>
      <c r="Y61" s="43">
        <f>IFERROR(Y55/H55,"0")+IFERROR(Y56/H56,"0")+IFERROR(Y57/H57,"0")+IFERROR(Y58/H58,"0")+IFERROR(Y59/H59,"0")+IFERROR(Y60/H60,"0")</f>
        <v>19</v>
      </c>
      <c r="Z61" s="43">
        <f>IFERROR(IF(Z55="",0,Z55),"0")+IFERROR(IF(Z56="",0,Z56),"0")+IFERROR(IF(Z57="",0,Z57),"0")+IFERROR(IF(Z58="",0,Z58),"0")+IFERROR(IF(Z59="",0,Z59),"0")+IFERROR(IF(Z60="",0,Z60),"0")</f>
        <v>0.36062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200</v>
      </c>
      <c r="Y62" s="43">
        <f>IFERROR(SUM(Y55:Y60),"0")</f>
        <v>205.20000000000002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110</v>
      </c>
      <c r="Y64" s="55">
        <f>IFERROR(IF(X64="",0,CEILING((X64/$H64),1)*$H64),"")</f>
        <v>118.80000000000001</v>
      </c>
      <c r="Z64" s="41">
        <f>IFERROR(IF(Y64=0,"",ROUNDUP(Y64/H64,0)*0.01898),"")</f>
        <v>0.20877999999999999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114.17592592592594</v>
      </c>
      <c r="BN64" s="78">
        <f>IFERROR(Y64*I64/H64,"0")</f>
        <v>123.31000000000002</v>
      </c>
      <c r="BO64" s="78">
        <f>IFERROR(1/J64*(X64/H64),"0")</f>
        <v>0.15914351851851852</v>
      </c>
      <c r="BP64" s="78">
        <f>IFERROR(1/J64*(Y64/H64),"0")</f>
        <v>0.171875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10.185185185185185</v>
      </c>
      <c r="Y68" s="43">
        <f>IFERROR(Y64/H64,"0")+IFERROR(Y65/H65,"0")+IFERROR(Y66/H66,"0")+IFERROR(Y67/H67,"0")</f>
        <v>11</v>
      </c>
      <c r="Z68" s="43">
        <f>IFERROR(IF(Z64="",0,Z64),"0")+IFERROR(IF(Z65="",0,Z65),"0")+IFERROR(IF(Z66="",0,Z66),"0")+IFERROR(IF(Z67="",0,Z67),"0")</f>
        <v>0.20877999999999999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110</v>
      </c>
      <c r="Y69" s="43">
        <f>IFERROR(SUM(Y64:Y67),"0")</f>
        <v>118.80000000000001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120</v>
      </c>
      <c r="Y77" s="55">
        <f>IFERROR(IF(X77="",0,CEILING((X77/$H77),1)*$H77),"")</f>
        <v>124.8</v>
      </c>
      <c r="Z77" s="41">
        <f>IFERROR(IF(Y77=0,"",ROUNDUP(Y77/H77,0)*0.01898),"")</f>
        <v>0.30368000000000001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126.30769230769232</v>
      </c>
      <c r="BN77" s="78">
        <f>IFERROR(Y77*I77/H77,"0")</f>
        <v>131.36000000000001</v>
      </c>
      <c r="BO77" s="78">
        <f>IFERROR(1/J77*(X77/H77),"0")</f>
        <v>0.24038461538461539</v>
      </c>
      <c r="BP77" s="78">
        <f>IFERROR(1/J77*(Y77/H77),"0")</f>
        <v>0.25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15.384615384615385</v>
      </c>
      <c r="Y81" s="43">
        <f>IFERROR(Y77/H77,"0")+IFERROR(Y78/H78,"0")+IFERROR(Y79/H79,"0")+IFERROR(Y80/H80,"0")</f>
        <v>16</v>
      </c>
      <c r="Z81" s="43">
        <f>IFERROR(IF(Z77="",0,Z77),"0")+IFERROR(IF(Z78="",0,Z78),"0")+IFERROR(IF(Z79="",0,Z79),"0")+IFERROR(IF(Z80="",0,Z80),"0")</f>
        <v>0.30368000000000001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120</v>
      </c>
      <c r="Y82" s="43">
        <f>IFERROR(SUM(Y77:Y80),"0")</f>
        <v>124.8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150</v>
      </c>
      <c r="Y85" s="55">
        <f>IFERROR(IF(X85="",0,CEILING((X85/$H85),1)*$H85),"")</f>
        <v>151.20000000000002</v>
      </c>
      <c r="Z85" s="41">
        <f>IFERROR(IF(Y85=0,"",ROUNDUP(Y85/H85,0)*0.01898),"")</f>
        <v>0.26572000000000001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155.69444444444446</v>
      </c>
      <c r="BN85" s="78">
        <f>IFERROR(Y85*I85/H85,"0")</f>
        <v>156.94</v>
      </c>
      <c r="BO85" s="78">
        <f>IFERROR(1/J85*(X85/H85),"0")</f>
        <v>0.21701388888888887</v>
      </c>
      <c r="BP85" s="78">
        <f>IFERROR(1/J85*(Y85/H85),"0")</f>
        <v>0.21875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13.888888888888888</v>
      </c>
      <c r="Y90" s="43">
        <f>IFERROR(Y85/H85,"0")+IFERROR(Y86/H86,"0")+IFERROR(Y87/H87,"0")+IFERROR(Y88/H88,"0")+IFERROR(Y89/H89,"0")</f>
        <v>14</v>
      </c>
      <c r="Z90" s="43">
        <f>IFERROR(IF(Z85="",0,Z85),"0")+IFERROR(IF(Z86="",0,Z86),"0")+IFERROR(IF(Z87="",0,Z87),"0")+IFERROR(IF(Z88="",0,Z88),"0")+IFERROR(IF(Z89="",0,Z89),"0")</f>
        <v>0.26572000000000001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150</v>
      </c>
      <c r="Y91" s="43">
        <f>IFERROR(SUM(Y85:Y89),"0")</f>
        <v>151.20000000000002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300</v>
      </c>
      <c r="Y93" s="55">
        <f t="shared" ref="Y93:Y99" si="5"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318.2962962962963</v>
      </c>
      <c r="BN93" s="78">
        <f t="shared" ref="BN93:BN99" si="7">IFERROR(Y93*I93/H93,"0")</f>
        <v>326.572</v>
      </c>
      <c r="BO93" s="78">
        <f t="shared" ref="BO93:BO99" si="8">IFERROR(1/J93*(X93/H93),"0")</f>
        <v>0.57870370370370372</v>
      </c>
      <c r="BP93" s="78">
        <f t="shared" ref="BP93:BP99" si="9">IFERROR(1/J93*(Y93/H93),"0")</f>
        <v>0.59375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450</v>
      </c>
      <c r="Y97" s="55">
        <f t="shared" si="5"/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492</v>
      </c>
      <c r="BN97" s="78">
        <f t="shared" si="7"/>
        <v>492.98399999999998</v>
      </c>
      <c r="BO97" s="78">
        <f t="shared" si="8"/>
        <v>0.91575091575091572</v>
      </c>
      <c r="BP97" s="78">
        <f t="shared" si="9"/>
        <v>0.91758241758241765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203.7037037037037</v>
      </c>
      <c r="Y100" s="43">
        <f>IFERROR(Y93/H93,"0")+IFERROR(Y94/H94,"0")+IFERROR(Y95/H95,"0")+IFERROR(Y96/H96,"0")+IFERROR(Y97/H97,"0")+IFERROR(Y98/H98,"0")+IFERROR(Y99/H99,"0")</f>
        <v>205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1.8084099999999999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750</v>
      </c>
      <c r="Y101" s="43">
        <f>IFERROR(SUM(Y93:Y99),"0")</f>
        <v>758.7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100</v>
      </c>
      <c r="Y104" s="55">
        <f t="shared" ref="Y104:Y111" si="10">IFERROR(IF(X104="",0,CEILING((X104/$H104),1)*$H104),"")</f>
        <v>108</v>
      </c>
      <c r="Z104" s="41">
        <f>IFERROR(IF(Y104=0,"",ROUNDUP(Y104/H104,0)*0.01898),"")</f>
        <v>0.1898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103.79629629629629</v>
      </c>
      <c r="BN104" s="78">
        <f t="shared" ref="BN104:BN111" si="12">IFERROR(Y104*I104/H104,"0")</f>
        <v>112.1</v>
      </c>
      <c r="BO104" s="78">
        <f t="shared" ref="BO104:BO111" si="13">IFERROR(1/J104*(X104/H104),"0")</f>
        <v>0.14467592592592593</v>
      </c>
      <c r="BP104" s="78">
        <f t="shared" ref="BP104:BP111" si="14">IFERROR(1/J104*(Y104/H104),"0")</f>
        <v>0.15625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9.2592592592592595</v>
      </c>
      <c r="Y112" s="43">
        <f>IFERROR(Y104/H104,"0")+IFERROR(Y105/H105,"0")+IFERROR(Y106/H106,"0")+IFERROR(Y107/H107,"0")+IFERROR(Y108/H108,"0")+IFERROR(Y109/H109,"0")+IFERROR(Y110/H110,"0")+IFERROR(Y111/H111,"0")</f>
        <v>10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0.1898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100</v>
      </c>
      <c r="Y113" s="43">
        <f>IFERROR(SUM(Y104:Y111),"0")</f>
        <v>108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700</v>
      </c>
      <c r="Y123" s="55">
        <f t="shared" ref="Y123:Y130" si="15">IFERROR(IF(X123="",0,CEILING((X123/$H123),1)*$H123),"")</f>
        <v>704.69999999999993</v>
      </c>
      <c r="Z123" s="41">
        <f>IFERROR(IF(Y123=0,"",ROUNDUP(Y123/H123,0)*0.01898),"")</f>
        <v>1.65126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742.17283950617275</v>
      </c>
      <c r="BN123" s="78">
        <f t="shared" ref="BN123:BN130" si="17">IFERROR(Y123*I123/H123,"0")</f>
        <v>747.15599999999995</v>
      </c>
      <c r="BO123" s="78">
        <f t="shared" ref="BO123:BO130" si="18">IFERROR(1/J123*(X123/H123),"0")</f>
        <v>1.3503086419753088</v>
      </c>
      <c r="BP123" s="78">
        <f t="shared" ref="BP123:BP130" si="19">IFERROR(1/J123*(Y123/H123),"0")</f>
        <v>1.359375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450</v>
      </c>
      <c r="Y127" s="55">
        <f t="shared" si="15"/>
        <v>450.90000000000003</v>
      </c>
      <c r="Z127" s="41">
        <f t="shared" si="20"/>
        <v>1.08717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492</v>
      </c>
      <c r="BN127" s="78">
        <f t="shared" si="17"/>
        <v>492.98399999999998</v>
      </c>
      <c r="BO127" s="78">
        <f t="shared" si="18"/>
        <v>0.91575091575091572</v>
      </c>
      <c r="BP127" s="78">
        <f t="shared" si="19"/>
        <v>0.91758241758241765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253.08641975308643</v>
      </c>
      <c r="Y131" s="43">
        <f>IFERROR(Y123/H123,"0")+IFERROR(Y124/H124,"0")+IFERROR(Y125/H125,"0")+IFERROR(Y126/H126,"0")+IFERROR(Y127/H127,"0")+IFERROR(Y128/H128,"0")+IFERROR(Y129/H129,"0")+IFERROR(Y130/H130,"0")</f>
        <v>254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2.7384300000000001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1150</v>
      </c>
      <c r="Y132" s="43">
        <f>IFERROR(SUM(Y123:Y130),"0")</f>
        <v>1155.5999999999999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500</v>
      </c>
      <c r="Y184" s="55">
        <f t="shared" si="27"/>
        <v>500.5</v>
      </c>
      <c r="Z184" s="41">
        <f t="shared" si="28"/>
        <v>1.28986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527.14285714285711</v>
      </c>
      <c r="BN184" s="78">
        <f t="shared" si="30"/>
        <v>527.66999999999996</v>
      </c>
      <c r="BO184" s="78">
        <f t="shared" si="31"/>
        <v>1.0822510822510822</v>
      </c>
      <c r="BP184" s="78">
        <f t="shared" si="32"/>
        <v>1.0833333333333333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600</v>
      </c>
      <c r="Y186" s="55">
        <f t="shared" si="27"/>
        <v>602</v>
      </c>
      <c r="Z186" s="41">
        <f t="shared" si="28"/>
        <v>1.5514399999999999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632.57142857142856</v>
      </c>
      <c r="BN186" s="78">
        <f t="shared" si="30"/>
        <v>634.68000000000006</v>
      </c>
      <c r="BO186" s="78">
        <f t="shared" si="31"/>
        <v>1.2987012987012987</v>
      </c>
      <c r="BP186" s="78">
        <f t="shared" si="32"/>
        <v>1.303030303030303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224.00000000000003</v>
      </c>
      <c r="Y190" s="55">
        <f t="shared" si="27"/>
        <v>225.12</v>
      </c>
      <c r="Z190" s="41">
        <f>IFERROR(IF(Y190=0,"",ROUNDUP(Y190/H190,0)*0.00502),"")</f>
        <v>0.67268000000000006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237.3333333333334</v>
      </c>
      <c r="BN190" s="78">
        <f t="shared" si="30"/>
        <v>238.52000000000004</v>
      </c>
      <c r="BO190" s="78">
        <f t="shared" si="31"/>
        <v>0.56980056980056992</v>
      </c>
      <c r="BP190" s="78">
        <f t="shared" si="32"/>
        <v>0.57264957264957272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224.00000000000003</v>
      </c>
      <c r="Y192" s="55">
        <f t="shared" si="27"/>
        <v>225.12</v>
      </c>
      <c r="Z192" s="41">
        <f>IFERROR(IF(Y192=0,"",ROUNDUP(Y192/H192,0)*0.00502),"")</f>
        <v>0.67268000000000006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237.3333333333334</v>
      </c>
      <c r="BN192" s="78">
        <f t="shared" si="30"/>
        <v>238.52000000000004</v>
      </c>
      <c r="BO192" s="78">
        <f t="shared" si="31"/>
        <v>0.56980056980056992</v>
      </c>
      <c r="BP192" s="78">
        <f t="shared" si="32"/>
        <v>0.57264957264957272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224.00000000000003</v>
      </c>
      <c r="Y195" s="55">
        <f t="shared" si="27"/>
        <v>225.12</v>
      </c>
      <c r="Z195" s="41">
        <f>IFERROR(IF(Y195=0,"",ROUNDUP(Y195/H195,0)*0.00502),"")</f>
        <v>0.67268000000000006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237.3333333333334</v>
      </c>
      <c r="BN195" s="78">
        <f t="shared" si="30"/>
        <v>238.52000000000004</v>
      </c>
      <c r="BO195" s="78">
        <f t="shared" si="31"/>
        <v>0.56980056980056992</v>
      </c>
      <c r="BP195" s="78">
        <f t="shared" si="32"/>
        <v>0.57264957264957272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714.28571428571433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717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4.8593399999999995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1772</v>
      </c>
      <c r="Y197" s="43">
        <f>IFERROR(SUM(Y182:Y195),"0")</f>
        <v>1777.8599999999997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100</v>
      </c>
      <c r="Y230" s="55">
        <f t="shared" ref="Y230:Y243" si="39">IFERROR(IF(X230="",0,CEILING((X230/$H230),1)*$H230),"")</f>
        <v>100.80000000000001</v>
      </c>
      <c r="Z230" s="41">
        <f>IFERROR(IF(Y230=0,"",ROUNDUP(Y230/H230,0)*0.00902),"")</f>
        <v>0.21648000000000001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105.95238095238095</v>
      </c>
      <c r="BN230" s="78">
        <f t="shared" ref="BN230:BN243" si="41">IFERROR(Y230*I230/H230,"0")</f>
        <v>106.80000000000001</v>
      </c>
      <c r="BO230" s="78">
        <f t="shared" ref="BO230:BO243" si="42">IFERROR(1/J230*(X230/H230),"0")</f>
        <v>0.18037518037518038</v>
      </c>
      <c r="BP230" s="78">
        <f t="shared" ref="BP230:BP243" si="43">IFERROR(1/J230*(Y230/H230),"0")</f>
        <v>0.18181818181818182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250</v>
      </c>
      <c r="Y232" s="55">
        <f t="shared" si="39"/>
        <v>252</v>
      </c>
      <c r="Z232" s="41">
        <f>IFERROR(IF(Y232=0,"",ROUNDUP(Y232/H232,0)*0.00902),"")</f>
        <v>0.54120000000000001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261.3095238095238</v>
      </c>
      <c r="BN232" s="78">
        <f t="shared" si="41"/>
        <v>263.39999999999998</v>
      </c>
      <c r="BO232" s="78">
        <f t="shared" si="42"/>
        <v>0.45093795093795092</v>
      </c>
      <c r="BP232" s="78">
        <f t="shared" si="43"/>
        <v>0.45454545454545459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83.333333333333329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84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0.75768000000000002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350</v>
      </c>
      <c r="Y245" s="43">
        <f>IFERROR(SUM(Y230:Y243),"0")</f>
        <v>352.8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200</v>
      </c>
      <c r="Y276" s="55">
        <f t="shared" ref="Y276:Y283" si="45">IFERROR(IF(X276="",0,CEILING((X276/$H276),1)*$H276),"")</f>
        <v>205.20000000000002</v>
      </c>
      <c r="Z276" s="41">
        <f>IFERROR(IF(Y276=0,"",ROUNDUP(Y276/H276,0)*0.00902),"")</f>
        <v>0.34276000000000001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207.03703703703701</v>
      </c>
      <c r="BN276" s="78">
        <f t="shared" ref="BN276:BN283" si="47">IFERROR(Y276*I276/H276,"0")</f>
        <v>212.42</v>
      </c>
      <c r="BO276" s="78">
        <f t="shared" ref="BO276:BO283" si="48">IFERROR(1/J276*(X276/H276),"0")</f>
        <v>0.28058361391694725</v>
      </c>
      <c r="BP276" s="78">
        <f t="shared" ref="BP276:BP283" si="49">IFERROR(1/J276*(Y276/H276),"0")</f>
        <v>0.2878787878787879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300</v>
      </c>
      <c r="Y277" s="55">
        <f t="shared" si="45"/>
        <v>302.40000000000003</v>
      </c>
      <c r="Z277" s="41">
        <f>IFERROR(IF(Y277=0,"",ROUNDUP(Y277/H277,0)*0.00902),"")</f>
        <v>0.50512000000000001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310.55555555555554</v>
      </c>
      <c r="BN277" s="78">
        <f t="shared" si="47"/>
        <v>313.04000000000002</v>
      </c>
      <c r="BO277" s="78">
        <f t="shared" si="48"/>
        <v>0.42087542087542085</v>
      </c>
      <c r="BP277" s="78">
        <f t="shared" si="49"/>
        <v>0.42424242424242425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800</v>
      </c>
      <c r="Y278" s="55">
        <f t="shared" si="45"/>
        <v>804.6</v>
      </c>
      <c r="Z278" s="41">
        <f>IFERROR(IF(Y278=0,"",ROUNDUP(Y278/H278,0)*0.00902),"")</f>
        <v>1.34398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828.14814814814804</v>
      </c>
      <c r="BN278" s="78">
        <f t="shared" si="47"/>
        <v>832.91</v>
      </c>
      <c r="BO278" s="78">
        <f t="shared" si="48"/>
        <v>1.122334455667789</v>
      </c>
      <c r="BP278" s="78">
        <f t="shared" si="49"/>
        <v>1.1287878787878789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300</v>
      </c>
      <c r="Y279" s="55">
        <f t="shared" si="45"/>
        <v>302.40000000000003</v>
      </c>
      <c r="Z279" s="41">
        <f>IFERROR(IF(Y279=0,"",ROUNDUP(Y279/H279,0)*0.00902),"")</f>
        <v>0.50512000000000001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310.55555555555554</v>
      </c>
      <c r="BN279" s="78">
        <f t="shared" si="47"/>
        <v>313.04000000000002</v>
      </c>
      <c r="BO279" s="78">
        <f t="shared" si="48"/>
        <v>0.42087542087542085</v>
      </c>
      <c r="BP279" s="78">
        <f t="shared" si="49"/>
        <v>0.42424242424242425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296.2962962962963</v>
      </c>
      <c r="Y284" s="43">
        <f>IFERROR(Y276/H276,"0")+IFERROR(Y277/H277,"0")+IFERROR(Y278/H278,"0")+IFERROR(Y279/H279,"0")+IFERROR(Y280/H280,"0")+IFERROR(Y281/H281,"0")+IFERROR(Y282/H282,"0")+IFERROR(Y283/H283,"0")</f>
        <v>299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2.6969799999999999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1600</v>
      </c>
      <c r="Y285" s="43">
        <f>IFERROR(SUM(Y276:Y283),"0")</f>
        <v>1614.6000000000001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900</v>
      </c>
      <c r="Y287" s="55">
        <f t="shared" ref="Y287:Y298" si="50">IFERROR(IF(X287="",0,CEILING((X287/$H287),1)*$H287),"")</f>
        <v>907.19999999999993</v>
      </c>
      <c r="Z287" s="41">
        <f>IFERROR(IF(Y287=0,"",ROUNDUP(Y287/H287,0)*0.01898),"")</f>
        <v>2.1257600000000001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954.88888888888891</v>
      </c>
      <c r="BN287" s="78">
        <f t="shared" ref="BN287:BN298" si="52">IFERROR(Y287*I287/H287,"0")</f>
        <v>962.52799999999991</v>
      </c>
      <c r="BO287" s="78">
        <f t="shared" ref="BO287:BO298" si="53">IFERROR(1/J287*(X287/H287),"0")</f>
        <v>1.7361111111111112</v>
      </c>
      <c r="BP287" s="78">
        <f t="shared" ref="BP287:BP298" si="54">IFERROR(1/J287*(Y287/H287),"0")</f>
        <v>1.75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300</v>
      </c>
      <c r="Y288" s="55">
        <f t="shared" si="50"/>
        <v>307.8</v>
      </c>
      <c r="Z288" s="41">
        <f>IFERROR(IF(Y288=0,"",ROUNDUP(Y288/H288,0)*0.01898),"")</f>
        <v>0.72123999999999999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317.62962962962968</v>
      </c>
      <c r="BN288" s="78">
        <f t="shared" si="52"/>
        <v>325.88800000000003</v>
      </c>
      <c r="BO288" s="78">
        <f t="shared" si="53"/>
        <v>0.57870370370370372</v>
      </c>
      <c r="BP288" s="78">
        <f t="shared" si="54"/>
        <v>0.59375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200</v>
      </c>
      <c r="Y289" s="55">
        <f t="shared" si="50"/>
        <v>200.1</v>
      </c>
      <c r="Z289" s="41">
        <f>IFERROR(IF(Y289=0,"",ROUNDUP(Y289/H289,0)*0.01898),"")</f>
        <v>0.43653999999999998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211.35632183908049</v>
      </c>
      <c r="BN289" s="78">
        <f t="shared" si="52"/>
        <v>211.46200000000005</v>
      </c>
      <c r="BO289" s="78">
        <f t="shared" si="53"/>
        <v>0.35919540229885061</v>
      </c>
      <c r="BP289" s="78">
        <f t="shared" si="54"/>
        <v>0.359375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171.13665389527461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173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3.2835399999999999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1400</v>
      </c>
      <c r="Y300" s="43">
        <f>IFERROR(SUM(Y287:Y298),"0")</f>
        <v>1415.1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600</v>
      </c>
      <c r="Y344" s="55">
        <f>IFERROR(IF(X344="",0,CEILING((X344/$H344),1)*$H344),"")</f>
        <v>600</v>
      </c>
      <c r="Z344" s="41">
        <f>IFERROR(IF(Y344=0,"",ROUNDUP(Y344/H344,0)*0.00651),"")</f>
        <v>1.6274999999999999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645</v>
      </c>
      <c r="BN344" s="78">
        <f>IFERROR(Y344*I344/H344,"0")</f>
        <v>645</v>
      </c>
      <c r="BO344" s="78">
        <f>IFERROR(1/J344*(X344/H344),"0")</f>
        <v>1.3736263736263736</v>
      </c>
      <c r="BP344" s="78">
        <f>IFERROR(1/J344*(Y344/H344),"0")</f>
        <v>1.3736263736263736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250</v>
      </c>
      <c r="Y345" s="43">
        <f>IFERROR(Y342/H342,"0")+IFERROR(Y343/H343,"0")+IFERROR(Y344/H344,"0")</f>
        <v>250</v>
      </c>
      <c r="Z345" s="43">
        <f>IFERROR(IF(Z342="",0,Z342),"0")+IFERROR(IF(Z343="",0,Z343),"0")+IFERROR(IF(Z344="",0,Z344),"0")</f>
        <v>1.6274999999999999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600</v>
      </c>
      <c r="Y346" s="43">
        <f>IFERROR(SUM(Y342:Y344),"0")</f>
        <v>600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350</v>
      </c>
      <c r="Y363" s="55">
        <f>IFERROR(IF(X363="",0,CEILING((X363/$H363),1)*$H363),"")</f>
        <v>351</v>
      </c>
      <c r="Z363" s="41">
        <f>IFERROR(IF(Y363=0,"",ROUNDUP(Y363/H363,0)*0.01898),"")</f>
        <v>0.85409999999999997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368.39743589743597</v>
      </c>
      <c r="BN363" s="78">
        <f>IFERROR(Y363*I363/H363,"0")</f>
        <v>369.45000000000005</v>
      </c>
      <c r="BO363" s="78">
        <f>IFERROR(1/J363*(X363/H363),"0")</f>
        <v>0.70112179487179493</v>
      </c>
      <c r="BP363" s="78">
        <f>IFERROR(1/J363*(Y363/H363),"0")</f>
        <v>0.703125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350</v>
      </c>
      <c r="Y364" s="55">
        <f>IFERROR(IF(X364="",0,CEILING((X364/$H364),1)*$H364),"")</f>
        <v>351</v>
      </c>
      <c r="Z364" s="41">
        <f>IFERROR(IF(Y364=0,"",ROUNDUP(Y364/H364,0)*0.01898),"")</f>
        <v>0.85409999999999997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368.39743589743597</v>
      </c>
      <c r="BN364" s="78">
        <f>IFERROR(Y364*I364/H364,"0")</f>
        <v>369.45000000000005</v>
      </c>
      <c r="BO364" s="78">
        <f>IFERROR(1/J364*(X364/H364),"0")</f>
        <v>0.70112179487179493</v>
      </c>
      <c r="BP364" s="78">
        <f>IFERROR(1/J364*(Y364/H364),"0")</f>
        <v>0.703125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200</v>
      </c>
      <c r="Y365" s="55">
        <f>IFERROR(IF(X365="",0,CEILING((X365/$H365),1)*$H365),"")</f>
        <v>202.79999999999998</v>
      </c>
      <c r="Z365" s="41">
        <f>IFERROR(IF(Y365=0,"",ROUNDUP(Y365/H365,0)*0.01898),"")</f>
        <v>0.49348000000000003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210.51282051282055</v>
      </c>
      <c r="BN365" s="78">
        <f>IFERROR(Y365*I365/H365,"0")</f>
        <v>213.46</v>
      </c>
      <c r="BO365" s="78">
        <f>IFERROR(1/J365*(X365/H365),"0")</f>
        <v>0.40064102564102566</v>
      </c>
      <c r="BP365" s="78">
        <f>IFERROR(1/J365*(Y365/H365),"0")</f>
        <v>0.40625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115.38461538461539</v>
      </c>
      <c r="Y366" s="43">
        <f>IFERROR(Y363/H363,"0")+IFERROR(Y364/H364,"0")+IFERROR(Y365/H365,"0")</f>
        <v>116</v>
      </c>
      <c r="Z366" s="43">
        <f>IFERROR(IF(Z363="",0,Z363),"0")+IFERROR(IF(Z364="",0,Z364),"0")+IFERROR(IF(Z365="",0,Z365),"0")</f>
        <v>2.2016800000000001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900</v>
      </c>
      <c r="Y367" s="43">
        <f>IFERROR(SUM(Y363:Y365),"0")</f>
        <v>904.8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50</v>
      </c>
      <c r="Y370" s="55">
        <f t="shared" ref="Y370:Y375" si="60">IFERROR(IF(X370="",0,CEILING((X370/$H370),1)*$H370),"")</f>
        <v>54</v>
      </c>
      <c r="Z370" s="41">
        <f>IFERROR(IF(Y370=0,"",ROUNDUP(Y370/H370,0)*0.01898),"")</f>
        <v>9.4899999999999998E-2</v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51.898148148148145</v>
      </c>
      <c r="BN370" s="78">
        <f t="shared" ref="BN370:BN375" si="62">IFERROR(Y370*I370/H370,"0")</f>
        <v>56.05</v>
      </c>
      <c r="BO370" s="78">
        <f t="shared" ref="BO370:BO375" si="63">IFERROR(1/J370*(X370/H370),"0")</f>
        <v>7.2337962962962965E-2</v>
      </c>
      <c r="BP370" s="78">
        <f t="shared" ref="BP370:BP375" si="64">IFERROR(1/J370*(Y370/H370),"0")</f>
        <v>7.8125E-2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4.6296296296296298</v>
      </c>
      <c r="Y376" s="43">
        <f>IFERROR(Y370/H370,"0")+IFERROR(Y371/H371,"0")+IFERROR(Y372/H372,"0")+IFERROR(Y373/H373,"0")+IFERROR(Y374/H374,"0")+IFERROR(Y375/H375,"0")</f>
        <v>5</v>
      </c>
      <c r="Z376" s="43">
        <f>IFERROR(IF(Z370="",0,Z370),"0")+IFERROR(IF(Z371="",0,Z371),"0")+IFERROR(IF(Z372="",0,Z372),"0")+IFERROR(IF(Z373="",0,Z373),"0")+IFERROR(IF(Z374="",0,Z374),"0")+IFERROR(IF(Z375="",0,Z375),"0")</f>
        <v>9.4899999999999998E-2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50</v>
      </c>
      <c r="Y377" s="43">
        <f>IFERROR(SUM(Y370:Y375),"0")</f>
        <v>54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500</v>
      </c>
      <c r="Y396" s="55">
        <f>IFERROR(IF(X396="",0,CEILING((X396/$H396),1)*$H396),"")</f>
        <v>504</v>
      </c>
      <c r="Z396" s="41">
        <f>IFERROR(IF(Y396=0,"",ROUNDUP(Y396/H396,0)*0.01898),"")</f>
        <v>1.1388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529.40476190476193</v>
      </c>
      <c r="BN396" s="78">
        <f>IFERROR(Y396*I396/H396,"0")</f>
        <v>533.64</v>
      </c>
      <c r="BO396" s="78">
        <f>IFERROR(1/J396*(X396/H396),"0")</f>
        <v>0.93005952380952372</v>
      </c>
      <c r="BP396" s="78">
        <f>IFERROR(1/J396*(Y396/H396),"0")</f>
        <v>0.9375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600</v>
      </c>
      <c r="Y397" s="55">
        <f>IFERROR(IF(X397="",0,CEILING((X397/$H397),1)*$H397),"")</f>
        <v>600.6</v>
      </c>
      <c r="Z397" s="41">
        <f>IFERROR(IF(Y397=0,"",ROUNDUP(Y397/H397,0)*0.01898),"")</f>
        <v>1.46146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638.00000000000011</v>
      </c>
      <c r="BN397" s="78">
        <f>IFERROR(Y397*I397/H397,"0")</f>
        <v>638.63800000000003</v>
      </c>
      <c r="BO397" s="78">
        <f>IFERROR(1/J397*(X397/H397),"0")</f>
        <v>1.2019230769230769</v>
      </c>
      <c r="BP397" s="78">
        <f>IFERROR(1/J397*(Y397/H397),"0")</f>
        <v>1.203125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100</v>
      </c>
      <c r="Y398" s="55">
        <f>IFERROR(IF(X398="",0,CEILING((X398/$H398),1)*$H398),"")</f>
        <v>100.80000000000001</v>
      </c>
      <c r="Z398" s="41">
        <f>IFERROR(IF(Y398=0,"",ROUNDUP(Y398/H398,0)*0.01898),"")</f>
        <v>0.22776000000000002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105.88095238095238</v>
      </c>
      <c r="BN398" s="78">
        <f>IFERROR(Y398*I398/H398,"0")</f>
        <v>106.72800000000001</v>
      </c>
      <c r="BO398" s="78">
        <f>IFERROR(1/J398*(X398/H398),"0")</f>
        <v>0.18601190476190477</v>
      </c>
      <c r="BP398" s="78">
        <f>IFERROR(1/J398*(Y398/H398),"0")</f>
        <v>0.1875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148.35164835164832</v>
      </c>
      <c r="Y399" s="43">
        <f>IFERROR(Y396/H396,"0")+IFERROR(Y397/H397,"0")+IFERROR(Y398/H398,"0")</f>
        <v>149</v>
      </c>
      <c r="Z399" s="43">
        <f>IFERROR(IF(Z396="",0,Z396),"0")+IFERROR(IF(Z397="",0,Z397),"0")+IFERROR(IF(Z398="",0,Z398),"0")</f>
        <v>2.82802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1200</v>
      </c>
      <c r="Y400" s="43">
        <f>IFERROR(SUM(Y396:Y398),"0")</f>
        <v>1205.3999999999999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150</v>
      </c>
      <c r="Y436" s="55">
        <f t="shared" ref="Y436:Y443" si="70">IFERROR(IF(X436="",0,CEILING((X436/$H436),1)*$H436),"")</f>
        <v>150</v>
      </c>
      <c r="Z436" s="41">
        <f>IFERROR(IF(Y436=0,"",ROUNDUP(Y436/H436,0)*0.02175),"")</f>
        <v>0.21749999999999997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154.69999999999999</v>
      </c>
      <c r="BN436" s="78">
        <f t="shared" ref="BN436:BN443" si="72">IFERROR(Y436*I436/H436,"0")</f>
        <v>154.69999999999999</v>
      </c>
      <c r="BO436" s="78">
        <f t="shared" ref="BO436:BO443" si="73">IFERROR(1/J436*(X436/H436),"0")</f>
        <v>0.20833333333333331</v>
      </c>
      <c r="BP436" s="78">
        <f t="shared" ref="BP436:BP443" si="74">IFERROR(1/J436*(Y436/H436),"0")</f>
        <v>0.20833333333333331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1000</v>
      </c>
      <c r="Y437" s="55">
        <f t="shared" si="70"/>
        <v>1005</v>
      </c>
      <c r="Z437" s="41">
        <f>IFERROR(IF(Y437=0,"",ROUNDUP(Y437/H437,0)*0.02175),"")</f>
        <v>1.4572499999999999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1031.3333333333333</v>
      </c>
      <c r="BN437" s="78">
        <f t="shared" si="72"/>
        <v>1036.49</v>
      </c>
      <c r="BO437" s="78">
        <f t="shared" si="73"/>
        <v>1.3888888888888888</v>
      </c>
      <c r="BP437" s="78">
        <f t="shared" si="74"/>
        <v>1.3958333333333333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500</v>
      </c>
      <c r="Y438" s="55">
        <f t="shared" si="70"/>
        <v>510</v>
      </c>
      <c r="Z438" s="41">
        <f>IFERROR(IF(Y438=0,"",ROUNDUP(Y438/H438,0)*0.02175),"")</f>
        <v>0.73949999999999994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515.66666666666663</v>
      </c>
      <c r="BN438" s="78">
        <f t="shared" si="72"/>
        <v>525.98</v>
      </c>
      <c r="BO438" s="78">
        <f t="shared" si="73"/>
        <v>0.69444444444444442</v>
      </c>
      <c r="BP438" s="78">
        <f t="shared" si="74"/>
        <v>0.70833333333333326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500</v>
      </c>
      <c r="Y440" s="55">
        <f t="shared" si="70"/>
        <v>510</v>
      </c>
      <c r="Z440" s="41">
        <f>IFERROR(IF(Y440=0,"",ROUNDUP(Y440/H440,0)*0.02175),"")</f>
        <v>0.73949999999999994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515.66666666666663</v>
      </c>
      <c r="BN440" s="78">
        <f t="shared" si="72"/>
        <v>525.98</v>
      </c>
      <c r="BO440" s="78">
        <f t="shared" si="73"/>
        <v>0.69444444444444442</v>
      </c>
      <c r="BP440" s="78">
        <f t="shared" si="74"/>
        <v>0.70833333333333326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143.33333333333334</v>
      </c>
      <c r="Y444" s="43">
        <f>IFERROR(Y436/H436,"0")+IFERROR(Y437/H437,"0")+IFERROR(Y438/H438,"0")+IFERROR(Y439/H439,"0")+IFERROR(Y440/H440,"0")+IFERROR(Y441/H441,"0")+IFERROR(Y442/H442,"0")+IFERROR(Y443/H443,"0")</f>
        <v>145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3.1537500000000001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2150</v>
      </c>
      <c r="Y445" s="43">
        <f>IFERROR(SUM(Y436:Y443),"0")</f>
        <v>2175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1000</v>
      </c>
      <c r="Y447" s="55">
        <f>IFERROR(IF(X447="",0,CEILING((X447/$H447),1)*$H447),"")</f>
        <v>1005</v>
      </c>
      <c r="Z447" s="41">
        <f>IFERROR(IF(Y447=0,"",ROUNDUP(Y447/H447,0)*0.02175),"")</f>
        <v>1.4572499999999999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1031.3333333333333</v>
      </c>
      <c r="BN447" s="78">
        <f>IFERROR(Y447*I447/H447,"0")</f>
        <v>1036.49</v>
      </c>
      <c r="BO447" s="78">
        <f>IFERROR(1/J447*(X447/H447),"0")</f>
        <v>1.3888888888888888</v>
      </c>
      <c r="BP447" s="78">
        <f>IFERROR(1/J447*(Y447/H447),"0")</f>
        <v>1.3958333333333333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100</v>
      </c>
      <c r="Y448" s="55">
        <f>IFERROR(IF(X448="",0,CEILING((X448/$H448),1)*$H448),"")</f>
        <v>105</v>
      </c>
      <c r="Z448" s="41">
        <f>IFERROR(IF(Y448=0,"",ROUNDUP(Y448/H448,0)*0.02175),"")</f>
        <v>0.15225</v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103.13333333333334</v>
      </c>
      <c r="BN448" s="78">
        <f>IFERROR(Y448*I448/H448,"0")</f>
        <v>108.29</v>
      </c>
      <c r="BO448" s="78">
        <f>IFERROR(1/J448*(X448/H448),"0")</f>
        <v>0.1388888888888889</v>
      </c>
      <c r="BP448" s="78">
        <f>IFERROR(1/J448*(Y448/H448),"0")</f>
        <v>0.14583333333333331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73.333333333333343</v>
      </c>
      <c r="Y450" s="43">
        <f>IFERROR(Y447/H447,"0")+IFERROR(Y448/H448,"0")+IFERROR(Y449/H449,"0")</f>
        <v>74</v>
      </c>
      <c r="Z450" s="43">
        <f>IFERROR(IF(Z447="",0,Z447),"0")+IFERROR(IF(Z448="",0,Z448),"0")+IFERROR(IF(Z449="",0,Z449),"0")</f>
        <v>1.6094999999999999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1100</v>
      </c>
      <c r="Y451" s="43">
        <f>IFERROR(SUM(Y447:Y449),"0")</f>
        <v>1110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ref="Y509:Y517" si="80">IFERROR(IF(X509="",0,CEILING((X509/$H509),1)*$H509),"")</f>
        <v>100.32000000000001</v>
      </c>
      <c r="Z509" s="41">
        <f t="shared" ref="Z509:Z514" si="81">IFERROR(IF(Y509=0,"",ROUNDUP(Y509/H509,0)*0.01196),"")</f>
        <v>0.22724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106.62878787878788</v>
      </c>
      <c r="BN509" s="78">
        <f t="shared" ref="BN509:BN517" si="83">IFERROR(Y509*I509/H509,"0")</f>
        <v>106.97</v>
      </c>
      <c r="BO509" s="78">
        <f t="shared" ref="BO509:BO517" si="84">IFERROR(1/J509*(X509/H509),"0")</f>
        <v>0.18210955710955709</v>
      </c>
      <c r="BP509" s="78">
        <f t="shared" ref="BP509:BP517" si="85">IFERROR(1/J509*(Y509/H509),"0")</f>
        <v>0.18269230769230771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990</v>
      </c>
      <c r="Y514" s="55">
        <f t="shared" si="80"/>
        <v>992.6400000000001</v>
      </c>
      <c r="Z514" s="41">
        <f t="shared" si="81"/>
        <v>2.2484799999999998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1055.625</v>
      </c>
      <c r="BN514" s="78">
        <f t="shared" si="83"/>
        <v>1058.44</v>
      </c>
      <c r="BO514" s="78">
        <f t="shared" si="84"/>
        <v>1.8028846153846154</v>
      </c>
      <c r="BP514" s="78">
        <f t="shared" si="85"/>
        <v>1.8076923076923077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206.43939393939394</v>
      </c>
      <c r="Y518" s="43">
        <f>IFERROR(Y509/H509,"0")+IFERROR(Y510/H510,"0")+IFERROR(Y511/H511,"0")+IFERROR(Y512/H512,"0")+IFERROR(Y513/H513,"0")+IFERROR(Y514/H514,"0")+IFERROR(Y515/H515,"0")+IFERROR(Y516/H516,"0")+IFERROR(Y517/H517,"0")</f>
        <v>207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2.4757199999999999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1090</v>
      </c>
      <c r="Y519" s="43">
        <f>IFERROR(SUM(Y509:Y517),"0")</f>
        <v>1092.96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1000</v>
      </c>
      <c r="Y521" s="55">
        <f>IFERROR(IF(X521="",0,CEILING((X521/$H521),1)*$H521),"")</f>
        <v>1003.2</v>
      </c>
      <c r="Z521" s="41">
        <f>IFERROR(IF(Y521=0,"",ROUNDUP(Y521/H521,0)*0.01196),"")</f>
        <v>2.2724000000000002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1066.2878787878788</v>
      </c>
      <c r="BN521" s="78">
        <f>IFERROR(Y521*I521/H521,"0")</f>
        <v>1069.7</v>
      </c>
      <c r="BO521" s="78">
        <f>IFERROR(1/J521*(X521/H521),"0")</f>
        <v>1.821095571095571</v>
      </c>
      <c r="BP521" s="78">
        <f>IFERROR(1/J521*(Y521/H521),"0")</f>
        <v>1.8269230769230771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189.39393939393938</v>
      </c>
      <c r="Y524" s="43">
        <f>IFERROR(Y521/H521,"0")+IFERROR(Y522/H522,"0")+IFERROR(Y523/H523,"0")</f>
        <v>190</v>
      </c>
      <c r="Z524" s="43">
        <f>IFERROR(IF(Z521="",0,Z521),"0")+IFERROR(IF(Z522="",0,Z522),"0")+IFERROR(IF(Z523="",0,Z523),"0")</f>
        <v>2.2724000000000002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1000</v>
      </c>
      <c r="Y525" s="43">
        <f>IFERROR(SUM(Y521:Y523),"0")</f>
        <v>1003.2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50</v>
      </c>
      <c r="Y528" s="55">
        <f t="shared" si="86"/>
        <v>52.800000000000004</v>
      </c>
      <c r="Z528" s="41">
        <f>IFERROR(IF(Y528=0,"",ROUNDUP(Y528/H528,0)*0.01196),"")</f>
        <v>0.1196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53.314393939393938</v>
      </c>
      <c r="BN528" s="78">
        <f t="shared" si="88"/>
        <v>56.3</v>
      </c>
      <c r="BO528" s="78">
        <f t="shared" si="89"/>
        <v>9.1054778554778545E-2</v>
      </c>
      <c r="BP528" s="78">
        <f t="shared" si="90"/>
        <v>9.6153846153846159E-2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400</v>
      </c>
      <c r="Y529" s="55">
        <f t="shared" si="86"/>
        <v>401.28000000000003</v>
      </c>
      <c r="Z529" s="41">
        <f>IFERROR(IF(Y529=0,"",ROUNDUP(Y529/H529,0)*0.01196),"")</f>
        <v>0.90895999999999999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426.5151515151515</v>
      </c>
      <c r="BN529" s="78">
        <f t="shared" si="88"/>
        <v>427.88</v>
      </c>
      <c r="BO529" s="78">
        <f t="shared" si="89"/>
        <v>0.72843822843822836</v>
      </c>
      <c r="BP529" s="78">
        <f t="shared" si="90"/>
        <v>0.73076923076923084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85.22727272727272</v>
      </c>
      <c r="Y534" s="43">
        <f>IFERROR(Y527/H527,"0")+IFERROR(Y528/H528,"0")+IFERROR(Y529/H529,"0")+IFERROR(Y530/H530,"0")+IFERROR(Y531/H531,"0")+IFERROR(Y532/H532,"0")+IFERROR(Y533/H533,"0")</f>
        <v>86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1.0285599999999999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450</v>
      </c>
      <c r="Y535" s="43">
        <f>IFERROR(SUM(Y527:Y533),"0")</f>
        <v>454.08000000000004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230</v>
      </c>
      <c r="Y539" s="55">
        <f>IFERROR(IF(X539="",0,CEILING((X539/$H539),1)*$H539),"")</f>
        <v>240</v>
      </c>
      <c r="Z539" s="41">
        <f>IFERROR(IF(Y539=0,"",ROUNDUP(Y539/H539,0)*0.01898),"")</f>
        <v>0.37959999999999999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237.85833333333335</v>
      </c>
      <c r="BN539" s="78">
        <f>IFERROR(Y539*I539/H539,"0")</f>
        <v>248.20000000000002</v>
      </c>
      <c r="BO539" s="78">
        <f>IFERROR(1/J539*(X539/H539),"0")</f>
        <v>0.29947916666666669</v>
      </c>
      <c r="BP539" s="78">
        <f>IFERROR(1/J539*(Y539/H539),"0")</f>
        <v>0.3125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19.166666666666668</v>
      </c>
      <c r="Y540" s="43">
        <f>IFERROR(Y539/H539,"0")</f>
        <v>20</v>
      </c>
      <c r="Z540" s="43">
        <f>IFERROR(IF(Z539="",0,Z539),"0")</f>
        <v>0.37959999999999999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230</v>
      </c>
      <c r="Y541" s="43">
        <f>IFERROR(SUM(Y539:Y539),"0")</f>
        <v>240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950</v>
      </c>
      <c r="Y551" s="55">
        <f>IFERROR(IF(X551="",0,CEILING((X551/$H551),1)*$H551),"")</f>
        <v>954</v>
      </c>
      <c r="Z551" s="41">
        <f>IFERROR(IF(Y551=0,"",ROUNDUP(Y551/H551,0)*0.01898),"")</f>
        <v>2.0118800000000001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1002.1444444444444</v>
      </c>
      <c r="BN551" s="78">
        <f>IFERROR(Y551*I551/H551,"0")</f>
        <v>1006.364</v>
      </c>
      <c r="BO551" s="78">
        <f>IFERROR(1/J551*(X551/H551),"0")</f>
        <v>1.6493055555555556</v>
      </c>
      <c r="BP551" s="78">
        <f>IFERROR(1/J551*(Y551/H551),"0")</f>
        <v>1.65625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105.55555555555556</v>
      </c>
      <c r="Y552" s="43">
        <f>IFERROR(Y551/H551,"0")</f>
        <v>106</v>
      </c>
      <c r="Z552" s="43">
        <f>IFERROR(IF(Z551="",0,Z551),"0")</f>
        <v>2.0118800000000001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950</v>
      </c>
      <c r="Y553" s="43">
        <f>IFERROR(SUM(Y551:Y551),"0")</f>
        <v>954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17862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18021.300000000003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18807.874885065976</v>
      </c>
      <c r="Y565" s="43">
        <f>IFERROR(SUM(BN22:BN561),"0")</f>
        <v>18974.384000000002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32</v>
      </c>
      <c r="Y566" s="44">
        <f>ROUNDUP(SUM(BP22:BP561),0)</f>
        <v>33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19607.874885065976</v>
      </c>
      <c r="Y567" s="43">
        <f>GrossWeightTotalR+PalletQtyTotalR*25</f>
        <v>19799.384000000002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3208.4124953377823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3229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38.058309999999999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445.20000000000005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448.8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909.90000000000009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1263.5999999999999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1777.8599999999997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352.8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3029.7000000000003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600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904.8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1259.3999999999999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3285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2550.2400000000002</v>
      </c>
      <c r="AB574" s="52">
        <f>IFERROR(Y539*1,"0")+IFERROR(Y543*1,"0")+IFERROR(Y547*1,"0")+IFERROR(Y551*1,"0")+IFERROR(Y555*1,"0")+IFERROR(Y556*1,"0")</f>
        <v>1194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90,00"/>
        <filter val="1 100,00"/>
        <filter val="1 150,00"/>
        <filter val="1 200,00"/>
        <filter val="1 400,00"/>
        <filter val="1 600,00"/>
        <filter val="1 772,00"/>
        <filter val="10,19"/>
        <filter val="100,00"/>
        <filter val="105,56"/>
        <filter val="110,00"/>
        <filter val="115,38"/>
        <filter val="120,00"/>
        <filter val="13,89"/>
        <filter val="143,33"/>
        <filter val="148,35"/>
        <filter val="15,38"/>
        <filter val="150,00"/>
        <filter val="17 862,00"/>
        <filter val="171,14"/>
        <filter val="18 807,87"/>
        <filter val="18,52"/>
        <filter val="189,39"/>
        <filter val="19 607,87"/>
        <filter val="19,17"/>
        <filter val="2 150,00"/>
        <filter val="200,00"/>
        <filter val="203,70"/>
        <filter val="206,44"/>
        <filter val="224,00"/>
        <filter val="230,00"/>
        <filter val="240,00"/>
        <filter val="250,00"/>
        <filter val="253,09"/>
        <filter val="296,30"/>
        <filter val="3 208,41"/>
        <filter val="300,00"/>
        <filter val="32"/>
        <filter val="350,00"/>
        <filter val="4,63"/>
        <filter val="400,00"/>
        <filter val="440,00"/>
        <filter val="450,00"/>
        <filter val="50,00"/>
        <filter val="500,00"/>
        <filter val="600,00"/>
        <filter val="700,00"/>
        <filter val="714,29"/>
        <filter val="73,33"/>
        <filter val="750,00"/>
        <filter val="78,52"/>
        <filter val="800,00"/>
        <filter val="83,33"/>
        <filter val="85,23"/>
        <filter val="9,26"/>
        <filter val="900,00"/>
        <filter val="950,00"/>
        <filter val="990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2026-09-09T13:09:58Z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