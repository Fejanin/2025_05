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4163C39-3A49-4DDA-A43B-CC90769229F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Z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Y366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P173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28" i="2" l="1"/>
  <c r="BP86" i="2"/>
  <c r="BN107" i="2"/>
  <c r="BN298" i="2"/>
  <c r="BN384" i="2"/>
  <c r="BN416" i="2"/>
  <c r="BN521" i="2"/>
  <c r="BN31" i="2"/>
  <c r="BP38" i="2"/>
  <c r="Z86" i="2"/>
  <c r="BP98" i="2"/>
  <c r="BP115" i="2"/>
  <c r="BN118" i="2"/>
  <c r="Z161" i="2"/>
  <c r="BN161" i="2"/>
  <c r="BN191" i="2"/>
  <c r="Z205" i="2"/>
  <c r="Z206" i="2" s="1"/>
  <c r="BN250" i="2"/>
  <c r="BN292" i="2"/>
  <c r="Z349" i="2"/>
  <c r="BN372" i="2"/>
  <c r="BN397" i="2"/>
  <c r="BP436" i="2"/>
  <c r="BN443" i="2"/>
  <c r="Z466" i="2"/>
  <c r="BN512" i="2"/>
  <c r="BN41" i="2"/>
  <c r="BN240" i="2"/>
  <c r="BN233" i="2"/>
  <c r="BN516" i="2"/>
  <c r="BN410" i="2"/>
  <c r="Z241" i="2"/>
  <c r="Z293" i="2"/>
  <c r="BN474" i="2"/>
  <c r="BN460" i="2"/>
  <c r="Z127" i="2"/>
  <c r="Z532" i="2"/>
  <c r="BN530" i="2"/>
  <c r="Z521" i="2"/>
  <c r="BN515" i="2"/>
  <c r="Z512" i="2"/>
  <c r="BN510" i="2"/>
  <c r="BN503" i="2"/>
  <c r="BN502" i="2"/>
  <c r="BN486" i="2"/>
  <c r="Z486" i="2"/>
  <c r="Z474" i="2"/>
  <c r="BN466" i="2"/>
  <c r="BP465" i="2"/>
  <c r="Z465" i="2"/>
  <c r="Z467" i="2" s="1"/>
  <c r="Y467" i="2"/>
  <c r="Y462" i="2"/>
  <c r="BN455" i="2"/>
  <c r="BN454" i="2"/>
  <c r="Y451" i="2"/>
  <c r="Z442" i="2"/>
  <c r="BN442" i="2"/>
  <c r="Z440" i="2"/>
  <c r="Y432" i="2"/>
  <c r="BN429" i="2"/>
  <c r="BP428" i="2"/>
  <c r="BP422" i="2"/>
  <c r="Z417" i="2"/>
  <c r="Z415" i="2"/>
  <c r="Z404" i="2"/>
  <c r="Y399" i="2"/>
  <c r="Z397" i="2"/>
  <c r="BP396" i="2"/>
  <c r="BN392" i="2"/>
  <c r="Y394" i="2"/>
  <c r="BN382" i="2"/>
  <c r="Y387" i="2"/>
  <c r="BP379" i="2"/>
  <c r="Z374" i="2"/>
  <c r="BN374" i="2"/>
  <c r="Z363" i="2"/>
  <c r="Z353" i="2"/>
  <c r="BN351" i="2"/>
  <c r="BN343" i="2"/>
  <c r="Z337" i="2"/>
  <c r="BN336" i="2"/>
  <c r="BP333" i="2"/>
  <c r="Z328" i="2"/>
  <c r="BN327" i="2"/>
  <c r="Z327" i="2"/>
  <c r="Z326" i="2"/>
  <c r="BN326" i="2"/>
  <c r="BN313" i="2"/>
  <c r="Z295" i="2"/>
  <c r="BN293" i="2"/>
  <c r="Y299" i="2"/>
  <c r="Z277" i="2"/>
  <c r="BN266" i="2"/>
  <c r="Z261" i="2"/>
  <c r="Z262" i="2" s="1"/>
  <c r="Z251" i="2"/>
  <c r="Y252" i="2"/>
  <c r="Z242" i="2"/>
  <c r="Z240" i="2"/>
  <c r="Z233" i="2"/>
  <c r="Z231" i="2"/>
  <c r="Z230" i="2"/>
  <c r="Z221" i="2"/>
  <c r="Z219" i="2"/>
  <c r="BN218" i="2"/>
  <c r="BN199" i="2"/>
  <c r="BN194" i="2"/>
  <c r="BN192" i="2"/>
  <c r="Z191" i="2"/>
  <c r="Z190" i="2"/>
  <c r="BN187" i="2"/>
  <c r="BN185" i="2"/>
  <c r="Z185" i="2"/>
  <c r="BP184" i="2"/>
  <c r="Z184" i="2"/>
  <c r="Y179" i="2"/>
  <c r="BN159" i="2"/>
  <c r="Y148" i="2"/>
  <c r="BN145" i="2"/>
  <c r="Y136" i="2"/>
  <c r="Z107" i="2"/>
  <c r="BN106" i="2"/>
  <c r="Y112" i="2"/>
  <c r="Z104" i="2"/>
  <c r="Z93" i="2"/>
  <c r="BP93" i="2"/>
  <c r="Y100" i="2"/>
  <c r="BP80" i="2"/>
  <c r="Z77" i="2"/>
  <c r="BP77" i="2"/>
  <c r="BN77" i="2"/>
  <c r="X568" i="2"/>
  <c r="Z48" i="2"/>
  <c r="Z31" i="2"/>
  <c r="X565" i="2"/>
  <c r="Z28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Z399" i="2" s="1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Z366" i="2" s="1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Z131" i="2" s="1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Z345" i="2" s="1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174" i="2"/>
  <c r="Z120" i="2"/>
  <c r="Z147" i="2"/>
  <c r="Z418" i="2"/>
  <c r="Z431" i="2"/>
  <c r="Z142" i="2"/>
  <c r="Z534" i="2"/>
  <c r="Z477" i="2"/>
  <c r="Z444" i="2"/>
  <c r="Z354" i="2"/>
  <c r="Z338" i="2"/>
  <c r="X567" i="2"/>
  <c r="Z90" i="2"/>
  <c r="Z32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<sst xmlns="http://schemas.openxmlformats.org/spreadsheetml/2006/main" count="4366" uniqueCount="910">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</sst>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46276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Пятница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16.666666666666668</v>
      </c>
      <c r="Y42" s="43">
        <f>IFERROR(Y37/H37,"0")+IFERROR(Y38/H38,"0")+IFERROR(Y39/H39,"0")+IFERROR(Y40/H40,"0")+IFERROR(Y41/H41,"0")</f>
        <v>17</v>
      </c>
      <c r="Z42" s="43">
        <f>IFERROR(IF(Z37="",0,Z37),"0")+IFERROR(IF(Z38="",0,Z38),"0")+IFERROR(IF(Z39="",0,Z39),"0")+IFERROR(IF(Z40="",0,Z40),"0")+IFERROR(IF(Z41="",0,Z41),"0")</f>
        <v>0.11067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32</v>
      </c>
      <c r="Y43" s="43">
        <f>IFERROR(SUM(Y37:Y41),"0")</f>
        <v>32.64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60</v>
      </c>
      <c r="Y51" s="43">
        <f>IFERROR(Y47/H47,"0")+IFERROR(Y48/H48,"0")+IFERROR(Y49/H49,"0")+IFERROR(Y50/H50,"0")</f>
        <v>60</v>
      </c>
      <c r="Z51" s="43">
        <f>IFERROR(IF(Z47="",0,Z47),"0")+IFERROR(IF(Z48="",0,Z48),"0")+IFERROR(IF(Z49="",0,Z49),"0")+IFERROR(IF(Z50="",0,Z50),"0")</f>
        <v>0.54120000000000001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240</v>
      </c>
      <c r="Y52" s="43">
        <f>IFERROR(SUM(Y47:Y50),"0")</f>
        <v>240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630</v>
      </c>
      <c r="Y60" s="55">
        <f t="shared" si="0"/>
        <v>630</v>
      </c>
      <c r="Z60" s="41">
        <f>IFERROR(IF(Y60=0,"",ROUNDUP(Y60/H60,0)*0.00902),"")</f>
        <v>1.2627999999999999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656.6</v>
      </c>
      <c r="BN60" s="78">
        <f t="shared" si="2"/>
        <v>656.6</v>
      </c>
      <c r="BO60" s="78">
        <f t="shared" si="3"/>
        <v>1.0606060606060606</v>
      </c>
      <c r="BP60" s="78">
        <f t="shared" si="4"/>
        <v>1.0606060606060606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140</v>
      </c>
      <c r="Y61" s="43">
        <f>IFERROR(Y55/H55,"0")+IFERROR(Y56/H56,"0")+IFERROR(Y57/H57,"0")+IFERROR(Y58/H58,"0")+IFERROR(Y59/H59,"0")+IFERROR(Y60/H60,"0")</f>
        <v>140</v>
      </c>
      <c r="Z61" s="43">
        <f>IFERROR(IF(Z55="",0,Z55),"0")+IFERROR(IF(Z56="",0,Z56),"0")+IFERROR(IF(Z57="",0,Z57),"0")+IFERROR(IF(Z58="",0,Z58),"0")+IFERROR(IF(Z59="",0,Z59),"0")+IFERROR(IF(Z60="",0,Z60),"0")</f>
        <v>1.2627999999999999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630</v>
      </c>
      <c r="Y62" s="43">
        <f>IFERROR(SUM(Y55:Y60),"0")</f>
        <v>630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135</v>
      </c>
      <c r="Y67" s="55">
        <f>IFERROR(IF(X67="",0,CEILING((X67/$H67),1)*$H67),"")</f>
        <v>135</v>
      </c>
      <c r="Z67" s="41">
        <f>IFERROR(IF(Y67=0,"",ROUNDUP(Y67/H67,0)*0.00651),"")</f>
        <v>0.32550000000000001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144</v>
      </c>
      <c r="BN67" s="78">
        <f>IFERROR(Y67*I67/H67,"0")</f>
        <v>144</v>
      </c>
      <c r="BO67" s="78">
        <f>IFERROR(1/J67*(X67/H67),"0")</f>
        <v>0.27472527472527475</v>
      </c>
      <c r="BP67" s="78">
        <f>IFERROR(1/J67*(Y67/H67),"0")</f>
        <v>0.27472527472527475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50</v>
      </c>
      <c r="Y68" s="43">
        <f>IFERROR(Y64/H64,"0")+IFERROR(Y65/H65,"0")+IFERROR(Y66/H66,"0")+IFERROR(Y67/H67,"0")</f>
        <v>50</v>
      </c>
      <c r="Z68" s="43">
        <f>IFERROR(IF(Z64="",0,Z64),"0")+IFERROR(IF(Z65="",0,Z65),"0")+IFERROR(IF(Z66="",0,Z66),"0")+IFERROR(IF(Z67="",0,Z67),"0")</f>
        <v>0.32550000000000001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135</v>
      </c>
      <c r="Y69" s="43">
        <f>IFERROR(SUM(Y64:Y67),"0")</f>
        <v>135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360</v>
      </c>
      <c r="Y89" s="55">
        <f>IFERROR(IF(X89="",0,CEILING((X89/$H89),1)*$H89),"")</f>
        <v>360</v>
      </c>
      <c r="Z89" s="41">
        <f>IFERROR(IF(Y89=0,"",ROUNDUP(Y89/H89,0)*0.00902),"")</f>
        <v>0.72160000000000002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375.20000000000005</v>
      </c>
      <c r="BN89" s="78">
        <f>IFERROR(Y89*I89/H89,"0")</f>
        <v>375.20000000000005</v>
      </c>
      <c r="BO89" s="78">
        <f>IFERROR(1/J89*(X89/H89),"0")</f>
        <v>0.60606060606060608</v>
      </c>
      <c r="BP89" s="78">
        <f>IFERROR(1/J89*(Y89/H89),"0")</f>
        <v>0.60606060606060608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80</v>
      </c>
      <c r="Y90" s="43">
        <f>IFERROR(Y85/H85,"0")+IFERROR(Y86/H86,"0")+IFERROR(Y87/H87,"0")+IFERROR(Y88/H88,"0")+IFERROR(Y89/H89,"0")</f>
        <v>80</v>
      </c>
      <c r="Z90" s="43">
        <f>IFERROR(IF(Z85="",0,Z85),"0")+IFERROR(IF(Z86="",0,Z86),"0")+IFERROR(IF(Z87="",0,Z87),"0")+IFERROR(IF(Z88="",0,Z88),"0")+IFERROR(IF(Z89="",0,Z89),"0")</f>
        <v>0.72160000000000002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360</v>
      </c>
      <c r="Y91" s="43">
        <f>IFERROR(SUM(Y85:Y89),"0")</f>
        <v>360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450</v>
      </c>
      <c r="Y97" s="55">
        <f t="shared" si="5"/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492</v>
      </c>
      <c r="BN97" s="78">
        <f t="shared" si="7"/>
        <v>492.98399999999998</v>
      </c>
      <c r="BO97" s="78">
        <f t="shared" si="8"/>
        <v>0.91575091575091572</v>
      </c>
      <c r="BP97" s="78">
        <f t="shared" si="9"/>
        <v>0.91758241758241765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166.66666666666666</v>
      </c>
      <c r="Y100" s="43">
        <f>IFERROR(Y93/H93,"0")+IFERROR(Y94/H94,"0")+IFERROR(Y95/H95,"0")+IFERROR(Y96/H96,"0")+IFERROR(Y97/H97,"0")+IFERROR(Y98/H98,"0")+IFERROR(Y99/H99,"0")</f>
        <v>167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1.08717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450</v>
      </c>
      <c r="Y101" s="43">
        <f>IFERROR(SUM(Y93:Y99),"0")</f>
        <v>450.90000000000003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225</v>
      </c>
      <c r="Y109" s="55">
        <f t="shared" si="10"/>
        <v>225</v>
      </c>
      <c r="Z109" s="41">
        <f>IFERROR(IF(Y109=0,"",ROUNDUP(Y109/H109,0)*0.00902),"")</f>
        <v>0.45100000000000001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234.5</v>
      </c>
      <c r="BN109" s="78">
        <f t="shared" si="12"/>
        <v>234.5</v>
      </c>
      <c r="BO109" s="78">
        <f t="shared" si="13"/>
        <v>0.37878787878787878</v>
      </c>
      <c r="BP109" s="78">
        <f t="shared" si="14"/>
        <v>0.37878787878787878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50</v>
      </c>
      <c r="Y112" s="43">
        <f>IFERROR(Y104/H104,"0")+IFERROR(Y105/H105,"0")+IFERROR(Y106/H106,"0")+IFERROR(Y107/H107,"0")+IFERROR(Y108/H108,"0")+IFERROR(Y109/H109,"0")+IFERROR(Y110/H110,"0")+IFERROR(Y111/H111,"0")</f>
        <v>50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0.45100000000000001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225</v>
      </c>
      <c r="Y113" s="43">
        <f>IFERROR(SUM(Y104:Y111),"0")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675</v>
      </c>
      <c r="Y127" s="55">
        <f t="shared" si="15"/>
        <v>675</v>
      </c>
      <c r="Z127" s="41">
        <f t="shared" si="20"/>
        <v>1.6274999999999999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737.99999999999989</v>
      </c>
      <c r="BN127" s="78">
        <f t="shared" si="17"/>
        <v>737.99999999999989</v>
      </c>
      <c r="BO127" s="78">
        <f t="shared" si="18"/>
        <v>1.3736263736263736</v>
      </c>
      <c r="BP127" s="78">
        <f t="shared" si="19"/>
        <v>1.3736263736263736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249.99999999999997</v>
      </c>
      <c r="Y131" s="43">
        <f>IFERROR(Y123/H123,"0")+IFERROR(Y124/H124,"0")+IFERROR(Y125/H125,"0")+IFERROR(Y126/H126,"0")+IFERROR(Y127/H127,"0")+IFERROR(Y128/H128,"0")+IFERROR(Y129/H129,"0")+IFERROR(Y130/H130,"0")</f>
        <v>249.99999999999997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1.6274999999999999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675</v>
      </c>
      <c r="Y132" s="43">
        <f>IFERROR(SUM(Y123:Y130),"0")</f>
        <v>675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33</v>
      </c>
      <c r="Y134" s="55">
        <f>IFERROR(IF(X134="",0,CEILING((X134/$H134),1)*$H134),"")</f>
        <v>33.659999999999997</v>
      </c>
      <c r="Z134" s="41">
        <f>IFERROR(IF(Y134=0,"",ROUNDUP(Y134/H134,0)*0.00651),"")</f>
        <v>0.11067</v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37.299999999999997</v>
      </c>
      <c r="BN134" s="78">
        <f>IFERROR(Y134*I134/H134,"0")</f>
        <v>38.045999999999992</v>
      </c>
      <c r="BO134" s="78">
        <f>IFERROR(1/J134*(X134/H134),"0")</f>
        <v>9.1575091575091583E-2</v>
      </c>
      <c r="BP134" s="78">
        <f>IFERROR(1/J134*(Y134/H134),"0")</f>
        <v>9.3406593406593408E-2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16.666666666666668</v>
      </c>
      <c r="Y136" s="43">
        <f>IFERROR(Y134/H134,"0")+IFERROR(Y135/H135,"0")</f>
        <v>17</v>
      </c>
      <c r="Z136" s="43">
        <f>IFERROR(IF(Z134="",0,Z134),"0")+IFERROR(IF(Z135="",0,Z135),"0")</f>
        <v>0.11067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33</v>
      </c>
      <c r="Y137" s="43">
        <f>IFERROR(SUM(Y134:Y135),"0")</f>
        <v>33.659999999999997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48</v>
      </c>
      <c r="Y141" s="55">
        <f>IFERROR(IF(X141="",0,CEILING((X141/$H141),1)*$H141),"")</f>
        <v>48</v>
      </c>
      <c r="Z141" s="41">
        <f>IFERROR(IF(Y141=0,"",ROUNDUP(Y141/H141,0)*0.00651),"")</f>
        <v>9.7650000000000001E-2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50.7</v>
      </c>
      <c r="BN141" s="78">
        <f>IFERROR(Y141*I141/H141,"0")</f>
        <v>50.7</v>
      </c>
      <c r="BO141" s="78">
        <f>IFERROR(1/J141*(X141/H141),"0")</f>
        <v>8.241758241758243E-2</v>
      </c>
      <c r="BP141" s="78">
        <f>IFERROR(1/J141*(Y141/H141),"0")</f>
        <v>8.241758241758243E-2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15</v>
      </c>
      <c r="Y142" s="43">
        <f>IFERROR(Y140/H140,"0")+IFERROR(Y141/H141,"0")</f>
        <v>15</v>
      </c>
      <c r="Z142" s="43">
        <f>IFERROR(IF(Z140="",0,Z140),"0")+IFERROR(IF(Z141="",0,Z141),"0")</f>
        <v>9.7650000000000001E-2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48</v>
      </c>
      <c r="Y143" s="43">
        <f>IFERROR(SUM(Y140:Y141),"0")</f>
        <v>48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70</v>
      </c>
      <c r="Y145" s="55">
        <f>IFERROR(IF(X145="",0,CEILING((X145/$H145),1)*$H145),"")</f>
        <v>70</v>
      </c>
      <c r="Z145" s="41">
        <f>IFERROR(IF(Y145=0,"",ROUNDUP(Y145/H145,0)*0.00651),"")</f>
        <v>0.16275000000000001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76.7</v>
      </c>
      <c r="BN145" s="78">
        <f>IFERROR(Y145*I145/H145,"0")</f>
        <v>76.7</v>
      </c>
      <c r="BO145" s="78">
        <f>IFERROR(1/J145*(X145/H145),"0")</f>
        <v>0.13736263736263737</v>
      </c>
      <c r="BP145" s="78">
        <f>IFERROR(1/J145*(Y145/H145),"0")</f>
        <v>0.13736263736263737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25</v>
      </c>
      <c r="Y147" s="43">
        <f>IFERROR(Y145/H145,"0")+IFERROR(Y146/H146,"0")</f>
        <v>25</v>
      </c>
      <c r="Z147" s="43">
        <f>IFERROR(IF(Z145="",0,Z145),"0")+IFERROR(IF(Z146="",0,Z146),"0")</f>
        <v>0.16275000000000001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70</v>
      </c>
      <c r="Y148" s="43">
        <f>IFERROR(SUM(Y145:Y146),"0")</f>
        <v>70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82.5</v>
      </c>
      <c r="Y150" s="55">
        <f>IFERROR(IF(X150="",0,CEILING((X150/$H150),1)*$H150),"")</f>
        <v>84.48</v>
      </c>
      <c r="Z150" s="41">
        <f>IFERROR(IF(Y150=0,"",ROUNDUP(Y150/H150,0)*0.00651),"")</f>
        <v>0.20832000000000001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90.875</v>
      </c>
      <c r="BN150" s="78">
        <f>IFERROR(Y150*I150/H150,"0")</f>
        <v>93.055999999999997</v>
      </c>
      <c r="BO150" s="78">
        <f>IFERROR(1/J150*(X150/H150),"0")</f>
        <v>0.1717032967032967</v>
      </c>
      <c r="BP150" s="78">
        <f>IFERROR(1/J150*(Y150/H150),"0")</f>
        <v>0.17582417582417584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31.25</v>
      </c>
      <c r="Y152" s="43">
        <f>IFERROR(Y150/H150,"0")+IFERROR(Y151/H151,"0")</f>
        <v>32</v>
      </c>
      <c r="Z152" s="43">
        <f>IFERROR(IF(Z150="",0,Z150),"0")+IFERROR(IF(Z151="",0,Z151),"0")</f>
        <v>0.20832000000000001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82.5</v>
      </c>
      <c r="Y153" s="43">
        <f>IFERROR(SUM(Y150:Y151),"0")</f>
        <v>84.48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12</v>
      </c>
      <c r="Y177" s="55">
        <f>IFERROR(IF(X177="",0,CEILING((X177/$H177),1)*$H177),"")</f>
        <v>12.24</v>
      </c>
      <c r="Z177" s="41">
        <f>IFERROR(IF(Y177=0,"",ROUNDUP(Y177/H177,0)*0.00556),"")</f>
        <v>9.4519999999999993E-2</v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14.166666666666666</v>
      </c>
      <c r="BN177" s="78">
        <f>IFERROR(Y177*I177/H177,"0")</f>
        <v>14.450000000000001</v>
      </c>
      <c r="BO177" s="78">
        <f>IFERROR(1/J177*(X177/H177),"0")</f>
        <v>6.6137566137566134E-2</v>
      </c>
      <c r="BP177" s="78">
        <f>IFERROR(1/J177*(Y177/H177),"0")</f>
        <v>6.7460317460317457E-2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16.666666666666668</v>
      </c>
      <c r="Y179" s="43">
        <f>IFERROR(Y177/H177,"0")+IFERROR(Y178/H178,"0")</f>
        <v>17</v>
      </c>
      <c r="Z179" s="43">
        <f>IFERROR(IF(Z177="",0,Z177),"0")+IFERROR(IF(Z178="",0,Z178),"0")</f>
        <v>9.4519999999999993E-2</v>
      </c>
      <c r="AA179" s="67"/>
      <c r="AB179" s="67"/>
      <c r="AC179" s="67"/>
    </row>
    <row r="180" spans="1:68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12</v>
      </c>
      <c r="Y180" s="43">
        <f>IFERROR(SUM(Y177:Y178),"0")</f>
        <v>12.24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200</v>
      </c>
      <c r="Y182" s="55">
        <f t="shared" ref="Y182:Y195" si="27">IFERROR(IF(X182="",0,CEILING((X182/$H182),1)*$H182),"")</f>
        <v>203</v>
      </c>
      <c r="Z182" s="41">
        <f t="shared" ref="Z182:Z187" si="28">IFERROR(IF(Y182=0,"",ROUNDUP(Y182/H182,0)*0.00902),"")</f>
        <v>0.52316000000000007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210.85714285714286</v>
      </c>
      <c r="BN182" s="78">
        <f t="shared" ref="BN182:BN195" si="30">IFERROR(Y182*I182/H182,"0")</f>
        <v>214.01999999999998</v>
      </c>
      <c r="BO182" s="78">
        <f t="shared" ref="BO182:BO195" si="31">IFERROR(1/J182*(X182/H182),"0")</f>
        <v>0.43290043290043295</v>
      </c>
      <c r="BP182" s="78">
        <f t="shared" ref="BP182:BP195" si="32">IFERROR(1/J182*(Y182/H182),"0")</f>
        <v>0.43939393939393939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9</v>
      </c>
      <c r="Y188" s="55">
        <f t="shared" si="27"/>
        <v>9</v>
      </c>
      <c r="Z188" s="41">
        <f>IFERROR(IF(Y188=0,"",ROUNDUP(Y188/H188,0)*0.00417),"")</f>
        <v>4.1700000000000001E-2</v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11.1</v>
      </c>
      <c r="BN188" s="78">
        <f t="shared" si="30"/>
        <v>11.1</v>
      </c>
      <c r="BO188" s="78">
        <f t="shared" si="31"/>
        <v>2.976190476190476E-2</v>
      </c>
      <c r="BP188" s="78">
        <f t="shared" si="32"/>
        <v>2.976190476190476E-2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67.142857142857139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68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0.56486000000000003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209</v>
      </c>
      <c r="Y197" s="43">
        <f>IFERROR(SUM(Y182:Y195),"0")</f>
        <v>212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12.6</v>
      </c>
      <c r="Y200" s="55">
        <f>IFERROR(IF(X200="",0,CEILING((X200/$H200),1)*$H200),"")</f>
        <v>12.6</v>
      </c>
      <c r="Z200" s="41">
        <f>IFERROR(IF(Y200=0,"",ROUNDUP(Y200/H200,0)*0.00651),"")</f>
        <v>3.2550000000000003E-2</v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13.829999999999998</v>
      </c>
      <c r="BN200" s="78">
        <f>IFERROR(Y200*I200/H200,"0")</f>
        <v>13.829999999999998</v>
      </c>
      <c r="BO200" s="78">
        <f>IFERROR(1/J200*(X200/H200),"0")</f>
        <v>2.7472527472527476E-2</v>
      </c>
      <c r="BP200" s="78">
        <f>IFERROR(1/J200*(Y200/H200),"0")</f>
        <v>2.7472527472527476E-2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5</v>
      </c>
      <c r="Y202" s="43">
        <f>IFERROR(Y199/H199,"0")+IFERROR(Y200/H200,"0")+IFERROR(Y201/H201,"0")</f>
        <v>5</v>
      </c>
      <c r="Z202" s="43">
        <f>IFERROR(IF(Z199="",0,Z199),"0")+IFERROR(IF(Z200="",0,Z200),"0")+IFERROR(IF(Z201="",0,Z201),"0")</f>
        <v>3.2550000000000003E-2</v>
      </c>
      <c r="AA202" s="67"/>
      <c r="AB202" s="67"/>
      <c r="AC202" s="67"/>
    </row>
    <row r="203" spans="1:68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12.6</v>
      </c>
      <c r="Y203" s="43">
        <f>IFERROR(SUM(Y199:Y201),"0")</f>
        <v>12.6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108</v>
      </c>
      <c r="Z220" s="41">
        <f t="shared" si="34"/>
        <v>0.1898</v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103.79629629629629</v>
      </c>
      <c r="BN220" s="78">
        <f t="shared" si="36"/>
        <v>112.1</v>
      </c>
      <c r="BO220" s="78">
        <f t="shared" si="37"/>
        <v>0.14467592592592593</v>
      </c>
      <c r="BP220" s="78">
        <f t="shared" si="38"/>
        <v>0.15625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9.2592592592592595</v>
      </c>
      <c r="Y222" s="43">
        <f>IFERROR(Y215/H215,"0")+IFERROR(Y216/H216,"0")+IFERROR(Y217/H217,"0")+IFERROR(Y218/H218,"0")+IFERROR(Y219/H219,"0")+IFERROR(Y220/H220,"0")+IFERROR(Y221/H221,"0")</f>
        <v>10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0.1898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100</v>
      </c>
      <c r="Y223" s="43">
        <f>IFERROR(SUM(Y215:Y221),"0")</f>
        <v>108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16</v>
      </c>
      <c r="Y233" s="55">
        <f t="shared" si="39"/>
        <v>16</v>
      </c>
      <c r="Z233" s="41">
        <f>IFERROR(IF(Y233=0,"",ROUNDUP(Y233/H233,0)*0.00556),"")</f>
        <v>0.11119999999999999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18.600000000000001</v>
      </c>
      <c r="BN233" s="78">
        <f t="shared" si="41"/>
        <v>18.600000000000001</v>
      </c>
      <c r="BO233" s="78">
        <f t="shared" si="42"/>
        <v>7.9365079365079361E-2</v>
      </c>
      <c r="BP233" s="78">
        <f t="shared" si="43"/>
        <v>7.9365079365079361E-2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70</v>
      </c>
      <c r="Y234" s="55">
        <f t="shared" si="39"/>
        <v>71.400000000000006</v>
      </c>
      <c r="Z234" s="41">
        <f t="shared" ref="Z234:Z239" si="44">IFERROR(IF(Y234=0,"",ROUNDUP(Y234/H234,0)*0.00502),"")</f>
        <v>0.17068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74.333333333333329</v>
      </c>
      <c r="BN234" s="78">
        <f t="shared" si="41"/>
        <v>75.820000000000007</v>
      </c>
      <c r="BO234" s="78">
        <f t="shared" si="42"/>
        <v>0.14245014245014245</v>
      </c>
      <c r="BP234" s="78">
        <f t="shared" si="43"/>
        <v>0.14529914529914531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210</v>
      </c>
      <c r="Y236" s="55">
        <f t="shared" si="39"/>
        <v>210</v>
      </c>
      <c r="Z236" s="41">
        <f t="shared" si="44"/>
        <v>0.502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223</v>
      </c>
      <c r="BN236" s="78">
        <f t="shared" si="41"/>
        <v>223</v>
      </c>
      <c r="BO236" s="78">
        <f t="shared" si="42"/>
        <v>0.42735042735042739</v>
      </c>
      <c r="BP236" s="78">
        <f t="shared" si="43"/>
        <v>0.42735042735042739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12</v>
      </c>
      <c r="Y240" s="55">
        <f t="shared" si="39"/>
        <v>12</v>
      </c>
      <c r="Z240" s="41">
        <f>IFERROR(IF(Y240=0,"",ROUNDUP(Y240/H240,0)*0.00417),"")</f>
        <v>6.2549999999999994E-2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15.15</v>
      </c>
      <c r="BN240" s="78">
        <f t="shared" si="41"/>
        <v>15.15</v>
      </c>
      <c r="BO240" s="78">
        <f t="shared" si="42"/>
        <v>4.4642857142857137E-2</v>
      </c>
      <c r="BP240" s="78">
        <f t="shared" si="43"/>
        <v>4.4642857142857137E-2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350</v>
      </c>
      <c r="Y241" s="55">
        <f t="shared" si="39"/>
        <v>350.7</v>
      </c>
      <c r="Z241" s="41">
        <f>IFERROR(IF(Y241=0,"",ROUNDUP(Y241/H241,0)*0.00502),"")</f>
        <v>0.83833999999999997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366.66666666666669</v>
      </c>
      <c r="BN241" s="78">
        <f t="shared" si="41"/>
        <v>367.40000000000003</v>
      </c>
      <c r="BO241" s="78">
        <f t="shared" si="42"/>
        <v>0.71225071225071224</v>
      </c>
      <c r="BP241" s="78">
        <f t="shared" si="43"/>
        <v>0.71367521367521369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335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336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1.6847699999999999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658</v>
      </c>
      <c r="Y245" s="43">
        <f>IFERROR(SUM(Y230:Y243),"0")</f>
        <v>660.09999999999991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21.000000000000004</v>
      </c>
      <c r="Y256" s="55">
        <f>IFERROR(IF(X256="",0,CEILING((X256/$H256),1)*$H256),"")</f>
        <v>21.42</v>
      </c>
      <c r="Z256" s="41">
        <f>IFERROR(IF(Y256=0,"",ROUNDUP(Y256/H256,0)*0.0059),"")</f>
        <v>0.1003</v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24.166666666666668</v>
      </c>
      <c r="BN256" s="78">
        <f>IFERROR(Y256*I256/H256,"0")</f>
        <v>24.650000000000002</v>
      </c>
      <c r="BO256" s="78">
        <f>IFERROR(1/J256*(X256/H256),"0")</f>
        <v>7.716049382716049E-2</v>
      </c>
      <c r="BP256" s="78">
        <f>IFERROR(1/J256*(Y256/H256),"0")</f>
        <v>7.8703703703703692E-2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28.000000000000004</v>
      </c>
      <c r="Y257" s="55">
        <f>IFERROR(IF(X257="",0,CEILING((X257/$H257),1)*$H257),"")</f>
        <v>28.98</v>
      </c>
      <c r="Z257" s="41">
        <f>IFERROR(IF(Y257=0,"",ROUNDUP(Y257/H257,0)*0.0059),"")</f>
        <v>0.13569999999999999</v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32.222222222222221</v>
      </c>
      <c r="BN257" s="78">
        <f>IFERROR(Y257*I257/H257,"0")</f>
        <v>33.35</v>
      </c>
      <c r="BO257" s="78">
        <f>IFERROR(1/J257*(X257/H257),"0")</f>
        <v>0.102880658436214</v>
      </c>
      <c r="BP257" s="78">
        <f>IFERROR(1/J257*(Y257/H257),"0")</f>
        <v>0.10648148148148148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38.888888888888893</v>
      </c>
      <c r="Y258" s="43">
        <f>IFERROR(Y255/H255,"0")+IFERROR(Y256/H256,"0")+IFERROR(Y257/H257,"0")</f>
        <v>40</v>
      </c>
      <c r="Z258" s="43">
        <f>IFERROR(IF(Z255="",0,Z255),"0")+IFERROR(IF(Z256="",0,Z256),"0")+IFERROR(IF(Z257="",0,Z257),"0")</f>
        <v>0.23599999999999999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49.000000000000007</v>
      </c>
      <c r="Y259" s="43">
        <f>IFERROR(SUM(Y255:Y257),"0")</f>
        <v>50.400000000000006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150</v>
      </c>
      <c r="Y280" s="55">
        <f t="shared" si="45"/>
        <v>151.20000000000002</v>
      </c>
      <c r="Z280" s="41">
        <f>IFERROR(IF(Y280=0,"",ROUNDUP(Y280/H280,0)*0.00502),"")</f>
        <v>0.42168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160.83333333333334</v>
      </c>
      <c r="BN280" s="78">
        <f t="shared" si="47"/>
        <v>162.12</v>
      </c>
      <c r="BO280" s="78">
        <f t="shared" si="48"/>
        <v>0.35612535612535612</v>
      </c>
      <c r="BP280" s="78">
        <f t="shared" si="49"/>
        <v>0.35897435897435909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150</v>
      </c>
      <c r="Y281" s="55">
        <f t="shared" si="45"/>
        <v>151.20000000000002</v>
      </c>
      <c r="Z281" s="41">
        <f>IFERROR(IF(Y281=0,"",ROUNDUP(Y281/H281,0)*0.00502),"")</f>
        <v>0.42168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158.33333333333334</v>
      </c>
      <c r="BN281" s="78">
        <f t="shared" si="47"/>
        <v>159.60000000000002</v>
      </c>
      <c r="BO281" s="78">
        <f t="shared" si="48"/>
        <v>0.35612535612535612</v>
      </c>
      <c r="BP281" s="78">
        <f t="shared" si="49"/>
        <v>0.35897435897435909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150</v>
      </c>
      <c r="Y282" s="55">
        <f t="shared" si="45"/>
        <v>151.20000000000002</v>
      </c>
      <c r="Z282" s="41">
        <f>IFERROR(IF(Y282=0,"",ROUNDUP(Y282/H282,0)*0.00502),"")</f>
        <v>0.42168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158.33333333333334</v>
      </c>
      <c r="BN282" s="78">
        <f t="shared" si="47"/>
        <v>159.60000000000002</v>
      </c>
      <c r="BO282" s="78">
        <f t="shared" si="48"/>
        <v>0.35612535612535612</v>
      </c>
      <c r="BP282" s="78">
        <f t="shared" si="49"/>
        <v>0.35897435897435909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150</v>
      </c>
      <c r="Y283" s="55">
        <f t="shared" si="45"/>
        <v>151.20000000000002</v>
      </c>
      <c r="Z283" s="41">
        <f>IFERROR(IF(Y283=0,"",ROUNDUP(Y283/H283,0)*0.00502),"")</f>
        <v>0.42168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158.33333333333334</v>
      </c>
      <c r="BN283" s="78">
        <f t="shared" si="47"/>
        <v>159.60000000000002</v>
      </c>
      <c r="BO283" s="78">
        <f t="shared" si="48"/>
        <v>0.35612535612535612</v>
      </c>
      <c r="BP283" s="78">
        <f t="shared" si="49"/>
        <v>0.35897435897435909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333.33333333333331</v>
      </c>
      <c r="Y284" s="43">
        <f>IFERROR(Y276/H276,"0")+IFERROR(Y277/H277,"0")+IFERROR(Y278/H278,"0")+IFERROR(Y279/H279,"0")+IFERROR(Y280/H280,"0")+IFERROR(Y281/H281,"0")+IFERROR(Y282/H282,"0")+IFERROR(Y283/H283,"0")</f>
        <v>336.00000000000006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1.68672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600</v>
      </c>
      <c r="Y285" s="43">
        <f>IFERROR(SUM(Y276:Y283),"0")</f>
        <v>604.80000000000007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600</v>
      </c>
      <c r="Y290" s="55">
        <f t="shared" si="50"/>
        <v>600</v>
      </c>
      <c r="Z290" s="41">
        <f>IFERROR(IF(Y290=0,"",ROUNDUP(Y290/H290,0)*0.00651),"")</f>
        <v>1.6274999999999999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667.5</v>
      </c>
      <c r="BN290" s="78">
        <f t="shared" si="52"/>
        <v>667.5</v>
      </c>
      <c r="BO290" s="78">
        <f t="shared" si="53"/>
        <v>1.3736263736263736</v>
      </c>
      <c r="BP290" s="78">
        <f t="shared" si="54"/>
        <v>1.3736263736263736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600</v>
      </c>
      <c r="Y293" s="55">
        <f t="shared" si="50"/>
        <v>600</v>
      </c>
      <c r="Z293" s="41">
        <f>IFERROR(IF(Y293=0,"",ROUNDUP(Y293/H293,0)*0.00651),"")</f>
        <v>1.6274999999999999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663</v>
      </c>
      <c r="BN293" s="78">
        <f t="shared" si="52"/>
        <v>663</v>
      </c>
      <c r="BO293" s="78">
        <f t="shared" si="53"/>
        <v>1.3736263736263736</v>
      </c>
      <c r="BP293" s="78">
        <f t="shared" si="54"/>
        <v>1.3736263736263736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200</v>
      </c>
      <c r="Y296" s="55">
        <f t="shared" si="50"/>
        <v>201.6</v>
      </c>
      <c r="Z296" s="41">
        <f>IFERROR(IF(Y296=0,"",ROUNDUP(Y296/H296,0)*0.00651),"")</f>
        <v>0.54683999999999999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221</v>
      </c>
      <c r="BN296" s="78">
        <f t="shared" si="52"/>
        <v>222.768</v>
      </c>
      <c r="BO296" s="78">
        <f t="shared" si="53"/>
        <v>0.45787545787545797</v>
      </c>
      <c r="BP296" s="78">
        <f t="shared" si="54"/>
        <v>0.46153846153846156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600</v>
      </c>
      <c r="Y297" s="55">
        <f t="shared" si="50"/>
        <v>600</v>
      </c>
      <c r="Z297" s="41">
        <f>IFERROR(IF(Y297=0,"",ROUNDUP(Y297/H297,0)*0.00651),"")</f>
        <v>1.6274999999999999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664.5</v>
      </c>
      <c r="BN297" s="78">
        <f t="shared" si="52"/>
        <v>664.5</v>
      </c>
      <c r="BO297" s="78">
        <f t="shared" si="53"/>
        <v>1.3736263736263736</v>
      </c>
      <c r="BP297" s="78">
        <f t="shared" si="54"/>
        <v>1.3736263736263736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833.33333333333337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834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5.4293399999999998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2000</v>
      </c>
      <c r="Y300" s="43">
        <f>IFERROR(SUM(Y287:Y298),"0")</f>
        <v>2001.6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80</v>
      </c>
      <c r="Y302" s="55">
        <f>IFERROR(IF(X302="",0,CEILING((X302/$H302),1)*$H302),"")</f>
        <v>81.599999999999994</v>
      </c>
      <c r="Z302" s="41">
        <f>IFERROR(IF(Y302=0,"",ROUNDUP(Y302/H302,0)*0.00651),"")</f>
        <v>0.22134000000000001</v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88.40000000000002</v>
      </c>
      <c r="BN302" s="78">
        <f>IFERROR(Y302*I302/H302,"0")</f>
        <v>90.168000000000006</v>
      </c>
      <c r="BO302" s="78">
        <f>IFERROR(1/J302*(X302/H302),"0")</f>
        <v>0.18315018315018317</v>
      </c>
      <c r="BP302" s="78">
        <f>IFERROR(1/J302*(Y302/H302),"0")</f>
        <v>0.18681318681318682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160</v>
      </c>
      <c r="Y303" s="55">
        <f>IFERROR(IF(X303="",0,CEILING((X303/$H303),1)*$H303),"")</f>
        <v>160.79999999999998</v>
      </c>
      <c r="Z303" s="41">
        <f>IFERROR(IF(Y303=0,"",ROUNDUP(Y303/H303,0)*0.00651),"")</f>
        <v>0.43617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176.80000000000004</v>
      </c>
      <c r="BN303" s="78">
        <f>IFERROR(Y303*I303/H303,"0")</f>
        <v>177.684</v>
      </c>
      <c r="BO303" s="78">
        <f>IFERROR(1/J303*(X303/H303),"0")</f>
        <v>0.36630036630036633</v>
      </c>
      <c r="BP303" s="78">
        <f>IFERROR(1/J303*(Y303/H303),"0")</f>
        <v>0.36813186813186816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100</v>
      </c>
      <c r="Y304" s="43">
        <f>IFERROR(Y302/H302,"0")+IFERROR(Y303/H303,"0")</f>
        <v>101</v>
      </c>
      <c r="Z304" s="43">
        <f>IFERROR(IF(Z302="",0,Z302),"0")+IFERROR(IF(Z303="",0,Z303),"0")</f>
        <v>0.65751000000000004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240</v>
      </c>
      <c r="Y305" s="43">
        <f>IFERROR(SUM(Y302:Y303),"0")</f>
        <v>242.39999999999998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20</v>
      </c>
      <c r="Y311" s="55">
        <f t="shared" si="55"/>
        <v>20</v>
      </c>
      <c r="Z311" s="41">
        <f>IFERROR(IF(Y311=0,"",ROUNDUP(Y311/H311,0)*0.00902),"")</f>
        <v>4.5100000000000001E-2</v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20.950000000000003</v>
      </c>
      <c r="BN311" s="78">
        <f t="shared" si="57"/>
        <v>20.950000000000003</v>
      </c>
      <c r="BO311" s="78">
        <f t="shared" si="58"/>
        <v>3.787878787878788E-2</v>
      </c>
      <c r="BP311" s="78">
        <f t="shared" si="59"/>
        <v>3.787878787878788E-2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40</v>
      </c>
      <c r="Y314" s="55">
        <f t="shared" si="55"/>
        <v>40</v>
      </c>
      <c r="Z314" s="41">
        <f>IFERROR(IF(Y314=0,"",ROUNDUP(Y314/H314,0)*0.00902),"")</f>
        <v>9.0200000000000002E-2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41.900000000000006</v>
      </c>
      <c r="BN314" s="78">
        <f t="shared" si="57"/>
        <v>41.900000000000006</v>
      </c>
      <c r="BO314" s="78">
        <f t="shared" si="58"/>
        <v>7.575757575757576E-2</v>
      </c>
      <c r="BP314" s="78">
        <f t="shared" si="59"/>
        <v>7.575757575757576E-2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15</v>
      </c>
      <c r="Y315" s="43">
        <f>IFERROR(Y308/H308,"0")+IFERROR(Y309/H309,"0")+IFERROR(Y310/H310,"0")+IFERROR(Y311/H311,"0")+IFERROR(Y312/H312,"0")+IFERROR(Y313/H313,"0")+IFERROR(Y314/H314,"0")</f>
        <v>15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0.1353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60</v>
      </c>
      <c r="Y316" s="43">
        <f>IFERROR(SUM(Y308:Y314),"0")</f>
        <v>60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24</v>
      </c>
      <c r="Y322" s="55">
        <f>IFERROR(IF(X322="",0,CEILING((X322/$H322),1)*$H322),"")</f>
        <v>25.2</v>
      </c>
      <c r="Z322" s="41">
        <f>IFERROR(IF(Y322=0,"",ROUNDUP(Y322/H322,0)*0.0059),"")</f>
        <v>8.2599999999999993E-2</v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26.333333333333336</v>
      </c>
      <c r="BN322" s="78">
        <f>IFERROR(Y322*I322/H322,"0")</f>
        <v>27.650000000000002</v>
      </c>
      <c r="BO322" s="78">
        <f>IFERROR(1/J322*(X322/H322),"0")</f>
        <v>6.1728395061728385E-2</v>
      </c>
      <c r="BP322" s="78">
        <f>IFERROR(1/J322*(Y322/H322),"0")</f>
        <v>6.4814814814814811E-2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13.333333333333332</v>
      </c>
      <c r="Y323" s="43">
        <f>IFERROR(Y322/H322,"0")</f>
        <v>14</v>
      </c>
      <c r="Z323" s="43">
        <f>IFERROR(IF(Z322="",0,Z322),"0")</f>
        <v>8.2599999999999993E-2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24</v>
      </c>
      <c r="Y324" s="43">
        <f>IFERROR(SUM(Y322:Y322),"0")</f>
        <v>25.2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24</v>
      </c>
      <c r="Y327" s="55">
        <f>IFERROR(IF(X327="",0,CEILING((X327/$H327),1)*$H327),"")</f>
        <v>25.2</v>
      </c>
      <c r="Z327" s="41">
        <f>IFERROR(IF(Y327=0,"",ROUNDUP(Y327/H327,0)*0.0059),"")</f>
        <v>8.2599999999999993E-2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26.333333333333336</v>
      </c>
      <c r="BN327" s="78">
        <f>IFERROR(Y327*I327/H327,"0")</f>
        <v>27.650000000000002</v>
      </c>
      <c r="BO327" s="78">
        <f>IFERROR(1/J327*(X327/H327),"0")</f>
        <v>6.1728395061728385E-2</v>
      </c>
      <c r="BP327" s="78">
        <f>IFERROR(1/J327*(Y327/H327),"0")</f>
        <v>6.4814814814814811E-2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13.333333333333332</v>
      </c>
      <c r="Y329" s="43">
        <f>IFERROR(Y326/H326,"0")+IFERROR(Y327/H327,"0")+IFERROR(Y328/H328,"0")</f>
        <v>14</v>
      </c>
      <c r="Z329" s="43">
        <f>IFERROR(IF(Z326="",0,Z326),"0")+IFERROR(IF(Z327="",0,Z327),"0")+IFERROR(IF(Z328="",0,Z328),"0")</f>
        <v>8.2599999999999993E-2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24</v>
      </c>
      <c r="Y330" s="43">
        <f>IFERROR(SUM(Y326:Y328),"0")</f>
        <v>25.2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80</v>
      </c>
      <c r="Y343" s="55">
        <f>IFERROR(IF(X343="",0,CEILING((X343/$H343),1)*$H343),"")</f>
        <v>81.599999999999994</v>
      </c>
      <c r="Z343" s="41">
        <f>IFERROR(IF(Y343=0,"",ROUNDUP(Y343/H343,0)*0.00651),"")</f>
        <v>0.22134000000000001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88.40000000000002</v>
      </c>
      <c r="BN343" s="78">
        <f>IFERROR(Y343*I343/H343,"0")</f>
        <v>90.168000000000006</v>
      </c>
      <c r="BO343" s="78">
        <f>IFERROR(1/J343*(X343/H343),"0")</f>
        <v>0.18315018315018317</v>
      </c>
      <c r="BP343" s="78">
        <f>IFERROR(1/J343*(Y343/H343),"0")</f>
        <v>0.18681318681318682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600</v>
      </c>
      <c r="Y344" s="55">
        <f>IFERROR(IF(X344="",0,CEILING((X344/$H344),1)*$H344),"")</f>
        <v>600</v>
      </c>
      <c r="Z344" s="41">
        <f>IFERROR(IF(Y344=0,"",ROUNDUP(Y344/H344,0)*0.00651),"")</f>
        <v>1.6274999999999999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645</v>
      </c>
      <c r="BN344" s="78">
        <f>IFERROR(Y344*I344/H344,"0")</f>
        <v>645</v>
      </c>
      <c r="BO344" s="78">
        <f>IFERROR(1/J344*(X344/H344),"0")</f>
        <v>1.3736263736263736</v>
      </c>
      <c r="BP344" s="78">
        <f>IFERROR(1/J344*(Y344/H344),"0")</f>
        <v>1.3736263736263736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283.33333333333331</v>
      </c>
      <c r="Y345" s="43">
        <f>IFERROR(Y342/H342,"0")+IFERROR(Y343/H343,"0")+IFERROR(Y344/H344,"0")</f>
        <v>284</v>
      </c>
      <c r="Z345" s="43">
        <f>IFERROR(IF(Z342="",0,Z342),"0")+IFERROR(IF(Z343="",0,Z343),"0")+IFERROR(IF(Z344="",0,Z344),"0")</f>
        <v>1.84884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680</v>
      </c>
      <c r="Y346" s="43">
        <f>IFERROR(SUM(Y342:Y344),"0")</f>
        <v>681.6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210</v>
      </c>
      <c r="Y383" s="55">
        <f t="shared" si="65"/>
        <v>210</v>
      </c>
      <c r="Z383" s="41">
        <f>IFERROR(IF(Y383=0,"",ROUNDUP(Y383/H383,0)*0.00502),"")</f>
        <v>0.502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220.00000000000003</v>
      </c>
      <c r="BN383" s="78">
        <f t="shared" si="67"/>
        <v>220.00000000000003</v>
      </c>
      <c r="BO383" s="78">
        <f t="shared" si="68"/>
        <v>0.42735042735042739</v>
      </c>
      <c r="BP383" s="78">
        <f t="shared" si="69"/>
        <v>0.42735042735042739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60</v>
      </c>
      <c r="Y385" s="55">
        <f t="shared" si="65"/>
        <v>61.2</v>
      </c>
      <c r="Z385" s="41">
        <f>IFERROR(IF(Y385=0,"",ROUNDUP(Y385/H385,0)*0.00651),"")</f>
        <v>0.22134000000000001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67.600000000000009</v>
      </c>
      <c r="BN385" s="78">
        <f t="shared" si="67"/>
        <v>68.951999999999998</v>
      </c>
      <c r="BO385" s="78">
        <f t="shared" si="68"/>
        <v>0.18315018315018317</v>
      </c>
      <c r="BP385" s="78">
        <f t="shared" si="69"/>
        <v>0.18681318681318682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133.33333333333334</v>
      </c>
      <c r="Y386" s="43">
        <f>IFERROR(Y379/H379,"0")+IFERROR(Y380/H380,"0")+IFERROR(Y381/H381,"0")+IFERROR(Y382/H382,"0")+IFERROR(Y383/H383,"0")+IFERROR(Y384/H384,"0")+IFERROR(Y385/H385,"0")</f>
        <v>134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0.72333999999999998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270</v>
      </c>
      <c r="Y387" s="43">
        <f>IFERROR(SUM(Y379:Y385),"0")</f>
        <v>271.2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100</v>
      </c>
      <c r="Y409" s="55">
        <f>IFERROR(IF(X409="",0,CEILING((X409/$H409),1)*$H409),"")</f>
        <v>100</v>
      </c>
      <c r="Z409" s="41">
        <f>IFERROR(IF(Y409=0,"",ROUNDUP(Y409/H409,0)*0.00474),"")</f>
        <v>0.23700000000000002</v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112.00000000000001</v>
      </c>
      <c r="BN409" s="78">
        <f>IFERROR(Y409*I409/H409,"0")</f>
        <v>112.00000000000001</v>
      </c>
      <c r="BO409" s="78">
        <f>IFERROR(1/J409*(X409/H409),"0")</f>
        <v>0.21008403361344538</v>
      </c>
      <c r="BP409" s="78">
        <f>IFERROR(1/J409*(Y409/H409),"0")</f>
        <v>0.21008403361344538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100</v>
      </c>
      <c r="Y410" s="55">
        <f>IFERROR(IF(X410="",0,CEILING((X410/$H410),1)*$H410),"")</f>
        <v>100</v>
      </c>
      <c r="Z410" s="41">
        <f>IFERROR(IF(Y410=0,"",ROUNDUP(Y410/H410,0)*0.00474),"")</f>
        <v>0.23700000000000002</v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112.00000000000001</v>
      </c>
      <c r="BN410" s="78">
        <f>IFERROR(Y410*I410/H410,"0")</f>
        <v>112.00000000000001</v>
      </c>
      <c r="BO410" s="78">
        <f>IFERROR(1/J410*(X410/H410),"0")</f>
        <v>0.21008403361344538</v>
      </c>
      <c r="BP410" s="78">
        <f>IFERROR(1/J410*(Y410/H410),"0")</f>
        <v>0.21008403361344538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100</v>
      </c>
      <c r="Y411" s="55">
        <f>IFERROR(IF(X411="",0,CEILING((X411/$H411),1)*$H411),"")</f>
        <v>100</v>
      </c>
      <c r="Z411" s="41">
        <f>IFERROR(IF(Y411=0,"",ROUNDUP(Y411/H411,0)*0.00474),"")</f>
        <v>0.23700000000000002</v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112.00000000000001</v>
      </c>
      <c r="BN411" s="78">
        <f>IFERROR(Y411*I411/H411,"0")</f>
        <v>112.00000000000001</v>
      </c>
      <c r="BO411" s="78">
        <f>IFERROR(1/J411*(X411/H411),"0")</f>
        <v>0.21008403361344538</v>
      </c>
      <c r="BP411" s="78">
        <f>IFERROR(1/J411*(Y411/H411),"0")</f>
        <v>0.21008403361344538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150</v>
      </c>
      <c r="Y412" s="43">
        <f>IFERROR(Y409/H409,"0")+IFERROR(Y410/H410,"0")+IFERROR(Y411/H411,"0")</f>
        <v>150</v>
      </c>
      <c r="Z412" s="43">
        <f>IFERROR(IF(Z409="",0,Z409),"0")+IFERROR(IF(Z410="",0,Z410),"0")+IFERROR(IF(Z411="",0,Z411),"0")</f>
        <v>0.71100000000000008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300</v>
      </c>
      <c r="Y413" s="43">
        <f>IFERROR(SUM(Y409:Y411),"0")</f>
        <v>300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5600</v>
      </c>
      <c r="Y429" s="55">
        <f>IFERROR(IF(X429="",0,CEILING((X429/$H429),1)*$H429),"")</f>
        <v>5600.7</v>
      </c>
      <c r="Z429" s="41">
        <f>IFERROR(IF(Y429=0,"",ROUNDUP(Y429/H429,0)*0.00651),"")</f>
        <v>17.362169999999999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6271.9999999999991</v>
      </c>
      <c r="BN429" s="78">
        <f>IFERROR(Y429*I429/H429,"0")</f>
        <v>6272.7839999999987</v>
      </c>
      <c r="BO429" s="78">
        <f>IFERROR(1/J429*(X429/H429),"0")</f>
        <v>14.652014652014651</v>
      </c>
      <c r="BP429" s="78">
        <f>IFERROR(1/J429*(Y429/H429),"0")</f>
        <v>14.653846153846155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3849.9999999999995</v>
      </c>
      <c r="Y430" s="55">
        <f>IFERROR(IF(X430="",0,CEILING((X430/$H430),1)*$H430),"")</f>
        <v>3851.4</v>
      </c>
      <c r="Z430" s="41">
        <f>IFERROR(IF(Y430=0,"",ROUNDUP(Y430/H430,0)*0.00651),"")</f>
        <v>11.93934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4289.9999999999991</v>
      </c>
      <c r="BN430" s="78">
        <f>IFERROR(Y430*I430/H430,"0")</f>
        <v>4291.5599999999995</v>
      </c>
      <c r="BO430" s="78">
        <f>IFERROR(1/J430*(X430/H430),"0")</f>
        <v>10.073260073260073</v>
      </c>
      <c r="BP430" s="78">
        <f>IFERROR(1/J430*(Y430/H430),"0")</f>
        <v>10.076923076923078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4500</v>
      </c>
      <c r="Y431" s="43">
        <f>IFERROR(Y428/H428,"0")+IFERROR(Y429/H429,"0")+IFERROR(Y430/H430,"0")</f>
        <v>4501</v>
      </c>
      <c r="Z431" s="43">
        <f>IFERROR(IF(Z428="",0,Z428),"0")+IFERROR(IF(Z429="",0,Z429),"0")+IFERROR(IF(Z430="",0,Z430),"0")</f>
        <v>29.30151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9450</v>
      </c>
      <c r="Y432" s="43">
        <f>IFERROR(SUM(Y428:Y430),"0")</f>
        <v>9452.1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50</v>
      </c>
      <c r="Y454" s="55">
        <f>IFERROR(IF(X454="",0,CEILING((X454/$H454),1)*$H454),"")</f>
        <v>54</v>
      </c>
      <c r="Z454" s="41">
        <f>IFERROR(IF(Y454=0,"",ROUNDUP(Y454/H454,0)*0.01898),"")</f>
        <v>0.11388000000000001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52.74444444444444</v>
      </c>
      <c r="BN454" s="78">
        <f>IFERROR(Y454*I454/H454,"0")</f>
        <v>56.963999999999992</v>
      </c>
      <c r="BO454" s="78">
        <f>IFERROR(1/J454*(X454/H454),"0")</f>
        <v>8.6805555555555552E-2</v>
      </c>
      <c r="BP454" s="78">
        <f>IFERROR(1/J454*(Y454/H454),"0")</f>
        <v>9.375E-2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5.5555555555555554</v>
      </c>
      <c r="Y456" s="43">
        <f>IFERROR(Y453/H453,"0")+IFERROR(Y454/H454,"0")+IFERROR(Y455/H455,"0")</f>
        <v>6</v>
      </c>
      <c r="Z456" s="43">
        <f>IFERROR(IF(Z453="",0,Z453),"0")+IFERROR(IF(Z454="",0,Z454),"0")+IFERROR(IF(Z455="",0,Z455),"0")</f>
        <v>0.11388000000000001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50</v>
      </c>
      <c r="Y457" s="43">
        <f>IFERROR(SUM(Y453:Y455),"0")</f>
        <v>54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50</v>
      </c>
      <c r="Y460" s="55">
        <f>IFERROR(IF(X460="",0,CEILING((X460/$H460),1)*$H460),"")</f>
        <v>54</v>
      </c>
      <c r="Z460" s="41">
        <f>IFERROR(IF(Y460=0,"",ROUNDUP(Y460/H460,0)*0.01898),"")</f>
        <v>0.11388000000000001</v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52.74444444444444</v>
      </c>
      <c r="BN460" s="78">
        <f>IFERROR(Y460*I460/H460,"0")</f>
        <v>56.963999999999992</v>
      </c>
      <c r="BO460" s="78">
        <f>IFERROR(1/J460*(X460/H460),"0")</f>
        <v>8.6805555555555552E-2</v>
      </c>
      <c r="BP460" s="78">
        <f>IFERROR(1/J460*(Y460/H460),"0")</f>
        <v>9.375E-2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5.5555555555555554</v>
      </c>
      <c r="Y461" s="43">
        <f>IFERROR(Y459/H459,"0")+IFERROR(Y460/H460,"0")</f>
        <v>6</v>
      </c>
      <c r="Z461" s="43">
        <f>IFERROR(IF(Z459="",0,Z459),"0")+IFERROR(IF(Z460="",0,Z460),"0")</f>
        <v>0.11388000000000001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50</v>
      </c>
      <c r="Y462" s="43">
        <f>IFERROR(SUM(Y459:Y460),"0")</f>
        <v>54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50</v>
      </c>
      <c r="Y474" s="55">
        <f>IFERROR(IF(X474="",0,CEILING((X474/$H474),1)*$H474),"")</f>
        <v>54</v>
      </c>
      <c r="Z474" s="41">
        <f>IFERROR(IF(Y474=0,"",ROUNDUP(Y474/H474,0)*0.01898),"")</f>
        <v>0.11388000000000001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52.74444444444444</v>
      </c>
      <c r="BN474" s="78">
        <f>IFERROR(Y474*I474/H474,"0")</f>
        <v>56.963999999999992</v>
      </c>
      <c r="BO474" s="78">
        <f>IFERROR(1/J474*(X474/H474),"0")</f>
        <v>8.6805555555555552E-2</v>
      </c>
      <c r="BP474" s="78">
        <f>IFERROR(1/J474*(Y474/H474),"0")</f>
        <v>9.375E-2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5.5555555555555554</v>
      </c>
      <c r="Y477" s="43">
        <f>IFERROR(Y474/H474,"0")+IFERROR(Y475/H475,"0")+IFERROR(Y476/H476,"0")</f>
        <v>6</v>
      </c>
      <c r="Z477" s="43">
        <f>IFERROR(IF(Z474="",0,Z474),"0")+IFERROR(IF(Z475="",0,Z475),"0")+IFERROR(IF(Z476="",0,Z476),"0")</f>
        <v>0.11388000000000001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50</v>
      </c>
      <c r="Y478" s="43">
        <f>IFERROR(SUM(Y474:Y476),"0")</f>
        <v>54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150</v>
      </c>
      <c r="Y516" s="55">
        <f t="shared" si="80"/>
        <v>153.6</v>
      </c>
      <c r="Z516" s="41">
        <f>IFERROR(IF(Y516=0,"",ROUNDUP(Y516/H516,0)*0.00902),"")</f>
        <v>0.28864000000000001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215.9375</v>
      </c>
      <c r="BN516" s="78">
        <f t="shared" si="83"/>
        <v>221.12</v>
      </c>
      <c r="BO516" s="78">
        <f t="shared" si="84"/>
        <v>0.23674242424242425</v>
      </c>
      <c r="BP516" s="78">
        <f t="shared" si="85"/>
        <v>0.24242424242424243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480</v>
      </c>
      <c r="Y517" s="55">
        <f t="shared" si="80"/>
        <v>480</v>
      </c>
      <c r="Z517" s="41">
        <f>IFERROR(IF(Y517=0,"",ROUNDUP(Y517/H517,0)*0.00902),"")</f>
        <v>0.90200000000000002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691.00000000000011</v>
      </c>
      <c r="BN517" s="78">
        <f t="shared" si="83"/>
        <v>691.00000000000011</v>
      </c>
      <c r="BO517" s="78">
        <f t="shared" si="84"/>
        <v>0.75757575757575757</v>
      </c>
      <c r="BP517" s="78">
        <f t="shared" si="85"/>
        <v>0.75757575757575757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131.25</v>
      </c>
      <c r="Y518" s="43">
        <f>IFERROR(Y509/H509,"0")+IFERROR(Y510/H510,"0")+IFERROR(Y511/H511,"0")+IFERROR(Y512/H512,"0")+IFERROR(Y513/H513,"0")+IFERROR(Y514/H514,"0")+IFERROR(Y515/H515,"0")+IFERROR(Y516/H516,"0")+IFERROR(Y517/H517,"0")</f>
        <v>132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1.1906400000000001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630</v>
      </c>
      <c r="Y519" s="43">
        <f>IFERROR(SUM(Y509:Y517),"0")</f>
        <v>633.6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180</v>
      </c>
      <c r="Y523" s="55">
        <f>IFERROR(IF(X523="",0,CEILING((X523/$H523),1)*$H523),"")</f>
        <v>182.4</v>
      </c>
      <c r="Z523" s="41">
        <f>IFERROR(IF(Y523=0,"",ROUNDUP(Y523/H523,0)*0.00902),"")</f>
        <v>0.34276000000000001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259.125</v>
      </c>
      <c r="BN523" s="78">
        <f>IFERROR(Y523*I523/H523,"0")</f>
        <v>262.58000000000004</v>
      </c>
      <c r="BO523" s="78">
        <f>IFERROR(1/J523*(X523/H523),"0")</f>
        <v>0.28409090909090912</v>
      </c>
      <c r="BP523" s="78">
        <f>IFERROR(1/J523*(Y523/H523),"0")</f>
        <v>0.2878787878787879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37.5</v>
      </c>
      <c r="Y524" s="43">
        <f>IFERROR(Y521/H521,"0")+IFERROR(Y522/H522,"0")+IFERROR(Y523/H523,"0")</f>
        <v>38</v>
      </c>
      <c r="Z524" s="43">
        <f>IFERROR(IF(Z521="",0,Z521),"0")+IFERROR(IF(Z522="",0,Z522),"0")+IFERROR(IF(Z523="",0,Z523),"0")</f>
        <v>0.34276000000000001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180</v>
      </c>
      <c r="Y525" s="43">
        <f>IFERROR(SUM(Y521:Y523),"0")</f>
        <v>182.4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120</v>
      </c>
      <c r="Y530" s="55">
        <f t="shared" si="86"/>
        <v>120</v>
      </c>
      <c r="Z530" s="41">
        <f>IFERROR(IF(Y530=0,"",ROUNDUP(Y530/H530,0)*0.00902),"")</f>
        <v>0.22550000000000001</v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172.75000000000003</v>
      </c>
      <c r="BN530" s="78">
        <f t="shared" si="88"/>
        <v>172.75000000000003</v>
      </c>
      <c r="BO530" s="78">
        <f t="shared" si="89"/>
        <v>0.18939393939393939</v>
      </c>
      <c r="BP530" s="78">
        <f t="shared" si="90"/>
        <v>0.18939393939393939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240</v>
      </c>
      <c r="Y533" s="55">
        <f t="shared" si="86"/>
        <v>240</v>
      </c>
      <c r="Z533" s="41">
        <f>IFERROR(IF(Y533=0,"",ROUNDUP(Y533/H533,0)*0.00902),"")</f>
        <v>0.45100000000000001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333.5</v>
      </c>
      <c r="BN533" s="78">
        <f t="shared" si="88"/>
        <v>333.5</v>
      </c>
      <c r="BO533" s="78">
        <f t="shared" si="89"/>
        <v>0.37878787878787878</v>
      </c>
      <c r="BP533" s="78">
        <f t="shared" si="90"/>
        <v>0.37878787878787878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75</v>
      </c>
      <c r="Y534" s="43">
        <f>IFERROR(Y527/H527,"0")+IFERROR(Y528/H528,"0")+IFERROR(Y529/H529,"0")+IFERROR(Y530/H530,"0")+IFERROR(Y531/H531,"0")+IFERROR(Y532/H532,"0")+IFERROR(Y533/H533,"0")</f>
        <v>75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0.67649999999999999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360</v>
      </c>
      <c r="Y535" s="43">
        <f>IFERROR(SUM(Y527:Y533),"0")</f>
        <v>360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18989.099999999999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19042.120000000003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21272.259828042323</v>
      </c>
      <c r="Y565" s="43">
        <f>IFERROR(SUM(BN22:BN561),"0")</f>
        <v>21331.351999999995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45</v>
      </c>
      <c r="Y566" s="44">
        <f>ROUNDUP(SUM(BP22:BP561),0)</f>
        <v>45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22397.259828042323</v>
      </c>
      <c r="Y567" s="43">
        <f>GrossWeightTotalR+PalletQtyTotalR*25</f>
        <v>22456.351999999995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8008.6243386243395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8025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52.719629999999995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32.64</v>
      </c>
      <c r="D574" s="52">
        <f>IFERROR(Y47*1,"0")+IFERROR(Y48*1,"0")+IFERROR(Y49*1,"0")+IFERROR(Y50*1,"0")</f>
        <v>240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765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810.90000000000009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933.66</v>
      </c>
      <c r="H574" s="52">
        <f>IFERROR(Y140*1,"0")+IFERROR(Y141*1,"0")+IFERROR(Y145*1,"0")+IFERROR(Y146*1,"0")+IFERROR(Y150*1,"0")+IFERROR(Y151*1,"0")</f>
        <v>202.48000000000002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236.84</v>
      </c>
      <c r="K574" s="52">
        <f>IFERROR(Y215*1,"0")+IFERROR(Y216*1,"0")+IFERROR(Y217*1,"0")+IFERROR(Y218*1,"0")+IFERROR(Y219*1,"0")+IFERROR(Y220*1,"0")+IFERROR(Y221*1,"0")</f>
        <v>108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710.49999999999989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2848.8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110.4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681.6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571.20000000000005</v>
      </c>
      <c r="U574" s="52">
        <f>IFERROR(Y422*1,"0")+IFERROR(Y423*1,"0")</f>
        <v>0</v>
      </c>
      <c r="V574" s="52">
        <f>IFERROR(Y428*1,"0")+IFERROR(Y429*1,"0")+IFERROR(Y430*1,"0")</f>
        <v>9452.1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108</v>
      </c>
      <c r="X574" s="52">
        <f>IFERROR(Y465*1,"0")+IFERROR(Y466*1,"0")+IFERROR(Y470*1,"0")+IFERROR(Y474*1,"0")+IFERROR(Y475*1,"0")+IFERROR(Y476*1,"0")</f>
        <v>54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1176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2,00"/>
        <filter val="12,60"/>
        <filter val="120,00"/>
        <filter val="13,33"/>
        <filter val="131,25"/>
        <filter val="133,33"/>
        <filter val="135,00"/>
        <filter val="140,00"/>
        <filter val="15,00"/>
        <filter val="150,00"/>
        <filter val="16,00"/>
        <filter val="16,67"/>
        <filter val="160,00"/>
        <filter val="166,67"/>
        <filter val="18 989,10"/>
        <filter val="180,00"/>
        <filter val="2 000,00"/>
        <filter val="20,00"/>
        <filter val="200,00"/>
        <filter val="209,00"/>
        <filter val="21 272,26"/>
        <filter val="21,00"/>
        <filter val="210,00"/>
        <filter val="22 397,26"/>
        <filter val="225,00"/>
        <filter val="24,00"/>
        <filter val="240,00"/>
        <filter val="25,00"/>
        <filter val="250,00"/>
        <filter val="270,00"/>
        <filter val="28,00"/>
        <filter val="283,33"/>
        <filter val="3 850,00"/>
        <filter val="300,00"/>
        <filter val="31,25"/>
        <filter val="32,00"/>
        <filter val="33,00"/>
        <filter val="333,33"/>
        <filter val="335,00"/>
        <filter val="350,00"/>
        <filter val="360,00"/>
        <filter val="37,50"/>
        <filter val="38,89"/>
        <filter val="4 500,00"/>
        <filter val="40,00"/>
        <filter val="45"/>
        <filter val="450,00"/>
        <filter val="48,00"/>
        <filter val="480,00"/>
        <filter val="49,00"/>
        <filter val="5 600,00"/>
        <filter val="5,00"/>
        <filter val="5,56"/>
        <filter val="50,00"/>
        <filter val="60,00"/>
        <filter val="600,00"/>
        <filter val="630,00"/>
        <filter val="658,00"/>
        <filter val="67,14"/>
        <filter val="675,00"/>
        <filter val="680,00"/>
        <filter val="70,00"/>
        <filter val="75,00"/>
        <filter val="8 008,62"/>
        <filter val="80,00"/>
        <filter val="82,50"/>
        <filter val="833,33"/>
        <filter val="9 450,00"/>
        <filter val="9,00"/>
        <filter val="9,26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