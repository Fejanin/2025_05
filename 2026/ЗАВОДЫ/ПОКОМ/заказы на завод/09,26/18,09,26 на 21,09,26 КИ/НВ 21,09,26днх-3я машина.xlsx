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21C846-ADA7-4BFC-9482-6BC25FA419C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N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N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Y489" i="1" s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O476" i="1"/>
  <c r="BN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N472" i="1"/>
  <c r="BM472" i="1"/>
  <c r="Y472" i="1"/>
  <c r="BP472" i="1" s="1"/>
  <c r="P472" i="1"/>
  <c r="X468" i="1"/>
  <c r="X467" i="1"/>
  <c r="BO466" i="1"/>
  <c r="BN466" i="1"/>
  <c r="BM466" i="1"/>
  <c r="Y466" i="1"/>
  <c r="BP466" i="1" s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N456" i="1"/>
  <c r="BM456" i="1"/>
  <c r="Y456" i="1"/>
  <c r="BP456" i="1" s="1"/>
  <c r="P456" i="1"/>
  <c r="BO455" i="1"/>
  <c r="BM455" i="1"/>
  <c r="Y455" i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N437" i="1"/>
  <c r="BM437" i="1"/>
  <c r="Y437" i="1"/>
  <c r="BP437" i="1" s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N427" i="1"/>
  <c r="BM427" i="1"/>
  <c r="Y427" i="1"/>
  <c r="BP427" i="1" s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BO405" i="1"/>
  <c r="BN405" i="1"/>
  <c r="BM405" i="1"/>
  <c r="Y405" i="1"/>
  <c r="BP405" i="1" s="1"/>
  <c r="P405" i="1"/>
  <c r="X403" i="1"/>
  <c r="X402" i="1"/>
  <c r="BO401" i="1"/>
  <c r="BM401" i="1"/>
  <c r="Y401" i="1"/>
  <c r="BN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N379" i="1"/>
  <c r="BM379" i="1"/>
  <c r="Y379" i="1"/>
  <c r="BP379" i="1" s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N369" i="1"/>
  <c r="BM369" i="1"/>
  <c r="Y369" i="1"/>
  <c r="BP369" i="1" s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BN363" i="1" s="1"/>
  <c r="P363" i="1"/>
  <c r="BO362" i="1"/>
  <c r="BM362" i="1"/>
  <c r="Y362" i="1"/>
  <c r="P362" i="1"/>
  <c r="BO361" i="1"/>
  <c r="BM361" i="1"/>
  <c r="Y361" i="1"/>
  <c r="P361" i="1"/>
  <c r="BO360" i="1"/>
  <c r="BM360" i="1"/>
  <c r="Y360" i="1"/>
  <c r="P360" i="1"/>
  <c r="BO359" i="1"/>
  <c r="BN359" i="1"/>
  <c r="BM359" i="1"/>
  <c r="Y359" i="1"/>
  <c r="BP359" i="1" s="1"/>
  <c r="X356" i="1"/>
  <c r="X355" i="1"/>
  <c r="BO354" i="1"/>
  <c r="BM354" i="1"/>
  <c r="Y354" i="1"/>
  <c r="P354" i="1"/>
  <c r="BO353" i="1"/>
  <c r="BN353" i="1"/>
  <c r="BM353" i="1"/>
  <c r="Y353" i="1"/>
  <c r="BP353" i="1" s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O333" i="1"/>
  <c r="BN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8" i="1"/>
  <c r="X327" i="1"/>
  <c r="BO326" i="1"/>
  <c r="BN326" i="1"/>
  <c r="BM326" i="1"/>
  <c r="Y326" i="1"/>
  <c r="BP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P322" i="1" s="1"/>
  <c r="P322" i="1"/>
  <c r="BO321" i="1"/>
  <c r="BN321" i="1"/>
  <c r="BM321" i="1"/>
  <c r="Y321" i="1"/>
  <c r="BP321" i="1" s="1"/>
  <c r="X318" i="1"/>
  <c r="X317" i="1"/>
  <c r="BO316" i="1"/>
  <c r="BM316" i="1"/>
  <c r="Y316" i="1"/>
  <c r="Y317" i="1" s="1"/>
  <c r="P316" i="1"/>
  <c r="X314" i="1"/>
  <c r="X313" i="1"/>
  <c r="BO312" i="1"/>
  <c r="BM312" i="1"/>
  <c r="Y312" i="1"/>
  <c r="Y313" i="1" s="1"/>
  <c r="P312" i="1"/>
  <c r="X310" i="1"/>
  <c r="X309" i="1"/>
  <c r="BO308" i="1"/>
  <c r="BM308" i="1"/>
  <c r="Y308" i="1"/>
  <c r="Y309" i="1" s="1"/>
  <c r="P308" i="1"/>
  <c r="X306" i="1"/>
  <c r="X305" i="1"/>
  <c r="BO304" i="1"/>
  <c r="BM304" i="1"/>
  <c r="Y304" i="1"/>
  <c r="BP304" i="1" s="1"/>
  <c r="P304" i="1"/>
  <c r="BO303" i="1"/>
  <c r="BM303" i="1"/>
  <c r="Y303" i="1"/>
  <c r="BN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N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N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BN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N268" i="1" s="1"/>
  <c r="P268" i="1"/>
  <c r="BO267" i="1"/>
  <c r="BM267" i="1"/>
  <c r="Y267" i="1"/>
  <c r="BP267" i="1" s="1"/>
  <c r="P267" i="1"/>
  <c r="BO266" i="1"/>
  <c r="BM266" i="1"/>
  <c r="Y266" i="1"/>
  <c r="Y274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Y264" i="1" s="1"/>
  <c r="P261" i="1"/>
  <c r="X259" i="1"/>
  <c r="X258" i="1"/>
  <c r="BO257" i="1"/>
  <c r="BM257" i="1"/>
  <c r="Y257" i="1"/>
  <c r="BP257" i="1" s="1"/>
  <c r="P257" i="1"/>
  <c r="BO256" i="1"/>
  <c r="BM256" i="1"/>
  <c r="Y256" i="1"/>
  <c r="Y258" i="1" s="1"/>
  <c r="P256" i="1"/>
  <c r="X253" i="1"/>
  <c r="X252" i="1"/>
  <c r="BO251" i="1"/>
  <c r="BM251" i="1"/>
  <c r="Y251" i="1"/>
  <c r="Y253" i="1" s="1"/>
  <c r="P251" i="1"/>
  <c r="X249" i="1"/>
  <c r="X248" i="1"/>
  <c r="BO247" i="1"/>
  <c r="BN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49" i="1" s="1"/>
  <c r="P245" i="1"/>
  <c r="X243" i="1"/>
  <c r="X242" i="1"/>
  <c r="BO241" i="1"/>
  <c r="BN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N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1" i="1"/>
  <c r="X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N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N215" i="1"/>
  <c r="BM215" i="1"/>
  <c r="Y215" i="1"/>
  <c r="BP215" i="1" s="1"/>
  <c r="P215" i="1"/>
  <c r="X213" i="1"/>
  <c r="X212" i="1"/>
  <c r="BP211" i="1"/>
  <c r="BO211" i="1"/>
  <c r="BM211" i="1"/>
  <c r="Z211" i="1"/>
  <c r="Z212" i="1" s="1"/>
  <c r="Y211" i="1"/>
  <c r="Y212" i="1" s="1"/>
  <c r="P211" i="1"/>
  <c r="X208" i="1"/>
  <c r="X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N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X196" i="1"/>
  <c r="Y195" i="1"/>
  <c r="X195" i="1"/>
  <c r="BO194" i="1"/>
  <c r="BN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O188" i="1"/>
  <c r="BM188" i="1"/>
  <c r="Y188" i="1"/>
  <c r="BN188" i="1" s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N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N174" i="1"/>
  <c r="BM174" i="1"/>
  <c r="Y174" i="1"/>
  <c r="BP174" i="1" s="1"/>
  <c r="P174" i="1"/>
  <c r="BO173" i="1"/>
  <c r="BM173" i="1"/>
  <c r="Y173" i="1"/>
  <c r="P173" i="1"/>
  <c r="X171" i="1"/>
  <c r="X170" i="1"/>
  <c r="BO169" i="1"/>
  <c r="BM169" i="1"/>
  <c r="Y169" i="1"/>
  <c r="BP169" i="1" s="1"/>
  <c r="P169" i="1"/>
  <c r="BO168" i="1"/>
  <c r="BM168" i="1"/>
  <c r="Y168" i="1"/>
  <c r="Y170" i="1" s="1"/>
  <c r="P168" i="1"/>
  <c r="X166" i="1"/>
  <c r="X165" i="1"/>
  <c r="BO164" i="1"/>
  <c r="BN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BP162" i="1" s="1"/>
  <c r="P162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O138" i="1"/>
  <c r="BN138" i="1"/>
  <c r="BM138" i="1"/>
  <c r="Y138" i="1"/>
  <c r="BP138" i="1" s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M115" i="1"/>
  <c r="Z115" i="1"/>
  <c r="Y115" i="1"/>
  <c r="BN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N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O96" i="1"/>
  <c r="BN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N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N79" i="1" s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N67" i="1"/>
  <c r="BM67" i="1"/>
  <c r="Y67" i="1"/>
  <c r="BP67" i="1" s="1"/>
  <c r="P67" i="1"/>
  <c r="BO66" i="1"/>
  <c r="BM66" i="1"/>
  <c r="Y66" i="1"/>
  <c r="P66" i="1"/>
  <c r="BO65" i="1"/>
  <c r="BM65" i="1"/>
  <c r="Y65" i="1"/>
  <c r="BP65" i="1" s="1"/>
  <c r="P65" i="1"/>
  <c r="X63" i="1"/>
  <c r="X62" i="1"/>
  <c r="BO61" i="1"/>
  <c r="BM61" i="1"/>
  <c r="Y61" i="1"/>
  <c r="BN61" i="1" s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BO57" i="1"/>
  <c r="BN57" i="1"/>
  <c r="BM57" i="1"/>
  <c r="Y57" i="1"/>
  <c r="BP57" i="1" s="1"/>
  <c r="P57" i="1"/>
  <c r="BO56" i="1"/>
  <c r="BM56" i="1"/>
  <c r="Y56" i="1"/>
  <c r="P56" i="1"/>
  <c r="BO55" i="1"/>
  <c r="BM55" i="1"/>
  <c r="Y55" i="1"/>
  <c r="P55" i="1"/>
  <c r="X52" i="1"/>
  <c r="X51" i="1"/>
  <c r="BO50" i="1"/>
  <c r="BM50" i="1"/>
  <c r="Y50" i="1"/>
  <c r="BN50" i="1" s="1"/>
  <c r="P50" i="1"/>
  <c r="BO49" i="1"/>
  <c r="BM49" i="1"/>
  <c r="Y49" i="1"/>
  <c r="P49" i="1"/>
  <c r="BO48" i="1"/>
  <c r="BM48" i="1"/>
  <c r="Y48" i="1"/>
  <c r="BP48" i="1" s="1"/>
  <c r="P48" i="1"/>
  <c r="BO47" i="1"/>
  <c r="BM47" i="1"/>
  <c r="Y47" i="1"/>
  <c r="Y51" i="1" s="1"/>
  <c r="P47" i="1"/>
  <c r="X43" i="1"/>
  <c r="X42" i="1"/>
  <c r="BO41" i="1"/>
  <c r="BM41" i="1"/>
  <c r="Y41" i="1"/>
  <c r="BP41" i="1" s="1"/>
  <c r="P41" i="1"/>
  <c r="BP40" i="1"/>
  <c r="BO40" i="1"/>
  <c r="BM40" i="1"/>
  <c r="Z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54" i="1" s="1"/>
  <c r="X24" i="1"/>
  <c r="BO23" i="1"/>
  <c r="BM23" i="1"/>
  <c r="Y23" i="1"/>
  <c r="Y25" i="1" s="1"/>
  <c r="P23" i="1"/>
  <c r="BO22" i="1"/>
  <c r="BN22" i="1"/>
  <c r="BM22" i="1"/>
  <c r="Y22" i="1"/>
  <c r="BP22" i="1" s="1"/>
  <c r="P22" i="1"/>
  <c r="H10" i="1"/>
  <c r="A9" i="1"/>
  <c r="F10" i="1" s="1"/>
  <c r="D7" i="1"/>
  <c r="Q6" i="1"/>
  <c r="P2" i="1"/>
  <c r="Z50" i="1" l="1"/>
  <c r="BP50" i="1"/>
  <c r="Y63" i="1"/>
  <c r="Z61" i="1"/>
  <c r="BP61" i="1"/>
  <c r="Z79" i="1"/>
  <c r="BP79" i="1"/>
  <c r="Z123" i="1"/>
  <c r="BP123" i="1"/>
  <c r="Z149" i="1"/>
  <c r="BP149" i="1"/>
  <c r="Z178" i="1"/>
  <c r="BP178" i="1"/>
  <c r="Z188" i="1"/>
  <c r="BP188" i="1"/>
  <c r="Z219" i="1"/>
  <c r="BP219" i="1"/>
  <c r="Z268" i="1"/>
  <c r="BP268" i="1"/>
  <c r="Z280" i="1"/>
  <c r="BP280" i="1"/>
  <c r="Z303" i="1"/>
  <c r="BP303" i="1"/>
  <c r="Z363" i="1"/>
  <c r="BP363" i="1"/>
  <c r="Z373" i="1"/>
  <c r="BP373" i="1"/>
  <c r="Z401" i="1"/>
  <c r="BP401" i="1"/>
  <c r="Z487" i="1"/>
  <c r="Z488" i="1" s="1"/>
  <c r="BP487" i="1"/>
  <c r="Z522" i="1"/>
  <c r="BP522" i="1"/>
  <c r="Y290" i="1"/>
  <c r="Z22" i="1"/>
  <c r="Y33" i="1"/>
  <c r="Z57" i="1"/>
  <c r="Z67" i="1"/>
  <c r="Z88" i="1"/>
  <c r="Z138" i="1"/>
  <c r="Z174" i="1"/>
  <c r="Z194" i="1"/>
  <c r="Z195" i="1" s="1"/>
  <c r="BP194" i="1"/>
  <c r="BN211" i="1"/>
  <c r="Z215" i="1"/>
  <c r="Z241" i="1"/>
  <c r="Z299" i="1"/>
  <c r="Z326" i="1"/>
  <c r="Z353" i="1"/>
  <c r="Z359" i="1"/>
  <c r="Z369" i="1"/>
  <c r="Z379" i="1"/>
  <c r="Z431" i="1"/>
  <c r="Z466" i="1"/>
  <c r="Z476" i="1"/>
  <c r="Z518" i="1"/>
  <c r="Y552" i="1"/>
  <c r="Z96" i="1"/>
  <c r="Z107" i="1"/>
  <c r="Z164" i="1"/>
  <c r="Z204" i="1"/>
  <c r="Z227" i="1"/>
  <c r="Z237" i="1"/>
  <c r="Z247" i="1"/>
  <c r="Z288" i="1"/>
  <c r="Z321" i="1"/>
  <c r="Z333" i="1"/>
  <c r="Z342" i="1"/>
  <c r="Z387" i="1"/>
  <c r="Z405" i="1"/>
  <c r="Z427" i="1"/>
  <c r="Z437" i="1"/>
  <c r="Z456" i="1"/>
  <c r="Z472" i="1"/>
  <c r="BN487" i="1"/>
  <c r="Y488" i="1"/>
  <c r="Z492" i="1"/>
  <c r="Z506" i="1"/>
  <c r="BP324" i="1"/>
  <c r="BN324" i="1"/>
  <c r="BP331" i="1"/>
  <c r="BN331" i="1"/>
  <c r="Z331" i="1"/>
  <c r="BP346" i="1"/>
  <c r="BN346" i="1"/>
  <c r="Z346" i="1"/>
  <c r="BP365" i="1"/>
  <c r="BN365" i="1"/>
  <c r="Z365" i="1"/>
  <c r="BP375" i="1"/>
  <c r="BN375" i="1"/>
  <c r="Z375" i="1"/>
  <c r="BP393" i="1"/>
  <c r="BN393" i="1"/>
  <c r="Z393" i="1"/>
  <c r="BP407" i="1"/>
  <c r="BN407" i="1"/>
  <c r="Z407" i="1"/>
  <c r="BP429" i="1"/>
  <c r="BN429" i="1"/>
  <c r="Z429" i="1"/>
  <c r="BP439" i="1"/>
  <c r="BN439" i="1"/>
  <c r="Z439" i="1"/>
  <c r="Y462" i="1"/>
  <c r="Y461" i="1"/>
  <c r="BP460" i="1"/>
  <c r="BN460" i="1"/>
  <c r="Z460" i="1"/>
  <c r="Z461" i="1" s="1"/>
  <c r="Y468" i="1"/>
  <c r="BP464" i="1"/>
  <c r="BN464" i="1"/>
  <c r="Z464" i="1"/>
  <c r="BP482" i="1"/>
  <c r="BN482" i="1"/>
  <c r="Z482" i="1"/>
  <c r="BP504" i="1"/>
  <c r="BN504" i="1"/>
  <c r="Z504" i="1"/>
  <c r="BP520" i="1"/>
  <c r="BN520" i="1"/>
  <c r="Z520" i="1"/>
  <c r="X558" i="1"/>
  <c r="Z28" i="1"/>
  <c r="BN28" i="1"/>
  <c r="Z38" i="1"/>
  <c r="BN38" i="1"/>
  <c r="Z48" i="1"/>
  <c r="BN48" i="1"/>
  <c r="Z55" i="1"/>
  <c r="BN55" i="1"/>
  <c r="BP55" i="1"/>
  <c r="Z59" i="1"/>
  <c r="BN59" i="1"/>
  <c r="Z65" i="1"/>
  <c r="BN65" i="1"/>
  <c r="Y70" i="1"/>
  <c r="Z73" i="1"/>
  <c r="BN73" i="1"/>
  <c r="Y82" i="1"/>
  <c r="Z86" i="1"/>
  <c r="BN86" i="1"/>
  <c r="Z94" i="1"/>
  <c r="BN94" i="1"/>
  <c r="Z101" i="1"/>
  <c r="BN101" i="1"/>
  <c r="Z105" i="1"/>
  <c r="BN105" i="1"/>
  <c r="Z113" i="1"/>
  <c r="BN113" i="1"/>
  <c r="Z121" i="1"/>
  <c r="BN121" i="1"/>
  <c r="Z127" i="1"/>
  <c r="Z128" i="1" s="1"/>
  <c r="BN127" i="1"/>
  <c r="BP127" i="1"/>
  <c r="Y128" i="1"/>
  <c r="Z132" i="1"/>
  <c r="BN132" i="1"/>
  <c r="Z142" i="1"/>
  <c r="BN142" i="1"/>
  <c r="BP142" i="1"/>
  <c r="I564" i="1"/>
  <c r="Z151" i="1"/>
  <c r="BN151" i="1"/>
  <c r="Z157" i="1"/>
  <c r="Z158" i="1" s="1"/>
  <c r="BN157" i="1"/>
  <c r="BP157" i="1"/>
  <c r="Y158" i="1"/>
  <c r="Z162" i="1"/>
  <c r="BN162" i="1"/>
  <c r="Z168" i="1"/>
  <c r="BN168" i="1"/>
  <c r="BP168" i="1"/>
  <c r="Y186" i="1"/>
  <c r="Z176" i="1"/>
  <c r="BN176" i="1"/>
  <c r="Z180" i="1"/>
  <c r="BN180" i="1"/>
  <c r="Z184" i="1"/>
  <c r="BN184" i="1"/>
  <c r="Y192" i="1"/>
  <c r="Z190" i="1"/>
  <c r="BN190" i="1"/>
  <c r="Z202" i="1"/>
  <c r="BN202" i="1"/>
  <c r="Z206" i="1"/>
  <c r="BN206" i="1"/>
  <c r="Y231" i="1"/>
  <c r="Z217" i="1"/>
  <c r="BN217" i="1"/>
  <c r="Z221" i="1"/>
  <c r="BN221" i="1"/>
  <c r="Z225" i="1"/>
  <c r="BN225" i="1"/>
  <c r="Z229" i="1"/>
  <c r="BN229" i="1"/>
  <c r="Y243" i="1"/>
  <c r="Z235" i="1"/>
  <c r="BN235" i="1"/>
  <c r="Z239" i="1"/>
  <c r="BN239" i="1"/>
  <c r="Z245" i="1"/>
  <c r="BN245" i="1"/>
  <c r="BP245" i="1"/>
  <c r="Z251" i="1"/>
  <c r="Z252" i="1" s="1"/>
  <c r="BN251" i="1"/>
  <c r="BP251" i="1"/>
  <c r="Y252" i="1"/>
  <c r="Z256" i="1"/>
  <c r="BN256" i="1"/>
  <c r="BP256" i="1"/>
  <c r="Z266" i="1"/>
  <c r="BN266" i="1"/>
  <c r="BP266" i="1"/>
  <c r="Z270" i="1"/>
  <c r="BN270" i="1"/>
  <c r="Z278" i="1"/>
  <c r="BN278" i="1"/>
  <c r="Z282" i="1"/>
  <c r="BN282" i="1"/>
  <c r="Z286" i="1"/>
  <c r="BN286" i="1"/>
  <c r="Z292" i="1"/>
  <c r="BN292" i="1"/>
  <c r="BP292" i="1"/>
  <c r="O564" i="1"/>
  <c r="Z301" i="1"/>
  <c r="BN301" i="1"/>
  <c r="Z323" i="1"/>
  <c r="BN323" i="1"/>
  <c r="Z324" i="1"/>
  <c r="Y334" i="1"/>
  <c r="BP340" i="1"/>
  <c r="BN340" i="1"/>
  <c r="Z340" i="1"/>
  <c r="BP361" i="1"/>
  <c r="BN361" i="1"/>
  <c r="Z361" i="1"/>
  <c r="BP371" i="1"/>
  <c r="BN371" i="1"/>
  <c r="Z371" i="1"/>
  <c r="BP381" i="1"/>
  <c r="BN381" i="1"/>
  <c r="Z381" i="1"/>
  <c r="Y403" i="1"/>
  <c r="BP399" i="1"/>
  <c r="BN399" i="1"/>
  <c r="Z399" i="1"/>
  <c r="BP419" i="1"/>
  <c r="BN419" i="1"/>
  <c r="Z419" i="1"/>
  <c r="BP433" i="1"/>
  <c r="BN433" i="1"/>
  <c r="Z433" i="1"/>
  <c r="BP445" i="1"/>
  <c r="BN445" i="1"/>
  <c r="Z445" i="1"/>
  <c r="BP449" i="1"/>
  <c r="BN449" i="1"/>
  <c r="Z449" i="1"/>
  <c r="Y467" i="1"/>
  <c r="BP474" i="1"/>
  <c r="BN474" i="1"/>
  <c r="Z474" i="1"/>
  <c r="BP500" i="1"/>
  <c r="BN500" i="1"/>
  <c r="Z500" i="1"/>
  <c r="BP512" i="1"/>
  <c r="BN512" i="1"/>
  <c r="Z512" i="1"/>
  <c r="BP546" i="1"/>
  <c r="BN546" i="1"/>
  <c r="Z546" i="1"/>
  <c r="T564" i="1"/>
  <c r="Y383" i="1"/>
  <c r="Y447" i="1"/>
  <c r="Y446" i="1"/>
  <c r="H9" i="1"/>
  <c r="A10" i="1"/>
  <c r="B564" i="1"/>
  <c r="X555" i="1"/>
  <c r="X556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P56" i="1"/>
  <c r="BN56" i="1"/>
  <c r="Z56" i="1"/>
  <c r="BP60" i="1"/>
  <c r="BN60" i="1"/>
  <c r="Z60" i="1"/>
  <c r="Y69" i="1"/>
  <c r="BP68" i="1"/>
  <c r="BN68" i="1"/>
  <c r="Z68" i="1"/>
  <c r="Y75" i="1"/>
  <c r="BP72" i="1"/>
  <c r="BN72" i="1"/>
  <c r="Z72" i="1"/>
  <c r="BP80" i="1"/>
  <c r="BN80" i="1"/>
  <c r="Z80" i="1"/>
  <c r="F564" i="1"/>
  <c r="Y90" i="1"/>
  <c r="BP85" i="1"/>
  <c r="BN85" i="1"/>
  <c r="Z85" i="1"/>
  <c r="BP89" i="1"/>
  <c r="BN89" i="1"/>
  <c r="Z89" i="1"/>
  <c r="Y91" i="1"/>
  <c r="Y98" i="1"/>
  <c r="BP93" i="1"/>
  <c r="BN93" i="1"/>
  <c r="Z93" i="1"/>
  <c r="Y97" i="1"/>
  <c r="BP102" i="1"/>
  <c r="BN102" i="1"/>
  <c r="Z102" i="1"/>
  <c r="BP106" i="1"/>
  <c r="BN106" i="1"/>
  <c r="Z106" i="1"/>
  <c r="BP114" i="1"/>
  <c r="BN114" i="1"/>
  <c r="Z114" i="1"/>
  <c r="BP122" i="1"/>
  <c r="BN122" i="1"/>
  <c r="Z122" i="1"/>
  <c r="F9" i="1"/>
  <c r="J9" i="1"/>
  <c r="Y43" i="1"/>
  <c r="D564" i="1"/>
  <c r="Y52" i="1"/>
  <c r="BP47" i="1"/>
  <c r="BN47" i="1"/>
  <c r="BP49" i="1"/>
  <c r="BN49" i="1"/>
  <c r="Z49" i="1"/>
  <c r="BP58" i="1"/>
  <c r="BN58" i="1"/>
  <c r="Z58" i="1"/>
  <c r="Y62" i="1"/>
  <c r="BP66" i="1"/>
  <c r="BN66" i="1"/>
  <c r="Z66" i="1"/>
  <c r="BP74" i="1"/>
  <c r="BN74" i="1"/>
  <c r="Z74" i="1"/>
  <c r="Y76" i="1"/>
  <c r="Y81" i="1"/>
  <c r="BP78" i="1"/>
  <c r="BN78" i="1"/>
  <c r="Z78" i="1"/>
  <c r="Z81" i="1" s="1"/>
  <c r="BP87" i="1"/>
  <c r="BN87" i="1"/>
  <c r="Z87" i="1"/>
  <c r="BP95" i="1"/>
  <c r="BN95" i="1"/>
  <c r="Z95" i="1"/>
  <c r="BP104" i="1"/>
  <c r="BN104" i="1"/>
  <c r="Z104" i="1"/>
  <c r="BP108" i="1"/>
  <c r="BN108" i="1"/>
  <c r="Z108" i="1"/>
  <c r="Y110" i="1"/>
  <c r="Y117" i="1"/>
  <c r="BP112" i="1"/>
  <c r="BN112" i="1"/>
  <c r="Z112" i="1"/>
  <c r="BP116" i="1"/>
  <c r="BN116" i="1"/>
  <c r="Z116" i="1"/>
  <c r="Y118" i="1"/>
  <c r="Y125" i="1"/>
  <c r="BP120" i="1"/>
  <c r="BN120" i="1"/>
  <c r="Z120" i="1"/>
  <c r="Y124" i="1"/>
  <c r="Y135" i="1"/>
  <c r="Y139" i="1"/>
  <c r="Y145" i="1"/>
  <c r="Y154" i="1"/>
  <c r="Y165" i="1"/>
  <c r="Y171" i="1"/>
  <c r="Y185" i="1"/>
  <c r="Y191" i="1"/>
  <c r="Y207" i="1"/>
  <c r="Y230" i="1"/>
  <c r="Y242" i="1"/>
  <c r="Y248" i="1"/>
  <c r="Y259" i="1"/>
  <c r="Y263" i="1"/>
  <c r="Y275" i="1"/>
  <c r="Y289" i="1"/>
  <c r="Y295" i="1"/>
  <c r="Y306" i="1"/>
  <c r="Y310" i="1"/>
  <c r="Y314" i="1"/>
  <c r="Y31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S564" i="1"/>
  <c r="Y355" i="1"/>
  <c r="BP352" i="1"/>
  <c r="BN352" i="1"/>
  <c r="Z352" i="1"/>
  <c r="BP362" i="1"/>
  <c r="BN362" i="1"/>
  <c r="Z362" i="1"/>
  <c r="Y366" i="1"/>
  <c r="BP370" i="1"/>
  <c r="BN370" i="1"/>
  <c r="Z370" i="1"/>
  <c r="BP374" i="1"/>
  <c r="BN374" i="1"/>
  <c r="Z374" i="1"/>
  <c r="BP382" i="1"/>
  <c r="BN382" i="1"/>
  <c r="Z382" i="1"/>
  <c r="Y384" i="1"/>
  <c r="Y389" i="1"/>
  <c r="BP386" i="1"/>
  <c r="BN386" i="1"/>
  <c r="Z386" i="1"/>
  <c r="BP394" i="1"/>
  <c r="BN394" i="1"/>
  <c r="Z394" i="1"/>
  <c r="BP406" i="1"/>
  <c r="BN406" i="1"/>
  <c r="Z406" i="1"/>
  <c r="Z408" i="1" s="1"/>
  <c r="BP420" i="1"/>
  <c r="BN420" i="1"/>
  <c r="Z420" i="1"/>
  <c r="Y422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BP450" i="1"/>
  <c r="BN450" i="1"/>
  <c r="Z450" i="1"/>
  <c r="Y452" i="1"/>
  <c r="X564" i="1"/>
  <c r="Y458" i="1"/>
  <c r="BP455" i="1"/>
  <c r="BN455" i="1"/>
  <c r="Z455" i="1"/>
  <c r="Z457" i="1" s="1"/>
  <c r="BP473" i="1"/>
  <c r="BN473" i="1"/>
  <c r="Z473" i="1"/>
  <c r="BP477" i="1"/>
  <c r="BN477" i="1"/>
  <c r="Z477" i="1"/>
  <c r="Y479" i="1"/>
  <c r="Y484" i="1"/>
  <c r="BP481" i="1"/>
  <c r="BN481" i="1"/>
  <c r="Z481" i="1"/>
  <c r="E564" i="1"/>
  <c r="M564" i="1"/>
  <c r="V564" i="1"/>
  <c r="G564" i="1"/>
  <c r="Y109" i="1"/>
  <c r="H564" i="1"/>
  <c r="Z133" i="1"/>
  <c r="Z134" i="1" s="1"/>
  <c r="BN133" i="1"/>
  <c r="Y134" i="1"/>
  <c r="Z137" i="1"/>
  <c r="Z139" i="1" s="1"/>
  <c r="BN137" i="1"/>
  <c r="BP137" i="1"/>
  <c r="Z143" i="1"/>
  <c r="Z144" i="1" s="1"/>
  <c r="BN143" i="1"/>
  <c r="Z148" i="1"/>
  <c r="BN148" i="1"/>
  <c r="BP148" i="1"/>
  <c r="Z150" i="1"/>
  <c r="BN150" i="1"/>
  <c r="Z152" i="1"/>
  <c r="BN152" i="1"/>
  <c r="Y155" i="1"/>
  <c r="J564" i="1"/>
  <c r="Z163" i="1"/>
  <c r="Z165" i="1" s="1"/>
  <c r="BN163" i="1"/>
  <c r="Y166" i="1"/>
  <c r="Z169" i="1"/>
  <c r="Z170" i="1" s="1"/>
  <c r="BN169" i="1"/>
  <c r="Z173" i="1"/>
  <c r="BN173" i="1"/>
  <c r="BP173" i="1"/>
  <c r="Z175" i="1"/>
  <c r="BN175" i="1"/>
  <c r="Z177" i="1"/>
  <c r="BN177" i="1"/>
  <c r="Z179" i="1"/>
  <c r="BN179" i="1"/>
  <c r="Z181" i="1"/>
  <c r="BN181" i="1"/>
  <c r="Z183" i="1"/>
  <c r="BN183" i="1"/>
  <c r="Z189" i="1"/>
  <c r="BN189" i="1"/>
  <c r="K564" i="1"/>
  <c r="Z201" i="1"/>
  <c r="BN201" i="1"/>
  <c r="Z203" i="1"/>
  <c r="BN203" i="1"/>
  <c r="Z205" i="1"/>
  <c r="BN205" i="1"/>
  <c r="Y208" i="1"/>
  <c r="L564" i="1"/>
  <c r="Y213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28" i="1"/>
  <c r="BN228" i="1"/>
  <c r="Z234" i="1"/>
  <c r="BN234" i="1"/>
  <c r="Z236" i="1"/>
  <c r="BN236" i="1"/>
  <c r="Z238" i="1"/>
  <c r="BN238" i="1"/>
  <c r="Z240" i="1"/>
  <c r="BN240" i="1"/>
  <c r="Z246" i="1"/>
  <c r="BN246" i="1"/>
  <c r="Z257" i="1"/>
  <c r="Z258" i="1" s="1"/>
  <c r="BN257" i="1"/>
  <c r="Z261" i="1"/>
  <c r="Z263" i="1" s="1"/>
  <c r="BN261" i="1"/>
  <c r="BP261" i="1"/>
  <c r="Z267" i="1"/>
  <c r="BN267" i="1"/>
  <c r="Z269" i="1"/>
  <c r="BN269" i="1"/>
  <c r="Z271" i="1"/>
  <c r="BN271" i="1"/>
  <c r="Z273" i="1"/>
  <c r="BN273" i="1"/>
  <c r="Z277" i="1"/>
  <c r="BN277" i="1"/>
  <c r="BP277" i="1"/>
  <c r="Z279" i="1"/>
  <c r="BN279" i="1"/>
  <c r="Z281" i="1"/>
  <c r="BN281" i="1"/>
  <c r="Z283" i="1"/>
  <c r="BN283" i="1"/>
  <c r="Z285" i="1"/>
  <c r="BN285" i="1"/>
  <c r="Z287" i="1"/>
  <c r="BN287" i="1"/>
  <c r="Z293" i="1"/>
  <c r="Z294" i="1" s="1"/>
  <c r="BN293" i="1"/>
  <c r="Z298" i="1"/>
  <c r="BN298" i="1"/>
  <c r="BP298" i="1"/>
  <c r="Z300" i="1"/>
  <c r="BN300" i="1"/>
  <c r="Z302" i="1"/>
  <c r="BN302" i="1"/>
  <c r="Z304" i="1"/>
  <c r="BN304" i="1"/>
  <c r="Y305" i="1"/>
  <c r="Z308" i="1"/>
  <c r="Z309" i="1" s="1"/>
  <c r="BN308" i="1"/>
  <c r="BP308" i="1"/>
  <c r="Z312" i="1"/>
  <c r="Z313" i="1" s="1"/>
  <c r="BN312" i="1"/>
  <c r="BP312" i="1"/>
  <c r="Z316" i="1"/>
  <c r="Z317" i="1" s="1"/>
  <c r="BN316" i="1"/>
  <c r="BP316" i="1"/>
  <c r="P564" i="1"/>
  <c r="Y328" i="1"/>
  <c r="Z322" i="1"/>
  <c r="Z327" i="1" s="1"/>
  <c r="BN322" i="1"/>
  <c r="Y327" i="1"/>
  <c r="BP332" i="1"/>
  <c r="BN332" i="1"/>
  <c r="Z332" i="1"/>
  <c r="Z334" i="1" s="1"/>
  <c r="Y344" i="1"/>
  <c r="BP341" i="1"/>
  <c r="BN341" i="1"/>
  <c r="Z341" i="1"/>
  <c r="Y348" i="1"/>
  <c r="BP354" i="1"/>
  <c r="BN354" i="1"/>
  <c r="Z354" i="1"/>
  <c r="Y356" i="1"/>
  <c r="BP360" i="1"/>
  <c r="BN360" i="1"/>
  <c r="Z360" i="1"/>
  <c r="BP364" i="1"/>
  <c r="BN364" i="1"/>
  <c r="Z364" i="1"/>
  <c r="Y377" i="1"/>
  <c r="BP372" i="1"/>
  <c r="BN372" i="1"/>
  <c r="Z372" i="1"/>
  <c r="Y376" i="1"/>
  <c r="BP380" i="1"/>
  <c r="BN380" i="1"/>
  <c r="Z380" i="1"/>
  <c r="BP388" i="1"/>
  <c r="BN388" i="1"/>
  <c r="Z388" i="1"/>
  <c r="Y390" i="1"/>
  <c r="Y397" i="1"/>
  <c r="BP392" i="1"/>
  <c r="BN392" i="1"/>
  <c r="Z392" i="1"/>
  <c r="Z396" i="1" s="1"/>
  <c r="Y396" i="1"/>
  <c r="BP400" i="1"/>
  <c r="BN400" i="1"/>
  <c r="Z400" i="1"/>
  <c r="Y409" i="1"/>
  <c r="Y408" i="1"/>
  <c r="BP413" i="1"/>
  <c r="BN413" i="1"/>
  <c r="Z413" i="1"/>
  <c r="Z414" i="1" s="1"/>
  <c r="Y415" i="1"/>
  <c r="Y421" i="1"/>
  <c r="BP418" i="1"/>
  <c r="BN418" i="1"/>
  <c r="Z418" i="1"/>
  <c r="BP428" i="1"/>
  <c r="BN428" i="1"/>
  <c r="Z428" i="1"/>
  <c r="BP432" i="1"/>
  <c r="BN432" i="1"/>
  <c r="Z432" i="1"/>
  <c r="Y441" i="1"/>
  <c r="Y440" i="1"/>
  <c r="BP444" i="1"/>
  <c r="BN444" i="1"/>
  <c r="Z444" i="1"/>
  <c r="Z446" i="1" s="1"/>
  <c r="Y451" i="1"/>
  <c r="Y457" i="1"/>
  <c r="BP465" i="1"/>
  <c r="BN465" i="1"/>
  <c r="Z465" i="1"/>
  <c r="Z467" i="1" s="1"/>
  <c r="BP475" i="1"/>
  <c r="BN475" i="1"/>
  <c r="Z475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R564" i="1"/>
  <c r="Z564" i="1"/>
  <c r="Q564" i="1"/>
  <c r="Y335" i="1"/>
  <c r="Y367" i="1"/>
  <c r="U564" i="1"/>
  <c r="Y414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376" i="1" l="1"/>
  <c r="Z343" i="1"/>
  <c r="Z451" i="1"/>
  <c r="Z366" i="1"/>
  <c r="Z69" i="1"/>
  <c r="Z62" i="1"/>
  <c r="Z274" i="1"/>
  <c r="Z207" i="1"/>
  <c r="Y555" i="1"/>
  <c r="Y554" i="1"/>
  <c r="Z524" i="1"/>
  <c r="Z421" i="1"/>
  <c r="Z402" i="1"/>
  <c r="Z383" i="1"/>
  <c r="Z305" i="1"/>
  <c r="Z248" i="1"/>
  <c r="Z242" i="1"/>
  <c r="Z230" i="1"/>
  <c r="Z191" i="1"/>
  <c r="Z483" i="1"/>
  <c r="Z478" i="1"/>
  <c r="Z440" i="1"/>
  <c r="Z124" i="1"/>
  <c r="Y556" i="1"/>
  <c r="Y557" i="1" s="1"/>
  <c r="Z90" i="1"/>
  <c r="Z75" i="1"/>
  <c r="Z514" i="1"/>
  <c r="Z434" i="1"/>
  <c r="Z389" i="1"/>
  <c r="Z109" i="1"/>
  <c r="Z97" i="1"/>
  <c r="Y558" i="1"/>
  <c r="Z508" i="1"/>
  <c r="Z289" i="1"/>
  <c r="Z185" i="1"/>
  <c r="Z154" i="1"/>
  <c r="Z355" i="1"/>
  <c r="Z117" i="1"/>
  <c r="Z51" i="1"/>
  <c r="Z42" i="1"/>
  <c r="Z32" i="1"/>
  <c r="X557" i="1"/>
  <c r="Z559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<sst xmlns="http://schemas.openxmlformats.org/spreadsheetml/2006/main" count="2533" uniqueCount="915">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</sst>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9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7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7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17" t="s">
        <v>0</v>
      </c>
      <c r="E1" s="675"/>
      <c r="F1" s="675"/>
      <c r="G1" s="12" t="s">
        <v>1</v>
      </c>
      <c r="H1" s="717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4"/>
      <c r="R2" s="644"/>
      <c r="S2" s="644"/>
      <c r="T2" s="644"/>
      <c r="U2" s="644"/>
      <c r="V2" s="644"/>
      <c r="W2" s="644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4"/>
      <c r="Q3" s="644"/>
      <c r="R3" s="644"/>
      <c r="S3" s="644"/>
      <c r="T3" s="644"/>
      <c r="U3" s="644"/>
      <c r="V3" s="644"/>
      <c r="W3" s="644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95" t="s">
        <v>8</v>
      </c>
      <c r="B5" s="666"/>
      <c r="C5" s="667"/>
      <c r="D5" s="724"/>
      <c r="E5" s="725"/>
      <c r="F5" s="980" t="s">
        <v>9</v>
      </c>
      <c r="G5" s="667"/>
      <c r="H5" s="724" t="s">
        <v>914</v>
      </c>
      <c r="I5" s="983"/>
      <c r="J5" s="983"/>
      <c r="K5" s="983"/>
      <c r="L5" s="983"/>
      <c r="M5" s="725"/>
      <c r="N5" s="58"/>
      <c r="P5" s="24" t="s">
        <v>10</v>
      </c>
      <c r="Q5" s="976">
        <v>46286</v>
      </c>
      <c r="R5" s="769"/>
      <c r="T5" s="825" t="s">
        <v>11</v>
      </c>
      <c r="U5" s="727"/>
      <c r="V5" s="826" t="s">
        <v>12</v>
      </c>
      <c r="W5" s="769"/>
      <c r="AB5" s="51"/>
      <c r="AC5" s="51"/>
      <c r="AD5" s="51"/>
      <c r="AE5" s="51"/>
    </row>
    <row r="6" spans="1:32" s="636" customFormat="1" ht="24" customHeight="1" x14ac:dyDescent="0.2">
      <c r="A6" s="795" t="s">
        <v>13</v>
      </c>
      <c r="B6" s="666"/>
      <c r="C6" s="667"/>
      <c r="D6" s="906" t="s">
        <v>887</v>
      </c>
      <c r="E6" s="907"/>
      <c r="F6" s="907"/>
      <c r="G6" s="907"/>
      <c r="H6" s="907"/>
      <c r="I6" s="907"/>
      <c r="J6" s="907"/>
      <c r="K6" s="907"/>
      <c r="L6" s="907"/>
      <c r="M6" s="769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50"/>
      <c r="T6" s="832" t="s">
        <v>15</v>
      </c>
      <c r="U6" s="727"/>
      <c r="V6" s="892" t="s">
        <v>16</v>
      </c>
      <c r="W6" s="692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803" t="str">
        <f>IFERROR(VLOOKUP(DeliveryAddress,Table,3,0),1)</f>
        <v>5</v>
      </c>
      <c r="E7" s="804"/>
      <c r="F7" s="804"/>
      <c r="G7" s="804"/>
      <c r="H7" s="804"/>
      <c r="I7" s="804"/>
      <c r="J7" s="804"/>
      <c r="K7" s="804"/>
      <c r="L7" s="804"/>
      <c r="M7" s="799"/>
      <c r="N7" s="60"/>
      <c r="P7" s="24"/>
      <c r="Q7" s="42"/>
      <c r="R7" s="42"/>
      <c r="T7" s="644"/>
      <c r="U7" s="727"/>
      <c r="V7" s="893"/>
      <c r="W7" s="894"/>
      <c r="AB7" s="51"/>
      <c r="AC7" s="51"/>
      <c r="AD7" s="51"/>
      <c r="AE7" s="51"/>
    </row>
    <row r="8" spans="1:32" s="636" customFormat="1" ht="25.5" customHeight="1" x14ac:dyDescent="0.2">
      <c r="A8" s="1004" t="s">
        <v>17</v>
      </c>
      <c r="B8" s="656"/>
      <c r="C8" s="657"/>
      <c r="D8" s="800"/>
      <c r="E8" s="801"/>
      <c r="F8" s="801"/>
      <c r="G8" s="801"/>
      <c r="H8" s="801"/>
      <c r="I8" s="801"/>
      <c r="J8" s="801"/>
      <c r="K8" s="801"/>
      <c r="L8" s="801"/>
      <c r="M8" s="802"/>
      <c r="N8" s="61"/>
      <c r="P8" s="24" t="s">
        <v>18</v>
      </c>
      <c r="Q8" s="798">
        <v>0.45833333333333331</v>
      </c>
      <c r="R8" s="799"/>
      <c r="T8" s="644"/>
      <c r="U8" s="727"/>
      <c r="V8" s="893"/>
      <c r="W8" s="894"/>
      <c r="AB8" s="51"/>
      <c r="AC8" s="51"/>
      <c r="AD8" s="51"/>
      <c r="AE8" s="51"/>
    </row>
    <row r="9" spans="1:32" s="636" customFormat="1" ht="39.950000000000003" customHeight="1" x14ac:dyDescent="0.2">
      <c r="A9" s="8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806"/>
      <c r="E9" s="659"/>
      <c r="F9" s="8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58" t="str">
        <f>IF(AND($A$9="Тип доверенности/получателя при получении в адресе перегруза:",$D$9="Разовая доверенность"),"Введите ФИО","")</f>
        <v/>
      </c>
      <c r="I9" s="659"/>
      <c r="J9" s="6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9"/>
      <c r="L9" s="659"/>
      <c r="M9" s="659"/>
      <c r="N9" s="637"/>
      <c r="P9" s="26" t="s">
        <v>19</v>
      </c>
      <c r="Q9" s="764"/>
      <c r="R9" s="765"/>
      <c r="T9" s="644"/>
      <c r="U9" s="727"/>
      <c r="V9" s="895"/>
      <c r="W9" s="896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806"/>
      <c r="E10" s="659"/>
      <c r="F10" s="8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879" t="str">
        <f>IFERROR(VLOOKUP($D$10,Proxy,2,FALSE),"")</f>
        <v/>
      </c>
      <c r="I10" s="644"/>
      <c r="J10" s="644"/>
      <c r="K10" s="644"/>
      <c r="L10" s="644"/>
      <c r="M10" s="644"/>
      <c r="N10" s="635"/>
      <c r="P10" s="26" t="s">
        <v>20</v>
      </c>
      <c r="Q10" s="833"/>
      <c r="R10" s="834"/>
      <c r="U10" s="24" t="s">
        <v>21</v>
      </c>
      <c r="V10" s="691" t="s">
        <v>22</v>
      </c>
      <c r="W10" s="692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8"/>
      <c r="R11" s="769"/>
      <c r="U11" s="24" t="s">
        <v>25</v>
      </c>
      <c r="V11" s="981" t="s">
        <v>26</v>
      </c>
      <c r="W11" s="765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1" t="s">
        <v>27</v>
      </c>
      <c r="B12" s="666"/>
      <c r="C12" s="666"/>
      <c r="D12" s="666"/>
      <c r="E12" s="666"/>
      <c r="F12" s="666"/>
      <c r="G12" s="666"/>
      <c r="H12" s="666"/>
      <c r="I12" s="666"/>
      <c r="J12" s="666"/>
      <c r="K12" s="666"/>
      <c r="L12" s="666"/>
      <c r="M12" s="667"/>
      <c r="N12" s="62"/>
      <c r="P12" s="24" t="s">
        <v>28</v>
      </c>
      <c r="Q12" s="798"/>
      <c r="R12" s="799"/>
      <c r="S12" s="23"/>
      <c r="U12" s="24"/>
      <c r="V12" s="675"/>
      <c r="W12" s="644"/>
      <c r="AB12" s="51"/>
      <c r="AC12" s="51"/>
      <c r="AD12" s="51"/>
      <c r="AE12" s="51"/>
    </row>
    <row r="13" spans="1:32" s="636" customFormat="1" ht="23.25" customHeight="1" x14ac:dyDescent="0.2">
      <c r="A13" s="821" t="s">
        <v>29</v>
      </c>
      <c r="B13" s="666"/>
      <c r="C13" s="666"/>
      <c r="D13" s="666"/>
      <c r="E13" s="666"/>
      <c r="F13" s="666"/>
      <c r="G13" s="666"/>
      <c r="H13" s="666"/>
      <c r="I13" s="666"/>
      <c r="J13" s="666"/>
      <c r="K13" s="666"/>
      <c r="L13" s="666"/>
      <c r="M13" s="667"/>
      <c r="N13" s="62"/>
      <c r="O13" s="26"/>
      <c r="P13" s="26" t="s">
        <v>30</v>
      </c>
      <c r="Q13" s="981"/>
      <c r="R13" s="7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1" t="s">
        <v>31</v>
      </c>
      <c r="B14" s="666"/>
      <c r="C14" s="666"/>
      <c r="D14" s="666"/>
      <c r="E14" s="666"/>
      <c r="F14" s="666"/>
      <c r="G14" s="666"/>
      <c r="H14" s="666"/>
      <c r="I14" s="666"/>
      <c r="J14" s="666"/>
      <c r="K14" s="666"/>
      <c r="L14" s="666"/>
      <c r="M14" s="66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47" t="s">
        <v>32</v>
      </c>
      <c r="B15" s="666"/>
      <c r="C15" s="666"/>
      <c r="D15" s="666"/>
      <c r="E15" s="666"/>
      <c r="F15" s="666"/>
      <c r="G15" s="666"/>
      <c r="H15" s="666"/>
      <c r="I15" s="666"/>
      <c r="J15" s="666"/>
      <c r="K15" s="666"/>
      <c r="L15" s="666"/>
      <c r="M15" s="667"/>
      <c r="N15" s="63"/>
      <c r="P15" s="1008" t="s">
        <v>33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1009"/>
      <c r="Q16" s="1009"/>
      <c r="R16" s="1009"/>
      <c r="S16" s="1009"/>
      <c r="T16" s="10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34</v>
      </c>
      <c r="B17" s="685" t="s">
        <v>35</v>
      </c>
      <c r="C17" s="784" t="s">
        <v>36</v>
      </c>
      <c r="D17" s="685" t="s">
        <v>37</v>
      </c>
      <c r="E17" s="790"/>
      <c r="F17" s="685" t="s">
        <v>38</v>
      </c>
      <c r="G17" s="685" t="s">
        <v>39</v>
      </c>
      <c r="H17" s="685" t="s">
        <v>40</v>
      </c>
      <c r="I17" s="685" t="s">
        <v>41</v>
      </c>
      <c r="J17" s="685" t="s">
        <v>42</v>
      </c>
      <c r="K17" s="685" t="s">
        <v>43</v>
      </c>
      <c r="L17" s="685" t="s">
        <v>44</v>
      </c>
      <c r="M17" s="685" t="s">
        <v>45</v>
      </c>
      <c r="N17" s="685" t="s">
        <v>46</v>
      </c>
      <c r="O17" s="685" t="s">
        <v>47</v>
      </c>
      <c r="P17" s="685" t="s">
        <v>48</v>
      </c>
      <c r="Q17" s="789"/>
      <c r="R17" s="789"/>
      <c r="S17" s="789"/>
      <c r="T17" s="790"/>
      <c r="U17" s="1001" t="s">
        <v>49</v>
      </c>
      <c r="V17" s="667"/>
      <c r="W17" s="685" t="s">
        <v>50</v>
      </c>
      <c r="X17" s="685" t="s">
        <v>51</v>
      </c>
      <c r="Y17" s="1002" t="s">
        <v>52</v>
      </c>
      <c r="Z17" s="886" t="s">
        <v>53</v>
      </c>
      <c r="AA17" s="880" t="s">
        <v>54</v>
      </c>
      <c r="AB17" s="880" t="s">
        <v>55</v>
      </c>
      <c r="AC17" s="880" t="s">
        <v>56</v>
      </c>
      <c r="AD17" s="880" t="s">
        <v>57</v>
      </c>
      <c r="AE17" s="968"/>
      <c r="AF17" s="969"/>
      <c r="AG17" s="66"/>
      <c r="BD17" s="65" t="s">
        <v>58</v>
      </c>
    </row>
    <row r="18" spans="1:68" ht="14.25" customHeight="1" x14ac:dyDescent="0.2">
      <c r="A18" s="686"/>
      <c r="B18" s="686"/>
      <c r="C18" s="686"/>
      <c r="D18" s="791"/>
      <c r="E18" s="793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91"/>
      <c r="Q18" s="792"/>
      <c r="R18" s="792"/>
      <c r="S18" s="792"/>
      <c r="T18" s="793"/>
      <c r="U18" s="67" t="s">
        <v>59</v>
      </c>
      <c r="V18" s="67" t="s">
        <v>60</v>
      </c>
      <c r="W18" s="686"/>
      <c r="X18" s="686"/>
      <c r="Y18" s="1003"/>
      <c r="Z18" s="887"/>
      <c r="AA18" s="881"/>
      <c r="AB18" s="881"/>
      <c r="AC18" s="881"/>
      <c r="AD18" s="970"/>
      <c r="AE18" s="971"/>
      <c r="AF18" s="972"/>
      <c r="AG18" s="66"/>
      <c r="BD18" s="65"/>
    </row>
    <row r="19" spans="1:68" ht="27.75" hidden="1" customHeight="1" x14ac:dyDescent="0.2">
      <c r="A19" s="693" t="s">
        <v>61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hidden="1" customHeight="1" x14ac:dyDescent="0.25">
      <c r="A20" s="651" t="s">
        <v>61</v>
      </c>
      <c r="B20" s="644"/>
      <c r="C20" s="644"/>
      <c r="D20" s="644"/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4"/>
      <c r="P20" s="644"/>
      <c r="Q20" s="644"/>
      <c r="R20" s="644"/>
      <c r="S20" s="644"/>
      <c r="T20" s="644"/>
      <c r="U20" s="644"/>
      <c r="V20" s="644"/>
      <c r="W20" s="644"/>
      <c r="X20" s="644"/>
      <c r="Y20" s="644"/>
      <c r="Z20" s="644"/>
      <c r="AA20" s="633"/>
      <c r="AB20" s="633"/>
      <c r="AC20" s="633"/>
    </row>
    <row r="21" spans="1:68" ht="14.25" hidden="1" customHeight="1" x14ac:dyDescent="0.25">
      <c r="A21" s="643" t="s">
        <v>62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9">
        <v>4680115886643</v>
      </c>
      <c r="E22" s="650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9">
        <v>4680115889071</v>
      </c>
      <c r="E23" s="650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101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44"/>
      <c r="C24" s="644"/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53"/>
      <c r="P24" s="655" t="s">
        <v>72</v>
      </c>
      <c r="Q24" s="656"/>
      <c r="R24" s="656"/>
      <c r="S24" s="656"/>
      <c r="T24" s="656"/>
      <c r="U24" s="656"/>
      <c r="V24" s="657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4"/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53"/>
      <c r="P25" s="655" t="s">
        <v>72</v>
      </c>
      <c r="Q25" s="656"/>
      <c r="R25" s="656"/>
      <c r="S25" s="656"/>
      <c r="T25" s="656"/>
      <c r="U25" s="656"/>
      <c r="V25" s="657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3" t="s">
        <v>74</v>
      </c>
      <c r="B26" s="644"/>
      <c r="C26" s="644"/>
      <c r="D26" s="644"/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9">
        <v>4680115885912</v>
      </c>
      <c r="E27" s="650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9">
        <v>4607091388237</v>
      </c>
      <c r="E28" s="650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9">
        <v>4680115887350</v>
      </c>
      <c r="E29" s="650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9">
        <v>1</v>
      </c>
      <c r="Y29" s="640">
        <f>IFERROR(IF(X29="",0,CEILING((X29/$H29),1)*$H29),"")</f>
        <v>1.8</v>
      </c>
      <c r="Z29" s="36">
        <f>IFERROR(IF(Y29=0,"",ROUNDUP(Y29/H29,0)*0.00651),"")</f>
        <v>6.5100000000000002E-3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1.7666666666666666</v>
      </c>
      <c r="BN29" s="64">
        <f>IFERROR(Y29*I29/H29,"0")</f>
        <v>3.18</v>
      </c>
      <c r="BO29" s="64">
        <f>IFERROR(1/J29*(X29/H29),"0")</f>
        <v>3.0525030525030529E-3</v>
      </c>
      <c r="BP29" s="64">
        <f>IFERROR(1/J29*(Y29/H29),"0")</f>
        <v>5.4945054945054949E-3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9">
        <v>4680115885905</v>
      </c>
      <c r="E30" s="650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9">
        <v>4680115887619</v>
      </c>
      <c r="E31" s="650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5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2"/>
      <c r="B32" s="644"/>
      <c r="C32" s="644"/>
      <c r="D32" s="644"/>
      <c r="E32" s="644"/>
      <c r="F32" s="644"/>
      <c r="G32" s="644"/>
      <c r="H32" s="644"/>
      <c r="I32" s="644"/>
      <c r="J32" s="644"/>
      <c r="K32" s="644"/>
      <c r="L32" s="644"/>
      <c r="M32" s="644"/>
      <c r="N32" s="644"/>
      <c r="O32" s="653"/>
      <c r="P32" s="655" t="s">
        <v>72</v>
      </c>
      <c r="Q32" s="656"/>
      <c r="R32" s="656"/>
      <c r="S32" s="656"/>
      <c r="T32" s="656"/>
      <c r="U32" s="656"/>
      <c r="V32" s="657"/>
      <c r="W32" s="37" t="s">
        <v>73</v>
      </c>
      <c r="X32" s="641">
        <f>IFERROR(X27/H27,"0")+IFERROR(X28/H28,"0")+IFERROR(X29/H29,"0")+IFERROR(X30/H30,"0")+IFERROR(X31/H31,"0")</f>
        <v>0.55555555555555558</v>
      </c>
      <c r="Y32" s="641">
        <f>IFERROR(Y27/H27,"0")+IFERROR(Y28/H28,"0")+IFERROR(Y29/H29,"0")+IFERROR(Y30/H30,"0")+IFERROR(Y31/H31,"0")</f>
        <v>1</v>
      </c>
      <c r="Z32" s="641">
        <f>IFERROR(IF(Z27="",0,Z27),"0")+IFERROR(IF(Z28="",0,Z28),"0")+IFERROR(IF(Z29="",0,Z29),"0")+IFERROR(IF(Z30="",0,Z30),"0")+IFERROR(IF(Z31="",0,Z31),"0")</f>
        <v>6.5100000000000002E-3</v>
      </c>
      <c r="AA32" s="642"/>
      <c r="AB32" s="642"/>
      <c r="AC32" s="642"/>
    </row>
    <row r="33" spans="1:68" x14ac:dyDescent="0.2">
      <c r="A33" s="644"/>
      <c r="B33" s="644"/>
      <c r="C33" s="644"/>
      <c r="D33" s="644"/>
      <c r="E33" s="644"/>
      <c r="F33" s="644"/>
      <c r="G33" s="644"/>
      <c r="H33" s="644"/>
      <c r="I33" s="644"/>
      <c r="J33" s="644"/>
      <c r="K33" s="644"/>
      <c r="L33" s="644"/>
      <c r="M33" s="644"/>
      <c r="N33" s="644"/>
      <c r="O33" s="653"/>
      <c r="P33" s="655" t="s">
        <v>72</v>
      </c>
      <c r="Q33" s="656"/>
      <c r="R33" s="656"/>
      <c r="S33" s="656"/>
      <c r="T33" s="656"/>
      <c r="U33" s="656"/>
      <c r="V33" s="657"/>
      <c r="W33" s="37" t="s">
        <v>67</v>
      </c>
      <c r="X33" s="641">
        <f>IFERROR(SUM(X27:X31),"0")</f>
        <v>1</v>
      </c>
      <c r="Y33" s="641">
        <f>IFERROR(SUM(Y27:Y31),"0")</f>
        <v>1.8</v>
      </c>
      <c r="Z33" s="37"/>
      <c r="AA33" s="642"/>
      <c r="AB33" s="642"/>
      <c r="AC33" s="642"/>
    </row>
    <row r="34" spans="1:68" ht="27.75" hidden="1" customHeight="1" x14ac:dyDescent="0.2">
      <c r="A34" s="693" t="s">
        <v>92</v>
      </c>
      <c r="B34" s="694"/>
      <c r="C34" s="694"/>
      <c r="D34" s="694"/>
      <c r="E34" s="694"/>
      <c r="F34" s="694"/>
      <c r="G34" s="694"/>
      <c r="H34" s="694"/>
      <c r="I34" s="694"/>
      <c r="J34" s="694"/>
      <c r="K34" s="694"/>
      <c r="L34" s="694"/>
      <c r="M34" s="694"/>
      <c r="N34" s="694"/>
      <c r="O34" s="694"/>
      <c r="P34" s="694"/>
      <c r="Q34" s="694"/>
      <c r="R34" s="694"/>
      <c r="S34" s="694"/>
      <c r="T34" s="694"/>
      <c r="U34" s="694"/>
      <c r="V34" s="694"/>
      <c r="W34" s="694"/>
      <c r="X34" s="694"/>
      <c r="Y34" s="694"/>
      <c r="Z34" s="694"/>
      <c r="AA34" s="48"/>
      <c r="AB34" s="48"/>
      <c r="AC34" s="48"/>
    </row>
    <row r="35" spans="1:68" ht="16.5" hidden="1" customHeight="1" x14ac:dyDescent="0.25">
      <c r="A35" s="651" t="s">
        <v>93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33"/>
      <c r="AB35" s="633"/>
      <c r="AC35" s="633"/>
    </row>
    <row r="36" spans="1:68" ht="14.25" hidden="1" customHeight="1" x14ac:dyDescent="0.25">
      <c r="A36" s="643" t="s">
        <v>74</v>
      </c>
      <c r="B36" s="644"/>
      <c r="C36" s="644"/>
      <c r="D36" s="644"/>
      <c r="E36" s="644"/>
      <c r="F36" s="644"/>
      <c r="G36" s="644"/>
      <c r="H36" s="644"/>
      <c r="I36" s="644"/>
      <c r="J36" s="644"/>
      <c r="K36" s="644"/>
      <c r="L36" s="644"/>
      <c r="M36" s="644"/>
      <c r="N36" s="644"/>
      <c r="O36" s="644"/>
      <c r="P36" s="644"/>
      <c r="Q36" s="644"/>
      <c r="R36" s="644"/>
      <c r="S36" s="644"/>
      <c r="T36" s="644"/>
      <c r="U36" s="644"/>
      <c r="V36" s="644"/>
      <c r="W36" s="644"/>
      <c r="X36" s="644"/>
      <c r="Y36" s="644"/>
      <c r="Z36" s="644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9">
        <v>4680115889354</v>
      </c>
      <c r="E37" s="650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9">
        <v>4680115888463</v>
      </c>
      <c r="E38" s="650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9">
        <v>4680115889590</v>
      </c>
      <c r="E39" s="650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9">
        <v>4680115888272</v>
      </c>
      <c r="E40" s="650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9">
        <v>4680115888364</v>
      </c>
      <c r="E41" s="650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44"/>
      <c r="C42" s="644"/>
      <c r="D42" s="644"/>
      <c r="E42" s="644"/>
      <c r="F42" s="644"/>
      <c r="G42" s="644"/>
      <c r="H42" s="644"/>
      <c r="I42" s="644"/>
      <c r="J42" s="644"/>
      <c r="K42" s="644"/>
      <c r="L42" s="644"/>
      <c r="M42" s="644"/>
      <c r="N42" s="644"/>
      <c r="O42" s="653"/>
      <c r="P42" s="655" t="s">
        <v>72</v>
      </c>
      <c r="Q42" s="656"/>
      <c r="R42" s="656"/>
      <c r="S42" s="656"/>
      <c r="T42" s="656"/>
      <c r="U42" s="656"/>
      <c r="V42" s="657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4"/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4"/>
      <c r="N43" s="644"/>
      <c r="O43" s="653"/>
      <c r="P43" s="655" t="s">
        <v>72</v>
      </c>
      <c r="Q43" s="656"/>
      <c r="R43" s="656"/>
      <c r="S43" s="656"/>
      <c r="T43" s="656"/>
      <c r="U43" s="656"/>
      <c r="V43" s="657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93" t="s">
        <v>109</v>
      </c>
      <c r="B44" s="694"/>
      <c r="C44" s="694"/>
      <c r="D44" s="694"/>
      <c r="E44" s="694"/>
      <c r="F44" s="694"/>
      <c r="G44" s="694"/>
      <c r="H44" s="694"/>
      <c r="I44" s="694"/>
      <c r="J44" s="694"/>
      <c r="K44" s="694"/>
      <c r="L44" s="694"/>
      <c r="M44" s="694"/>
      <c r="N44" s="694"/>
      <c r="O44" s="694"/>
      <c r="P44" s="694"/>
      <c r="Q44" s="694"/>
      <c r="R44" s="694"/>
      <c r="S44" s="694"/>
      <c r="T44" s="694"/>
      <c r="U44" s="694"/>
      <c r="V44" s="694"/>
      <c r="W44" s="694"/>
      <c r="X44" s="694"/>
      <c r="Y44" s="694"/>
      <c r="Z44" s="694"/>
      <c r="AA44" s="48"/>
      <c r="AB44" s="48"/>
      <c r="AC44" s="48"/>
    </row>
    <row r="45" spans="1:68" ht="16.5" hidden="1" customHeight="1" x14ac:dyDescent="0.25">
      <c r="A45" s="651" t="s">
        <v>110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33"/>
      <c r="AB45" s="633"/>
      <c r="AC45" s="633"/>
    </row>
    <row r="46" spans="1:68" ht="14.25" hidden="1" customHeight="1" x14ac:dyDescent="0.25">
      <c r="A46" s="643" t="s">
        <v>111</v>
      </c>
      <c r="B46" s="644"/>
      <c r="C46" s="644"/>
      <c r="D46" s="644"/>
      <c r="E46" s="644"/>
      <c r="F46" s="644"/>
      <c r="G46" s="644"/>
      <c r="H46" s="644"/>
      <c r="I46" s="644"/>
      <c r="J46" s="644"/>
      <c r="K46" s="644"/>
      <c r="L46" s="644"/>
      <c r="M46" s="644"/>
      <c r="N46" s="644"/>
      <c r="O46" s="644"/>
      <c r="P46" s="644"/>
      <c r="Q46" s="644"/>
      <c r="R46" s="644"/>
      <c r="S46" s="644"/>
      <c r="T46" s="644"/>
      <c r="U46" s="644"/>
      <c r="V46" s="644"/>
      <c r="W46" s="644"/>
      <c r="X46" s="644"/>
      <c r="Y46" s="644"/>
      <c r="Z46" s="644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9">
        <v>4607091385670</v>
      </c>
      <c r="E47" s="650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9">
        <v>293</v>
      </c>
      <c r="Y47" s="640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304.12314814814818</v>
      </c>
      <c r="BN47" s="64">
        <f>IFERROR(Y47*I47/H47,"0")</f>
        <v>313.88</v>
      </c>
      <c r="BO47" s="64">
        <f>IFERROR(1/J47*(X47/H47),"0")</f>
        <v>0.42390046296296291</v>
      </c>
      <c r="BP47" s="64">
        <f>IFERROR(1/J47*(Y47/H47),"0")</f>
        <v>0.4375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9">
        <v>4680115887725</v>
      </c>
      <c r="E48" s="650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9">
        <v>4607091385687</v>
      </c>
      <c r="E49" s="650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9">
        <v>4680115882539</v>
      </c>
      <c r="E50" s="650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9">
        <v>13</v>
      </c>
      <c r="Y50" s="640">
        <f>IFERROR(IF(X50="",0,CEILING((X50/$H50),1)*$H50),"")</f>
        <v>14.8</v>
      </c>
      <c r="Z50" s="36">
        <f>IFERROR(IF(Y50=0,"",ROUNDUP(Y50/H50,0)*0.00902),"")</f>
        <v>3.6080000000000001E-2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13.667567567567566</v>
      </c>
      <c r="BN50" s="64">
        <f>IFERROR(Y50*I50/H50,"0")</f>
        <v>15.56</v>
      </c>
      <c r="BO50" s="64">
        <f>IFERROR(1/J50*(X50/H50),"0")</f>
        <v>2.6617526617526616E-2</v>
      </c>
      <c r="BP50" s="64">
        <f>IFERROR(1/J50*(Y50/H50),"0")</f>
        <v>3.0303030303030304E-2</v>
      </c>
    </row>
    <row r="51" spans="1:68" x14ac:dyDescent="0.2">
      <c r="A51" s="652"/>
      <c r="B51" s="644"/>
      <c r="C51" s="644"/>
      <c r="D51" s="644"/>
      <c r="E51" s="644"/>
      <c r="F51" s="644"/>
      <c r="G51" s="644"/>
      <c r="H51" s="644"/>
      <c r="I51" s="644"/>
      <c r="J51" s="644"/>
      <c r="K51" s="644"/>
      <c r="L51" s="644"/>
      <c r="M51" s="644"/>
      <c r="N51" s="644"/>
      <c r="O51" s="653"/>
      <c r="P51" s="655" t="s">
        <v>72</v>
      </c>
      <c r="Q51" s="656"/>
      <c r="R51" s="656"/>
      <c r="S51" s="656"/>
      <c r="T51" s="656"/>
      <c r="U51" s="656"/>
      <c r="V51" s="657"/>
      <c r="W51" s="37" t="s">
        <v>73</v>
      </c>
      <c r="X51" s="641">
        <f>IFERROR(X47/H47,"0")+IFERROR(X48/H48,"0")+IFERROR(X49/H49,"0")+IFERROR(X50/H50,"0")</f>
        <v>30.643143143143138</v>
      </c>
      <c r="Y51" s="641">
        <f>IFERROR(Y47/H47,"0")+IFERROR(Y48/H48,"0")+IFERROR(Y49/H49,"0")+IFERROR(Y50/H50,"0")</f>
        <v>32</v>
      </c>
      <c r="Z51" s="641">
        <f>IFERROR(IF(Z47="",0,Z47),"0")+IFERROR(IF(Z48="",0,Z48),"0")+IFERROR(IF(Z49="",0,Z49),"0")+IFERROR(IF(Z50="",0,Z50),"0")</f>
        <v>0.56752000000000002</v>
      </c>
      <c r="AA51" s="642"/>
      <c r="AB51" s="642"/>
      <c r="AC51" s="642"/>
    </row>
    <row r="52" spans="1:68" x14ac:dyDescent="0.2">
      <c r="A52" s="644"/>
      <c r="B52" s="644"/>
      <c r="C52" s="644"/>
      <c r="D52" s="644"/>
      <c r="E52" s="644"/>
      <c r="F52" s="644"/>
      <c r="G52" s="644"/>
      <c r="H52" s="644"/>
      <c r="I52" s="644"/>
      <c r="J52" s="644"/>
      <c r="K52" s="644"/>
      <c r="L52" s="644"/>
      <c r="M52" s="644"/>
      <c r="N52" s="644"/>
      <c r="O52" s="653"/>
      <c r="P52" s="655" t="s">
        <v>72</v>
      </c>
      <c r="Q52" s="656"/>
      <c r="R52" s="656"/>
      <c r="S52" s="656"/>
      <c r="T52" s="656"/>
      <c r="U52" s="656"/>
      <c r="V52" s="657"/>
      <c r="W52" s="37" t="s">
        <v>67</v>
      </c>
      <c r="X52" s="641">
        <f>IFERROR(SUM(X47:X50),"0")</f>
        <v>306</v>
      </c>
      <c r="Y52" s="641">
        <f>IFERROR(SUM(Y47:Y50),"0")</f>
        <v>317.20000000000005</v>
      </c>
      <c r="Z52" s="37"/>
      <c r="AA52" s="642"/>
      <c r="AB52" s="642"/>
      <c r="AC52" s="642"/>
    </row>
    <row r="53" spans="1:68" ht="16.5" hidden="1" customHeight="1" x14ac:dyDescent="0.25">
      <c r="A53" s="651" t="s">
        <v>126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33"/>
      <c r="AB53" s="633"/>
      <c r="AC53" s="633"/>
    </row>
    <row r="54" spans="1:68" ht="14.25" hidden="1" customHeight="1" x14ac:dyDescent="0.25">
      <c r="A54" s="643" t="s">
        <v>111</v>
      </c>
      <c r="B54" s="644"/>
      <c r="C54" s="644"/>
      <c r="D54" s="644"/>
      <c r="E54" s="644"/>
      <c r="F54" s="644"/>
      <c r="G54" s="644"/>
      <c r="H54" s="644"/>
      <c r="I54" s="644"/>
      <c r="J54" s="644"/>
      <c r="K54" s="644"/>
      <c r="L54" s="644"/>
      <c r="M54" s="644"/>
      <c r="N54" s="644"/>
      <c r="O54" s="644"/>
      <c r="P54" s="644"/>
      <c r="Q54" s="644"/>
      <c r="R54" s="644"/>
      <c r="S54" s="644"/>
      <c r="T54" s="644"/>
      <c r="U54" s="644"/>
      <c r="V54" s="644"/>
      <c r="W54" s="644"/>
      <c r="X54" s="644"/>
      <c r="Y54" s="644"/>
      <c r="Z54" s="644"/>
      <c r="AA54" s="634"/>
      <c r="AB54" s="634"/>
      <c r="AC54" s="634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9">
        <v>4680115885882</v>
      </c>
      <c r="E55" s="650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9">
        <v>69</v>
      </c>
      <c r="Y55" s="640">
        <f t="shared" ref="Y55:Y61" si="0">IFERROR(IF(X55="",0,CEILING((X55/$H55),1)*$H55),"")</f>
        <v>78.399999999999991</v>
      </c>
      <c r="Z55" s="36">
        <f>IFERROR(IF(Y55=0,"",ROUNDUP(Y55/H55,0)*0.01898),"")</f>
        <v>0.13286000000000001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71.52589285714285</v>
      </c>
      <c r="BN55" s="64">
        <f t="shared" ref="BN55:BN61" si="2">IFERROR(Y55*I55/H55,"0")</f>
        <v>81.27</v>
      </c>
      <c r="BO55" s="64">
        <f t="shared" ref="BO55:BO61" si="3">IFERROR(1/J55*(X55/H55),"0")</f>
        <v>9.6261160714285726E-2</v>
      </c>
      <c r="BP55" s="64">
        <f t="shared" ref="BP55:BP61" si="4">IFERROR(1/J55*(Y55/H55),"0")</f>
        <v>0.109375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9">
        <v>4680115881426</v>
      </c>
      <c r="E56" s="650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9">
        <v>70</v>
      </c>
      <c r="Y56" s="640">
        <f t="shared" si="0"/>
        <v>75.600000000000009</v>
      </c>
      <c r="Z56" s="36">
        <f>IFERROR(IF(Y56=0,"",ROUNDUP(Y56/H56,0)*0.01898),"")</f>
        <v>0.13286000000000001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72.657407407407405</v>
      </c>
      <c r="BN56" s="64">
        <f t="shared" si="2"/>
        <v>78.47</v>
      </c>
      <c r="BO56" s="64">
        <f t="shared" si="3"/>
        <v>0.10127314814814814</v>
      </c>
      <c r="BP56" s="64">
        <f t="shared" si="4"/>
        <v>0.109375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9">
        <v>4680115880283</v>
      </c>
      <c r="E57" s="650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9">
        <v>4680115881525</v>
      </c>
      <c r="E58" s="650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9">
        <v>4680115881525</v>
      </c>
      <c r="E59" s="650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9">
        <v>4680115885899</v>
      </c>
      <c r="E60" s="650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9">
        <v>4680115881419</v>
      </c>
      <c r="E61" s="650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9">
        <v>46</v>
      </c>
      <c r="Y61" s="640">
        <f t="shared" si="0"/>
        <v>49.5</v>
      </c>
      <c r="Z61" s="36">
        <f>IFERROR(IF(Y61=0,"",ROUNDUP(Y61/H61,0)*0.00902),"")</f>
        <v>9.9220000000000003E-2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47.942222222222227</v>
      </c>
      <c r="BN61" s="64">
        <f t="shared" si="2"/>
        <v>51.59</v>
      </c>
      <c r="BO61" s="64">
        <f t="shared" si="3"/>
        <v>7.7441077441077436E-2</v>
      </c>
      <c r="BP61" s="64">
        <f t="shared" si="4"/>
        <v>8.3333333333333343E-2</v>
      </c>
    </row>
    <row r="62" spans="1:68" x14ac:dyDescent="0.2">
      <c r="A62" s="652"/>
      <c r="B62" s="644"/>
      <c r="C62" s="644"/>
      <c r="D62" s="644"/>
      <c r="E62" s="644"/>
      <c r="F62" s="644"/>
      <c r="G62" s="644"/>
      <c r="H62" s="644"/>
      <c r="I62" s="644"/>
      <c r="J62" s="644"/>
      <c r="K62" s="644"/>
      <c r="L62" s="644"/>
      <c r="M62" s="644"/>
      <c r="N62" s="644"/>
      <c r="O62" s="653"/>
      <c r="P62" s="655" t="s">
        <v>72</v>
      </c>
      <c r="Q62" s="656"/>
      <c r="R62" s="656"/>
      <c r="S62" s="656"/>
      <c r="T62" s="656"/>
      <c r="U62" s="656"/>
      <c r="V62" s="657"/>
      <c r="W62" s="37" t="s">
        <v>73</v>
      </c>
      <c r="X62" s="641">
        <f>IFERROR(X55/H55,"0")+IFERROR(X56/H56,"0")+IFERROR(X57/H57,"0")+IFERROR(X58/H58,"0")+IFERROR(X59/H59,"0")+IFERROR(X60/H60,"0")+IFERROR(X61/H61,"0")</f>
        <v>22.864417989417987</v>
      </c>
      <c r="Y62" s="641">
        <f>IFERROR(Y55/H55,"0")+IFERROR(Y56/H56,"0")+IFERROR(Y57/H57,"0")+IFERROR(Y58/H58,"0")+IFERROR(Y59/H59,"0")+IFERROR(Y60/H60,"0")+IFERROR(Y61/H61,"0")</f>
        <v>25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0.36494000000000004</v>
      </c>
      <c r="AA62" s="642"/>
      <c r="AB62" s="642"/>
      <c r="AC62" s="642"/>
    </row>
    <row r="63" spans="1:68" x14ac:dyDescent="0.2">
      <c r="A63" s="644"/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4"/>
      <c r="N63" s="644"/>
      <c r="O63" s="653"/>
      <c r="P63" s="655" t="s">
        <v>72</v>
      </c>
      <c r="Q63" s="656"/>
      <c r="R63" s="656"/>
      <c r="S63" s="656"/>
      <c r="T63" s="656"/>
      <c r="U63" s="656"/>
      <c r="V63" s="657"/>
      <c r="W63" s="37" t="s">
        <v>67</v>
      </c>
      <c r="X63" s="641">
        <f>IFERROR(SUM(X55:X61),"0")</f>
        <v>185</v>
      </c>
      <c r="Y63" s="641">
        <f>IFERROR(SUM(Y55:Y61),"0")</f>
        <v>203.5</v>
      </c>
      <c r="Z63" s="37"/>
      <c r="AA63" s="642"/>
      <c r="AB63" s="642"/>
      <c r="AC63" s="642"/>
    </row>
    <row r="64" spans="1:68" ht="14.25" hidden="1" customHeight="1" x14ac:dyDescent="0.25">
      <c r="A64" s="643" t="s">
        <v>146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9">
        <v>4680115881440</v>
      </c>
      <c r="E65" s="650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39">
        <v>42</v>
      </c>
      <c r="Y65" s="640">
        <f>IFERROR(IF(X65="",0,CEILING((X65/$H65),1)*$H65),"")</f>
        <v>43.2</v>
      </c>
      <c r="Z65" s="36">
        <f>IFERROR(IF(Y65=0,"",ROUNDUP(Y65/H65,0)*0.01898),"")</f>
        <v>7.5920000000000001E-2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43.594444444444449</v>
      </c>
      <c r="BN65" s="64">
        <f>IFERROR(Y65*I65/H65,"0")</f>
        <v>44.84</v>
      </c>
      <c r="BO65" s="64">
        <f>IFERROR(1/J65*(X65/H65),"0")</f>
        <v>6.0763888888888888E-2</v>
      </c>
      <c r="BP65" s="64">
        <f>IFERROR(1/J65*(Y65/H65),"0")</f>
        <v>6.25E-2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9">
        <v>4680115885950</v>
      </c>
      <c r="E66" s="650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9">
        <v>4680115887688</v>
      </c>
      <c r="E67" s="650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9">
        <v>4680115881433</v>
      </c>
      <c r="E68" s="650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2"/>
      <c r="B69" s="644"/>
      <c r="C69" s="644"/>
      <c r="D69" s="644"/>
      <c r="E69" s="644"/>
      <c r="F69" s="644"/>
      <c r="G69" s="644"/>
      <c r="H69" s="644"/>
      <c r="I69" s="644"/>
      <c r="J69" s="644"/>
      <c r="K69" s="644"/>
      <c r="L69" s="644"/>
      <c r="M69" s="644"/>
      <c r="N69" s="644"/>
      <c r="O69" s="653"/>
      <c r="P69" s="655" t="s">
        <v>72</v>
      </c>
      <c r="Q69" s="656"/>
      <c r="R69" s="656"/>
      <c r="S69" s="656"/>
      <c r="T69" s="656"/>
      <c r="U69" s="656"/>
      <c r="V69" s="657"/>
      <c r="W69" s="37" t="s">
        <v>73</v>
      </c>
      <c r="X69" s="641">
        <f>IFERROR(X65/H65,"0")+IFERROR(X66/H66,"0")+IFERROR(X67/H67,"0")+IFERROR(X68/H68,"0")</f>
        <v>3.8888888888888888</v>
      </c>
      <c r="Y69" s="641">
        <f>IFERROR(Y65/H65,"0")+IFERROR(Y66/H66,"0")+IFERROR(Y67/H67,"0")+IFERROR(Y68/H68,"0")</f>
        <v>4</v>
      </c>
      <c r="Z69" s="641">
        <f>IFERROR(IF(Z65="",0,Z65),"0")+IFERROR(IF(Z66="",0,Z66),"0")+IFERROR(IF(Z67="",0,Z67),"0")+IFERROR(IF(Z68="",0,Z68),"0")</f>
        <v>7.5920000000000001E-2</v>
      </c>
      <c r="AA69" s="642"/>
      <c r="AB69" s="642"/>
      <c r="AC69" s="642"/>
    </row>
    <row r="70" spans="1:68" x14ac:dyDescent="0.2">
      <c r="A70" s="644"/>
      <c r="B70" s="644"/>
      <c r="C70" s="644"/>
      <c r="D70" s="644"/>
      <c r="E70" s="644"/>
      <c r="F70" s="644"/>
      <c r="G70" s="644"/>
      <c r="H70" s="644"/>
      <c r="I70" s="644"/>
      <c r="J70" s="644"/>
      <c r="K70" s="644"/>
      <c r="L70" s="644"/>
      <c r="M70" s="644"/>
      <c r="N70" s="644"/>
      <c r="O70" s="653"/>
      <c r="P70" s="655" t="s">
        <v>72</v>
      </c>
      <c r="Q70" s="656"/>
      <c r="R70" s="656"/>
      <c r="S70" s="656"/>
      <c r="T70" s="656"/>
      <c r="U70" s="656"/>
      <c r="V70" s="657"/>
      <c r="W70" s="37" t="s">
        <v>67</v>
      </c>
      <c r="X70" s="641">
        <f>IFERROR(SUM(X65:X68),"0")</f>
        <v>42</v>
      </c>
      <c r="Y70" s="641">
        <f>IFERROR(SUM(Y65:Y68),"0")</f>
        <v>43.2</v>
      </c>
      <c r="Z70" s="37"/>
      <c r="AA70" s="642"/>
      <c r="AB70" s="642"/>
      <c r="AC70" s="642"/>
    </row>
    <row r="71" spans="1:68" ht="14.25" hidden="1" customHeight="1" x14ac:dyDescent="0.25">
      <c r="A71" s="643" t="s">
        <v>74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9">
        <v>4680115884311</v>
      </c>
      <c r="E72" s="650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9">
        <v>4680115884403</v>
      </c>
      <c r="E73" s="650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9">
        <v>4680115884403</v>
      </c>
      <c r="E74" s="650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  <c r="N75" s="644"/>
      <c r="O75" s="653"/>
      <c r="P75" s="655" t="s">
        <v>72</v>
      </c>
      <c r="Q75" s="656"/>
      <c r="R75" s="656"/>
      <c r="S75" s="656"/>
      <c r="T75" s="656"/>
      <c r="U75" s="656"/>
      <c r="V75" s="657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4"/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53"/>
      <c r="P76" s="655" t="s">
        <v>72</v>
      </c>
      <c r="Q76" s="656"/>
      <c r="R76" s="656"/>
      <c r="S76" s="656"/>
      <c r="T76" s="656"/>
      <c r="U76" s="656"/>
      <c r="V76" s="657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3" t="s">
        <v>164</v>
      </c>
      <c r="B77" s="644"/>
      <c r="C77" s="644"/>
      <c r="D77" s="644"/>
      <c r="E77" s="644"/>
      <c r="F77" s="644"/>
      <c r="G77" s="644"/>
      <c r="H77" s="644"/>
      <c r="I77" s="644"/>
      <c r="J77" s="644"/>
      <c r="K77" s="644"/>
      <c r="L77" s="644"/>
      <c r="M77" s="644"/>
      <c r="N77" s="644"/>
      <c r="O77" s="644"/>
      <c r="P77" s="644"/>
      <c r="Q77" s="644"/>
      <c r="R77" s="644"/>
      <c r="S77" s="644"/>
      <c r="T77" s="644"/>
      <c r="U77" s="644"/>
      <c r="V77" s="644"/>
      <c r="W77" s="644"/>
      <c r="X77" s="644"/>
      <c r="Y77" s="644"/>
      <c r="Z77" s="644"/>
      <c r="AA77" s="634"/>
      <c r="AB77" s="634"/>
      <c r="AC77" s="634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9">
        <v>4680115881532</v>
      </c>
      <c r="E78" s="650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9">
        <v>188</v>
      </c>
      <c r="Y78" s="640">
        <f>IFERROR(IF(X78="",0,CEILING((X78/$H78),1)*$H78),"")</f>
        <v>195</v>
      </c>
      <c r="Z78" s="36">
        <f>IFERROR(IF(Y78=0,"",ROUNDUP(Y78/H78,0)*0.01898),"")</f>
        <v>0.47450000000000003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197.88205128205132</v>
      </c>
      <c r="BN78" s="64">
        <f>IFERROR(Y78*I78/H78,"0")</f>
        <v>205.25000000000003</v>
      </c>
      <c r="BO78" s="64">
        <f>IFERROR(1/J78*(X78/H78),"0")</f>
        <v>0.3766025641025641</v>
      </c>
      <c r="BP78" s="64">
        <f>IFERROR(1/J78*(Y78/H78),"0")</f>
        <v>0.390625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9">
        <v>4680115881532</v>
      </c>
      <c r="E79" s="650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9">
        <v>4680115881464</v>
      </c>
      <c r="E80" s="650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2"/>
      <c r="B81" s="644"/>
      <c r="C81" s="644"/>
      <c r="D81" s="644"/>
      <c r="E81" s="644"/>
      <c r="F81" s="644"/>
      <c r="G81" s="644"/>
      <c r="H81" s="644"/>
      <c r="I81" s="644"/>
      <c r="J81" s="644"/>
      <c r="K81" s="644"/>
      <c r="L81" s="644"/>
      <c r="M81" s="644"/>
      <c r="N81" s="644"/>
      <c r="O81" s="653"/>
      <c r="P81" s="655" t="s">
        <v>72</v>
      </c>
      <c r="Q81" s="656"/>
      <c r="R81" s="656"/>
      <c r="S81" s="656"/>
      <c r="T81" s="656"/>
      <c r="U81" s="656"/>
      <c r="V81" s="657"/>
      <c r="W81" s="37" t="s">
        <v>73</v>
      </c>
      <c r="X81" s="641">
        <f>IFERROR(X78/H78,"0")+IFERROR(X79/H79,"0")+IFERROR(X80/H80,"0")</f>
        <v>24.102564102564102</v>
      </c>
      <c r="Y81" s="641">
        <f>IFERROR(Y78/H78,"0")+IFERROR(Y79/H79,"0")+IFERROR(Y80/H80,"0")</f>
        <v>25</v>
      </c>
      <c r="Z81" s="641">
        <f>IFERROR(IF(Z78="",0,Z78),"0")+IFERROR(IF(Z79="",0,Z79),"0")+IFERROR(IF(Z80="",0,Z80),"0")</f>
        <v>0.47450000000000003</v>
      </c>
      <c r="AA81" s="642"/>
      <c r="AB81" s="642"/>
      <c r="AC81" s="642"/>
    </row>
    <row r="82" spans="1:68" x14ac:dyDescent="0.2">
      <c r="A82" s="644"/>
      <c r="B82" s="644"/>
      <c r="C82" s="644"/>
      <c r="D82" s="644"/>
      <c r="E82" s="644"/>
      <c r="F82" s="644"/>
      <c r="G82" s="644"/>
      <c r="H82" s="644"/>
      <c r="I82" s="644"/>
      <c r="J82" s="644"/>
      <c r="K82" s="644"/>
      <c r="L82" s="644"/>
      <c r="M82" s="644"/>
      <c r="N82" s="644"/>
      <c r="O82" s="653"/>
      <c r="P82" s="655" t="s">
        <v>72</v>
      </c>
      <c r="Q82" s="656"/>
      <c r="R82" s="656"/>
      <c r="S82" s="656"/>
      <c r="T82" s="656"/>
      <c r="U82" s="656"/>
      <c r="V82" s="657"/>
      <c r="W82" s="37" t="s">
        <v>67</v>
      </c>
      <c r="X82" s="641">
        <f>IFERROR(SUM(X78:X80),"0")</f>
        <v>188</v>
      </c>
      <c r="Y82" s="641">
        <f>IFERROR(SUM(Y78:Y80),"0")</f>
        <v>195</v>
      </c>
      <c r="Z82" s="37"/>
      <c r="AA82" s="642"/>
      <c r="AB82" s="642"/>
      <c r="AC82" s="642"/>
    </row>
    <row r="83" spans="1:68" ht="16.5" hidden="1" customHeight="1" x14ac:dyDescent="0.25">
      <c r="A83" s="651" t="s">
        <v>172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33"/>
      <c r="AB83" s="633"/>
      <c r="AC83" s="633"/>
    </row>
    <row r="84" spans="1:68" ht="14.25" hidden="1" customHeight="1" x14ac:dyDescent="0.25">
      <c r="A84" s="643" t="s">
        <v>111</v>
      </c>
      <c r="B84" s="644"/>
      <c r="C84" s="644"/>
      <c r="D84" s="644"/>
      <c r="E84" s="644"/>
      <c r="F84" s="644"/>
      <c r="G84" s="644"/>
      <c r="H84" s="644"/>
      <c r="I84" s="644"/>
      <c r="J84" s="644"/>
      <c r="K84" s="644"/>
      <c r="L84" s="644"/>
      <c r="M84" s="644"/>
      <c r="N84" s="644"/>
      <c r="O84" s="644"/>
      <c r="P84" s="644"/>
      <c r="Q84" s="644"/>
      <c r="R84" s="644"/>
      <c r="S84" s="644"/>
      <c r="T84" s="644"/>
      <c r="U84" s="644"/>
      <c r="V84" s="644"/>
      <c r="W84" s="644"/>
      <c r="X84" s="644"/>
      <c r="Y84" s="644"/>
      <c r="Z84" s="644"/>
      <c r="AA84" s="634"/>
      <c r="AB84" s="634"/>
      <c r="AC84" s="634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649">
        <v>4680115881327</v>
      </c>
      <c r="E85" s="650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39">
        <v>0</v>
      </c>
      <c r="Y85" s="6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49">
        <v>4680115887732</v>
      </c>
      <c r="E86" s="650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39">
        <v>7</v>
      </c>
      <c r="Y86" s="640">
        <f>IFERROR(IF(X86="",0,CEILING((X86/$H86),1)*$H86),"")</f>
        <v>8.5</v>
      </c>
      <c r="Z86" s="36">
        <f>IFERROR(IF(Y86=0,"",ROUNDUP(Y86/H86,0)*0.00726),"")</f>
        <v>3.6299999999999999E-2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7.4117647058823533</v>
      </c>
      <c r="BN86" s="64">
        <f>IFERROR(Y86*I86/H86,"0")</f>
        <v>9</v>
      </c>
      <c r="BO86" s="64">
        <f>IFERROR(1/J86*(X86/H86),"0")</f>
        <v>2.1446078431372549E-2</v>
      </c>
      <c r="BP86" s="64">
        <f>IFERROR(1/J86*(Y86/H86),"0")</f>
        <v>2.6041666666666664E-2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9">
        <v>4680115887732</v>
      </c>
      <c r="E87" s="650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9">
        <v>4680115881518</v>
      </c>
      <c r="E88" s="650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49">
        <v>4680115881303</v>
      </c>
      <c r="E89" s="650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6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6"/>
      <c r="R89" s="646"/>
      <c r="S89" s="646"/>
      <c r="T89" s="647"/>
      <c r="U89" s="34"/>
      <c r="V89" s="34"/>
      <c r="W89" s="35" t="s">
        <v>67</v>
      </c>
      <c r="X89" s="639">
        <v>50</v>
      </c>
      <c r="Y89" s="640">
        <f>IFERROR(IF(X89="",0,CEILING((X89/$H89),1)*$H89),"")</f>
        <v>54</v>
      </c>
      <c r="Z89" s="36">
        <f>IFERROR(IF(Y89=0,"",ROUNDUP(Y89/H89,0)*0.00902),"")</f>
        <v>0.10824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52.111111111111114</v>
      </c>
      <c r="BN89" s="64">
        <f>IFERROR(Y89*I89/H89,"0")</f>
        <v>56.28</v>
      </c>
      <c r="BO89" s="64">
        <f>IFERROR(1/J89*(X89/H89),"0")</f>
        <v>8.4175084175084181E-2</v>
      </c>
      <c r="BP89" s="64">
        <f>IFERROR(1/J89*(Y89/H89),"0")</f>
        <v>9.0909090909090912E-2</v>
      </c>
    </row>
    <row r="90" spans="1:68" x14ac:dyDescent="0.2">
      <c r="A90" s="652"/>
      <c r="B90" s="644"/>
      <c r="C90" s="644"/>
      <c r="D90" s="644"/>
      <c r="E90" s="644"/>
      <c r="F90" s="644"/>
      <c r="G90" s="644"/>
      <c r="H90" s="644"/>
      <c r="I90" s="644"/>
      <c r="J90" s="644"/>
      <c r="K90" s="644"/>
      <c r="L90" s="644"/>
      <c r="M90" s="644"/>
      <c r="N90" s="644"/>
      <c r="O90" s="653"/>
      <c r="P90" s="655" t="s">
        <v>72</v>
      </c>
      <c r="Q90" s="656"/>
      <c r="R90" s="656"/>
      <c r="S90" s="656"/>
      <c r="T90" s="656"/>
      <c r="U90" s="656"/>
      <c r="V90" s="657"/>
      <c r="W90" s="37" t="s">
        <v>73</v>
      </c>
      <c r="X90" s="641">
        <f>IFERROR(X85/H85,"0")+IFERROR(X86/H86,"0")+IFERROR(X87/H87,"0")+IFERROR(X88/H88,"0")+IFERROR(X89/H89,"0")</f>
        <v>15.22875816993464</v>
      </c>
      <c r="Y90" s="641">
        <f>IFERROR(Y85/H85,"0")+IFERROR(Y86/H86,"0")+IFERROR(Y87/H87,"0")+IFERROR(Y88/H88,"0")+IFERROR(Y89/H89,"0")</f>
        <v>17</v>
      </c>
      <c r="Z90" s="641">
        <f>IFERROR(IF(Z85="",0,Z85),"0")+IFERROR(IF(Z86="",0,Z86),"0")+IFERROR(IF(Z87="",0,Z87),"0")+IFERROR(IF(Z88="",0,Z88),"0")+IFERROR(IF(Z89="",0,Z89),"0")</f>
        <v>0.14454</v>
      </c>
      <c r="AA90" s="642"/>
      <c r="AB90" s="642"/>
      <c r="AC90" s="642"/>
    </row>
    <row r="91" spans="1:68" x14ac:dyDescent="0.2">
      <c r="A91" s="644"/>
      <c r="B91" s="644"/>
      <c r="C91" s="644"/>
      <c r="D91" s="644"/>
      <c r="E91" s="644"/>
      <c r="F91" s="644"/>
      <c r="G91" s="644"/>
      <c r="H91" s="644"/>
      <c r="I91" s="644"/>
      <c r="J91" s="644"/>
      <c r="K91" s="644"/>
      <c r="L91" s="644"/>
      <c r="M91" s="644"/>
      <c r="N91" s="644"/>
      <c r="O91" s="653"/>
      <c r="P91" s="655" t="s">
        <v>72</v>
      </c>
      <c r="Q91" s="656"/>
      <c r="R91" s="656"/>
      <c r="S91" s="656"/>
      <c r="T91" s="656"/>
      <c r="U91" s="656"/>
      <c r="V91" s="657"/>
      <c r="W91" s="37" t="s">
        <v>67</v>
      </c>
      <c r="X91" s="641">
        <f>IFERROR(SUM(X85:X89),"0")</f>
        <v>57</v>
      </c>
      <c r="Y91" s="641">
        <f>IFERROR(SUM(Y85:Y89),"0")</f>
        <v>62.5</v>
      </c>
      <c r="Z91" s="37"/>
      <c r="AA91" s="642"/>
      <c r="AB91" s="642"/>
      <c r="AC91" s="642"/>
    </row>
    <row r="92" spans="1:68" ht="14.25" hidden="1" customHeight="1" x14ac:dyDescent="0.25">
      <c r="A92" s="643" t="s">
        <v>74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9">
        <v>4607091386967</v>
      </c>
      <c r="E93" s="650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9">
        <v>164</v>
      </c>
      <c r="Y93" s="640">
        <f>IFERROR(IF(X93="",0,CEILING((X93/$H93),1)*$H93),"")</f>
        <v>170.1</v>
      </c>
      <c r="Z93" s="36">
        <f>IFERROR(IF(Y93=0,"",ROUNDUP(Y93/H93,0)*0.01898),"")</f>
        <v>0.39857999999999999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174.00197530864199</v>
      </c>
      <c r="BN93" s="64">
        <f>IFERROR(Y93*I93/H93,"0")</f>
        <v>180.47399999999999</v>
      </c>
      <c r="BO93" s="64">
        <f>IFERROR(1/J93*(X93/H93),"0")</f>
        <v>0.31635802469135804</v>
      </c>
      <c r="BP93" s="64">
        <f>IFERROR(1/J93*(Y93/H93),"0")</f>
        <v>0.328125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9">
        <v>4680115884953</v>
      </c>
      <c r="E94" s="650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4301052094</v>
      </c>
      <c r="D95" s="649">
        <v>4607091385731</v>
      </c>
      <c r="E95" s="650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39">
        <v>517</v>
      </c>
      <c r="Y95" s="640">
        <f>IFERROR(IF(X95="",0,CEILING((X95/$H95),1)*$H95),"")</f>
        <v>518.40000000000009</v>
      </c>
      <c r="Z95" s="36">
        <f>IFERROR(IF(Y95=0,"",ROUNDUP(Y95/H95,0)*0.00651),"")</f>
        <v>1.2499199999999999</v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565.25333333333333</v>
      </c>
      <c r="BN95" s="64">
        <f>IFERROR(Y95*I95/H95,"0")</f>
        <v>566.78400000000011</v>
      </c>
      <c r="BO95" s="64">
        <f>IFERROR(1/J95*(X95/H95),"0")</f>
        <v>1.0520960520960521</v>
      </c>
      <c r="BP95" s="64">
        <f>IFERROR(1/J95*(Y95/H95),"0")</f>
        <v>1.0549450549450552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9">
        <v>4680115880894</v>
      </c>
      <c r="E96" s="650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94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2"/>
      <c r="B97" s="644"/>
      <c r="C97" s="644"/>
      <c r="D97" s="644"/>
      <c r="E97" s="644"/>
      <c r="F97" s="644"/>
      <c r="G97" s="644"/>
      <c r="H97" s="644"/>
      <c r="I97" s="644"/>
      <c r="J97" s="644"/>
      <c r="K97" s="644"/>
      <c r="L97" s="644"/>
      <c r="M97" s="644"/>
      <c r="N97" s="644"/>
      <c r="O97" s="653"/>
      <c r="P97" s="655" t="s">
        <v>72</v>
      </c>
      <c r="Q97" s="656"/>
      <c r="R97" s="656"/>
      <c r="S97" s="656"/>
      <c r="T97" s="656"/>
      <c r="U97" s="656"/>
      <c r="V97" s="657"/>
      <c r="W97" s="37" t="s">
        <v>73</v>
      </c>
      <c r="X97" s="641">
        <f>IFERROR(X93/H93,"0")+IFERROR(X94/H94,"0")+IFERROR(X95/H95,"0")+IFERROR(X96/H96,"0")</f>
        <v>211.72839506172838</v>
      </c>
      <c r="Y97" s="641">
        <f>IFERROR(Y93/H93,"0")+IFERROR(Y94/H94,"0")+IFERROR(Y95/H95,"0")+IFERROR(Y96/H96,"0")</f>
        <v>213.00000000000003</v>
      </c>
      <c r="Z97" s="641">
        <f>IFERROR(IF(Z93="",0,Z93),"0")+IFERROR(IF(Z94="",0,Z94),"0")+IFERROR(IF(Z95="",0,Z95),"0")+IFERROR(IF(Z96="",0,Z96),"0")</f>
        <v>1.6484999999999999</v>
      </c>
      <c r="AA97" s="642"/>
      <c r="AB97" s="642"/>
      <c r="AC97" s="642"/>
    </row>
    <row r="98" spans="1:68" x14ac:dyDescent="0.2">
      <c r="A98" s="644"/>
      <c r="B98" s="644"/>
      <c r="C98" s="644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53"/>
      <c r="P98" s="655" t="s">
        <v>72</v>
      </c>
      <c r="Q98" s="656"/>
      <c r="R98" s="656"/>
      <c r="S98" s="656"/>
      <c r="T98" s="656"/>
      <c r="U98" s="656"/>
      <c r="V98" s="657"/>
      <c r="W98" s="37" t="s">
        <v>67</v>
      </c>
      <c r="X98" s="641">
        <f>IFERROR(SUM(X93:X96),"0")</f>
        <v>681</v>
      </c>
      <c r="Y98" s="641">
        <f>IFERROR(SUM(Y93:Y96),"0")</f>
        <v>688.50000000000011</v>
      </c>
      <c r="Z98" s="37"/>
      <c r="AA98" s="642"/>
      <c r="AB98" s="642"/>
      <c r="AC98" s="642"/>
    </row>
    <row r="99" spans="1:68" ht="16.5" hidden="1" customHeight="1" x14ac:dyDescent="0.25">
      <c r="A99" s="651" t="s">
        <v>195</v>
      </c>
      <c r="B99" s="644"/>
      <c r="C99" s="644"/>
      <c r="D99" s="644"/>
      <c r="E99" s="644"/>
      <c r="F99" s="644"/>
      <c r="G99" s="644"/>
      <c r="H99" s="644"/>
      <c r="I99" s="644"/>
      <c r="J99" s="644"/>
      <c r="K99" s="644"/>
      <c r="L99" s="644"/>
      <c r="M99" s="644"/>
      <c r="N99" s="644"/>
      <c r="O99" s="644"/>
      <c r="P99" s="644"/>
      <c r="Q99" s="644"/>
      <c r="R99" s="644"/>
      <c r="S99" s="644"/>
      <c r="T99" s="644"/>
      <c r="U99" s="644"/>
      <c r="V99" s="644"/>
      <c r="W99" s="644"/>
      <c r="X99" s="644"/>
      <c r="Y99" s="644"/>
      <c r="Z99" s="644"/>
      <c r="AA99" s="633"/>
      <c r="AB99" s="633"/>
      <c r="AC99" s="633"/>
    </row>
    <row r="100" spans="1:68" ht="14.25" hidden="1" customHeight="1" x14ac:dyDescent="0.25">
      <c r="A100" s="643" t="s">
        <v>111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9">
        <v>4680115882133</v>
      </c>
      <c r="E101" s="650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9">
        <v>261</v>
      </c>
      <c r="Y101" s="640">
        <f t="shared" ref="Y101:Y108" si="5">IFERROR(IF(X101="",0,CEILING((X101/$H101),1)*$H101),"")</f>
        <v>270</v>
      </c>
      <c r="Z101" s="36">
        <f>IFERROR(IF(Y101=0,"",ROUNDUP(Y101/H101,0)*0.01898),"")</f>
        <v>0.47450000000000003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270.90833333333336</v>
      </c>
      <c r="BN101" s="64">
        <f t="shared" ref="BN101:BN108" si="7">IFERROR(Y101*I101/H101,"0")</f>
        <v>280.25</v>
      </c>
      <c r="BO101" s="64">
        <f t="shared" ref="BO101:BO108" si="8">IFERROR(1/J101*(X101/H101),"0")</f>
        <v>0.37760416666666663</v>
      </c>
      <c r="BP101" s="64">
        <f t="shared" ref="BP101:BP108" si="9">IFERROR(1/J101*(Y101/H101),"0")</f>
        <v>0.390625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9">
        <v>4680115882133</v>
      </c>
      <c r="E102" s="650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customHeight="1" x14ac:dyDescent="0.25">
      <c r="A103" s="54" t="s">
        <v>201</v>
      </c>
      <c r="B103" s="54" t="s">
        <v>202</v>
      </c>
      <c r="C103" s="31">
        <v>4301012379</v>
      </c>
      <c r="D103" s="649">
        <v>4680115887718</v>
      </c>
      <c r="E103" s="650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5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39">
        <v>4</v>
      </c>
      <c r="Y103" s="640">
        <f t="shared" si="5"/>
        <v>4.62</v>
      </c>
      <c r="Z103" s="36">
        <f>IFERROR(IF(Y103=0,"",ROUNDUP(Y103/H103,0)*0.00726),"")</f>
        <v>5.0819999999999997E-2</v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5.0060606060606059</v>
      </c>
      <c r="BN103" s="64">
        <f t="shared" si="7"/>
        <v>5.7819999999999991</v>
      </c>
      <c r="BO103" s="64">
        <f t="shared" si="8"/>
        <v>3.1565656565656561E-2</v>
      </c>
      <c r="BP103" s="64">
        <f t="shared" si="9"/>
        <v>3.6458333333333329E-2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9">
        <v>4680115880269</v>
      </c>
      <c r="E104" s="650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49">
        <v>4680115880429</v>
      </c>
      <c r="E105" s="650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39">
        <v>139</v>
      </c>
      <c r="Y105" s="640">
        <f t="shared" si="5"/>
        <v>139.5</v>
      </c>
      <c r="Z105" s="36">
        <f>IFERROR(IF(Y105=0,"",ROUNDUP(Y105/H105,0)*0.00902),"")</f>
        <v>0.27961999999999998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144.8688888888889</v>
      </c>
      <c r="BN105" s="64">
        <f t="shared" si="7"/>
        <v>145.39000000000001</v>
      </c>
      <c r="BO105" s="64">
        <f t="shared" si="8"/>
        <v>0.23400673400673402</v>
      </c>
      <c r="BP105" s="64">
        <f t="shared" si="9"/>
        <v>0.23484848484848486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9">
        <v>4680115881457</v>
      </c>
      <c r="E106" s="650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9">
        <v>4680115881457</v>
      </c>
      <c r="E107" s="650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9">
        <v>4680115889477</v>
      </c>
      <c r="E108" s="650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6"/>
      <c r="R108" s="646"/>
      <c r="S108" s="646"/>
      <c r="T108" s="647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2"/>
      <c r="B109" s="644"/>
      <c r="C109" s="644"/>
      <c r="D109" s="644"/>
      <c r="E109" s="644"/>
      <c r="F109" s="644"/>
      <c r="G109" s="644"/>
      <c r="H109" s="644"/>
      <c r="I109" s="644"/>
      <c r="J109" s="644"/>
      <c r="K109" s="644"/>
      <c r="L109" s="644"/>
      <c r="M109" s="644"/>
      <c r="N109" s="644"/>
      <c r="O109" s="653"/>
      <c r="P109" s="655" t="s">
        <v>72</v>
      </c>
      <c r="Q109" s="656"/>
      <c r="R109" s="656"/>
      <c r="S109" s="656"/>
      <c r="T109" s="656"/>
      <c r="U109" s="656"/>
      <c r="V109" s="657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61.116161616161619</v>
      </c>
      <c r="Y109" s="641">
        <f>IFERROR(Y101/H101,"0")+IFERROR(Y102/H102,"0")+IFERROR(Y103/H103,"0")+IFERROR(Y104/H104,"0")+IFERROR(Y105/H105,"0")+IFERROR(Y106/H106,"0")+IFERROR(Y107/H107,"0")+IFERROR(Y108/H108,"0")</f>
        <v>63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0.80493999999999999</v>
      </c>
      <c r="AA109" s="642"/>
      <c r="AB109" s="642"/>
      <c r="AC109" s="642"/>
    </row>
    <row r="110" spans="1:68" x14ac:dyDescent="0.2">
      <c r="A110" s="644"/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53"/>
      <c r="P110" s="655" t="s">
        <v>72</v>
      </c>
      <c r="Q110" s="656"/>
      <c r="R110" s="656"/>
      <c r="S110" s="656"/>
      <c r="T110" s="656"/>
      <c r="U110" s="656"/>
      <c r="V110" s="657"/>
      <c r="W110" s="37" t="s">
        <v>67</v>
      </c>
      <c r="X110" s="641">
        <f>IFERROR(SUM(X101:X108),"0")</f>
        <v>404</v>
      </c>
      <c r="Y110" s="641">
        <f>IFERROR(SUM(Y101:Y108),"0")</f>
        <v>414.12</v>
      </c>
      <c r="Z110" s="37"/>
      <c r="AA110" s="642"/>
      <c r="AB110" s="642"/>
      <c r="AC110" s="642"/>
    </row>
    <row r="111" spans="1:68" ht="14.25" hidden="1" customHeight="1" x14ac:dyDescent="0.25">
      <c r="A111" s="643" t="s">
        <v>146</v>
      </c>
      <c r="B111" s="644"/>
      <c r="C111" s="644"/>
      <c r="D111" s="644"/>
      <c r="E111" s="644"/>
      <c r="F111" s="644"/>
      <c r="G111" s="644"/>
      <c r="H111" s="644"/>
      <c r="I111" s="644"/>
      <c r="J111" s="644"/>
      <c r="K111" s="644"/>
      <c r="L111" s="644"/>
      <c r="M111" s="644"/>
      <c r="N111" s="644"/>
      <c r="O111" s="644"/>
      <c r="P111" s="644"/>
      <c r="Q111" s="644"/>
      <c r="R111" s="644"/>
      <c r="S111" s="644"/>
      <c r="T111" s="644"/>
      <c r="U111" s="644"/>
      <c r="V111" s="644"/>
      <c r="W111" s="644"/>
      <c r="X111" s="644"/>
      <c r="Y111" s="644"/>
      <c r="Z111" s="644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9">
        <v>4680115881488</v>
      </c>
      <c r="E112" s="650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9">
        <v>45</v>
      </c>
      <c r="Y112" s="640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46.708333333333336</v>
      </c>
      <c r="BN112" s="64">
        <f>IFERROR(Y112*I112/H112,"0")</f>
        <v>56.05</v>
      </c>
      <c r="BO112" s="64">
        <f>IFERROR(1/J112*(X112/H112),"0")</f>
        <v>6.5104166666666657E-2</v>
      </c>
      <c r="BP112" s="64">
        <f>IFERROR(1/J112*(Y112/H112),"0")</f>
        <v>7.8125E-2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49">
        <v>4680115887664</v>
      </c>
      <c r="E113" s="650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9">
        <v>4680115887664</v>
      </c>
      <c r="E114" s="650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9">
        <v>4680115882775</v>
      </c>
      <c r="E115" s="650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4301020392</v>
      </c>
      <c r="D116" s="649">
        <v>4680115880658</v>
      </c>
      <c r="E116" s="650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3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4"/>
      <c r="V116" s="34"/>
      <c r="W116" s="35" t="s">
        <v>67</v>
      </c>
      <c r="X116" s="639">
        <v>6</v>
      </c>
      <c r="Y116" s="640">
        <f>IFERROR(IF(X116="",0,CEILING((X116/$H116),1)*$H116),"")</f>
        <v>7.1999999999999993</v>
      </c>
      <c r="Z116" s="36">
        <f>IFERROR(IF(Y116=0,"",ROUNDUP(Y116/H116,0)*0.00651),"")</f>
        <v>1.9529999999999999E-2</v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6.45</v>
      </c>
      <c r="BN116" s="64">
        <f>IFERROR(Y116*I116/H116,"0")</f>
        <v>7.7399999999999993</v>
      </c>
      <c r="BO116" s="64">
        <f>IFERROR(1/J116*(X116/H116),"0")</f>
        <v>1.3736263736263738E-2</v>
      </c>
      <c r="BP116" s="64">
        <f>IFERROR(1/J116*(Y116/H116),"0")</f>
        <v>1.6483516483516484E-2</v>
      </c>
    </row>
    <row r="117" spans="1:68" x14ac:dyDescent="0.2">
      <c r="A117" s="652"/>
      <c r="B117" s="644"/>
      <c r="C117" s="644"/>
      <c r="D117" s="644"/>
      <c r="E117" s="644"/>
      <c r="F117" s="644"/>
      <c r="G117" s="644"/>
      <c r="H117" s="644"/>
      <c r="I117" s="644"/>
      <c r="J117" s="644"/>
      <c r="K117" s="644"/>
      <c r="L117" s="644"/>
      <c r="M117" s="644"/>
      <c r="N117" s="644"/>
      <c r="O117" s="653"/>
      <c r="P117" s="655" t="s">
        <v>72</v>
      </c>
      <c r="Q117" s="656"/>
      <c r="R117" s="656"/>
      <c r="S117" s="656"/>
      <c r="T117" s="656"/>
      <c r="U117" s="656"/>
      <c r="V117" s="657"/>
      <c r="W117" s="37" t="s">
        <v>73</v>
      </c>
      <c r="X117" s="641">
        <f>IFERROR(X112/H112,"0")+IFERROR(X113/H113,"0")+IFERROR(X114/H114,"0")+IFERROR(X115/H115,"0")+IFERROR(X116/H116,"0")</f>
        <v>6.6666666666666661</v>
      </c>
      <c r="Y117" s="641">
        <f>IFERROR(Y112/H112,"0")+IFERROR(Y113/H113,"0")+IFERROR(Y114/H114,"0")+IFERROR(Y115/H115,"0")+IFERROR(Y116/H116,"0")</f>
        <v>8</v>
      </c>
      <c r="Z117" s="641">
        <f>IFERROR(IF(Z112="",0,Z112),"0")+IFERROR(IF(Z113="",0,Z113),"0")+IFERROR(IF(Z114="",0,Z114),"0")+IFERROR(IF(Z115="",0,Z115),"0")+IFERROR(IF(Z116="",0,Z116),"0")</f>
        <v>0.11443</v>
      </c>
      <c r="AA117" s="642"/>
      <c r="AB117" s="642"/>
      <c r="AC117" s="642"/>
    </row>
    <row r="118" spans="1:68" x14ac:dyDescent="0.2">
      <c r="A118" s="644"/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53"/>
      <c r="P118" s="655" t="s">
        <v>72</v>
      </c>
      <c r="Q118" s="656"/>
      <c r="R118" s="656"/>
      <c r="S118" s="656"/>
      <c r="T118" s="656"/>
      <c r="U118" s="656"/>
      <c r="V118" s="657"/>
      <c r="W118" s="37" t="s">
        <v>67</v>
      </c>
      <c r="X118" s="641">
        <f>IFERROR(SUM(X112:X116),"0")</f>
        <v>51</v>
      </c>
      <c r="Y118" s="641">
        <f>IFERROR(SUM(Y112:Y116),"0")</f>
        <v>61.2</v>
      </c>
      <c r="Z118" s="37"/>
      <c r="AA118" s="642"/>
      <c r="AB118" s="642"/>
      <c r="AC118" s="642"/>
    </row>
    <row r="119" spans="1:68" ht="14.25" hidden="1" customHeight="1" x14ac:dyDescent="0.25">
      <c r="A119" s="643" t="s">
        <v>74</v>
      </c>
      <c r="B119" s="644"/>
      <c r="C119" s="644"/>
      <c r="D119" s="644"/>
      <c r="E119" s="644"/>
      <c r="F119" s="644"/>
      <c r="G119" s="644"/>
      <c r="H119" s="644"/>
      <c r="I119" s="644"/>
      <c r="J119" s="644"/>
      <c r="K119" s="644"/>
      <c r="L119" s="644"/>
      <c r="M119" s="644"/>
      <c r="N119" s="644"/>
      <c r="O119" s="644"/>
      <c r="P119" s="644"/>
      <c r="Q119" s="644"/>
      <c r="R119" s="644"/>
      <c r="S119" s="644"/>
      <c r="T119" s="644"/>
      <c r="U119" s="644"/>
      <c r="V119" s="644"/>
      <c r="W119" s="644"/>
      <c r="X119" s="644"/>
      <c r="Y119" s="644"/>
      <c r="Z119" s="644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49">
        <v>4607091385168</v>
      </c>
      <c r="E120" s="650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1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9">
        <v>756</v>
      </c>
      <c r="Y120" s="640">
        <f>IFERROR(IF(X120="",0,CEILING((X120/$H120),1)*$H120),"")</f>
        <v>761.4</v>
      </c>
      <c r="Z120" s="36">
        <f>IFERROR(IF(Y120=0,"",ROUNDUP(Y120/H120,0)*0.01898),"")</f>
        <v>1.7841199999999999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801.54666666666662</v>
      </c>
      <c r="BN120" s="64">
        <f>IFERROR(Y120*I120/H120,"0")</f>
        <v>807.27199999999993</v>
      </c>
      <c r="BO120" s="64">
        <f>IFERROR(1/J120*(X120/H120),"0")</f>
        <v>1.4583333333333335</v>
      </c>
      <c r="BP120" s="64">
        <f>IFERROR(1/J120*(Y120/H120),"0")</f>
        <v>1.46875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9">
        <v>4607091383256</v>
      </c>
      <c r="E121" s="650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41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49">
        <v>4607091385748</v>
      </c>
      <c r="E122" s="650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39">
        <v>675</v>
      </c>
      <c r="Y122" s="640">
        <f>IFERROR(IF(X122="",0,CEILING((X122/$H122),1)*$H122),"")</f>
        <v>675</v>
      </c>
      <c r="Z122" s="36">
        <f>IFERROR(IF(Y122=0,"",ROUNDUP(Y122/H122,0)*0.00651),"")</f>
        <v>1.6274999999999999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737.99999999999989</v>
      </c>
      <c r="BN122" s="64">
        <f>IFERROR(Y122*I122/H122,"0")</f>
        <v>737.99999999999989</v>
      </c>
      <c r="BO122" s="64">
        <f>IFERROR(1/J122*(X122/H122),"0")</f>
        <v>1.3736263736263736</v>
      </c>
      <c r="BP122" s="64">
        <f>IFERROR(1/J122*(Y122/H122),"0")</f>
        <v>1.3736263736263736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9">
        <v>4680115884533</v>
      </c>
      <c r="E123" s="650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6"/>
      <c r="R123" s="646"/>
      <c r="S123" s="646"/>
      <c r="T123" s="647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2"/>
      <c r="B124" s="644"/>
      <c r="C124" s="644"/>
      <c r="D124" s="644"/>
      <c r="E124" s="644"/>
      <c r="F124" s="644"/>
      <c r="G124" s="644"/>
      <c r="H124" s="644"/>
      <c r="I124" s="644"/>
      <c r="J124" s="644"/>
      <c r="K124" s="644"/>
      <c r="L124" s="644"/>
      <c r="M124" s="644"/>
      <c r="N124" s="644"/>
      <c r="O124" s="653"/>
      <c r="P124" s="655" t="s">
        <v>72</v>
      </c>
      <c r="Q124" s="656"/>
      <c r="R124" s="656"/>
      <c r="S124" s="656"/>
      <c r="T124" s="656"/>
      <c r="U124" s="656"/>
      <c r="V124" s="657"/>
      <c r="W124" s="37" t="s">
        <v>73</v>
      </c>
      <c r="X124" s="641">
        <f>IFERROR(X120/H120,"0")+IFERROR(X121/H121,"0")+IFERROR(X122/H122,"0")+IFERROR(X123/H123,"0")</f>
        <v>343.33333333333331</v>
      </c>
      <c r="Y124" s="641">
        <f>IFERROR(Y120/H120,"0")+IFERROR(Y121/H121,"0")+IFERROR(Y122/H122,"0")+IFERROR(Y123/H123,"0")</f>
        <v>344</v>
      </c>
      <c r="Z124" s="641">
        <f>IFERROR(IF(Z120="",0,Z120),"0")+IFERROR(IF(Z121="",0,Z121),"0")+IFERROR(IF(Z122="",0,Z122),"0")+IFERROR(IF(Z123="",0,Z123),"0")</f>
        <v>3.4116200000000001</v>
      </c>
      <c r="AA124" s="642"/>
      <c r="AB124" s="642"/>
      <c r="AC124" s="642"/>
    </row>
    <row r="125" spans="1:68" x14ac:dyDescent="0.2">
      <c r="A125" s="644"/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53"/>
      <c r="P125" s="655" t="s">
        <v>72</v>
      </c>
      <c r="Q125" s="656"/>
      <c r="R125" s="656"/>
      <c r="S125" s="656"/>
      <c r="T125" s="656"/>
      <c r="U125" s="656"/>
      <c r="V125" s="657"/>
      <c r="W125" s="37" t="s">
        <v>67</v>
      </c>
      <c r="X125" s="641">
        <f>IFERROR(SUM(X120:X123),"0")</f>
        <v>1431</v>
      </c>
      <c r="Y125" s="641">
        <f>IFERROR(SUM(Y120:Y123),"0")</f>
        <v>1436.4</v>
      </c>
      <c r="Z125" s="37"/>
      <c r="AA125" s="642"/>
      <c r="AB125" s="642"/>
      <c r="AC125" s="642"/>
    </row>
    <row r="126" spans="1:68" ht="14.25" hidden="1" customHeight="1" x14ac:dyDescent="0.25">
      <c r="A126" s="643" t="s">
        <v>164</v>
      </c>
      <c r="B126" s="644"/>
      <c r="C126" s="644"/>
      <c r="D126" s="644"/>
      <c r="E126" s="644"/>
      <c r="F126" s="644"/>
      <c r="G126" s="644"/>
      <c r="H126" s="644"/>
      <c r="I126" s="644"/>
      <c r="J126" s="644"/>
      <c r="K126" s="644"/>
      <c r="L126" s="644"/>
      <c r="M126" s="644"/>
      <c r="N126" s="644"/>
      <c r="O126" s="644"/>
      <c r="P126" s="644"/>
      <c r="Q126" s="644"/>
      <c r="R126" s="644"/>
      <c r="S126" s="644"/>
      <c r="T126" s="644"/>
      <c r="U126" s="644"/>
      <c r="V126" s="644"/>
      <c r="W126" s="644"/>
      <c r="X126" s="644"/>
      <c r="Y126" s="644"/>
      <c r="Z126" s="644"/>
      <c r="AA126" s="634"/>
      <c r="AB126" s="634"/>
      <c r="AC126" s="634"/>
    </row>
    <row r="127" spans="1:68" ht="16.5" customHeight="1" x14ac:dyDescent="0.25">
      <c r="A127" s="54" t="s">
        <v>236</v>
      </c>
      <c r="B127" s="54" t="s">
        <v>237</v>
      </c>
      <c r="C127" s="31">
        <v>4301060525</v>
      </c>
      <c r="D127" s="649">
        <v>4680115880238</v>
      </c>
      <c r="E127" s="650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5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6"/>
      <c r="R127" s="646"/>
      <c r="S127" s="646"/>
      <c r="T127" s="647"/>
      <c r="U127" s="34"/>
      <c r="V127" s="34"/>
      <c r="W127" s="35" t="s">
        <v>67</v>
      </c>
      <c r="X127" s="639">
        <v>50</v>
      </c>
      <c r="Y127" s="640">
        <f>IFERROR(IF(X127="",0,CEILING((X127/$H127),1)*$H127),"")</f>
        <v>51.48</v>
      </c>
      <c r="Z127" s="36">
        <f>IFERROR(IF(Y127=0,"",ROUNDUP(Y127/H127,0)*0.00651),"")</f>
        <v>0.16925999999999999</v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56.515151515151516</v>
      </c>
      <c r="BN127" s="64">
        <f>IFERROR(Y127*I127/H127,"0")</f>
        <v>58.187999999999995</v>
      </c>
      <c r="BO127" s="64">
        <f>IFERROR(1/J127*(X127/H127),"0")</f>
        <v>0.13875013875013875</v>
      </c>
      <c r="BP127" s="64">
        <f>IFERROR(1/J127*(Y127/H127),"0")</f>
        <v>0.14285714285714288</v>
      </c>
    </row>
    <row r="128" spans="1:68" x14ac:dyDescent="0.2">
      <c r="A128" s="652"/>
      <c r="B128" s="644"/>
      <c r="C128" s="644"/>
      <c r="D128" s="644"/>
      <c r="E128" s="644"/>
      <c r="F128" s="644"/>
      <c r="G128" s="644"/>
      <c r="H128" s="644"/>
      <c r="I128" s="644"/>
      <c r="J128" s="644"/>
      <c r="K128" s="644"/>
      <c r="L128" s="644"/>
      <c r="M128" s="644"/>
      <c r="N128" s="644"/>
      <c r="O128" s="653"/>
      <c r="P128" s="655" t="s">
        <v>72</v>
      </c>
      <c r="Q128" s="656"/>
      <c r="R128" s="656"/>
      <c r="S128" s="656"/>
      <c r="T128" s="656"/>
      <c r="U128" s="656"/>
      <c r="V128" s="657"/>
      <c r="W128" s="37" t="s">
        <v>73</v>
      </c>
      <c r="X128" s="641">
        <f>IFERROR(X127/H127,"0")</f>
        <v>25.252525252525253</v>
      </c>
      <c r="Y128" s="641">
        <f>IFERROR(Y127/H127,"0")</f>
        <v>26</v>
      </c>
      <c r="Z128" s="641">
        <f>IFERROR(IF(Z127="",0,Z127),"0")</f>
        <v>0.16925999999999999</v>
      </c>
      <c r="AA128" s="642"/>
      <c r="AB128" s="642"/>
      <c r="AC128" s="642"/>
    </row>
    <row r="129" spans="1:68" x14ac:dyDescent="0.2">
      <c r="A129" s="644"/>
      <c r="B129" s="644"/>
      <c r="C129" s="644"/>
      <c r="D129" s="644"/>
      <c r="E129" s="644"/>
      <c r="F129" s="644"/>
      <c r="G129" s="644"/>
      <c r="H129" s="644"/>
      <c r="I129" s="644"/>
      <c r="J129" s="644"/>
      <c r="K129" s="644"/>
      <c r="L129" s="644"/>
      <c r="M129" s="644"/>
      <c r="N129" s="644"/>
      <c r="O129" s="653"/>
      <c r="P129" s="655" t="s">
        <v>72</v>
      </c>
      <c r="Q129" s="656"/>
      <c r="R129" s="656"/>
      <c r="S129" s="656"/>
      <c r="T129" s="656"/>
      <c r="U129" s="656"/>
      <c r="V129" s="657"/>
      <c r="W129" s="37" t="s">
        <v>67</v>
      </c>
      <c r="X129" s="641">
        <f>IFERROR(SUM(X127:X127),"0")</f>
        <v>50</v>
      </c>
      <c r="Y129" s="641">
        <f>IFERROR(SUM(Y127:Y127),"0")</f>
        <v>51.48</v>
      </c>
      <c r="Z129" s="37"/>
      <c r="AA129" s="642"/>
      <c r="AB129" s="642"/>
      <c r="AC129" s="642"/>
    </row>
    <row r="130" spans="1:68" ht="16.5" hidden="1" customHeight="1" x14ac:dyDescent="0.25">
      <c r="A130" s="651" t="s">
        <v>239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33"/>
      <c r="AB130" s="633"/>
      <c r="AC130" s="633"/>
    </row>
    <row r="131" spans="1:68" ht="14.25" hidden="1" customHeight="1" x14ac:dyDescent="0.25">
      <c r="A131" s="643" t="s">
        <v>111</v>
      </c>
      <c r="B131" s="644"/>
      <c r="C131" s="644"/>
      <c r="D131" s="644"/>
      <c r="E131" s="644"/>
      <c r="F131" s="644"/>
      <c r="G131" s="644"/>
      <c r="H131" s="644"/>
      <c r="I131" s="644"/>
      <c r="J131" s="644"/>
      <c r="K131" s="644"/>
      <c r="L131" s="644"/>
      <c r="M131" s="644"/>
      <c r="N131" s="644"/>
      <c r="O131" s="644"/>
      <c r="P131" s="644"/>
      <c r="Q131" s="644"/>
      <c r="R131" s="644"/>
      <c r="S131" s="644"/>
      <c r="T131" s="644"/>
      <c r="U131" s="644"/>
      <c r="V131" s="644"/>
      <c r="W131" s="644"/>
      <c r="X131" s="644"/>
      <c r="Y131" s="644"/>
      <c r="Z131" s="644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9">
        <v>4680115882577</v>
      </c>
      <c r="E132" s="650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6"/>
      <c r="R132" s="646"/>
      <c r="S132" s="646"/>
      <c r="T132" s="647"/>
      <c r="U132" s="34"/>
      <c r="V132" s="34"/>
      <c r="W132" s="35" t="s">
        <v>67</v>
      </c>
      <c r="X132" s="639">
        <v>19</v>
      </c>
      <c r="Y132" s="640">
        <f>IFERROR(IF(X132="",0,CEILING((X132/$H132),1)*$H132),"")</f>
        <v>19.200000000000003</v>
      </c>
      <c r="Z132" s="36">
        <f>IFERROR(IF(Y132=0,"",ROUNDUP(Y132/H132,0)*0.00651),"")</f>
        <v>3.9059999999999997E-2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20.068749999999998</v>
      </c>
      <c r="BN132" s="64">
        <f>IFERROR(Y132*I132/H132,"0")</f>
        <v>20.279999999999998</v>
      </c>
      <c r="BO132" s="64">
        <f>IFERROR(1/J132*(X132/H132),"0")</f>
        <v>3.2623626373626376E-2</v>
      </c>
      <c r="BP132" s="64">
        <f>IFERROR(1/J132*(Y132/H132),"0")</f>
        <v>3.2967032967032975E-2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9">
        <v>4680115882577</v>
      </c>
      <c r="E133" s="650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6"/>
      <c r="R133" s="646"/>
      <c r="S133" s="646"/>
      <c r="T133" s="647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2"/>
      <c r="B134" s="644"/>
      <c r="C134" s="644"/>
      <c r="D134" s="644"/>
      <c r="E134" s="644"/>
      <c r="F134" s="644"/>
      <c r="G134" s="644"/>
      <c r="H134" s="644"/>
      <c r="I134" s="644"/>
      <c r="J134" s="644"/>
      <c r="K134" s="644"/>
      <c r="L134" s="644"/>
      <c r="M134" s="644"/>
      <c r="N134" s="644"/>
      <c r="O134" s="653"/>
      <c r="P134" s="655" t="s">
        <v>72</v>
      </c>
      <c r="Q134" s="656"/>
      <c r="R134" s="656"/>
      <c r="S134" s="656"/>
      <c r="T134" s="656"/>
      <c r="U134" s="656"/>
      <c r="V134" s="657"/>
      <c r="W134" s="37" t="s">
        <v>73</v>
      </c>
      <c r="X134" s="641">
        <f>IFERROR(X132/H132,"0")+IFERROR(X133/H133,"0")</f>
        <v>5.9375</v>
      </c>
      <c r="Y134" s="641">
        <f>IFERROR(Y132/H132,"0")+IFERROR(Y133/H133,"0")</f>
        <v>6.0000000000000009</v>
      </c>
      <c r="Z134" s="641">
        <f>IFERROR(IF(Z132="",0,Z132),"0")+IFERROR(IF(Z133="",0,Z133),"0")</f>
        <v>3.9059999999999997E-2</v>
      </c>
      <c r="AA134" s="642"/>
      <c r="AB134" s="642"/>
      <c r="AC134" s="642"/>
    </row>
    <row r="135" spans="1:68" x14ac:dyDescent="0.2">
      <c r="A135" s="644"/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53"/>
      <c r="P135" s="655" t="s">
        <v>72</v>
      </c>
      <c r="Q135" s="656"/>
      <c r="R135" s="656"/>
      <c r="S135" s="656"/>
      <c r="T135" s="656"/>
      <c r="U135" s="656"/>
      <c r="V135" s="657"/>
      <c r="W135" s="37" t="s">
        <v>67</v>
      </c>
      <c r="X135" s="641">
        <f>IFERROR(SUM(X132:X133),"0")</f>
        <v>19</v>
      </c>
      <c r="Y135" s="641">
        <f>IFERROR(SUM(Y132:Y133),"0")</f>
        <v>19.200000000000003</v>
      </c>
      <c r="Z135" s="37"/>
      <c r="AA135" s="642"/>
      <c r="AB135" s="642"/>
      <c r="AC135" s="642"/>
    </row>
    <row r="136" spans="1:68" ht="14.25" hidden="1" customHeight="1" x14ac:dyDescent="0.25">
      <c r="A136" s="643" t="s">
        <v>62</v>
      </c>
      <c r="B136" s="644"/>
      <c r="C136" s="644"/>
      <c r="D136" s="644"/>
      <c r="E136" s="644"/>
      <c r="F136" s="644"/>
      <c r="G136" s="644"/>
      <c r="H136" s="644"/>
      <c r="I136" s="644"/>
      <c r="J136" s="644"/>
      <c r="K136" s="644"/>
      <c r="L136" s="644"/>
      <c r="M136" s="644"/>
      <c r="N136" s="644"/>
      <c r="O136" s="644"/>
      <c r="P136" s="644"/>
      <c r="Q136" s="644"/>
      <c r="R136" s="644"/>
      <c r="S136" s="644"/>
      <c r="T136" s="644"/>
      <c r="U136" s="644"/>
      <c r="V136" s="644"/>
      <c r="W136" s="644"/>
      <c r="X136" s="644"/>
      <c r="Y136" s="644"/>
      <c r="Z136" s="644"/>
      <c r="AA136" s="634"/>
      <c r="AB136" s="634"/>
      <c r="AC136" s="634"/>
    </row>
    <row r="137" spans="1:68" ht="27" hidden="1" customHeight="1" x14ac:dyDescent="0.25">
      <c r="A137" s="54" t="s">
        <v>245</v>
      </c>
      <c r="B137" s="54" t="s">
        <v>246</v>
      </c>
      <c r="C137" s="31">
        <v>4301031234</v>
      </c>
      <c r="D137" s="649">
        <v>4680115883444</v>
      </c>
      <c r="E137" s="650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9">
        <v>0</v>
      </c>
      <c r="Y137" s="64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9">
        <v>4680115883444</v>
      </c>
      <c r="E138" s="650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2"/>
      <c r="B139" s="644"/>
      <c r="C139" s="644"/>
      <c r="D139" s="644"/>
      <c r="E139" s="644"/>
      <c r="F139" s="644"/>
      <c r="G139" s="644"/>
      <c r="H139" s="644"/>
      <c r="I139" s="644"/>
      <c r="J139" s="644"/>
      <c r="K139" s="644"/>
      <c r="L139" s="644"/>
      <c r="M139" s="644"/>
      <c r="N139" s="644"/>
      <c r="O139" s="653"/>
      <c r="P139" s="655" t="s">
        <v>72</v>
      </c>
      <c r="Q139" s="656"/>
      <c r="R139" s="656"/>
      <c r="S139" s="656"/>
      <c r="T139" s="656"/>
      <c r="U139" s="656"/>
      <c r="V139" s="657"/>
      <c r="W139" s="37" t="s">
        <v>73</v>
      </c>
      <c r="X139" s="641">
        <f>IFERROR(X137/H137,"0")+IFERROR(X138/H138,"0")</f>
        <v>0</v>
      </c>
      <c r="Y139" s="641">
        <f>IFERROR(Y137/H137,"0")+IFERROR(Y138/H138,"0")</f>
        <v>0</v>
      </c>
      <c r="Z139" s="641">
        <f>IFERROR(IF(Z137="",0,Z137),"0")+IFERROR(IF(Z138="",0,Z138),"0")</f>
        <v>0</v>
      </c>
      <c r="AA139" s="642"/>
      <c r="AB139" s="642"/>
      <c r="AC139" s="642"/>
    </row>
    <row r="140" spans="1:68" hidden="1" x14ac:dyDescent="0.2">
      <c r="A140" s="644"/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53"/>
      <c r="P140" s="655" t="s">
        <v>72</v>
      </c>
      <c r="Q140" s="656"/>
      <c r="R140" s="656"/>
      <c r="S140" s="656"/>
      <c r="T140" s="656"/>
      <c r="U140" s="656"/>
      <c r="V140" s="657"/>
      <c r="W140" s="37" t="s">
        <v>67</v>
      </c>
      <c r="X140" s="641">
        <f>IFERROR(SUM(X137:X138),"0")</f>
        <v>0</v>
      </c>
      <c r="Y140" s="641">
        <f>IFERROR(SUM(Y137:Y138),"0")</f>
        <v>0</v>
      </c>
      <c r="Z140" s="37"/>
      <c r="AA140" s="642"/>
      <c r="AB140" s="642"/>
      <c r="AC140" s="642"/>
    </row>
    <row r="141" spans="1:68" ht="14.25" hidden="1" customHeight="1" x14ac:dyDescent="0.25">
      <c r="A141" s="643" t="s">
        <v>74</v>
      </c>
      <c r="B141" s="644"/>
      <c r="C141" s="644"/>
      <c r="D141" s="644"/>
      <c r="E141" s="644"/>
      <c r="F141" s="644"/>
      <c r="G141" s="644"/>
      <c r="H141" s="644"/>
      <c r="I141" s="644"/>
      <c r="J141" s="644"/>
      <c r="K141" s="644"/>
      <c r="L141" s="644"/>
      <c r="M141" s="644"/>
      <c r="N141" s="644"/>
      <c r="O141" s="644"/>
      <c r="P141" s="644"/>
      <c r="Q141" s="644"/>
      <c r="R141" s="644"/>
      <c r="S141" s="644"/>
      <c r="T141" s="644"/>
      <c r="U141" s="644"/>
      <c r="V141" s="644"/>
      <c r="W141" s="644"/>
      <c r="X141" s="644"/>
      <c r="Y141" s="644"/>
      <c r="Z141" s="644"/>
      <c r="AA141" s="634"/>
      <c r="AB141" s="634"/>
      <c r="AC141" s="634"/>
    </row>
    <row r="142" spans="1:68" ht="16.5" hidden="1" customHeight="1" x14ac:dyDescent="0.25">
      <c r="A142" s="54" t="s">
        <v>249</v>
      </c>
      <c r="B142" s="54" t="s">
        <v>250</v>
      </c>
      <c r="C142" s="31">
        <v>4301051476</v>
      </c>
      <c r="D142" s="649">
        <v>4680115882584</v>
      </c>
      <c r="E142" s="650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6"/>
      <c r="R142" s="646"/>
      <c r="S142" s="646"/>
      <c r="T142" s="647"/>
      <c r="U142" s="34"/>
      <c r="V142" s="34"/>
      <c r="W142" s="35" t="s">
        <v>67</v>
      </c>
      <c r="X142" s="639">
        <v>0</v>
      </c>
      <c r="Y142" s="6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9">
        <v>4680115882584</v>
      </c>
      <c r="E143" s="650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6"/>
      <c r="R143" s="646"/>
      <c r="S143" s="646"/>
      <c r="T143" s="647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52"/>
      <c r="B144" s="644"/>
      <c r="C144" s="644"/>
      <c r="D144" s="644"/>
      <c r="E144" s="644"/>
      <c r="F144" s="644"/>
      <c r="G144" s="644"/>
      <c r="H144" s="644"/>
      <c r="I144" s="644"/>
      <c r="J144" s="644"/>
      <c r="K144" s="644"/>
      <c r="L144" s="644"/>
      <c r="M144" s="644"/>
      <c r="N144" s="644"/>
      <c r="O144" s="653"/>
      <c r="P144" s="655" t="s">
        <v>72</v>
      </c>
      <c r="Q144" s="656"/>
      <c r="R144" s="656"/>
      <c r="S144" s="656"/>
      <c r="T144" s="656"/>
      <c r="U144" s="656"/>
      <c r="V144" s="657"/>
      <c r="W144" s="37" t="s">
        <v>73</v>
      </c>
      <c r="X144" s="641">
        <f>IFERROR(X142/H142,"0")+IFERROR(X143/H143,"0")</f>
        <v>0</v>
      </c>
      <c r="Y144" s="641">
        <f>IFERROR(Y142/H142,"0")+IFERROR(Y143/H143,"0")</f>
        <v>0</v>
      </c>
      <c r="Z144" s="641">
        <f>IFERROR(IF(Z142="",0,Z142),"0")+IFERROR(IF(Z143="",0,Z143),"0")</f>
        <v>0</v>
      </c>
      <c r="AA144" s="642"/>
      <c r="AB144" s="642"/>
      <c r="AC144" s="642"/>
    </row>
    <row r="145" spans="1:68" hidden="1" x14ac:dyDescent="0.2">
      <c r="A145" s="644"/>
      <c r="B145" s="644"/>
      <c r="C145" s="644"/>
      <c r="D145" s="644"/>
      <c r="E145" s="644"/>
      <c r="F145" s="644"/>
      <c r="G145" s="644"/>
      <c r="H145" s="644"/>
      <c r="I145" s="644"/>
      <c r="J145" s="644"/>
      <c r="K145" s="644"/>
      <c r="L145" s="644"/>
      <c r="M145" s="644"/>
      <c r="N145" s="644"/>
      <c r="O145" s="653"/>
      <c r="P145" s="655" t="s">
        <v>72</v>
      </c>
      <c r="Q145" s="656"/>
      <c r="R145" s="656"/>
      <c r="S145" s="656"/>
      <c r="T145" s="656"/>
      <c r="U145" s="656"/>
      <c r="V145" s="657"/>
      <c r="W145" s="37" t="s">
        <v>67</v>
      </c>
      <c r="X145" s="641">
        <f>IFERROR(SUM(X142:X143),"0")</f>
        <v>0</v>
      </c>
      <c r="Y145" s="641">
        <f>IFERROR(SUM(Y142:Y143),"0")</f>
        <v>0</v>
      </c>
      <c r="Z145" s="37"/>
      <c r="AA145" s="642"/>
      <c r="AB145" s="642"/>
      <c r="AC145" s="642"/>
    </row>
    <row r="146" spans="1:68" ht="16.5" hidden="1" customHeight="1" x14ac:dyDescent="0.25">
      <c r="A146" s="651" t="s">
        <v>252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33"/>
      <c r="AB146" s="633"/>
      <c r="AC146" s="633"/>
    </row>
    <row r="147" spans="1:68" ht="14.25" hidden="1" customHeight="1" x14ac:dyDescent="0.25">
      <c r="A147" s="643" t="s">
        <v>74</v>
      </c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  <c r="N147" s="644"/>
      <c r="O147" s="644"/>
      <c r="P147" s="644"/>
      <c r="Q147" s="644"/>
      <c r="R147" s="644"/>
      <c r="S147" s="644"/>
      <c r="T147" s="644"/>
      <c r="U147" s="644"/>
      <c r="V147" s="644"/>
      <c r="W147" s="644"/>
      <c r="X147" s="644"/>
      <c r="Y147" s="644"/>
      <c r="Z147" s="644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9">
        <v>4680115888203</v>
      </c>
      <c r="E148" s="650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6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9">
        <v>4680115888180</v>
      </c>
      <c r="E149" s="650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9">
        <v>4680115888180</v>
      </c>
      <c r="E150" s="650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9">
        <v>4680115888197</v>
      </c>
      <c r="E151" s="650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9">
        <v>4680115888210</v>
      </c>
      <c r="E152" s="650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9">
        <v>4680115888210</v>
      </c>
      <c r="E153" s="650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2"/>
      <c r="B154" s="644"/>
      <c r="C154" s="644"/>
      <c r="D154" s="644"/>
      <c r="E154" s="644"/>
      <c r="F154" s="644"/>
      <c r="G154" s="644"/>
      <c r="H154" s="644"/>
      <c r="I154" s="644"/>
      <c r="J154" s="644"/>
      <c r="K154" s="644"/>
      <c r="L154" s="644"/>
      <c r="M154" s="644"/>
      <c r="N154" s="644"/>
      <c r="O154" s="653"/>
      <c r="P154" s="655" t="s">
        <v>72</v>
      </c>
      <c r="Q154" s="656"/>
      <c r="R154" s="656"/>
      <c r="S154" s="656"/>
      <c r="T154" s="656"/>
      <c r="U154" s="656"/>
      <c r="V154" s="657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4"/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53"/>
      <c r="P155" s="655" t="s">
        <v>72</v>
      </c>
      <c r="Q155" s="656"/>
      <c r="R155" s="656"/>
      <c r="S155" s="656"/>
      <c r="T155" s="656"/>
      <c r="U155" s="656"/>
      <c r="V155" s="657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3" t="s">
        <v>267</v>
      </c>
      <c r="B156" s="644"/>
      <c r="C156" s="644"/>
      <c r="D156" s="644"/>
      <c r="E156" s="644"/>
      <c r="F156" s="644"/>
      <c r="G156" s="644"/>
      <c r="H156" s="644"/>
      <c r="I156" s="644"/>
      <c r="J156" s="644"/>
      <c r="K156" s="644"/>
      <c r="L156" s="644"/>
      <c r="M156" s="644"/>
      <c r="N156" s="644"/>
      <c r="O156" s="644"/>
      <c r="P156" s="644"/>
      <c r="Q156" s="644"/>
      <c r="R156" s="644"/>
      <c r="S156" s="644"/>
      <c r="T156" s="644"/>
      <c r="U156" s="644"/>
      <c r="V156" s="644"/>
      <c r="W156" s="644"/>
      <c r="X156" s="644"/>
      <c r="Y156" s="644"/>
      <c r="Z156" s="644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9">
        <v>4680115889132</v>
      </c>
      <c r="E157" s="650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6"/>
      <c r="R157" s="646"/>
      <c r="S157" s="646"/>
      <c r="T157" s="647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2"/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53"/>
      <c r="P158" s="655" t="s">
        <v>72</v>
      </c>
      <c r="Q158" s="656"/>
      <c r="R158" s="656"/>
      <c r="S158" s="656"/>
      <c r="T158" s="656"/>
      <c r="U158" s="656"/>
      <c r="V158" s="657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4"/>
      <c r="B159" s="644"/>
      <c r="C159" s="644"/>
      <c r="D159" s="644"/>
      <c r="E159" s="644"/>
      <c r="F159" s="644"/>
      <c r="G159" s="644"/>
      <c r="H159" s="644"/>
      <c r="I159" s="644"/>
      <c r="J159" s="644"/>
      <c r="K159" s="644"/>
      <c r="L159" s="644"/>
      <c r="M159" s="644"/>
      <c r="N159" s="644"/>
      <c r="O159" s="653"/>
      <c r="P159" s="655" t="s">
        <v>72</v>
      </c>
      <c r="Q159" s="656"/>
      <c r="R159" s="656"/>
      <c r="S159" s="656"/>
      <c r="T159" s="656"/>
      <c r="U159" s="656"/>
      <c r="V159" s="657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51" t="s">
        <v>109</v>
      </c>
      <c r="B160" s="644"/>
      <c r="C160" s="644"/>
      <c r="D160" s="644"/>
      <c r="E160" s="644"/>
      <c r="F160" s="644"/>
      <c r="G160" s="644"/>
      <c r="H160" s="644"/>
      <c r="I160" s="644"/>
      <c r="J160" s="644"/>
      <c r="K160" s="644"/>
      <c r="L160" s="644"/>
      <c r="M160" s="644"/>
      <c r="N160" s="644"/>
      <c r="O160" s="644"/>
      <c r="P160" s="644"/>
      <c r="Q160" s="644"/>
      <c r="R160" s="644"/>
      <c r="S160" s="644"/>
      <c r="T160" s="644"/>
      <c r="U160" s="644"/>
      <c r="V160" s="644"/>
      <c r="W160" s="644"/>
      <c r="X160" s="644"/>
      <c r="Y160" s="644"/>
      <c r="Z160" s="644"/>
      <c r="AA160" s="633"/>
      <c r="AB160" s="633"/>
      <c r="AC160" s="633"/>
    </row>
    <row r="161" spans="1:68" ht="14.25" hidden="1" customHeight="1" x14ac:dyDescent="0.25">
      <c r="A161" s="643" t="s">
        <v>111</v>
      </c>
      <c r="B161" s="644"/>
      <c r="C161" s="644"/>
      <c r="D161" s="644"/>
      <c r="E161" s="644"/>
      <c r="F161" s="644"/>
      <c r="G161" s="644"/>
      <c r="H161" s="644"/>
      <c r="I161" s="644"/>
      <c r="J161" s="644"/>
      <c r="K161" s="644"/>
      <c r="L161" s="644"/>
      <c r="M161" s="644"/>
      <c r="N161" s="644"/>
      <c r="O161" s="644"/>
      <c r="P161" s="644"/>
      <c r="Q161" s="644"/>
      <c r="R161" s="644"/>
      <c r="S161" s="644"/>
      <c r="T161" s="644"/>
      <c r="U161" s="644"/>
      <c r="V161" s="644"/>
      <c r="W161" s="644"/>
      <c r="X161" s="644"/>
      <c r="Y161" s="644"/>
      <c r="Z161" s="644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49">
        <v>4680115887374</v>
      </c>
      <c r="E162" s="650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0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9">
        <v>4607091384604</v>
      </c>
      <c r="E163" s="650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9">
        <v>4680115888876</v>
      </c>
      <c r="E164" s="650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1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2"/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53"/>
      <c r="P165" s="655" t="s">
        <v>72</v>
      </c>
      <c r="Q165" s="656"/>
      <c r="R165" s="656"/>
      <c r="S165" s="656"/>
      <c r="T165" s="656"/>
      <c r="U165" s="656"/>
      <c r="V165" s="657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4"/>
      <c r="B166" s="644"/>
      <c r="C166" s="644"/>
      <c r="D166" s="644"/>
      <c r="E166" s="644"/>
      <c r="F166" s="644"/>
      <c r="G166" s="644"/>
      <c r="H166" s="644"/>
      <c r="I166" s="644"/>
      <c r="J166" s="644"/>
      <c r="K166" s="644"/>
      <c r="L166" s="644"/>
      <c r="M166" s="644"/>
      <c r="N166" s="644"/>
      <c r="O166" s="653"/>
      <c r="P166" s="655" t="s">
        <v>72</v>
      </c>
      <c r="Q166" s="656"/>
      <c r="R166" s="656"/>
      <c r="S166" s="656"/>
      <c r="T166" s="656"/>
      <c r="U166" s="656"/>
      <c r="V166" s="657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3" t="s">
        <v>146</v>
      </c>
      <c r="B167" s="644"/>
      <c r="C167" s="644"/>
      <c r="D167" s="644"/>
      <c r="E167" s="644"/>
      <c r="F167" s="644"/>
      <c r="G167" s="644"/>
      <c r="H167" s="644"/>
      <c r="I167" s="644"/>
      <c r="J167" s="644"/>
      <c r="K167" s="644"/>
      <c r="L167" s="644"/>
      <c r="M167" s="644"/>
      <c r="N167" s="644"/>
      <c r="O167" s="644"/>
      <c r="P167" s="644"/>
      <c r="Q167" s="644"/>
      <c r="R167" s="644"/>
      <c r="S167" s="644"/>
      <c r="T167" s="644"/>
      <c r="U167" s="644"/>
      <c r="V167" s="644"/>
      <c r="W167" s="644"/>
      <c r="X167" s="644"/>
      <c r="Y167" s="644"/>
      <c r="Z167" s="644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9">
        <v>4680115887695</v>
      </c>
      <c r="E168" s="650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5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9">
        <v>4680115889491</v>
      </c>
      <c r="E169" s="650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7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6"/>
      <c r="R169" s="646"/>
      <c r="S169" s="646"/>
      <c r="T169" s="647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2"/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53"/>
      <c r="P170" s="655" t="s">
        <v>72</v>
      </c>
      <c r="Q170" s="656"/>
      <c r="R170" s="656"/>
      <c r="S170" s="656"/>
      <c r="T170" s="656"/>
      <c r="U170" s="656"/>
      <c r="V170" s="657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4"/>
      <c r="B171" s="644"/>
      <c r="C171" s="644"/>
      <c r="D171" s="644"/>
      <c r="E171" s="644"/>
      <c r="F171" s="644"/>
      <c r="G171" s="644"/>
      <c r="H171" s="644"/>
      <c r="I171" s="644"/>
      <c r="J171" s="644"/>
      <c r="K171" s="644"/>
      <c r="L171" s="644"/>
      <c r="M171" s="644"/>
      <c r="N171" s="644"/>
      <c r="O171" s="653"/>
      <c r="P171" s="655" t="s">
        <v>72</v>
      </c>
      <c r="Q171" s="656"/>
      <c r="R171" s="656"/>
      <c r="S171" s="656"/>
      <c r="T171" s="656"/>
      <c r="U171" s="656"/>
      <c r="V171" s="657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3" t="s">
        <v>62</v>
      </c>
      <c r="B172" s="644"/>
      <c r="C172" s="644"/>
      <c r="D172" s="644"/>
      <c r="E172" s="644"/>
      <c r="F172" s="644"/>
      <c r="G172" s="644"/>
      <c r="H172" s="644"/>
      <c r="I172" s="644"/>
      <c r="J172" s="644"/>
      <c r="K172" s="644"/>
      <c r="L172" s="644"/>
      <c r="M172" s="644"/>
      <c r="N172" s="644"/>
      <c r="O172" s="644"/>
      <c r="P172" s="644"/>
      <c r="Q172" s="644"/>
      <c r="R172" s="644"/>
      <c r="S172" s="644"/>
      <c r="T172" s="644"/>
      <c r="U172" s="644"/>
      <c r="V172" s="644"/>
      <c r="W172" s="644"/>
      <c r="X172" s="644"/>
      <c r="Y172" s="644"/>
      <c r="Z172" s="644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9">
        <v>4680115887428</v>
      </c>
      <c r="E173" s="650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39">
        <v>40</v>
      </c>
      <c r="Y173" s="640">
        <f t="shared" ref="Y173:Y184" si="16">IFERROR(IF(X173="",0,CEILING((X173/$H173),1)*$H173),"")</f>
        <v>42</v>
      </c>
      <c r="Z173" s="36">
        <f>IFERROR(IF(Y173=0,"",ROUNDUP(Y173/H173,0)*0.00902),"")</f>
        <v>0.10824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42.171428571428571</v>
      </c>
      <c r="BN173" s="64">
        <f t="shared" ref="BN173:BN184" si="18">IFERROR(Y173*I173/H173,"0")</f>
        <v>44.279999999999994</v>
      </c>
      <c r="BO173" s="64">
        <f t="shared" ref="BO173:BO184" si="19">IFERROR(1/J173*(X173/H173),"0")</f>
        <v>8.658008658008659E-2</v>
      </c>
      <c r="BP173" s="64">
        <f t="shared" ref="BP173:BP184" si="20">IFERROR(1/J173*(Y173/H173),"0")</f>
        <v>9.0909090909090912E-2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9">
        <v>4680115889170</v>
      </c>
      <c r="E174" s="650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10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4301031498</v>
      </c>
      <c r="D175" s="649">
        <v>4680115887398</v>
      </c>
      <c r="E175" s="650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9">
        <v>0</v>
      </c>
      <c r="Y175" s="640">
        <f t="shared" si="16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9">
        <v>4680115887398</v>
      </c>
      <c r="E176" s="650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49">
        <v>4680115887336</v>
      </c>
      <c r="E177" s="650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49">
        <v>4680115887787</v>
      </c>
      <c r="E178" s="650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9">
        <v>0</v>
      </c>
      <c r="Y178" s="640">
        <f t="shared" si="16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9">
        <v>4680115887787</v>
      </c>
      <c r="E179" s="650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49">
        <v>4680115887503</v>
      </c>
      <c r="E180" s="650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49">
        <v>4680115887763</v>
      </c>
      <c r="E181" s="650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9">
        <v>4680115887480</v>
      </c>
      <c r="E182" s="650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4301031434</v>
      </c>
      <c r="D183" s="649">
        <v>4680115888067</v>
      </c>
      <c r="E183" s="650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9">
        <v>2</v>
      </c>
      <c r="Y183" s="640">
        <f t="shared" si="16"/>
        <v>2.7</v>
      </c>
      <c r="Z183" s="36">
        <f>IFERROR(IF(Y183=0,"",ROUNDUP(Y183/H183,0)*0.00417),"")</f>
        <v>1.251E-2</v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2.2222222222222223</v>
      </c>
      <c r="BN183" s="64">
        <f t="shared" si="18"/>
        <v>3</v>
      </c>
      <c r="BO183" s="64">
        <f t="shared" si="19"/>
        <v>6.6137566137566134E-3</v>
      </c>
      <c r="BP183" s="64">
        <f t="shared" si="20"/>
        <v>8.9285714285714281E-3</v>
      </c>
    </row>
    <row r="184" spans="1:68" ht="27" customHeight="1" x14ac:dyDescent="0.25">
      <c r="A184" s="54" t="s">
        <v>317</v>
      </c>
      <c r="B184" s="54" t="s">
        <v>318</v>
      </c>
      <c r="C184" s="31">
        <v>4301031519</v>
      </c>
      <c r="D184" s="649">
        <v>4680115887435</v>
      </c>
      <c r="E184" s="650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9">
        <v>39</v>
      </c>
      <c r="Y184" s="640">
        <f t="shared" si="16"/>
        <v>40.32</v>
      </c>
      <c r="Z184" s="36">
        <f>IFERROR(IF(Y184=0,"",ROUNDUP(Y184/H184,0)*0.00502),"")</f>
        <v>0.12048</v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41.321428571428577</v>
      </c>
      <c r="BN184" s="64">
        <f t="shared" si="18"/>
        <v>42.72</v>
      </c>
      <c r="BO184" s="64">
        <f t="shared" si="19"/>
        <v>9.9206349206349215E-2</v>
      </c>
      <c r="BP184" s="64">
        <f t="shared" si="20"/>
        <v>0.10256410256410257</v>
      </c>
    </row>
    <row r="185" spans="1:68" x14ac:dyDescent="0.2">
      <c r="A185" s="652"/>
      <c r="B185" s="644"/>
      <c r="C185" s="644"/>
      <c r="D185" s="644"/>
      <c r="E185" s="644"/>
      <c r="F185" s="644"/>
      <c r="G185" s="644"/>
      <c r="H185" s="644"/>
      <c r="I185" s="644"/>
      <c r="J185" s="644"/>
      <c r="K185" s="644"/>
      <c r="L185" s="644"/>
      <c r="M185" s="644"/>
      <c r="N185" s="644"/>
      <c r="O185" s="653"/>
      <c r="P185" s="655" t="s">
        <v>72</v>
      </c>
      <c r="Q185" s="656"/>
      <c r="R185" s="656"/>
      <c r="S185" s="656"/>
      <c r="T185" s="656"/>
      <c r="U185" s="656"/>
      <c r="V185" s="657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36.865079365079367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39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0.24123</v>
      </c>
      <c r="AA185" s="642"/>
      <c r="AB185" s="642"/>
      <c r="AC185" s="642"/>
    </row>
    <row r="186" spans="1:68" x14ac:dyDescent="0.2">
      <c r="A186" s="644"/>
      <c r="B186" s="644"/>
      <c r="C186" s="644"/>
      <c r="D186" s="644"/>
      <c r="E186" s="644"/>
      <c r="F186" s="644"/>
      <c r="G186" s="644"/>
      <c r="H186" s="644"/>
      <c r="I186" s="644"/>
      <c r="J186" s="644"/>
      <c r="K186" s="644"/>
      <c r="L186" s="644"/>
      <c r="M186" s="644"/>
      <c r="N186" s="644"/>
      <c r="O186" s="653"/>
      <c r="P186" s="655" t="s">
        <v>72</v>
      </c>
      <c r="Q186" s="656"/>
      <c r="R186" s="656"/>
      <c r="S186" s="656"/>
      <c r="T186" s="656"/>
      <c r="U186" s="656"/>
      <c r="V186" s="657"/>
      <c r="W186" s="37" t="s">
        <v>67</v>
      </c>
      <c r="X186" s="641">
        <f>IFERROR(SUM(X173:X184),"0")</f>
        <v>81</v>
      </c>
      <c r="Y186" s="641">
        <f>IFERROR(SUM(Y173:Y184),"0")</f>
        <v>85.02000000000001</v>
      </c>
      <c r="Z186" s="37"/>
      <c r="AA186" s="642"/>
      <c r="AB186" s="642"/>
      <c r="AC186" s="642"/>
    </row>
    <row r="187" spans="1:68" ht="14.25" hidden="1" customHeight="1" x14ac:dyDescent="0.25">
      <c r="A187" s="643" t="s">
        <v>74</v>
      </c>
      <c r="B187" s="644"/>
      <c r="C187" s="644"/>
      <c r="D187" s="644"/>
      <c r="E187" s="644"/>
      <c r="F187" s="644"/>
      <c r="G187" s="644"/>
      <c r="H187" s="644"/>
      <c r="I187" s="644"/>
      <c r="J187" s="644"/>
      <c r="K187" s="644"/>
      <c r="L187" s="644"/>
      <c r="M187" s="644"/>
      <c r="N187" s="644"/>
      <c r="O187" s="644"/>
      <c r="P187" s="644"/>
      <c r="Q187" s="644"/>
      <c r="R187" s="644"/>
      <c r="S187" s="644"/>
      <c r="T187" s="644"/>
      <c r="U187" s="644"/>
      <c r="V187" s="644"/>
      <c r="W187" s="644"/>
      <c r="X187" s="644"/>
      <c r="Y187" s="644"/>
      <c r="Z187" s="644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9">
        <v>4680115888395</v>
      </c>
      <c r="E188" s="650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9">
        <v>4680115888371</v>
      </c>
      <c r="E189" s="650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325</v>
      </c>
      <c r="B190" s="54" t="s">
        <v>326</v>
      </c>
      <c r="C190" s="31">
        <v>4301052064</v>
      </c>
      <c r="D190" s="649">
        <v>4680115887459</v>
      </c>
      <c r="E190" s="650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2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9">
        <v>16</v>
      </c>
      <c r="Y190" s="640">
        <f>IFERROR(IF(X190="",0,CEILING((X190/$H190),1)*$H190),"")</f>
        <v>16.2</v>
      </c>
      <c r="Z190" s="36">
        <f>IFERROR(IF(Y190=0,"",ROUNDUP(Y190/H190,0)*0.00651),"")</f>
        <v>5.8590000000000003E-2</v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18.293333333333333</v>
      </c>
      <c r="BN190" s="64">
        <f>IFERROR(Y190*I190/H190,"0")</f>
        <v>18.521999999999998</v>
      </c>
      <c r="BO190" s="64">
        <f>IFERROR(1/J190*(X190/H190),"0")</f>
        <v>4.8840048840048847E-2</v>
      </c>
      <c r="BP190" s="64">
        <f>IFERROR(1/J190*(Y190/H190),"0")</f>
        <v>4.9450549450549455E-2</v>
      </c>
    </row>
    <row r="191" spans="1:68" x14ac:dyDescent="0.2">
      <c r="A191" s="652"/>
      <c r="B191" s="644"/>
      <c r="C191" s="644"/>
      <c r="D191" s="644"/>
      <c r="E191" s="644"/>
      <c r="F191" s="644"/>
      <c r="G191" s="644"/>
      <c r="H191" s="644"/>
      <c r="I191" s="644"/>
      <c r="J191" s="644"/>
      <c r="K191" s="644"/>
      <c r="L191" s="644"/>
      <c r="M191" s="644"/>
      <c r="N191" s="644"/>
      <c r="O191" s="653"/>
      <c r="P191" s="655" t="s">
        <v>72</v>
      </c>
      <c r="Q191" s="656"/>
      <c r="R191" s="656"/>
      <c r="S191" s="656"/>
      <c r="T191" s="656"/>
      <c r="U191" s="656"/>
      <c r="V191" s="657"/>
      <c r="W191" s="37" t="s">
        <v>73</v>
      </c>
      <c r="X191" s="641">
        <f>IFERROR(X188/H188,"0")+IFERROR(X189/H189,"0")+IFERROR(X190/H190,"0")</f>
        <v>8.8888888888888893</v>
      </c>
      <c r="Y191" s="641">
        <f>IFERROR(Y188/H188,"0")+IFERROR(Y189/H189,"0")+IFERROR(Y190/H190,"0")</f>
        <v>9</v>
      </c>
      <c r="Z191" s="641">
        <f>IFERROR(IF(Z188="",0,Z188),"0")+IFERROR(IF(Z189="",0,Z189),"0")+IFERROR(IF(Z190="",0,Z190),"0")</f>
        <v>5.8590000000000003E-2</v>
      </c>
      <c r="AA191" s="642"/>
      <c r="AB191" s="642"/>
      <c r="AC191" s="642"/>
    </row>
    <row r="192" spans="1:68" x14ac:dyDescent="0.2">
      <c r="A192" s="644"/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53"/>
      <c r="P192" s="655" t="s">
        <v>72</v>
      </c>
      <c r="Q192" s="656"/>
      <c r="R192" s="656"/>
      <c r="S192" s="656"/>
      <c r="T192" s="656"/>
      <c r="U192" s="656"/>
      <c r="V192" s="657"/>
      <c r="W192" s="37" t="s">
        <v>67</v>
      </c>
      <c r="X192" s="641">
        <f>IFERROR(SUM(X188:X190),"0")</f>
        <v>16</v>
      </c>
      <c r="Y192" s="641">
        <f>IFERROR(SUM(Y188:Y190),"0")</f>
        <v>16.2</v>
      </c>
      <c r="Z192" s="37"/>
      <c r="AA192" s="642"/>
      <c r="AB192" s="642"/>
      <c r="AC192" s="642"/>
    </row>
    <row r="193" spans="1:68" ht="14.25" hidden="1" customHeight="1" x14ac:dyDescent="0.25">
      <c r="A193" s="643" t="s">
        <v>328</v>
      </c>
      <c r="B193" s="644"/>
      <c r="C193" s="644"/>
      <c r="D193" s="644"/>
      <c r="E193" s="644"/>
      <c r="F193" s="644"/>
      <c r="G193" s="644"/>
      <c r="H193" s="644"/>
      <c r="I193" s="644"/>
      <c r="J193" s="644"/>
      <c r="K193" s="644"/>
      <c r="L193" s="644"/>
      <c r="M193" s="644"/>
      <c r="N193" s="644"/>
      <c r="O193" s="644"/>
      <c r="P193" s="644"/>
      <c r="Q193" s="644"/>
      <c r="R193" s="644"/>
      <c r="S193" s="644"/>
      <c r="T193" s="644"/>
      <c r="U193" s="644"/>
      <c r="V193" s="644"/>
      <c r="W193" s="644"/>
      <c r="X193" s="644"/>
      <c r="Y193" s="644"/>
      <c r="Z193" s="644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9">
        <v>4680115889033</v>
      </c>
      <c r="E194" s="650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6"/>
      <c r="R194" s="646"/>
      <c r="S194" s="646"/>
      <c r="T194" s="647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2"/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53"/>
      <c r="P195" s="655" t="s">
        <v>72</v>
      </c>
      <c r="Q195" s="656"/>
      <c r="R195" s="656"/>
      <c r="S195" s="656"/>
      <c r="T195" s="656"/>
      <c r="U195" s="656"/>
      <c r="V195" s="657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4"/>
      <c r="B196" s="644"/>
      <c r="C196" s="644"/>
      <c r="D196" s="644"/>
      <c r="E196" s="644"/>
      <c r="F196" s="644"/>
      <c r="G196" s="644"/>
      <c r="H196" s="644"/>
      <c r="I196" s="644"/>
      <c r="J196" s="644"/>
      <c r="K196" s="644"/>
      <c r="L196" s="644"/>
      <c r="M196" s="644"/>
      <c r="N196" s="644"/>
      <c r="O196" s="653"/>
      <c r="P196" s="655" t="s">
        <v>72</v>
      </c>
      <c r="Q196" s="656"/>
      <c r="R196" s="656"/>
      <c r="S196" s="656"/>
      <c r="T196" s="656"/>
      <c r="U196" s="656"/>
      <c r="V196" s="657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93" t="s">
        <v>333</v>
      </c>
      <c r="B197" s="694"/>
      <c r="C197" s="694"/>
      <c r="D197" s="694"/>
      <c r="E197" s="694"/>
      <c r="F197" s="694"/>
      <c r="G197" s="694"/>
      <c r="H197" s="694"/>
      <c r="I197" s="694"/>
      <c r="J197" s="694"/>
      <c r="K197" s="694"/>
      <c r="L197" s="694"/>
      <c r="M197" s="694"/>
      <c r="N197" s="694"/>
      <c r="O197" s="694"/>
      <c r="P197" s="694"/>
      <c r="Q197" s="694"/>
      <c r="R197" s="694"/>
      <c r="S197" s="694"/>
      <c r="T197" s="694"/>
      <c r="U197" s="694"/>
      <c r="V197" s="694"/>
      <c r="W197" s="694"/>
      <c r="X197" s="694"/>
      <c r="Y197" s="694"/>
      <c r="Z197" s="694"/>
      <c r="AA197" s="48"/>
      <c r="AB197" s="48"/>
      <c r="AC197" s="48"/>
    </row>
    <row r="198" spans="1:68" ht="16.5" hidden="1" customHeight="1" x14ac:dyDescent="0.25">
      <c r="A198" s="651" t="s">
        <v>334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33"/>
      <c r="AB198" s="633"/>
      <c r="AC198" s="633"/>
    </row>
    <row r="199" spans="1:68" ht="14.25" hidden="1" customHeight="1" x14ac:dyDescent="0.25">
      <c r="A199" s="643" t="s">
        <v>111</v>
      </c>
      <c r="B199" s="644"/>
      <c r="C199" s="644"/>
      <c r="D199" s="644"/>
      <c r="E199" s="644"/>
      <c r="F199" s="644"/>
      <c r="G199" s="644"/>
      <c r="H199" s="644"/>
      <c r="I199" s="644"/>
      <c r="J199" s="644"/>
      <c r="K199" s="644"/>
      <c r="L199" s="644"/>
      <c r="M199" s="644"/>
      <c r="N199" s="644"/>
      <c r="O199" s="644"/>
      <c r="P199" s="644"/>
      <c r="Q199" s="644"/>
      <c r="R199" s="644"/>
      <c r="S199" s="644"/>
      <c r="T199" s="644"/>
      <c r="U199" s="644"/>
      <c r="V199" s="644"/>
      <c r="W199" s="644"/>
      <c r="X199" s="644"/>
      <c r="Y199" s="644"/>
      <c r="Z199" s="644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9">
        <v>4607091383423</v>
      </c>
      <c r="E200" s="650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9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6"/>
      <c r="R200" s="646"/>
      <c r="S200" s="646"/>
      <c r="T200" s="647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9">
        <v>4680115888760</v>
      </c>
      <c r="E201" s="650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6"/>
      <c r="R201" s="646"/>
      <c r="S201" s="646"/>
      <c r="T201" s="647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9">
        <v>4680115888807</v>
      </c>
      <c r="E202" s="650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6"/>
      <c r="R202" s="646"/>
      <c r="S202" s="646"/>
      <c r="T202" s="647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9">
        <v>4680115888852</v>
      </c>
      <c r="E203" s="650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6"/>
      <c r="R203" s="646"/>
      <c r="S203" s="646"/>
      <c r="T203" s="647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9">
        <v>4680115886957</v>
      </c>
      <c r="E204" s="650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9">
        <v>4680115885660</v>
      </c>
      <c r="E205" s="650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9">
        <v>4680115886773</v>
      </c>
      <c r="E206" s="650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2"/>
      <c r="B207" s="644"/>
      <c r="C207" s="644"/>
      <c r="D207" s="644"/>
      <c r="E207" s="644"/>
      <c r="F207" s="644"/>
      <c r="G207" s="644"/>
      <c r="H207" s="644"/>
      <c r="I207" s="644"/>
      <c r="J207" s="644"/>
      <c r="K207" s="644"/>
      <c r="L207" s="644"/>
      <c r="M207" s="644"/>
      <c r="N207" s="644"/>
      <c r="O207" s="653"/>
      <c r="P207" s="655" t="s">
        <v>72</v>
      </c>
      <c r="Q207" s="656"/>
      <c r="R207" s="656"/>
      <c r="S207" s="656"/>
      <c r="T207" s="656"/>
      <c r="U207" s="656"/>
      <c r="V207" s="657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4"/>
      <c r="B208" s="644"/>
      <c r="C208" s="644"/>
      <c r="D208" s="644"/>
      <c r="E208" s="644"/>
      <c r="F208" s="644"/>
      <c r="G208" s="644"/>
      <c r="H208" s="644"/>
      <c r="I208" s="644"/>
      <c r="J208" s="644"/>
      <c r="K208" s="644"/>
      <c r="L208" s="644"/>
      <c r="M208" s="644"/>
      <c r="N208" s="644"/>
      <c r="O208" s="653"/>
      <c r="P208" s="655" t="s">
        <v>72</v>
      </c>
      <c r="Q208" s="656"/>
      <c r="R208" s="656"/>
      <c r="S208" s="656"/>
      <c r="T208" s="656"/>
      <c r="U208" s="656"/>
      <c r="V208" s="657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51" t="s">
        <v>355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33"/>
      <c r="AB209" s="633"/>
      <c r="AC209" s="633"/>
    </row>
    <row r="210" spans="1:68" ht="14.25" hidden="1" customHeight="1" x14ac:dyDescent="0.25">
      <c r="A210" s="643" t="s">
        <v>146</v>
      </c>
      <c r="B210" s="644"/>
      <c r="C210" s="644"/>
      <c r="D210" s="644"/>
      <c r="E210" s="644"/>
      <c r="F210" s="644"/>
      <c r="G210" s="644"/>
      <c r="H210" s="644"/>
      <c r="I210" s="644"/>
      <c r="J210" s="644"/>
      <c r="K210" s="644"/>
      <c r="L210" s="644"/>
      <c r="M210" s="644"/>
      <c r="N210" s="644"/>
      <c r="O210" s="644"/>
      <c r="P210" s="644"/>
      <c r="Q210" s="644"/>
      <c r="R210" s="644"/>
      <c r="S210" s="644"/>
      <c r="T210" s="644"/>
      <c r="U210" s="644"/>
      <c r="V210" s="644"/>
      <c r="W210" s="644"/>
      <c r="X210" s="644"/>
      <c r="Y210" s="644"/>
      <c r="Z210" s="644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9">
        <v>4680115886223</v>
      </c>
      <c r="E211" s="650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2"/>
      <c r="B212" s="644"/>
      <c r="C212" s="644"/>
      <c r="D212" s="644"/>
      <c r="E212" s="644"/>
      <c r="F212" s="644"/>
      <c r="G212" s="644"/>
      <c r="H212" s="644"/>
      <c r="I212" s="644"/>
      <c r="J212" s="644"/>
      <c r="K212" s="644"/>
      <c r="L212" s="644"/>
      <c r="M212" s="644"/>
      <c r="N212" s="644"/>
      <c r="O212" s="653"/>
      <c r="P212" s="655" t="s">
        <v>72</v>
      </c>
      <c r="Q212" s="656"/>
      <c r="R212" s="656"/>
      <c r="S212" s="656"/>
      <c r="T212" s="656"/>
      <c r="U212" s="656"/>
      <c r="V212" s="657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4"/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53"/>
      <c r="P213" s="655" t="s">
        <v>72</v>
      </c>
      <c r="Q213" s="656"/>
      <c r="R213" s="656"/>
      <c r="S213" s="656"/>
      <c r="T213" s="656"/>
      <c r="U213" s="656"/>
      <c r="V213" s="657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3" t="s">
        <v>62</v>
      </c>
      <c r="B214" s="644"/>
      <c r="C214" s="644"/>
      <c r="D214" s="644"/>
      <c r="E214" s="644"/>
      <c r="F214" s="644"/>
      <c r="G214" s="644"/>
      <c r="H214" s="644"/>
      <c r="I214" s="644"/>
      <c r="J214" s="644"/>
      <c r="K214" s="644"/>
      <c r="L214" s="644"/>
      <c r="M214" s="644"/>
      <c r="N214" s="644"/>
      <c r="O214" s="644"/>
      <c r="P214" s="644"/>
      <c r="Q214" s="644"/>
      <c r="R214" s="644"/>
      <c r="S214" s="644"/>
      <c r="T214" s="644"/>
      <c r="U214" s="644"/>
      <c r="V214" s="644"/>
      <c r="W214" s="644"/>
      <c r="X214" s="644"/>
      <c r="Y214" s="644"/>
      <c r="Z214" s="644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9">
        <v>4680115880993</v>
      </c>
      <c r="E215" s="650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6"/>
      <c r="R215" s="646"/>
      <c r="S215" s="646"/>
      <c r="T215" s="647"/>
      <c r="U215" s="34"/>
      <c r="V215" s="34"/>
      <c r="W215" s="35" t="s">
        <v>67</v>
      </c>
      <c r="X215" s="639">
        <v>22</v>
      </c>
      <c r="Y215" s="640">
        <f t="shared" ref="Y215:Y229" si="27">IFERROR(IF(X215="",0,CEILING((X215/$H215),1)*$H215),"")</f>
        <v>25.200000000000003</v>
      </c>
      <c r="Z215" s="36">
        <f>IFERROR(IF(Y215=0,"",ROUNDUP(Y215/H215,0)*0.00902),"")</f>
        <v>5.4120000000000001E-2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23.30952380952381</v>
      </c>
      <c r="BN215" s="64">
        <f t="shared" ref="BN215:BN229" si="29">IFERROR(Y215*I215/H215,"0")</f>
        <v>26.700000000000003</v>
      </c>
      <c r="BO215" s="64">
        <f t="shared" ref="BO215:BO229" si="30">IFERROR(1/J215*(X215/H215),"0")</f>
        <v>3.9682539682539687E-2</v>
      </c>
      <c r="BP215" s="64">
        <f t="shared" ref="BP215:BP229" si="31">IFERROR(1/J215*(Y215/H215),"0")</f>
        <v>4.5454545454545456E-2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9">
        <v>4680115881761</v>
      </c>
      <c r="E216" s="650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6"/>
      <c r="R216" s="646"/>
      <c r="S216" s="646"/>
      <c r="T216" s="647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4301031201</v>
      </c>
      <c r="D217" s="649">
        <v>4680115881563</v>
      </c>
      <c r="E217" s="650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6"/>
      <c r="R217" s="646"/>
      <c r="S217" s="646"/>
      <c r="T217" s="647"/>
      <c r="U217" s="34"/>
      <c r="V217" s="34"/>
      <c r="W217" s="35" t="s">
        <v>67</v>
      </c>
      <c r="X217" s="639">
        <v>121</v>
      </c>
      <c r="Y217" s="640">
        <f t="shared" si="27"/>
        <v>121.80000000000001</v>
      </c>
      <c r="Z217" s="36">
        <f>IFERROR(IF(Y217=0,"",ROUNDUP(Y217/H217,0)*0.00902),"")</f>
        <v>0.26158000000000003</v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126.47380952380951</v>
      </c>
      <c r="BN217" s="64">
        <f t="shared" si="29"/>
        <v>127.30999999999999</v>
      </c>
      <c r="BO217" s="64">
        <f t="shared" si="30"/>
        <v>0.21825396825396823</v>
      </c>
      <c r="BP217" s="64">
        <f t="shared" si="31"/>
        <v>0.2196969696969697</v>
      </c>
    </row>
    <row r="218" spans="1:68" ht="37.5" customHeight="1" x14ac:dyDescent="0.25">
      <c r="A218" s="54" t="s">
        <v>368</v>
      </c>
      <c r="B218" s="54" t="s">
        <v>369</v>
      </c>
      <c r="C218" s="31">
        <v>4301031447</v>
      </c>
      <c r="D218" s="649">
        <v>4680115887565</v>
      </c>
      <c r="E218" s="650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6"/>
      <c r="R218" s="646"/>
      <c r="S218" s="646"/>
      <c r="T218" s="647"/>
      <c r="U218" s="34"/>
      <c r="V218" s="34"/>
      <c r="W218" s="35" t="s">
        <v>67</v>
      </c>
      <c r="X218" s="639">
        <v>7</v>
      </c>
      <c r="Y218" s="640">
        <f t="shared" si="27"/>
        <v>7.2</v>
      </c>
      <c r="Z218" s="36">
        <f>IFERROR(IF(Y218=0,"",ROUNDUP(Y218/H218,0)*0.00556),"")</f>
        <v>5.0040000000000001E-2</v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8.1375000000000011</v>
      </c>
      <c r="BN218" s="64">
        <f t="shared" si="29"/>
        <v>8.370000000000001</v>
      </c>
      <c r="BO218" s="64">
        <f t="shared" si="30"/>
        <v>3.4722222222222224E-2</v>
      </c>
      <c r="BP218" s="64">
        <f t="shared" si="31"/>
        <v>3.5714285714285712E-2</v>
      </c>
    </row>
    <row r="219" spans="1:68" ht="27" customHeight="1" x14ac:dyDescent="0.25">
      <c r="A219" s="54" t="s">
        <v>371</v>
      </c>
      <c r="B219" s="54" t="s">
        <v>372</v>
      </c>
      <c r="C219" s="31">
        <v>4301031199</v>
      </c>
      <c r="D219" s="649">
        <v>4680115880986</v>
      </c>
      <c r="E219" s="650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6"/>
      <c r="R219" s="646"/>
      <c r="S219" s="646"/>
      <c r="T219" s="647"/>
      <c r="U219" s="34"/>
      <c r="V219" s="34"/>
      <c r="W219" s="35" t="s">
        <v>67</v>
      </c>
      <c r="X219" s="639">
        <v>32</v>
      </c>
      <c r="Y219" s="640">
        <f t="shared" si="27"/>
        <v>33.6</v>
      </c>
      <c r="Z219" s="36">
        <f t="shared" ref="Z219:Z224" si="32">IFERROR(IF(Y219=0,"",ROUNDUP(Y219/H219,0)*0.00502),"")</f>
        <v>8.0320000000000003E-2</v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33.980952380952381</v>
      </c>
      <c r="BN219" s="64">
        <f t="shared" si="29"/>
        <v>35.68</v>
      </c>
      <c r="BO219" s="64">
        <f t="shared" si="30"/>
        <v>6.5120065120065129E-2</v>
      </c>
      <c r="BP219" s="64">
        <f t="shared" si="31"/>
        <v>6.8376068376068383E-2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9">
        <v>4680115887213</v>
      </c>
      <c r="E220" s="650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6"/>
      <c r="R220" s="646"/>
      <c r="S220" s="646"/>
      <c r="T220" s="647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9">
        <v>4680115881785</v>
      </c>
      <c r="E221" s="650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6"/>
      <c r="R221" s="646"/>
      <c r="S221" s="646"/>
      <c r="T221" s="647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9">
        <v>4680115888432</v>
      </c>
      <c r="E222" s="650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9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6"/>
      <c r="R222" s="646"/>
      <c r="S222" s="646"/>
      <c r="T222" s="647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9">
        <v>4680115888104</v>
      </c>
      <c r="E223" s="650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9">
        <v>4680115886537</v>
      </c>
      <c r="E224" s="650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65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9">
        <v>6</v>
      </c>
      <c r="Y224" s="640">
        <f t="shared" si="27"/>
        <v>7.2</v>
      </c>
      <c r="Z224" s="36">
        <f t="shared" si="32"/>
        <v>2.0080000000000001E-2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6.4333333333333336</v>
      </c>
      <c r="BN224" s="64">
        <f t="shared" si="29"/>
        <v>7.7199999999999989</v>
      </c>
      <c r="BO224" s="64">
        <f t="shared" si="30"/>
        <v>1.4245014245014245E-2</v>
      </c>
      <c r="BP224" s="64">
        <f t="shared" si="31"/>
        <v>1.7094017094017096E-2</v>
      </c>
    </row>
    <row r="225" spans="1:68" ht="27" hidden="1" customHeight="1" x14ac:dyDescent="0.25">
      <c r="A225" s="54" t="s">
        <v>387</v>
      </c>
      <c r="B225" s="54" t="s">
        <v>388</v>
      </c>
      <c r="C225" s="31">
        <v>4301031279</v>
      </c>
      <c r="D225" s="649">
        <v>4680115887596</v>
      </c>
      <c r="E225" s="650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39">
        <v>0</v>
      </c>
      <c r="Y225" s="640">
        <f t="shared" si="27"/>
        <v>0</v>
      </c>
      <c r="Z225" s="36" t="str">
        <f>IFERROR(IF(Y225=0,"",ROUNDUP(Y225/H225,0)*0.00417),"")</f>
        <v/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9">
        <v>4680115881679</v>
      </c>
      <c r="E226" s="650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6"/>
      <c r="R226" s="646"/>
      <c r="S226" s="646"/>
      <c r="T226" s="647"/>
      <c r="U226" s="34"/>
      <c r="V226" s="34"/>
      <c r="W226" s="35" t="s">
        <v>67</v>
      </c>
      <c r="X226" s="639">
        <v>17</v>
      </c>
      <c r="Y226" s="640">
        <f t="shared" si="27"/>
        <v>18.900000000000002</v>
      </c>
      <c r="Z226" s="36">
        <f>IFERROR(IF(Y226=0,"",ROUNDUP(Y226/H226,0)*0.00502),"")</f>
        <v>4.5179999999999998E-2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17.80952380952381</v>
      </c>
      <c r="BN226" s="64">
        <f t="shared" si="29"/>
        <v>19.8</v>
      </c>
      <c r="BO226" s="64">
        <f t="shared" si="30"/>
        <v>3.4595034595034595E-2</v>
      </c>
      <c r="BP226" s="64">
        <f t="shared" si="31"/>
        <v>3.8461538461538464E-2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9">
        <v>4680115880191</v>
      </c>
      <c r="E227" s="650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9">
        <v>4680115880191</v>
      </c>
      <c r="E228" s="650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9">
        <v>4680115883963</v>
      </c>
      <c r="E229" s="650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2"/>
      <c r="B230" s="644"/>
      <c r="C230" s="644"/>
      <c r="D230" s="644"/>
      <c r="E230" s="644"/>
      <c r="F230" s="644"/>
      <c r="G230" s="644"/>
      <c r="H230" s="644"/>
      <c r="I230" s="644"/>
      <c r="J230" s="644"/>
      <c r="K230" s="644"/>
      <c r="L230" s="644"/>
      <c r="M230" s="644"/>
      <c r="N230" s="644"/>
      <c r="O230" s="653"/>
      <c r="P230" s="655" t="s">
        <v>72</v>
      </c>
      <c r="Q230" s="656"/>
      <c r="R230" s="656"/>
      <c r="S230" s="656"/>
      <c r="T230" s="656"/>
      <c r="U230" s="656"/>
      <c r="V230" s="657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69.464285714285708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73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0.51132</v>
      </c>
      <c r="AA230" s="642"/>
      <c r="AB230" s="642"/>
      <c r="AC230" s="642"/>
    </row>
    <row r="231" spans="1:68" x14ac:dyDescent="0.2">
      <c r="A231" s="644"/>
      <c r="B231" s="644"/>
      <c r="C231" s="644"/>
      <c r="D231" s="644"/>
      <c r="E231" s="644"/>
      <c r="F231" s="644"/>
      <c r="G231" s="644"/>
      <c r="H231" s="644"/>
      <c r="I231" s="644"/>
      <c r="J231" s="644"/>
      <c r="K231" s="644"/>
      <c r="L231" s="644"/>
      <c r="M231" s="644"/>
      <c r="N231" s="644"/>
      <c r="O231" s="653"/>
      <c r="P231" s="655" t="s">
        <v>72</v>
      </c>
      <c r="Q231" s="656"/>
      <c r="R231" s="656"/>
      <c r="S231" s="656"/>
      <c r="T231" s="656"/>
      <c r="U231" s="656"/>
      <c r="V231" s="657"/>
      <c r="W231" s="37" t="s">
        <v>67</v>
      </c>
      <c r="X231" s="641">
        <f>IFERROR(SUM(X215:X229),"0")</f>
        <v>205</v>
      </c>
      <c r="Y231" s="641">
        <f>IFERROR(SUM(Y215:Y229),"0")</f>
        <v>213.89999999999998</v>
      </c>
      <c r="Z231" s="37"/>
      <c r="AA231" s="642"/>
      <c r="AB231" s="642"/>
      <c r="AC231" s="642"/>
    </row>
    <row r="232" spans="1:68" ht="14.25" hidden="1" customHeight="1" x14ac:dyDescent="0.25">
      <c r="A232" s="643" t="s">
        <v>74</v>
      </c>
      <c r="B232" s="644"/>
      <c r="C232" s="644"/>
      <c r="D232" s="644"/>
      <c r="E232" s="644"/>
      <c r="F232" s="644"/>
      <c r="G232" s="644"/>
      <c r="H232" s="644"/>
      <c r="I232" s="644"/>
      <c r="J232" s="644"/>
      <c r="K232" s="644"/>
      <c r="L232" s="644"/>
      <c r="M232" s="644"/>
      <c r="N232" s="644"/>
      <c r="O232" s="644"/>
      <c r="P232" s="644"/>
      <c r="Q232" s="644"/>
      <c r="R232" s="644"/>
      <c r="S232" s="644"/>
      <c r="T232" s="644"/>
      <c r="U232" s="644"/>
      <c r="V232" s="644"/>
      <c r="W232" s="644"/>
      <c r="X232" s="644"/>
      <c r="Y232" s="644"/>
      <c r="Z232" s="644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9">
        <v>4680115888692</v>
      </c>
      <c r="E233" s="650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6"/>
      <c r="R233" s="646"/>
      <c r="S233" s="646"/>
      <c r="T233" s="647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9">
        <v>4680115888692</v>
      </c>
      <c r="E234" s="650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7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9">
        <v>4680115888722</v>
      </c>
      <c r="E235" s="650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6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6"/>
      <c r="R235" s="646"/>
      <c r="S235" s="646"/>
      <c r="T235" s="647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9">
        <v>4680115888722</v>
      </c>
      <c r="E236" s="650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80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9">
        <v>4680115888951</v>
      </c>
      <c r="E237" s="650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9">
        <v>4680115888951</v>
      </c>
      <c r="E238" s="650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9">
        <v>4680115888975</v>
      </c>
      <c r="E239" s="650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9">
        <v>4680115888982</v>
      </c>
      <c r="E240" s="650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9">
        <v>4680115888982</v>
      </c>
      <c r="E241" s="650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2"/>
      <c r="B242" s="644"/>
      <c r="C242" s="644"/>
      <c r="D242" s="644"/>
      <c r="E242" s="644"/>
      <c r="F242" s="644"/>
      <c r="G242" s="644"/>
      <c r="H242" s="644"/>
      <c r="I242" s="644"/>
      <c r="J242" s="644"/>
      <c r="K242" s="644"/>
      <c r="L242" s="644"/>
      <c r="M242" s="644"/>
      <c r="N242" s="644"/>
      <c r="O242" s="653"/>
      <c r="P242" s="655" t="s">
        <v>72</v>
      </c>
      <c r="Q242" s="656"/>
      <c r="R242" s="656"/>
      <c r="S242" s="656"/>
      <c r="T242" s="656"/>
      <c r="U242" s="656"/>
      <c r="V242" s="657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4"/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53"/>
      <c r="P243" s="655" t="s">
        <v>72</v>
      </c>
      <c r="Q243" s="656"/>
      <c r="R243" s="656"/>
      <c r="S243" s="656"/>
      <c r="T243" s="656"/>
      <c r="U243" s="656"/>
      <c r="V243" s="657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3" t="s">
        <v>267</v>
      </c>
      <c r="B244" s="644"/>
      <c r="C244" s="644"/>
      <c r="D244" s="644"/>
      <c r="E244" s="644"/>
      <c r="F244" s="644"/>
      <c r="G244" s="644"/>
      <c r="H244" s="644"/>
      <c r="I244" s="644"/>
      <c r="J244" s="644"/>
      <c r="K244" s="644"/>
      <c r="L244" s="644"/>
      <c r="M244" s="644"/>
      <c r="N244" s="644"/>
      <c r="O244" s="644"/>
      <c r="P244" s="644"/>
      <c r="Q244" s="644"/>
      <c r="R244" s="644"/>
      <c r="S244" s="644"/>
      <c r="T244" s="644"/>
      <c r="U244" s="644"/>
      <c r="V244" s="644"/>
      <c r="W244" s="644"/>
      <c r="X244" s="644"/>
      <c r="Y244" s="644"/>
      <c r="Z244" s="644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9">
        <v>4680115886780</v>
      </c>
      <c r="E245" s="650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3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6"/>
      <c r="R245" s="646"/>
      <c r="S245" s="646"/>
      <c r="T245" s="647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421</v>
      </c>
      <c r="B246" s="54" t="s">
        <v>422</v>
      </c>
      <c r="C246" s="31">
        <v>4301032051</v>
      </c>
      <c r="D246" s="649">
        <v>4680115886742</v>
      </c>
      <c r="E246" s="650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9">
        <v>6</v>
      </c>
      <c r="Y246" s="640">
        <f>IFERROR(IF(X246="",0,CEILING((X246/$H246),1)*$H246),"")</f>
        <v>6.3</v>
      </c>
      <c r="Z246" s="36">
        <f>IFERROR(IF(Y246=0,"",ROUNDUP(Y246/H246,0)*0.0059),"")</f>
        <v>2.9499999999999998E-2</v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6.9047619047619042</v>
      </c>
      <c r="BN246" s="64">
        <f>IFERROR(Y246*I246/H246,"0")</f>
        <v>7.25</v>
      </c>
      <c r="BO246" s="64">
        <f>IFERROR(1/J246*(X246/H246),"0")</f>
        <v>2.2045855379188711E-2</v>
      </c>
      <c r="BP246" s="64">
        <f>IFERROR(1/J246*(Y246/H246),"0")</f>
        <v>2.3148148148148147E-2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9">
        <v>4680115886766</v>
      </c>
      <c r="E247" s="650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9">
        <v>10</v>
      </c>
      <c r="Y247" s="640">
        <f>IFERROR(IF(X247="",0,CEILING((X247/$H247),1)*$H247),"")</f>
        <v>10.08</v>
      </c>
      <c r="Z247" s="36">
        <f>IFERROR(IF(Y247=0,"",ROUNDUP(Y247/H247,0)*0.0059),"")</f>
        <v>4.7199999999999999E-2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11.507936507936508</v>
      </c>
      <c r="BN247" s="64">
        <f>IFERROR(Y247*I247/H247,"0")</f>
        <v>11.6</v>
      </c>
      <c r="BO247" s="64">
        <f>IFERROR(1/J247*(X247/H247),"0")</f>
        <v>3.6743092298647854E-2</v>
      </c>
      <c r="BP247" s="64">
        <f>IFERROR(1/J247*(Y247/H247),"0")</f>
        <v>3.7037037037037035E-2</v>
      </c>
    </row>
    <row r="248" spans="1:68" x14ac:dyDescent="0.2">
      <c r="A248" s="652"/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53"/>
      <c r="P248" s="655" t="s">
        <v>72</v>
      </c>
      <c r="Q248" s="656"/>
      <c r="R248" s="656"/>
      <c r="S248" s="656"/>
      <c r="T248" s="656"/>
      <c r="U248" s="656"/>
      <c r="V248" s="657"/>
      <c r="W248" s="37" t="s">
        <v>73</v>
      </c>
      <c r="X248" s="641">
        <f>IFERROR(X245/H245,"0")+IFERROR(X246/H246,"0")+IFERROR(X247/H247,"0")</f>
        <v>12.698412698412699</v>
      </c>
      <c r="Y248" s="641">
        <f>IFERROR(Y245/H245,"0")+IFERROR(Y246/H246,"0")+IFERROR(Y247/H247,"0")</f>
        <v>13</v>
      </c>
      <c r="Z248" s="641">
        <f>IFERROR(IF(Z245="",0,Z245),"0")+IFERROR(IF(Z246="",0,Z246),"0")+IFERROR(IF(Z247="",0,Z247),"0")</f>
        <v>7.669999999999999E-2</v>
      </c>
      <c r="AA248" s="642"/>
      <c r="AB248" s="642"/>
      <c r="AC248" s="642"/>
    </row>
    <row r="249" spans="1:68" x14ac:dyDescent="0.2">
      <c r="A249" s="644"/>
      <c r="B249" s="644"/>
      <c r="C249" s="644"/>
      <c r="D249" s="644"/>
      <c r="E249" s="644"/>
      <c r="F249" s="644"/>
      <c r="G249" s="644"/>
      <c r="H249" s="644"/>
      <c r="I249" s="644"/>
      <c r="J249" s="644"/>
      <c r="K249" s="644"/>
      <c r="L249" s="644"/>
      <c r="M249" s="644"/>
      <c r="N249" s="644"/>
      <c r="O249" s="653"/>
      <c r="P249" s="655" t="s">
        <v>72</v>
      </c>
      <c r="Q249" s="656"/>
      <c r="R249" s="656"/>
      <c r="S249" s="656"/>
      <c r="T249" s="656"/>
      <c r="U249" s="656"/>
      <c r="V249" s="657"/>
      <c r="W249" s="37" t="s">
        <v>67</v>
      </c>
      <c r="X249" s="641">
        <f>IFERROR(SUM(X245:X247),"0")</f>
        <v>16</v>
      </c>
      <c r="Y249" s="641">
        <f>IFERROR(SUM(Y245:Y247),"0")</f>
        <v>16.38</v>
      </c>
      <c r="Z249" s="37"/>
      <c r="AA249" s="642"/>
      <c r="AB249" s="642"/>
      <c r="AC249" s="642"/>
    </row>
    <row r="250" spans="1:68" ht="14.25" hidden="1" customHeight="1" x14ac:dyDescent="0.25">
      <c r="A250" s="643" t="s">
        <v>426</v>
      </c>
      <c r="B250" s="644"/>
      <c r="C250" s="644"/>
      <c r="D250" s="644"/>
      <c r="E250" s="644"/>
      <c r="F250" s="644"/>
      <c r="G250" s="644"/>
      <c r="H250" s="644"/>
      <c r="I250" s="644"/>
      <c r="J250" s="644"/>
      <c r="K250" s="644"/>
      <c r="L250" s="644"/>
      <c r="M250" s="644"/>
      <c r="N250" s="644"/>
      <c r="O250" s="644"/>
      <c r="P250" s="644"/>
      <c r="Q250" s="644"/>
      <c r="R250" s="644"/>
      <c r="S250" s="644"/>
      <c r="T250" s="644"/>
      <c r="U250" s="644"/>
      <c r="V250" s="644"/>
      <c r="W250" s="644"/>
      <c r="X250" s="644"/>
      <c r="Y250" s="644"/>
      <c r="Z250" s="644"/>
      <c r="AA250" s="634"/>
      <c r="AB250" s="634"/>
      <c r="AC250" s="634"/>
    </row>
    <row r="251" spans="1:68" ht="27" customHeight="1" x14ac:dyDescent="0.25">
      <c r="A251" s="54" t="s">
        <v>427</v>
      </c>
      <c r="B251" s="54" t="s">
        <v>428</v>
      </c>
      <c r="C251" s="31">
        <v>4301170013</v>
      </c>
      <c r="D251" s="649">
        <v>4680115886797</v>
      </c>
      <c r="E251" s="650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6"/>
      <c r="R251" s="646"/>
      <c r="S251" s="646"/>
      <c r="T251" s="647"/>
      <c r="U251" s="34"/>
      <c r="V251" s="34"/>
      <c r="W251" s="35" t="s">
        <v>67</v>
      </c>
      <c r="X251" s="639">
        <v>27</v>
      </c>
      <c r="Y251" s="640">
        <f>IFERROR(IF(X251="",0,CEILING((X251/$H251),1)*$H251),"")</f>
        <v>27.72</v>
      </c>
      <c r="Z251" s="36">
        <f>IFERROR(IF(Y251=0,"",ROUNDUP(Y251/H251,0)*0.0059),"")</f>
        <v>0.1298</v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31.071428571428569</v>
      </c>
      <c r="BN251" s="64">
        <f>IFERROR(Y251*I251/H251,"0")</f>
        <v>31.899999999999995</v>
      </c>
      <c r="BO251" s="64">
        <f>IFERROR(1/J251*(X251/H251),"0")</f>
        <v>9.9206349206349187E-2</v>
      </c>
      <c r="BP251" s="64">
        <f>IFERROR(1/J251*(Y251/H251),"0")</f>
        <v>0.10185185185185185</v>
      </c>
    </row>
    <row r="252" spans="1:68" x14ac:dyDescent="0.2">
      <c r="A252" s="652"/>
      <c r="B252" s="644"/>
      <c r="C252" s="644"/>
      <c r="D252" s="644"/>
      <c r="E252" s="644"/>
      <c r="F252" s="644"/>
      <c r="G252" s="644"/>
      <c r="H252" s="644"/>
      <c r="I252" s="644"/>
      <c r="J252" s="644"/>
      <c r="K252" s="644"/>
      <c r="L252" s="644"/>
      <c r="M252" s="644"/>
      <c r="N252" s="644"/>
      <c r="O252" s="653"/>
      <c r="P252" s="655" t="s">
        <v>72</v>
      </c>
      <c r="Q252" s="656"/>
      <c r="R252" s="656"/>
      <c r="S252" s="656"/>
      <c r="T252" s="656"/>
      <c r="U252" s="656"/>
      <c r="V252" s="657"/>
      <c r="W252" s="37" t="s">
        <v>73</v>
      </c>
      <c r="X252" s="641">
        <f>IFERROR(X251/H251,"0")</f>
        <v>21.428571428571427</v>
      </c>
      <c r="Y252" s="641">
        <f>IFERROR(Y251/H251,"0")</f>
        <v>22</v>
      </c>
      <c r="Z252" s="641">
        <f>IFERROR(IF(Z251="",0,Z251),"0")</f>
        <v>0.1298</v>
      </c>
      <c r="AA252" s="642"/>
      <c r="AB252" s="642"/>
      <c r="AC252" s="642"/>
    </row>
    <row r="253" spans="1:68" x14ac:dyDescent="0.2">
      <c r="A253" s="644"/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53"/>
      <c r="P253" s="655" t="s">
        <v>72</v>
      </c>
      <c r="Q253" s="656"/>
      <c r="R253" s="656"/>
      <c r="S253" s="656"/>
      <c r="T253" s="656"/>
      <c r="U253" s="656"/>
      <c r="V253" s="657"/>
      <c r="W253" s="37" t="s">
        <v>67</v>
      </c>
      <c r="X253" s="641">
        <f>IFERROR(SUM(X251:X251),"0")</f>
        <v>27</v>
      </c>
      <c r="Y253" s="641">
        <f>IFERROR(SUM(Y251:Y251),"0")</f>
        <v>27.72</v>
      </c>
      <c r="Z253" s="37"/>
      <c r="AA253" s="642"/>
      <c r="AB253" s="642"/>
      <c r="AC253" s="642"/>
    </row>
    <row r="254" spans="1:68" ht="16.5" hidden="1" customHeight="1" x14ac:dyDescent="0.25">
      <c r="A254" s="651" t="s">
        <v>429</v>
      </c>
      <c r="B254" s="644"/>
      <c r="C254" s="644"/>
      <c r="D254" s="644"/>
      <c r="E254" s="644"/>
      <c r="F254" s="644"/>
      <c r="G254" s="644"/>
      <c r="H254" s="644"/>
      <c r="I254" s="644"/>
      <c r="J254" s="644"/>
      <c r="K254" s="644"/>
      <c r="L254" s="644"/>
      <c r="M254" s="644"/>
      <c r="N254" s="644"/>
      <c r="O254" s="644"/>
      <c r="P254" s="644"/>
      <c r="Q254" s="644"/>
      <c r="R254" s="644"/>
      <c r="S254" s="644"/>
      <c r="T254" s="644"/>
      <c r="U254" s="644"/>
      <c r="V254" s="644"/>
      <c r="W254" s="644"/>
      <c r="X254" s="644"/>
      <c r="Y254" s="644"/>
      <c r="Z254" s="644"/>
      <c r="AA254" s="633"/>
      <c r="AB254" s="633"/>
      <c r="AC254" s="633"/>
    </row>
    <row r="255" spans="1:68" ht="14.25" hidden="1" customHeight="1" x14ac:dyDescent="0.25">
      <c r="A255" s="643" t="s">
        <v>111</v>
      </c>
      <c r="B255" s="644"/>
      <c r="C255" s="644"/>
      <c r="D255" s="644"/>
      <c r="E255" s="644"/>
      <c r="F255" s="644"/>
      <c r="G255" s="644"/>
      <c r="H255" s="644"/>
      <c r="I255" s="644"/>
      <c r="J255" s="644"/>
      <c r="K255" s="644"/>
      <c r="L255" s="644"/>
      <c r="M255" s="644"/>
      <c r="N255" s="644"/>
      <c r="O255" s="644"/>
      <c r="P255" s="644"/>
      <c r="Q255" s="644"/>
      <c r="R255" s="644"/>
      <c r="S255" s="644"/>
      <c r="T255" s="644"/>
      <c r="U255" s="644"/>
      <c r="V255" s="644"/>
      <c r="W255" s="644"/>
      <c r="X255" s="644"/>
      <c r="Y255" s="644"/>
      <c r="Z255" s="644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9">
        <v>4680115881402</v>
      </c>
      <c r="E256" s="650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6"/>
      <c r="R256" s="646"/>
      <c r="S256" s="646"/>
      <c r="T256" s="647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9">
        <v>4680115881396</v>
      </c>
      <c r="E257" s="650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6"/>
      <c r="R257" s="646"/>
      <c r="S257" s="646"/>
      <c r="T257" s="647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2"/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53"/>
      <c r="P258" s="655" t="s">
        <v>72</v>
      </c>
      <c r="Q258" s="656"/>
      <c r="R258" s="656"/>
      <c r="S258" s="656"/>
      <c r="T258" s="656"/>
      <c r="U258" s="656"/>
      <c r="V258" s="657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4"/>
      <c r="B259" s="644"/>
      <c r="C259" s="644"/>
      <c r="D259" s="644"/>
      <c r="E259" s="644"/>
      <c r="F259" s="644"/>
      <c r="G259" s="644"/>
      <c r="H259" s="644"/>
      <c r="I259" s="644"/>
      <c r="J259" s="644"/>
      <c r="K259" s="644"/>
      <c r="L259" s="644"/>
      <c r="M259" s="644"/>
      <c r="N259" s="644"/>
      <c r="O259" s="653"/>
      <c r="P259" s="655" t="s">
        <v>72</v>
      </c>
      <c r="Q259" s="656"/>
      <c r="R259" s="656"/>
      <c r="S259" s="656"/>
      <c r="T259" s="656"/>
      <c r="U259" s="656"/>
      <c r="V259" s="657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3" t="s">
        <v>146</v>
      </c>
      <c r="B260" s="644"/>
      <c r="C260" s="644"/>
      <c r="D260" s="644"/>
      <c r="E260" s="644"/>
      <c r="F260" s="644"/>
      <c r="G260" s="644"/>
      <c r="H260" s="644"/>
      <c r="I260" s="644"/>
      <c r="J260" s="644"/>
      <c r="K260" s="644"/>
      <c r="L260" s="644"/>
      <c r="M260" s="644"/>
      <c r="N260" s="644"/>
      <c r="O260" s="644"/>
      <c r="P260" s="644"/>
      <c r="Q260" s="644"/>
      <c r="R260" s="644"/>
      <c r="S260" s="644"/>
      <c r="T260" s="644"/>
      <c r="U260" s="644"/>
      <c r="V260" s="644"/>
      <c r="W260" s="644"/>
      <c r="X260" s="644"/>
      <c r="Y260" s="644"/>
      <c r="Z260" s="644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9">
        <v>4680115882935</v>
      </c>
      <c r="E261" s="650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6"/>
      <c r="R261" s="646"/>
      <c r="S261" s="646"/>
      <c r="T261" s="647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9">
        <v>4680115880764</v>
      </c>
      <c r="E262" s="650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87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6"/>
      <c r="R262" s="646"/>
      <c r="S262" s="646"/>
      <c r="T262" s="647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44"/>
      <c r="C263" s="644"/>
      <c r="D263" s="644"/>
      <c r="E263" s="644"/>
      <c r="F263" s="644"/>
      <c r="G263" s="644"/>
      <c r="H263" s="644"/>
      <c r="I263" s="644"/>
      <c r="J263" s="644"/>
      <c r="K263" s="644"/>
      <c r="L263" s="644"/>
      <c r="M263" s="644"/>
      <c r="N263" s="644"/>
      <c r="O263" s="653"/>
      <c r="P263" s="655" t="s">
        <v>72</v>
      </c>
      <c r="Q263" s="656"/>
      <c r="R263" s="656"/>
      <c r="S263" s="656"/>
      <c r="T263" s="656"/>
      <c r="U263" s="656"/>
      <c r="V263" s="657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4"/>
      <c r="B264" s="644"/>
      <c r="C264" s="644"/>
      <c r="D264" s="644"/>
      <c r="E264" s="644"/>
      <c r="F264" s="644"/>
      <c r="G264" s="644"/>
      <c r="H264" s="644"/>
      <c r="I264" s="644"/>
      <c r="J264" s="644"/>
      <c r="K264" s="644"/>
      <c r="L264" s="644"/>
      <c r="M264" s="644"/>
      <c r="N264" s="644"/>
      <c r="O264" s="653"/>
      <c r="P264" s="655" t="s">
        <v>72</v>
      </c>
      <c r="Q264" s="656"/>
      <c r="R264" s="656"/>
      <c r="S264" s="656"/>
      <c r="T264" s="656"/>
      <c r="U264" s="656"/>
      <c r="V264" s="657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3" t="s">
        <v>62</v>
      </c>
      <c r="B265" s="644"/>
      <c r="C265" s="644"/>
      <c r="D265" s="644"/>
      <c r="E265" s="644"/>
      <c r="F265" s="644"/>
      <c r="G265" s="644"/>
      <c r="H265" s="644"/>
      <c r="I265" s="644"/>
      <c r="J265" s="644"/>
      <c r="K265" s="644"/>
      <c r="L265" s="644"/>
      <c r="M265" s="644"/>
      <c r="N265" s="644"/>
      <c r="O265" s="644"/>
      <c r="P265" s="644"/>
      <c r="Q265" s="644"/>
      <c r="R265" s="644"/>
      <c r="S265" s="644"/>
      <c r="T265" s="644"/>
      <c r="U265" s="644"/>
      <c r="V265" s="644"/>
      <c r="W265" s="644"/>
      <c r="X265" s="644"/>
      <c r="Y265" s="644"/>
      <c r="Z265" s="644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9">
        <v>4680115882683</v>
      </c>
      <c r="E266" s="650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6"/>
      <c r="R266" s="646"/>
      <c r="S266" s="646"/>
      <c r="T266" s="647"/>
      <c r="U266" s="34"/>
      <c r="V266" s="34"/>
      <c r="W266" s="35" t="s">
        <v>67</v>
      </c>
      <c r="X266" s="639">
        <v>192</v>
      </c>
      <c r="Y266" s="640">
        <f t="shared" ref="Y266:Y273" si="38">IFERROR(IF(X266="",0,CEILING((X266/$H266),1)*$H266),"")</f>
        <v>194.4</v>
      </c>
      <c r="Z266" s="36">
        <f>IFERROR(IF(Y266=0,"",ROUNDUP(Y266/H266,0)*0.00902),"")</f>
        <v>0.32472000000000001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198.75555555555553</v>
      </c>
      <c r="BN266" s="64">
        <f t="shared" ref="BN266:BN273" si="40">IFERROR(Y266*I266/H266,"0")</f>
        <v>201.23999999999998</v>
      </c>
      <c r="BO266" s="64">
        <f t="shared" ref="BO266:BO273" si="41">IFERROR(1/J266*(X266/H266),"0")</f>
        <v>0.2693602693602693</v>
      </c>
      <c r="BP266" s="64">
        <f t="shared" ref="BP266:BP273" si="42">IFERROR(1/J266*(Y266/H266),"0")</f>
        <v>0.27272727272727271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9">
        <v>4680115882690</v>
      </c>
      <c r="E267" s="650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9">
        <v>60</v>
      </c>
      <c r="Y267" s="640">
        <f t="shared" si="38"/>
        <v>64.800000000000011</v>
      </c>
      <c r="Z267" s="36">
        <f>IFERROR(IF(Y267=0,"",ROUNDUP(Y267/H267,0)*0.00902),"")</f>
        <v>0.10824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62.1111111111111</v>
      </c>
      <c r="BN267" s="64">
        <f t="shared" si="40"/>
        <v>67.08</v>
      </c>
      <c r="BO267" s="64">
        <f t="shared" si="41"/>
        <v>8.4175084175084181E-2</v>
      </c>
      <c r="BP267" s="64">
        <f t="shared" si="42"/>
        <v>9.0909090909090925E-2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49">
        <v>4680115882669</v>
      </c>
      <c r="E268" s="650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9">
        <v>900</v>
      </c>
      <c r="Y268" s="640">
        <f t="shared" si="38"/>
        <v>901.80000000000007</v>
      </c>
      <c r="Z268" s="36">
        <f>IFERROR(IF(Y268=0,"",ROUNDUP(Y268/H268,0)*0.00902),"")</f>
        <v>1.50634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931.66666666666663</v>
      </c>
      <c r="BN268" s="64">
        <f t="shared" si="40"/>
        <v>933.53</v>
      </c>
      <c r="BO268" s="64">
        <f t="shared" si="41"/>
        <v>1.2626262626262625</v>
      </c>
      <c r="BP268" s="64">
        <f t="shared" si="42"/>
        <v>1.2651515151515151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9">
        <v>4680115882676</v>
      </c>
      <c r="E269" s="650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9">
        <v>50</v>
      </c>
      <c r="Y269" s="640">
        <f t="shared" si="38"/>
        <v>54</v>
      </c>
      <c r="Z269" s="36">
        <f>IFERROR(IF(Y269=0,"",ROUNDUP(Y269/H269,0)*0.00902),"")</f>
        <v>9.0200000000000002E-2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51.759259259259252</v>
      </c>
      <c r="BN269" s="64">
        <f t="shared" si="40"/>
        <v>55.9</v>
      </c>
      <c r="BO269" s="64">
        <f t="shared" si="41"/>
        <v>7.0145903479236812E-2</v>
      </c>
      <c r="BP269" s="64">
        <f t="shared" si="42"/>
        <v>7.575757575757576E-2</v>
      </c>
    </row>
    <row r="270" spans="1:68" ht="27" customHeight="1" x14ac:dyDescent="0.25">
      <c r="A270" s="54" t="s">
        <v>452</v>
      </c>
      <c r="B270" s="54" t="s">
        <v>453</v>
      </c>
      <c r="C270" s="31">
        <v>4301031223</v>
      </c>
      <c r="D270" s="649">
        <v>4680115884014</v>
      </c>
      <c r="E270" s="650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9">
        <v>9</v>
      </c>
      <c r="Y270" s="640">
        <f t="shared" si="38"/>
        <v>9</v>
      </c>
      <c r="Z270" s="36">
        <f>IFERROR(IF(Y270=0,"",ROUNDUP(Y270/H270,0)*0.00502),"")</f>
        <v>2.5100000000000001E-2</v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9.65</v>
      </c>
      <c r="BN270" s="64">
        <f t="shared" si="40"/>
        <v>9.65</v>
      </c>
      <c r="BO270" s="64">
        <f t="shared" si="41"/>
        <v>2.1367521367521368E-2</v>
      </c>
      <c r="BP270" s="64">
        <f t="shared" si="42"/>
        <v>2.1367521367521368E-2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9">
        <v>4680115884007</v>
      </c>
      <c r="E271" s="650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9">
        <v>15</v>
      </c>
      <c r="Y271" s="640">
        <f t="shared" si="38"/>
        <v>16.2</v>
      </c>
      <c r="Z271" s="36">
        <f>IFERROR(IF(Y271=0,"",ROUNDUP(Y271/H271,0)*0.00502),"")</f>
        <v>4.5179999999999998E-2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15.833333333333332</v>
      </c>
      <c r="BN271" s="64">
        <f t="shared" si="40"/>
        <v>17.099999999999998</v>
      </c>
      <c r="BO271" s="64">
        <f t="shared" si="41"/>
        <v>3.561253561253562E-2</v>
      </c>
      <c r="BP271" s="64">
        <f t="shared" si="42"/>
        <v>3.8461538461538464E-2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9">
        <v>4680115884038</v>
      </c>
      <c r="E272" s="650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9">
        <v>4680115884021</v>
      </c>
      <c r="E273" s="650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9">
        <v>24</v>
      </c>
      <c r="Y273" s="640">
        <f t="shared" si="38"/>
        <v>25.2</v>
      </c>
      <c r="Z273" s="36">
        <f>IFERROR(IF(Y273=0,"",ROUNDUP(Y273/H273,0)*0.00502),"")</f>
        <v>7.0280000000000009E-2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25.333333333333329</v>
      </c>
      <c r="BN273" s="64">
        <f t="shared" si="40"/>
        <v>26.599999999999998</v>
      </c>
      <c r="BO273" s="64">
        <f t="shared" si="41"/>
        <v>5.6980056980056981E-2</v>
      </c>
      <c r="BP273" s="64">
        <f t="shared" si="42"/>
        <v>5.9829059829059839E-2</v>
      </c>
    </row>
    <row r="274" spans="1:68" x14ac:dyDescent="0.2">
      <c r="A274" s="652"/>
      <c r="B274" s="644"/>
      <c r="C274" s="644"/>
      <c r="D274" s="644"/>
      <c r="E274" s="644"/>
      <c r="F274" s="644"/>
      <c r="G274" s="644"/>
      <c r="H274" s="644"/>
      <c r="I274" s="644"/>
      <c r="J274" s="644"/>
      <c r="K274" s="644"/>
      <c r="L274" s="644"/>
      <c r="M274" s="644"/>
      <c r="N274" s="644"/>
      <c r="O274" s="653"/>
      <c r="P274" s="655" t="s">
        <v>72</v>
      </c>
      <c r="Q274" s="656"/>
      <c r="R274" s="656"/>
      <c r="S274" s="656"/>
      <c r="T274" s="656"/>
      <c r="U274" s="656"/>
      <c r="V274" s="657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249.25925925925927</v>
      </c>
      <c r="Y274" s="641">
        <f>IFERROR(Y266/H266,"0")+IFERROR(Y267/H267,"0")+IFERROR(Y268/H268,"0")+IFERROR(Y269/H269,"0")+IFERROR(Y270/H270,"0")+IFERROR(Y271/H271,"0")+IFERROR(Y272/H272,"0")+IFERROR(Y273/H273,"0")</f>
        <v>253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2.1700599999999999</v>
      </c>
      <c r="AA274" s="642"/>
      <c r="AB274" s="642"/>
      <c r="AC274" s="642"/>
    </row>
    <row r="275" spans="1:68" x14ac:dyDescent="0.2">
      <c r="A275" s="644"/>
      <c r="B275" s="644"/>
      <c r="C275" s="644"/>
      <c r="D275" s="644"/>
      <c r="E275" s="644"/>
      <c r="F275" s="644"/>
      <c r="G275" s="644"/>
      <c r="H275" s="644"/>
      <c r="I275" s="644"/>
      <c r="J275" s="644"/>
      <c r="K275" s="644"/>
      <c r="L275" s="644"/>
      <c r="M275" s="644"/>
      <c r="N275" s="644"/>
      <c r="O275" s="653"/>
      <c r="P275" s="655" t="s">
        <v>72</v>
      </c>
      <c r="Q275" s="656"/>
      <c r="R275" s="656"/>
      <c r="S275" s="656"/>
      <c r="T275" s="656"/>
      <c r="U275" s="656"/>
      <c r="V275" s="657"/>
      <c r="W275" s="37" t="s">
        <v>67</v>
      </c>
      <c r="X275" s="641">
        <f>IFERROR(SUM(X266:X273),"0")</f>
        <v>1250</v>
      </c>
      <c r="Y275" s="641">
        <f>IFERROR(SUM(Y266:Y273),"0")</f>
        <v>1265.4000000000001</v>
      </c>
      <c r="Z275" s="37"/>
      <c r="AA275" s="642"/>
      <c r="AB275" s="642"/>
      <c r="AC275" s="642"/>
    </row>
    <row r="276" spans="1:68" ht="14.25" hidden="1" customHeight="1" x14ac:dyDescent="0.25">
      <c r="A276" s="643" t="s">
        <v>74</v>
      </c>
      <c r="B276" s="644"/>
      <c r="C276" s="644"/>
      <c r="D276" s="644"/>
      <c r="E276" s="644"/>
      <c r="F276" s="644"/>
      <c r="G276" s="644"/>
      <c r="H276" s="644"/>
      <c r="I276" s="644"/>
      <c r="J276" s="644"/>
      <c r="K276" s="644"/>
      <c r="L276" s="644"/>
      <c r="M276" s="644"/>
      <c r="N276" s="644"/>
      <c r="O276" s="644"/>
      <c r="P276" s="644"/>
      <c r="Q276" s="644"/>
      <c r="R276" s="644"/>
      <c r="S276" s="644"/>
      <c r="T276" s="644"/>
      <c r="U276" s="644"/>
      <c r="V276" s="644"/>
      <c r="W276" s="644"/>
      <c r="X276" s="644"/>
      <c r="Y276" s="644"/>
      <c r="Z276" s="644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49">
        <v>4680115881594</v>
      </c>
      <c r="E277" s="650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6"/>
      <c r="R277" s="646"/>
      <c r="S277" s="646"/>
      <c r="T277" s="647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49">
        <v>4680115881617</v>
      </c>
      <c r="E278" s="650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6"/>
      <c r="R278" s="646"/>
      <c r="S278" s="646"/>
      <c r="T278" s="647"/>
      <c r="U278" s="34"/>
      <c r="V278" s="34"/>
      <c r="W278" s="35" t="s">
        <v>67</v>
      </c>
      <c r="X278" s="639">
        <v>400</v>
      </c>
      <c r="Y278" s="640">
        <f t="shared" si="43"/>
        <v>405</v>
      </c>
      <c r="Z278" s="36">
        <f>IFERROR(IF(Y278=0,"",ROUNDUP(Y278/H278,0)*0.01898),"")</f>
        <v>0.94900000000000007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423.50617283950618</v>
      </c>
      <c r="BN278" s="64">
        <f t="shared" si="45"/>
        <v>428.80000000000007</v>
      </c>
      <c r="BO278" s="64">
        <f t="shared" si="46"/>
        <v>0.77160493827160492</v>
      </c>
      <c r="BP278" s="64">
        <f t="shared" si="47"/>
        <v>0.78125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4301051656</v>
      </c>
      <c r="D279" s="649">
        <v>4680115880573</v>
      </c>
      <c r="E279" s="650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6"/>
      <c r="R279" s="646"/>
      <c r="S279" s="646"/>
      <c r="T279" s="647"/>
      <c r="U279" s="34"/>
      <c r="V279" s="34"/>
      <c r="W279" s="35" t="s">
        <v>67</v>
      </c>
      <c r="X279" s="639">
        <v>0</v>
      </c>
      <c r="Y279" s="640">
        <f t="shared" si="43"/>
        <v>0</v>
      </c>
      <c r="Z279" s="36" t="str">
        <f>IFERROR(IF(Y279=0,"",ROUNDUP(Y279/H279,0)*0.01898),"")</f>
        <v/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4301051407</v>
      </c>
      <c r="D280" s="649">
        <v>4680115882195</v>
      </c>
      <c r="E280" s="650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9">
        <v>0</v>
      </c>
      <c r="Y280" s="640">
        <f t="shared" si="43"/>
        <v>0</v>
      </c>
      <c r="Z280" s="36" t="str">
        <f>IFERROR(IF(Y280=0,"",ROUNDUP(Y280/H280,0)*0.00651),"")</f>
        <v/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9">
        <v>4680115882607</v>
      </c>
      <c r="E281" s="650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9">
        <v>4680115882607</v>
      </c>
      <c r="E282" s="650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9">
        <v>4680115880092</v>
      </c>
      <c r="E283" s="650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9">
        <v>550</v>
      </c>
      <c r="Y283" s="640">
        <f t="shared" si="43"/>
        <v>552</v>
      </c>
      <c r="Z283" s="36">
        <f>IFERROR(IF(Y283=0,"",ROUNDUP(Y283/H283,0)*0.00651),"")</f>
        <v>1.4973000000000001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607.75000000000011</v>
      </c>
      <c r="BN283" s="64">
        <f t="shared" si="45"/>
        <v>609.96</v>
      </c>
      <c r="BO283" s="64">
        <f t="shared" si="46"/>
        <v>1.2591575091575093</v>
      </c>
      <c r="BP283" s="64">
        <f t="shared" si="47"/>
        <v>1.2637362637362639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9">
        <v>4680115889064</v>
      </c>
      <c r="E284" s="650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4301051668</v>
      </c>
      <c r="D285" s="649">
        <v>4680115880221</v>
      </c>
      <c r="E285" s="650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9">
        <v>558</v>
      </c>
      <c r="Y285" s="640">
        <f t="shared" si="43"/>
        <v>559.19999999999993</v>
      </c>
      <c r="Z285" s="36">
        <f>IFERROR(IF(Y285=0,"",ROUNDUP(Y285/H285,0)*0.00651),"")</f>
        <v>1.5168300000000001</v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616.59</v>
      </c>
      <c r="BN285" s="64">
        <f t="shared" si="45"/>
        <v>617.91600000000005</v>
      </c>
      <c r="BO285" s="64">
        <f t="shared" si="46"/>
        <v>1.2774725274725276</v>
      </c>
      <c r="BP285" s="64">
        <f t="shared" si="47"/>
        <v>1.2802197802197801</v>
      </c>
    </row>
    <row r="286" spans="1:68" ht="27" customHeight="1" x14ac:dyDescent="0.25">
      <c r="A286" s="54" t="s">
        <v>482</v>
      </c>
      <c r="B286" s="54" t="s">
        <v>483</v>
      </c>
      <c r="C286" s="31">
        <v>4301051945</v>
      </c>
      <c r="D286" s="649">
        <v>4680115880504</v>
      </c>
      <c r="E286" s="650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4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6"/>
      <c r="R286" s="646"/>
      <c r="S286" s="646"/>
      <c r="T286" s="647"/>
      <c r="U286" s="34"/>
      <c r="V286" s="34"/>
      <c r="W286" s="35" t="s">
        <v>67</v>
      </c>
      <c r="X286" s="639">
        <v>6</v>
      </c>
      <c r="Y286" s="640">
        <f t="shared" si="43"/>
        <v>7.1999999999999993</v>
      </c>
      <c r="Z286" s="36">
        <f>IFERROR(IF(Y286=0,"",ROUNDUP(Y286/H286,0)*0.00651),"")</f>
        <v>1.9529999999999999E-2</v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6.6300000000000008</v>
      </c>
      <c r="BN286" s="64">
        <f t="shared" si="45"/>
        <v>7.9560000000000004</v>
      </c>
      <c r="BO286" s="64">
        <f t="shared" si="46"/>
        <v>1.3736263736263738E-2</v>
      </c>
      <c r="BP286" s="64">
        <f t="shared" si="47"/>
        <v>1.6483516483516484E-2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9">
        <v>4680115882164</v>
      </c>
      <c r="E287" s="650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9">
        <v>4680115888340</v>
      </c>
      <c r="E288" s="650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2"/>
      <c r="B289" s="644"/>
      <c r="C289" s="644"/>
      <c r="D289" s="644"/>
      <c r="E289" s="644"/>
      <c r="F289" s="644"/>
      <c r="G289" s="644"/>
      <c r="H289" s="644"/>
      <c r="I289" s="644"/>
      <c r="J289" s="644"/>
      <c r="K289" s="644"/>
      <c r="L289" s="644"/>
      <c r="M289" s="644"/>
      <c r="N289" s="644"/>
      <c r="O289" s="653"/>
      <c r="P289" s="655" t="s">
        <v>72</v>
      </c>
      <c r="Q289" s="656"/>
      <c r="R289" s="656"/>
      <c r="S289" s="656"/>
      <c r="T289" s="656"/>
      <c r="U289" s="656"/>
      <c r="V289" s="657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513.54938271604942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516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3.9826600000000001</v>
      </c>
      <c r="AA289" s="642"/>
      <c r="AB289" s="642"/>
      <c r="AC289" s="642"/>
    </row>
    <row r="290" spans="1:68" x14ac:dyDescent="0.2">
      <c r="A290" s="644"/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53"/>
      <c r="P290" s="655" t="s">
        <v>72</v>
      </c>
      <c r="Q290" s="656"/>
      <c r="R290" s="656"/>
      <c r="S290" s="656"/>
      <c r="T290" s="656"/>
      <c r="U290" s="656"/>
      <c r="V290" s="657"/>
      <c r="W290" s="37" t="s">
        <v>67</v>
      </c>
      <c r="X290" s="641">
        <f>IFERROR(SUM(X277:X288),"0")</f>
        <v>1514</v>
      </c>
      <c r="Y290" s="641">
        <f>IFERROR(SUM(Y277:Y288),"0")</f>
        <v>1523.3999999999999</v>
      </c>
      <c r="Z290" s="37"/>
      <c r="AA290" s="642"/>
      <c r="AB290" s="642"/>
      <c r="AC290" s="642"/>
    </row>
    <row r="291" spans="1:68" ht="14.25" hidden="1" customHeight="1" x14ac:dyDescent="0.25">
      <c r="A291" s="643" t="s">
        <v>164</v>
      </c>
      <c r="B291" s="644"/>
      <c r="C291" s="644"/>
      <c r="D291" s="644"/>
      <c r="E291" s="644"/>
      <c r="F291" s="644"/>
      <c r="G291" s="644"/>
      <c r="H291" s="644"/>
      <c r="I291" s="644"/>
      <c r="J291" s="644"/>
      <c r="K291" s="644"/>
      <c r="L291" s="644"/>
      <c r="M291" s="644"/>
      <c r="N291" s="644"/>
      <c r="O291" s="644"/>
      <c r="P291" s="644"/>
      <c r="Q291" s="644"/>
      <c r="R291" s="644"/>
      <c r="S291" s="644"/>
      <c r="T291" s="644"/>
      <c r="U291" s="644"/>
      <c r="V291" s="644"/>
      <c r="W291" s="644"/>
      <c r="X291" s="644"/>
      <c r="Y291" s="644"/>
      <c r="Z291" s="644"/>
      <c r="AA291" s="634"/>
      <c r="AB291" s="634"/>
      <c r="AC291" s="634"/>
    </row>
    <row r="292" spans="1:68" ht="27" hidden="1" customHeight="1" x14ac:dyDescent="0.25">
      <c r="A292" s="54" t="s">
        <v>491</v>
      </c>
      <c r="B292" s="54" t="s">
        <v>492</v>
      </c>
      <c r="C292" s="31">
        <v>4301060463</v>
      </c>
      <c r="D292" s="649">
        <v>4680115880818</v>
      </c>
      <c r="E292" s="650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6"/>
      <c r="R292" s="646"/>
      <c r="S292" s="646"/>
      <c r="T292" s="647"/>
      <c r="U292" s="34"/>
      <c r="V292" s="34"/>
      <c r="W292" s="35" t="s">
        <v>67</v>
      </c>
      <c r="X292" s="639">
        <v>0</v>
      </c>
      <c r="Y292" s="64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4301060389</v>
      </c>
      <c r="D293" s="649">
        <v>4680115880801</v>
      </c>
      <c r="E293" s="650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9">
        <v>0</v>
      </c>
      <c r="Y293" s="640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52"/>
      <c r="B294" s="644"/>
      <c r="C294" s="644"/>
      <c r="D294" s="644"/>
      <c r="E294" s="644"/>
      <c r="F294" s="644"/>
      <c r="G294" s="644"/>
      <c r="H294" s="644"/>
      <c r="I294" s="644"/>
      <c r="J294" s="644"/>
      <c r="K294" s="644"/>
      <c r="L294" s="644"/>
      <c r="M294" s="644"/>
      <c r="N294" s="644"/>
      <c r="O294" s="653"/>
      <c r="P294" s="655" t="s">
        <v>72</v>
      </c>
      <c r="Q294" s="656"/>
      <c r="R294" s="656"/>
      <c r="S294" s="656"/>
      <c r="T294" s="656"/>
      <c r="U294" s="656"/>
      <c r="V294" s="657"/>
      <c r="W294" s="37" t="s">
        <v>73</v>
      </c>
      <c r="X294" s="641">
        <f>IFERROR(X292/H292,"0")+IFERROR(X293/H293,"0")</f>
        <v>0</v>
      </c>
      <c r="Y294" s="641">
        <f>IFERROR(Y292/H292,"0")+IFERROR(Y293/H293,"0")</f>
        <v>0</v>
      </c>
      <c r="Z294" s="641">
        <f>IFERROR(IF(Z292="",0,Z292),"0")+IFERROR(IF(Z293="",0,Z293),"0")</f>
        <v>0</v>
      </c>
      <c r="AA294" s="642"/>
      <c r="AB294" s="642"/>
      <c r="AC294" s="642"/>
    </row>
    <row r="295" spans="1:68" hidden="1" x14ac:dyDescent="0.2">
      <c r="A295" s="644"/>
      <c r="B295" s="644"/>
      <c r="C295" s="644"/>
      <c r="D295" s="644"/>
      <c r="E295" s="644"/>
      <c r="F295" s="644"/>
      <c r="G295" s="644"/>
      <c r="H295" s="644"/>
      <c r="I295" s="644"/>
      <c r="J295" s="644"/>
      <c r="K295" s="644"/>
      <c r="L295" s="644"/>
      <c r="M295" s="644"/>
      <c r="N295" s="644"/>
      <c r="O295" s="653"/>
      <c r="P295" s="655" t="s">
        <v>72</v>
      </c>
      <c r="Q295" s="656"/>
      <c r="R295" s="656"/>
      <c r="S295" s="656"/>
      <c r="T295" s="656"/>
      <c r="U295" s="656"/>
      <c r="V295" s="657"/>
      <c r="W295" s="37" t="s">
        <v>67</v>
      </c>
      <c r="X295" s="641">
        <f>IFERROR(SUM(X292:X293),"0")</f>
        <v>0</v>
      </c>
      <c r="Y295" s="641">
        <f>IFERROR(SUM(Y292:Y293),"0")</f>
        <v>0</v>
      </c>
      <c r="Z295" s="37"/>
      <c r="AA295" s="642"/>
      <c r="AB295" s="642"/>
      <c r="AC295" s="642"/>
    </row>
    <row r="296" spans="1:68" ht="16.5" hidden="1" customHeight="1" x14ac:dyDescent="0.25">
      <c r="A296" s="651" t="s">
        <v>497</v>
      </c>
      <c r="B296" s="644"/>
      <c r="C296" s="644"/>
      <c r="D296" s="644"/>
      <c r="E296" s="644"/>
      <c r="F296" s="644"/>
      <c r="G296" s="644"/>
      <c r="H296" s="644"/>
      <c r="I296" s="644"/>
      <c r="J296" s="644"/>
      <c r="K296" s="644"/>
      <c r="L296" s="644"/>
      <c r="M296" s="644"/>
      <c r="N296" s="644"/>
      <c r="O296" s="644"/>
      <c r="P296" s="644"/>
      <c r="Q296" s="644"/>
      <c r="R296" s="644"/>
      <c r="S296" s="644"/>
      <c r="T296" s="644"/>
      <c r="U296" s="644"/>
      <c r="V296" s="644"/>
      <c r="W296" s="644"/>
      <c r="X296" s="644"/>
      <c r="Y296" s="644"/>
      <c r="Z296" s="644"/>
      <c r="AA296" s="633"/>
      <c r="AB296" s="633"/>
      <c r="AC296" s="633"/>
    </row>
    <row r="297" spans="1:68" ht="14.25" hidden="1" customHeight="1" x14ac:dyDescent="0.25">
      <c r="A297" s="643" t="s">
        <v>111</v>
      </c>
      <c r="B297" s="644"/>
      <c r="C297" s="644"/>
      <c r="D297" s="644"/>
      <c r="E297" s="644"/>
      <c r="F297" s="644"/>
      <c r="G297" s="644"/>
      <c r="H297" s="644"/>
      <c r="I297" s="644"/>
      <c r="J297" s="644"/>
      <c r="K297" s="644"/>
      <c r="L297" s="644"/>
      <c r="M297" s="644"/>
      <c r="N297" s="644"/>
      <c r="O297" s="644"/>
      <c r="P297" s="644"/>
      <c r="Q297" s="644"/>
      <c r="R297" s="644"/>
      <c r="S297" s="644"/>
      <c r="T297" s="644"/>
      <c r="U297" s="644"/>
      <c r="V297" s="644"/>
      <c r="W297" s="644"/>
      <c r="X297" s="644"/>
      <c r="Y297" s="644"/>
      <c r="Z297" s="644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49">
        <v>4680115884137</v>
      </c>
      <c r="E298" s="650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5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6"/>
      <c r="R298" s="646"/>
      <c r="S298" s="646"/>
      <c r="T298" s="647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49">
        <v>4680115884236</v>
      </c>
      <c r="E299" s="650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9">
        <v>4680115884175</v>
      </c>
      <c r="E300" s="650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9">
        <v>4680115884144</v>
      </c>
      <c r="E301" s="650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9">
        <v>4680115886551</v>
      </c>
      <c r="E302" s="650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9">
        <v>4680115887282</v>
      </c>
      <c r="E303" s="650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9">
        <v>4680115884205</v>
      </c>
      <c r="E304" s="650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2"/>
      <c r="B305" s="644"/>
      <c r="C305" s="644"/>
      <c r="D305" s="644"/>
      <c r="E305" s="644"/>
      <c r="F305" s="644"/>
      <c r="G305" s="644"/>
      <c r="H305" s="644"/>
      <c r="I305" s="644"/>
      <c r="J305" s="644"/>
      <c r="K305" s="644"/>
      <c r="L305" s="644"/>
      <c r="M305" s="644"/>
      <c r="N305" s="644"/>
      <c r="O305" s="653"/>
      <c r="P305" s="655" t="s">
        <v>72</v>
      </c>
      <c r="Q305" s="656"/>
      <c r="R305" s="656"/>
      <c r="S305" s="656"/>
      <c r="T305" s="656"/>
      <c r="U305" s="656"/>
      <c r="V305" s="657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4"/>
      <c r="B306" s="644"/>
      <c r="C306" s="644"/>
      <c r="D306" s="644"/>
      <c r="E306" s="644"/>
      <c r="F306" s="644"/>
      <c r="G306" s="644"/>
      <c r="H306" s="644"/>
      <c r="I306" s="644"/>
      <c r="J306" s="644"/>
      <c r="K306" s="644"/>
      <c r="L306" s="644"/>
      <c r="M306" s="644"/>
      <c r="N306" s="644"/>
      <c r="O306" s="653"/>
      <c r="P306" s="655" t="s">
        <v>72</v>
      </c>
      <c r="Q306" s="656"/>
      <c r="R306" s="656"/>
      <c r="S306" s="656"/>
      <c r="T306" s="656"/>
      <c r="U306" s="656"/>
      <c r="V306" s="657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3" t="s">
        <v>146</v>
      </c>
      <c r="B307" s="644"/>
      <c r="C307" s="644"/>
      <c r="D307" s="644"/>
      <c r="E307" s="644"/>
      <c r="F307" s="644"/>
      <c r="G307" s="644"/>
      <c r="H307" s="644"/>
      <c r="I307" s="644"/>
      <c r="J307" s="644"/>
      <c r="K307" s="644"/>
      <c r="L307" s="644"/>
      <c r="M307" s="644"/>
      <c r="N307" s="644"/>
      <c r="O307" s="644"/>
      <c r="P307" s="644"/>
      <c r="Q307" s="644"/>
      <c r="R307" s="644"/>
      <c r="S307" s="644"/>
      <c r="T307" s="644"/>
      <c r="U307" s="644"/>
      <c r="V307" s="644"/>
      <c r="W307" s="644"/>
      <c r="X307" s="644"/>
      <c r="Y307" s="644"/>
      <c r="Z307" s="644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9">
        <v>4680115885981</v>
      </c>
      <c r="E308" s="650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6"/>
      <c r="R308" s="646"/>
      <c r="S308" s="646"/>
      <c r="T308" s="647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2"/>
      <c r="B309" s="644"/>
      <c r="C309" s="644"/>
      <c r="D309" s="644"/>
      <c r="E309" s="644"/>
      <c r="F309" s="644"/>
      <c r="G309" s="644"/>
      <c r="H309" s="644"/>
      <c r="I309" s="644"/>
      <c r="J309" s="644"/>
      <c r="K309" s="644"/>
      <c r="L309" s="644"/>
      <c r="M309" s="644"/>
      <c r="N309" s="644"/>
      <c r="O309" s="653"/>
      <c r="P309" s="655" t="s">
        <v>72</v>
      </c>
      <c r="Q309" s="656"/>
      <c r="R309" s="656"/>
      <c r="S309" s="656"/>
      <c r="T309" s="656"/>
      <c r="U309" s="656"/>
      <c r="V309" s="657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4"/>
      <c r="B310" s="644"/>
      <c r="C310" s="644"/>
      <c r="D310" s="644"/>
      <c r="E310" s="644"/>
      <c r="F310" s="644"/>
      <c r="G310" s="644"/>
      <c r="H310" s="644"/>
      <c r="I310" s="644"/>
      <c r="J310" s="644"/>
      <c r="K310" s="644"/>
      <c r="L310" s="644"/>
      <c r="M310" s="644"/>
      <c r="N310" s="644"/>
      <c r="O310" s="653"/>
      <c r="P310" s="655" t="s">
        <v>72</v>
      </c>
      <c r="Q310" s="656"/>
      <c r="R310" s="656"/>
      <c r="S310" s="656"/>
      <c r="T310" s="656"/>
      <c r="U310" s="656"/>
      <c r="V310" s="657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3" t="s">
        <v>519</v>
      </c>
      <c r="B311" s="644"/>
      <c r="C311" s="644"/>
      <c r="D311" s="644"/>
      <c r="E311" s="644"/>
      <c r="F311" s="644"/>
      <c r="G311" s="644"/>
      <c r="H311" s="644"/>
      <c r="I311" s="644"/>
      <c r="J311" s="644"/>
      <c r="K311" s="644"/>
      <c r="L311" s="644"/>
      <c r="M311" s="644"/>
      <c r="N311" s="644"/>
      <c r="O311" s="644"/>
      <c r="P311" s="644"/>
      <c r="Q311" s="644"/>
      <c r="R311" s="644"/>
      <c r="S311" s="644"/>
      <c r="T311" s="644"/>
      <c r="U311" s="644"/>
      <c r="V311" s="644"/>
      <c r="W311" s="644"/>
      <c r="X311" s="644"/>
      <c r="Y311" s="644"/>
      <c r="Z311" s="644"/>
      <c r="AA311" s="634"/>
      <c r="AB311" s="634"/>
      <c r="AC311" s="634"/>
    </row>
    <row r="312" spans="1:68" ht="27" hidden="1" customHeight="1" x14ac:dyDescent="0.25">
      <c r="A312" s="54" t="s">
        <v>520</v>
      </c>
      <c r="B312" s="54" t="s">
        <v>521</v>
      </c>
      <c r="C312" s="31">
        <v>4301040362</v>
      </c>
      <c r="D312" s="649">
        <v>4680115886803</v>
      </c>
      <c r="E312" s="650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6"/>
      <c r="R312" s="646"/>
      <c r="S312" s="646"/>
      <c r="T312" s="647"/>
      <c r="U312" s="34"/>
      <c r="V312" s="34"/>
      <c r="W312" s="35" t="s">
        <v>67</v>
      </c>
      <c r="X312" s="639">
        <v>0</v>
      </c>
      <c r="Y312" s="640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52"/>
      <c r="B313" s="644"/>
      <c r="C313" s="644"/>
      <c r="D313" s="644"/>
      <c r="E313" s="644"/>
      <c r="F313" s="644"/>
      <c r="G313" s="644"/>
      <c r="H313" s="644"/>
      <c r="I313" s="644"/>
      <c r="J313" s="644"/>
      <c r="K313" s="644"/>
      <c r="L313" s="644"/>
      <c r="M313" s="644"/>
      <c r="N313" s="644"/>
      <c r="O313" s="653"/>
      <c r="P313" s="655" t="s">
        <v>72</v>
      </c>
      <c r="Q313" s="656"/>
      <c r="R313" s="656"/>
      <c r="S313" s="656"/>
      <c r="T313" s="656"/>
      <c r="U313" s="656"/>
      <c r="V313" s="657"/>
      <c r="W313" s="37" t="s">
        <v>73</v>
      </c>
      <c r="X313" s="641">
        <f>IFERROR(X312/H312,"0")</f>
        <v>0</v>
      </c>
      <c r="Y313" s="641">
        <f>IFERROR(Y312/H312,"0")</f>
        <v>0</v>
      </c>
      <c r="Z313" s="641">
        <f>IFERROR(IF(Z312="",0,Z312),"0")</f>
        <v>0</v>
      </c>
      <c r="AA313" s="642"/>
      <c r="AB313" s="642"/>
      <c r="AC313" s="642"/>
    </row>
    <row r="314" spans="1:68" hidden="1" x14ac:dyDescent="0.2">
      <c r="A314" s="644"/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53"/>
      <c r="P314" s="655" t="s">
        <v>72</v>
      </c>
      <c r="Q314" s="656"/>
      <c r="R314" s="656"/>
      <c r="S314" s="656"/>
      <c r="T314" s="656"/>
      <c r="U314" s="656"/>
      <c r="V314" s="657"/>
      <c r="W314" s="37" t="s">
        <v>67</v>
      </c>
      <c r="X314" s="641">
        <f>IFERROR(SUM(X312:X312),"0")</f>
        <v>0</v>
      </c>
      <c r="Y314" s="641">
        <f>IFERROR(SUM(Y312:Y312),"0")</f>
        <v>0</v>
      </c>
      <c r="Z314" s="37"/>
      <c r="AA314" s="642"/>
      <c r="AB314" s="642"/>
      <c r="AC314" s="642"/>
    </row>
    <row r="315" spans="1:68" ht="14.25" hidden="1" customHeight="1" x14ac:dyDescent="0.25">
      <c r="A315" s="643" t="s">
        <v>328</v>
      </c>
      <c r="B315" s="644"/>
      <c r="C315" s="644"/>
      <c r="D315" s="644"/>
      <c r="E315" s="644"/>
      <c r="F315" s="644"/>
      <c r="G315" s="644"/>
      <c r="H315" s="644"/>
      <c r="I315" s="644"/>
      <c r="J315" s="644"/>
      <c r="K315" s="644"/>
      <c r="L315" s="644"/>
      <c r="M315" s="644"/>
      <c r="N315" s="644"/>
      <c r="O315" s="644"/>
      <c r="P315" s="644"/>
      <c r="Q315" s="644"/>
      <c r="R315" s="644"/>
      <c r="S315" s="644"/>
      <c r="T315" s="644"/>
      <c r="U315" s="644"/>
      <c r="V315" s="644"/>
      <c r="W315" s="644"/>
      <c r="X315" s="644"/>
      <c r="Y315" s="644"/>
      <c r="Z315" s="644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9">
        <v>4680115886681</v>
      </c>
      <c r="E316" s="650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6"/>
      <c r="R316" s="646"/>
      <c r="S316" s="646"/>
      <c r="T316" s="647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2"/>
      <c r="B317" s="644"/>
      <c r="C317" s="644"/>
      <c r="D317" s="644"/>
      <c r="E317" s="644"/>
      <c r="F317" s="644"/>
      <c r="G317" s="644"/>
      <c r="H317" s="644"/>
      <c r="I317" s="644"/>
      <c r="J317" s="644"/>
      <c r="K317" s="644"/>
      <c r="L317" s="644"/>
      <c r="M317" s="644"/>
      <c r="N317" s="644"/>
      <c r="O317" s="653"/>
      <c r="P317" s="655" t="s">
        <v>72</v>
      </c>
      <c r="Q317" s="656"/>
      <c r="R317" s="656"/>
      <c r="S317" s="656"/>
      <c r="T317" s="656"/>
      <c r="U317" s="656"/>
      <c r="V317" s="657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4"/>
      <c r="B318" s="644"/>
      <c r="C318" s="644"/>
      <c r="D318" s="644"/>
      <c r="E318" s="644"/>
      <c r="F318" s="644"/>
      <c r="G318" s="644"/>
      <c r="H318" s="644"/>
      <c r="I318" s="644"/>
      <c r="J318" s="644"/>
      <c r="K318" s="644"/>
      <c r="L318" s="644"/>
      <c r="M318" s="644"/>
      <c r="N318" s="644"/>
      <c r="O318" s="653"/>
      <c r="P318" s="655" t="s">
        <v>72</v>
      </c>
      <c r="Q318" s="656"/>
      <c r="R318" s="656"/>
      <c r="S318" s="656"/>
      <c r="T318" s="656"/>
      <c r="U318" s="656"/>
      <c r="V318" s="657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51" t="s">
        <v>526</v>
      </c>
      <c r="B319" s="644"/>
      <c r="C319" s="644"/>
      <c r="D319" s="644"/>
      <c r="E319" s="644"/>
      <c r="F319" s="644"/>
      <c r="G319" s="644"/>
      <c r="H319" s="644"/>
      <c r="I319" s="644"/>
      <c r="J319" s="644"/>
      <c r="K319" s="644"/>
      <c r="L319" s="644"/>
      <c r="M319" s="644"/>
      <c r="N319" s="644"/>
      <c r="O319" s="644"/>
      <c r="P319" s="644"/>
      <c r="Q319" s="644"/>
      <c r="R319" s="644"/>
      <c r="S319" s="644"/>
      <c r="T319" s="644"/>
      <c r="U319" s="644"/>
      <c r="V319" s="644"/>
      <c r="W319" s="644"/>
      <c r="X319" s="644"/>
      <c r="Y319" s="644"/>
      <c r="Z319" s="644"/>
      <c r="AA319" s="633"/>
      <c r="AB319" s="633"/>
      <c r="AC319" s="633"/>
    </row>
    <row r="320" spans="1:68" ht="14.25" hidden="1" customHeight="1" x14ac:dyDescent="0.25">
      <c r="A320" s="643" t="s">
        <v>111</v>
      </c>
      <c r="B320" s="644"/>
      <c r="C320" s="644"/>
      <c r="D320" s="644"/>
      <c r="E320" s="644"/>
      <c r="F320" s="644"/>
      <c r="G320" s="644"/>
      <c r="H320" s="644"/>
      <c r="I320" s="644"/>
      <c r="J320" s="644"/>
      <c r="K320" s="644"/>
      <c r="L320" s="644"/>
      <c r="M320" s="644"/>
      <c r="N320" s="644"/>
      <c r="O320" s="644"/>
      <c r="P320" s="644"/>
      <c r="Q320" s="644"/>
      <c r="R320" s="644"/>
      <c r="S320" s="644"/>
      <c r="T320" s="644"/>
      <c r="U320" s="644"/>
      <c r="V320" s="644"/>
      <c r="W320" s="644"/>
      <c r="X320" s="644"/>
      <c r="Y320" s="644"/>
      <c r="Z320" s="644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9">
        <v>4680115889637</v>
      </c>
      <c r="E321" s="650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1" t="s">
        <v>529</v>
      </c>
      <c r="Q321" s="646"/>
      <c r="R321" s="646"/>
      <c r="S321" s="646"/>
      <c r="T321" s="647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9">
        <v>4680115885837</v>
      </c>
      <c r="E322" s="650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6"/>
      <c r="R322" s="646"/>
      <c r="S322" s="646"/>
      <c r="T322" s="647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9">
        <v>4680115887237</v>
      </c>
      <c r="E323" s="650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6"/>
      <c r="R323" s="646"/>
      <c r="S323" s="646"/>
      <c r="T323" s="647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9">
        <v>4680115885806</v>
      </c>
      <c r="E324" s="650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9">
        <v>4680115885844</v>
      </c>
      <c r="E325" s="650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9">
        <v>4680115885820</v>
      </c>
      <c r="E326" s="650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2"/>
      <c r="B327" s="644"/>
      <c r="C327" s="644"/>
      <c r="D327" s="644"/>
      <c r="E327" s="644"/>
      <c r="F327" s="644"/>
      <c r="G327" s="644"/>
      <c r="H327" s="644"/>
      <c r="I327" s="644"/>
      <c r="J327" s="644"/>
      <c r="K327" s="644"/>
      <c r="L327" s="644"/>
      <c r="M327" s="644"/>
      <c r="N327" s="644"/>
      <c r="O327" s="653"/>
      <c r="P327" s="655" t="s">
        <v>72</v>
      </c>
      <c r="Q327" s="656"/>
      <c r="R327" s="656"/>
      <c r="S327" s="656"/>
      <c r="T327" s="656"/>
      <c r="U327" s="656"/>
      <c r="V327" s="657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4"/>
      <c r="B328" s="644"/>
      <c r="C328" s="644"/>
      <c r="D328" s="644"/>
      <c r="E328" s="644"/>
      <c r="F328" s="644"/>
      <c r="G328" s="644"/>
      <c r="H328" s="644"/>
      <c r="I328" s="644"/>
      <c r="J328" s="644"/>
      <c r="K328" s="644"/>
      <c r="L328" s="644"/>
      <c r="M328" s="644"/>
      <c r="N328" s="644"/>
      <c r="O328" s="653"/>
      <c r="P328" s="655" t="s">
        <v>72</v>
      </c>
      <c r="Q328" s="656"/>
      <c r="R328" s="656"/>
      <c r="S328" s="656"/>
      <c r="T328" s="656"/>
      <c r="U328" s="656"/>
      <c r="V328" s="657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51" t="s">
        <v>547</v>
      </c>
      <c r="B329" s="644"/>
      <c r="C329" s="644"/>
      <c r="D329" s="644"/>
      <c r="E329" s="644"/>
      <c r="F329" s="644"/>
      <c r="G329" s="644"/>
      <c r="H329" s="644"/>
      <c r="I329" s="644"/>
      <c r="J329" s="644"/>
      <c r="K329" s="644"/>
      <c r="L329" s="644"/>
      <c r="M329" s="644"/>
      <c r="N329" s="644"/>
      <c r="O329" s="644"/>
      <c r="P329" s="644"/>
      <c r="Q329" s="644"/>
      <c r="R329" s="644"/>
      <c r="S329" s="644"/>
      <c r="T329" s="644"/>
      <c r="U329" s="644"/>
      <c r="V329" s="644"/>
      <c r="W329" s="644"/>
      <c r="X329" s="644"/>
      <c r="Y329" s="644"/>
      <c r="Z329" s="644"/>
      <c r="AA329" s="633"/>
      <c r="AB329" s="633"/>
      <c r="AC329" s="633"/>
    </row>
    <row r="330" spans="1:68" ht="14.25" hidden="1" customHeight="1" x14ac:dyDescent="0.25">
      <c r="A330" s="643" t="s">
        <v>74</v>
      </c>
      <c r="B330" s="644"/>
      <c r="C330" s="644"/>
      <c r="D330" s="644"/>
      <c r="E330" s="644"/>
      <c r="F330" s="644"/>
      <c r="G330" s="644"/>
      <c r="H330" s="644"/>
      <c r="I330" s="644"/>
      <c r="J330" s="644"/>
      <c r="K330" s="644"/>
      <c r="L330" s="644"/>
      <c r="M330" s="644"/>
      <c r="N330" s="644"/>
      <c r="O330" s="644"/>
      <c r="P330" s="644"/>
      <c r="Q330" s="644"/>
      <c r="R330" s="644"/>
      <c r="S330" s="644"/>
      <c r="T330" s="644"/>
      <c r="U330" s="644"/>
      <c r="V330" s="644"/>
      <c r="W330" s="644"/>
      <c r="X330" s="644"/>
      <c r="Y330" s="644"/>
      <c r="Z330" s="644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9">
        <v>4680115886186</v>
      </c>
      <c r="E331" s="650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6"/>
      <c r="R331" s="646"/>
      <c r="S331" s="646"/>
      <c r="T331" s="647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551</v>
      </c>
      <c r="B332" s="54" t="s">
        <v>552</v>
      </c>
      <c r="C332" s="31">
        <v>4301051795</v>
      </c>
      <c r="D332" s="649">
        <v>4680115881228</v>
      </c>
      <c r="E332" s="650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6"/>
      <c r="R332" s="646"/>
      <c r="S332" s="646"/>
      <c r="T332" s="647"/>
      <c r="U332" s="34"/>
      <c r="V332" s="34"/>
      <c r="W332" s="35" t="s">
        <v>67</v>
      </c>
      <c r="X332" s="639">
        <v>151</v>
      </c>
      <c r="Y332" s="640">
        <f>IFERROR(IF(X332="",0,CEILING((X332/$H332),1)*$H332),"")</f>
        <v>151.19999999999999</v>
      </c>
      <c r="Z332" s="36">
        <f>IFERROR(IF(Y332=0,"",ROUNDUP(Y332/H332,0)*0.00651),"")</f>
        <v>0.41012999999999999</v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166.85500000000002</v>
      </c>
      <c r="BN332" s="64">
        <f>IFERROR(Y332*I332/H332,"0")</f>
        <v>167.07599999999999</v>
      </c>
      <c r="BO332" s="64">
        <f>IFERROR(1/J332*(X332/H332),"0")</f>
        <v>0.34569597069597074</v>
      </c>
      <c r="BP332" s="64">
        <f>IFERROR(1/J332*(Y332/H332),"0")</f>
        <v>0.3461538461538462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49">
        <v>4680115881211</v>
      </c>
      <c r="E333" s="650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6"/>
      <c r="R333" s="646"/>
      <c r="S333" s="646"/>
      <c r="T333" s="647"/>
      <c r="U333" s="34"/>
      <c r="V333" s="34"/>
      <c r="W333" s="35" t="s">
        <v>67</v>
      </c>
      <c r="X333" s="639">
        <v>40</v>
      </c>
      <c r="Y333" s="640">
        <f>IFERROR(IF(X333="",0,CEILING((X333/$H333),1)*$H333),"")</f>
        <v>40.799999999999997</v>
      </c>
      <c r="Z333" s="36">
        <f>IFERROR(IF(Y333=0,"",ROUNDUP(Y333/H333,0)*0.00651),"")</f>
        <v>0.11067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43</v>
      </c>
      <c r="BN333" s="64">
        <f>IFERROR(Y333*I333/H333,"0")</f>
        <v>43.86</v>
      </c>
      <c r="BO333" s="64">
        <f>IFERROR(1/J333*(X333/H333),"0")</f>
        <v>9.1575091575091583E-2</v>
      </c>
      <c r="BP333" s="64">
        <f>IFERROR(1/J333*(Y333/H333),"0")</f>
        <v>9.3406593406593408E-2</v>
      </c>
    </row>
    <row r="334" spans="1:68" x14ac:dyDescent="0.2">
      <c r="A334" s="652"/>
      <c r="B334" s="644"/>
      <c r="C334" s="644"/>
      <c r="D334" s="644"/>
      <c r="E334" s="644"/>
      <c r="F334" s="644"/>
      <c r="G334" s="644"/>
      <c r="H334" s="644"/>
      <c r="I334" s="644"/>
      <c r="J334" s="644"/>
      <c r="K334" s="644"/>
      <c r="L334" s="644"/>
      <c r="M334" s="644"/>
      <c r="N334" s="644"/>
      <c r="O334" s="653"/>
      <c r="P334" s="655" t="s">
        <v>72</v>
      </c>
      <c r="Q334" s="656"/>
      <c r="R334" s="656"/>
      <c r="S334" s="656"/>
      <c r="T334" s="656"/>
      <c r="U334" s="656"/>
      <c r="V334" s="657"/>
      <c r="W334" s="37" t="s">
        <v>73</v>
      </c>
      <c r="X334" s="641">
        <f>IFERROR(X331/H331,"0")+IFERROR(X332/H332,"0")+IFERROR(X333/H333,"0")</f>
        <v>79.583333333333343</v>
      </c>
      <c r="Y334" s="641">
        <f>IFERROR(Y331/H331,"0")+IFERROR(Y332/H332,"0")+IFERROR(Y333/H333,"0")</f>
        <v>80</v>
      </c>
      <c r="Z334" s="641">
        <f>IFERROR(IF(Z331="",0,Z331),"0")+IFERROR(IF(Z332="",0,Z332),"0")+IFERROR(IF(Z333="",0,Z333),"0")</f>
        <v>0.52080000000000004</v>
      </c>
      <c r="AA334" s="642"/>
      <c r="AB334" s="642"/>
      <c r="AC334" s="642"/>
    </row>
    <row r="335" spans="1:68" x14ac:dyDescent="0.2">
      <c r="A335" s="644"/>
      <c r="B335" s="644"/>
      <c r="C335" s="644"/>
      <c r="D335" s="644"/>
      <c r="E335" s="644"/>
      <c r="F335" s="644"/>
      <c r="G335" s="644"/>
      <c r="H335" s="644"/>
      <c r="I335" s="644"/>
      <c r="J335" s="644"/>
      <c r="K335" s="644"/>
      <c r="L335" s="644"/>
      <c r="M335" s="644"/>
      <c r="N335" s="644"/>
      <c r="O335" s="653"/>
      <c r="P335" s="655" t="s">
        <v>72</v>
      </c>
      <c r="Q335" s="656"/>
      <c r="R335" s="656"/>
      <c r="S335" s="656"/>
      <c r="T335" s="656"/>
      <c r="U335" s="656"/>
      <c r="V335" s="657"/>
      <c r="W335" s="37" t="s">
        <v>67</v>
      </c>
      <c r="X335" s="641">
        <f>IFERROR(SUM(X331:X333),"0")</f>
        <v>191</v>
      </c>
      <c r="Y335" s="641">
        <f>IFERROR(SUM(Y331:Y333),"0")</f>
        <v>192</v>
      </c>
      <c r="Z335" s="37"/>
      <c r="AA335" s="642"/>
      <c r="AB335" s="642"/>
      <c r="AC335" s="642"/>
    </row>
    <row r="336" spans="1:68" ht="16.5" hidden="1" customHeight="1" x14ac:dyDescent="0.25">
      <c r="A336" s="651" t="s">
        <v>556</v>
      </c>
      <c r="B336" s="644"/>
      <c r="C336" s="644"/>
      <c r="D336" s="644"/>
      <c r="E336" s="644"/>
      <c r="F336" s="644"/>
      <c r="G336" s="644"/>
      <c r="H336" s="644"/>
      <c r="I336" s="644"/>
      <c r="J336" s="644"/>
      <c r="K336" s="644"/>
      <c r="L336" s="644"/>
      <c r="M336" s="644"/>
      <c r="N336" s="644"/>
      <c r="O336" s="644"/>
      <c r="P336" s="644"/>
      <c r="Q336" s="644"/>
      <c r="R336" s="644"/>
      <c r="S336" s="644"/>
      <c r="T336" s="644"/>
      <c r="U336" s="644"/>
      <c r="V336" s="644"/>
      <c r="W336" s="644"/>
      <c r="X336" s="644"/>
      <c r="Y336" s="644"/>
      <c r="Z336" s="644"/>
      <c r="AA336" s="633"/>
      <c r="AB336" s="633"/>
      <c r="AC336" s="633"/>
    </row>
    <row r="337" spans="1:68" ht="14.25" hidden="1" customHeight="1" x14ac:dyDescent="0.25">
      <c r="A337" s="643" t="s">
        <v>62</v>
      </c>
      <c r="B337" s="644"/>
      <c r="C337" s="644"/>
      <c r="D337" s="644"/>
      <c r="E337" s="644"/>
      <c r="F337" s="644"/>
      <c r="G337" s="644"/>
      <c r="H337" s="644"/>
      <c r="I337" s="644"/>
      <c r="J337" s="644"/>
      <c r="K337" s="644"/>
      <c r="L337" s="644"/>
      <c r="M337" s="644"/>
      <c r="N337" s="644"/>
      <c r="O337" s="644"/>
      <c r="P337" s="644"/>
      <c r="Q337" s="644"/>
      <c r="R337" s="644"/>
      <c r="S337" s="644"/>
      <c r="T337" s="644"/>
      <c r="U337" s="644"/>
      <c r="V337" s="644"/>
      <c r="W337" s="644"/>
      <c r="X337" s="644"/>
      <c r="Y337" s="644"/>
      <c r="Z337" s="644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9">
        <v>4680115888319</v>
      </c>
      <c r="E338" s="650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6"/>
      <c r="R338" s="646"/>
      <c r="S338" s="646"/>
      <c r="T338" s="647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9">
        <v>4680115884700</v>
      </c>
      <c r="E339" s="650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6"/>
      <c r="R339" s="646"/>
      <c r="S339" s="646"/>
      <c r="T339" s="647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9">
        <v>4680115880344</v>
      </c>
      <c r="E340" s="650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6"/>
      <c r="R340" s="646"/>
      <c r="S340" s="646"/>
      <c r="T340" s="647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9">
        <v>4680115886919</v>
      </c>
      <c r="E341" s="650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9">
        <v>4680115883970</v>
      </c>
      <c r="E342" s="650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2"/>
      <c r="B343" s="644"/>
      <c r="C343" s="644"/>
      <c r="D343" s="644"/>
      <c r="E343" s="644"/>
      <c r="F343" s="644"/>
      <c r="G343" s="644"/>
      <c r="H343" s="644"/>
      <c r="I343" s="644"/>
      <c r="J343" s="644"/>
      <c r="K343" s="644"/>
      <c r="L343" s="644"/>
      <c r="M343" s="644"/>
      <c r="N343" s="644"/>
      <c r="O343" s="653"/>
      <c r="P343" s="655" t="s">
        <v>72</v>
      </c>
      <c r="Q343" s="656"/>
      <c r="R343" s="656"/>
      <c r="S343" s="656"/>
      <c r="T343" s="656"/>
      <c r="U343" s="656"/>
      <c r="V343" s="657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4"/>
      <c r="B344" s="644"/>
      <c r="C344" s="644"/>
      <c r="D344" s="644"/>
      <c r="E344" s="644"/>
      <c r="F344" s="644"/>
      <c r="G344" s="644"/>
      <c r="H344" s="644"/>
      <c r="I344" s="644"/>
      <c r="J344" s="644"/>
      <c r="K344" s="644"/>
      <c r="L344" s="644"/>
      <c r="M344" s="644"/>
      <c r="N344" s="644"/>
      <c r="O344" s="653"/>
      <c r="P344" s="655" t="s">
        <v>72</v>
      </c>
      <c r="Q344" s="656"/>
      <c r="R344" s="656"/>
      <c r="S344" s="656"/>
      <c r="T344" s="656"/>
      <c r="U344" s="656"/>
      <c r="V344" s="657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3" t="s">
        <v>74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9">
        <v>4680115884618</v>
      </c>
      <c r="E346" s="650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9">
        <v>4680115887114</v>
      </c>
      <c r="E347" s="650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6"/>
      <c r="R347" s="646"/>
      <c r="S347" s="646"/>
      <c r="T347" s="647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44"/>
      <c r="C348" s="644"/>
      <c r="D348" s="644"/>
      <c r="E348" s="644"/>
      <c r="F348" s="644"/>
      <c r="G348" s="644"/>
      <c r="H348" s="644"/>
      <c r="I348" s="644"/>
      <c r="J348" s="644"/>
      <c r="K348" s="644"/>
      <c r="L348" s="644"/>
      <c r="M348" s="644"/>
      <c r="N348" s="644"/>
      <c r="O348" s="653"/>
      <c r="P348" s="655" t="s">
        <v>72</v>
      </c>
      <c r="Q348" s="656"/>
      <c r="R348" s="656"/>
      <c r="S348" s="656"/>
      <c r="T348" s="656"/>
      <c r="U348" s="656"/>
      <c r="V348" s="657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4"/>
      <c r="B349" s="644"/>
      <c r="C349" s="644"/>
      <c r="D349" s="644"/>
      <c r="E349" s="644"/>
      <c r="F349" s="644"/>
      <c r="G349" s="644"/>
      <c r="H349" s="644"/>
      <c r="I349" s="644"/>
      <c r="J349" s="644"/>
      <c r="K349" s="644"/>
      <c r="L349" s="644"/>
      <c r="M349" s="644"/>
      <c r="N349" s="644"/>
      <c r="O349" s="653"/>
      <c r="P349" s="655" t="s">
        <v>72</v>
      </c>
      <c r="Q349" s="656"/>
      <c r="R349" s="656"/>
      <c r="S349" s="656"/>
      <c r="T349" s="656"/>
      <c r="U349" s="656"/>
      <c r="V349" s="657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51" t="s">
        <v>577</v>
      </c>
      <c r="B350" s="644"/>
      <c r="C350" s="644"/>
      <c r="D350" s="644"/>
      <c r="E350" s="644"/>
      <c r="F350" s="644"/>
      <c r="G350" s="644"/>
      <c r="H350" s="644"/>
      <c r="I350" s="644"/>
      <c r="J350" s="644"/>
      <c r="K350" s="644"/>
      <c r="L350" s="644"/>
      <c r="M350" s="644"/>
      <c r="N350" s="644"/>
      <c r="O350" s="644"/>
      <c r="P350" s="644"/>
      <c r="Q350" s="644"/>
      <c r="R350" s="644"/>
      <c r="S350" s="644"/>
      <c r="T350" s="644"/>
      <c r="U350" s="644"/>
      <c r="V350" s="644"/>
      <c r="W350" s="644"/>
      <c r="X350" s="644"/>
      <c r="Y350" s="644"/>
      <c r="Z350" s="644"/>
      <c r="AA350" s="633"/>
      <c r="AB350" s="633"/>
      <c r="AC350" s="633"/>
    </row>
    <row r="351" spans="1:68" ht="14.25" hidden="1" customHeight="1" x14ac:dyDescent="0.25">
      <c r="A351" s="643" t="s">
        <v>111</v>
      </c>
      <c r="B351" s="644"/>
      <c r="C351" s="644"/>
      <c r="D351" s="644"/>
      <c r="E351" s="644"/>
      <c r="F351" s="644"/>
      <c r="G351" s="644"/>
      <c r="H351" s="644"/>
      <c r="I351" s="644"/>
      <c r="J351" s="644"/>
      <c r="K351" s="644"/>
      <c r="L351" s="644"/>
      <c r="M351" s="644"/>
      <c r="N351" s="644"/>
      <c r="O351" s="644"/>
      <c r="P351" s="644"/>
      <c r="Q351" s="644"/>
      <c r="R351" s="644"/>
      <c r="S351" s="644"/>
      <c r="T351" s="644"/>
      <c r="U351" s="644"/>
      <c r="V351" s="644"/>
      <c r="W351" s="644"/>
      <c r="X351" s="644"/>
      <c r="Y351" s="644"/>
      <c r="Z351" s="644"/>
      <c r="AA351" s="634"/>
      <c r="AB351" s="634"/>
      <c r="AC351" s="634"/>
    </row>
    <row r="352" spans="1:68" ht="27" hidden="1" customHeight="1" x14ac:dyDescent="0.25">
      <c r="A352" s="54" t="s">
        <v>578</v>
      </c>
      <c r="B352" s="54" t="s">
        <v>579</v>
      </c>
      <c r="C352" s="31">
        <v>4301012324</v>
      </c>
      <c r="D352" s="649">
        <v>4680115887947</v>
      </c>
      <c r="E352" s="650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5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6"/>
      <c r="R352" s="646"/>
      <c r="S352" s="646"/>
      <c r="T352" s="647"/>
      <c r="U352" s="34"/>
      <c r="V352" s="34"/>
      <c r="W352" s="35" t="s">
        <v>67</v>
      </c>
      <c r="X352" s="639">
        <v>0</v>
      </c>
      <c r="Y352" s="64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49">
        <v>4680115887978</v>
      </c>
      <c r="E353" s="650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6"/>
      <c r="R353" s="646"/>
      <c r="S353" s="646"/>
      <c r="T353" s="647"/>
      <c r="U353" s="34"/>
      <c r="V353" s="34"/>
      <c r="W353" s="35" t="s">
        <v>67</v>
      </c>
      <c r="X353" s="639">
        <v>78</v>
      </c>
      <c r="Y353" s="640">
        <f>IFERROR(IF(X353="",0,CEILING((X353/$H353),1)*$H353),"")</f>
        <v>78</v>
      </c>
      <c r="Z353" s="36">
        <f>IFERROR(IF(Y353=0,"",ROUNDUP(Y353/H353,0)*0.01898),"")</f>
        <v>0.1898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82.100000000000023</v>
      </c>
      <c r="BN353" s="64">
        <f>IFERROR(Y353*I353/H353,"0")</f>
        <v>82.100000000000023</v>
      </c>
      <c r="BO353" s="64">
        <f>IFERROR(1/J353*(X353/H353),"0")</f>
        <v>0.15625</v>
      </c>
      <c r="BP353" s="64">
        <f>IFERROR(1/J353*(Y353/H353),"0")</f>
        <v>0.15625</v>
      </c>
    </row>
    <row r="354" spans="1:68" ht="27" customHeight="1" x14ac:dyDescent="0.25">
      <c r="A354" s="54" t="s">
        <v>583</v>
      </c>
      <c r="B354" s="54" t="s">
        <v>584</v>
      </c>
      <c r="C354" s="31">
        <v>4301012327</v>
      </c>
      <c r="D354" s="649">
        <v>4680115887992</v>
      </c>
      <c r="E354" s="650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9">
        <v>37</v>
      </c>
      <c r="Y354" s="640">
        <f>IFERROR(IF(X354="",0,CEILING((X354/$H354),1)*$H354),"")</f>
        <v>39</v>
      </c>
      <c r="Z354" s="36">
        <f>IFERROR(IF(Y354=0,"",ROUNDUP(Y354/H354,0)*0.01898),"")</f>
        <v>9.4899999999999998E-2</v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38.944871794871801</v>
      </c>
      <c r="BN354" s="64">
        <f>IFERROR(Y354*I354/H354,"0")</f>
        <v>41.050000000000011</v>
      </c>
      <c r="BO354" s="64">
        <f>IFERROR(1/J354*(X354/H354),"0")</f>
        <v>7.4118589743589744E-2</v>
      </c>
      <c r="BP354" s="64">
        <f>IFERROR(1/J354*(Y354/H354),"0")</f>
        <v>7.8125E-2</v>
      </c>
    </row>
    <row r="355" spans="1:68" x14ac:dyDescent="0.2">
      <c r="A355" s="652"/>
      <c r="B355" s="644"/>
      <c r="C355" s="644"/>
      <c r="D355" s="644"/>
      <c r="E355" s="644"/>
      <c r="F355" s="644"/>
      <c r="G355" s="644"/>
      <c r="H355" s="644"/>
      <c r="I355" s="644"/>
      <c r="J355" s="644"/>
      <c r="K355" s="644"/>
      <c r="L355" s="644"/>
      <c r="M355" s="644"/>
      <c r="N355" s="644"/>
      <c r="O355" s="653"/>
      <c r="P355" s="655" t="s">
        <v>72</v>
      </c>
      <c r="Q355" s="656"/>
      <c r="R355" s="656"/>
      <c r="S355" s="656"/>
      <c r="T355" s="656"/>
      <c r="U355" s="656"/>
      <c r="V355" s="657"/>
      <c r="W355" s="37" t="s">
        <v>73</v>
      </c>
      <c r="X355" s="641">
        <f>IFERROR(X352/H352,"0")+IFERROR(X353/H353,"0")+IFERROR(X354/H354,"0")</f>
        <v>14.743589743589745</v>
      </c>
      <c r="Y355" s="641">
        <f>IFERROR(Y352/H352,"0")+IFERROR(Y353/H353,"0")+IFERROR(Y354/H354,"0")</f>
        <v>15</v>
      </c>
      <c r="Z355" s="641">
        <f>IFERROR(IF(Z352="",0,Z352),"0")+IFERROR(IF(Z353="",0,Z353),"0")+IFERROR(IF(Z354="",0,Z354),"0")</f>
        <v>0.28470000000000001</v>
      </c>
      <c r="AA355" s="642"/>
      <c r="AB355" s="642"/>
      <c r="AC355" s="642"/>
    </row>
    <row r="356" spans="1:68" x14ac:dyDescent="0.2">
      <c r="A356" s="644"/>
      <c r="B356" s="644"/>
      <c r="C356" s="644"/>
      <c r="D356" s="644"/>
      <c r="E356" s="644"/>
      <c r="F356" s="644"/>
      <c r="G356" s="644"/>
      <c r="H356" s="644"/>
      <c r="I356" s="644"/>
      <c r="J356" s="644"/>
      <c r="K356" s="644"/>
      <c r="L356" s="644"/>
      <c r="M356" s="644"/>
      <c r="N356" s="644"/>
      <c r="O356" s="653"/>
      <c r="P356" s="655" t="s">
        <v>72</v>
      </c>
      <c r="Q356" s="656"/>
      <c r="R356" s="656"/>
      <c r="S356" s="656"/>
      <c r="T356" s="656"/>
      <c r="U356" s="656"/>
      <c r="V356" s="657"/>
      <c r="W356" s="37" t="s">
        <v>67</v>
      </c>
      <c r="X356" s="641">
        <f>IFERROR(SUM(X352:X354),"0")</f>
        <v>115</v>
      </c>
      <c r="Y356" s="641">
        <f>IFERROR(SUM(Y352:Y354),"0")</f>
        <v>117</v>
      </c>
      <c r="Z356" s="37"/>
      <c r="AA356" s="642"/>
      <c r="AB356" s="642"/>
      <c r="AC356" s="642"/>
    </row>
    <row r="357" spans="1:68" ht="16.5" hidden="1" customHeight="1" x14ac:dyDescent="0.25">
      <c r="A357" s="651" t="s">
        <v>586</v>
      </c>
      <c r="B357" s="644"/>
      <c r="C357" s="644"/>
      <c r="D357" s="644"/>
      <c r="E357" s="644"/>
      <c r="F357" s="644"/>
      <c r="G357" s="644"/>
      <c r="H357" s="644"/>
      <c r="I357" s="644"/>
      <c r="J357" s="644"/>
      <c r="K357" s="644"/>
      <c r="L357" s="644"/>
      <c r="M357" s="644"/>
      <c r="N357" s="644"/>
      <c r="O357" s="644"/>
      <c r="P357" s="644"/>
      <c r="Q357" s="644"/>
      <c r="R357" s="644"/>
      <c r="S357" s="644"/>
      <c r="T357" s="644"/>
      <c r="U357" s="644"/>
      <c r="V357" s="644"/>
      <c r="W357" s="644"/>
      <c r="X357" s="644"/>
      <c r="Y357" s="644"/>
      <c r="Z357" s="644"/>
      <c r="AA357" s="633"/>
      <c r="AB357" s="633"/>
      <c r="AC357" s="633"/>
    </row>
    <row r="358" spans="1:68" ht="14.25" hidden="1" customHeight="1" x14ac:dyDescent="0.25">
      <c r="A358" s="643" t="s">
        <v>111</v>
      </c>
      <c r="B358" s="644"/>
      <c r="C358" s="644"/>
      <c r="D358" s="644"/>
      <c r="E358" s="644"/>
      <c r="F358" s="644"/>
      <c r="G358" s="644"/>
      <c r="H358" s="644"/>
      <c r="I358" s="644"/>
      <c r="J358" s="644"/>
      <c r="K358" s="644"/>
      <c r="L358" s="644"/>
      <c r="M358" s="644"/>
      <c r="N358" s="644"/>
      <c r="O358" s="644"/>
      <c r="P358" s="644"/>
      <c r="Q358" s="644"/>
      <c r="R358" s="644"/>
      <c r="S358" s="644"/>
      <c r="T358" s="644"/>
      <c r="U358" s="644"/>
      <c r="V358" s="644"/>
      <c r="W358" s="644"/>
      <c r="X358" s="644"/>
      <c r="Y358" s="644"/>
      <c r="Z358" s="644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9">
        <v>4680115889880</v>
      </c>
      <c r="E359" s="650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6" t="s">
        <v>589</v>
      </c>
      <c r="Q359" s="646"/>
      <c r="R359" s="646"/>
      <c r="S359" s="646"/>
      <c r="T359" s="647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9">
        <v>4680115889293</v>
      </c>
      <c r="E360" s="650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9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6"/>
      <c r="R360" s="646"/>
      <c r="S360" s="646"/>
      <c r="T360" s="647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9">
        <v>4680115887190</v>
      </c>
      <c r="E361" s="650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49">
        <v>4680115887138</v>
      </c>
      <c r="E362" s="650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customHeight="1" x14ac:dyDescent="0.25">
      <c r="A363" s="54" t="s">
        <v>599</v>
      </c>
      <c r="B363" s="54" t="s">
        <v>600</v>
      </c>
      <c r="C363" s="31">
        <v>4301012016</v>
      </c>
      <c r="D363" s="649">
        <v>4680115885554</v>
      </c>
      <c r="E363" s="650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1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9">
        <v>4</v>
      </c>
      <c r="Y363" s="640">
        <f t="shared" si="58"/>
        <v>10.8</v>
      </c>
      <c r="Z363" s="36">
        <f>IFERROR(IF(Y363=0,"",ROUNDUP(Y363/H363,0)*0.01898),"")</f>
        <v>1.898E-2</v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4.1518518518518519</v>
      </c>
      <c r="BN363" s="64">
        <f t="shared" si="60"/>
        <v>11.21</v>
      </c>
      <c r="BO363" s="64">
        <f t="shared" si="61"/>
        <v>5.7870370370370367E-3</v>
      </c>
      <c r="BP363" s="64">
        <f t="shared" si="62"/>
        <v>1.5625E-2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9">
        <v>4680115887220</v>
      </c>
      <c r="E364" s="650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6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9">
        <v>4680115885608</v>
      </c>
      <c r="E365" s="650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x14ac:dyDescent="0.2">
      <c r="A366" s="652"/>
      <c r="B366" s="644"/>
      <c r="C366" s="644"/>
      <c r="D366" s="644"/>
      <c r="E366" s="644"/>
      <c r="F366" s="644"/>
      <c r="G366" s="644"/>
      <c r="H366" s="644"/>
      <c r="I366" s="644"/>
      <c r="J366" s="644"/>
      <c r="K366" s="644"/>
      <c r="L366" s="644"/>
      <c r="M366" s="644"/>
      <c r="N366" s="644"/>
      <c r="O366" s="653"/>
      <c r="P366" s="655" t="s">
        <v>72</v>
      </c>
      <c r="Q366" s="656"/>
      <c r="R366" s="656"/>
      <c r="S366" s="656"/>
      <c r="T366" s="656"/>
      <c r="U366" s="656"/>
      <c r="V366" s="657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0.37037037037037035</v>
      </c>
      <c r="Y366" s="641">
        <f>IFERROR(Y359/H359,"0")+IFERROR(Y360/H360,"0")+IFERROR(Y361/H361,"0")+IFERROR(Y362/H362,"0")+IFERROR(Y363/H363,"0")+IFERROR(Y364/H364,"0")+IFERROR(Y365/H365,"0")</f>
        <v>1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1.898E-2</v>
      </c>
      <c r="AA366" s="642"/>
      <c r="AB366" s="642"/>
      <c r="AC366" s="642"/>
    </row>
    <row r="367" spans="1:68" x14ac:dyDescent="0.2">
      <c r="A367" s="644"/>
      <c r="B367" s="644"/>
      <c r="C367" s="644"/>
      <c r="D367" s="644"/>
      <c r="E367" s="644"/>
      <c r="F367" s="644"/>
      <c r="G367" s="644"/>
      <c r="H367" s="644"/>
      <c r="I367" s="644"/>
      <c r="J367" s="644"/>
      <c r="K367" s="644"/>
      <c r="L367" s="644"/>
      <c r="M367" s="644"/>
      <c r="N367" s="644"/>
      <c r="O367" s="653"/>
      <c r="P367" s="655" t="s">
        <v>72</v>
      </c>
      <c r="Q367" s="656"/>
      <c r="R367" s="656"/>
      <c r="S367" s="656"/>
      <c r="T367" s="656"/>
      <c r="U367" s="656"/>
      <c r="V367" s="657"/>
      <c r="W367" s="37" t="s">
        <v>67</v>
      </c>
      <c r="X367" s="641">
        <f>IFERROR(SUM(X359:X365),"0")</f>
        <v>4</v>
      </c>
      <c r="Y367" s="641">
        <f>IFERROR(SUM(Y359:Y365),"0")</f>
        <v>10.8</v>
      </c>
      <c r="Z367" s="37"/>
      <c r="AA367" s="642"/>
      <c r="AB367" s="642"/>
      <c r="AC367" s="642"/>
    </row>
    <row r="368" spans="1:68" ht="14.25" hidden="1" customHeight="1" x14ac:dyDescent="0.25">
      <c r="A368" s="643" t="s">
        <v>62</v>
      </c>
      <c r="B368" s="644"/>
      <c r="C368" s="644"/>
      <c r="D368" s="644"/>
      <c r="E368" s="644"/>
      <c r="F368" s="644"/>
      <c r="G368" s="644"/>
      <c r="H368" s="644"/>
      <c r="I368" s="644"/>
      <c r="J368" s="644"/>
      <c r="K368" s="644"/>
      <c r="L368" s="644"/>
      <c r="M368" s="644"/>
      <c r="N368" s="644"/>
      <c r="O368" s="644"/>
      <c r="P368" s="644"/>
      <c r="Q368" s="644"/>
      <c r="R368" s="644"/>
      <c r="S368" s="644"/>
      <c r="T368" s="644"/>
      <c r="U368" s="644"/>
      <c r="V368" s="644"/>
      <c r="W368" s="644"/>
      <c r="X368" s="644"/>
      <c r="Y368" s="644"/>
      <c r="Z368" s="644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9">
        <v>4607091387193</v>
      </c>
      <c r="E369" s="650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9">
        <v>4607091387230</v>
      </c>
      <c r="E370" s="650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9">
        <v>4607091387292</v>
      </c>
      <c r="E371" s="650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8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9">
        <v>4607091387285</v>
      </c>
      <c r="E372" s="650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9">
        <v>4607091389845</v>
      </c>
      <c r="E373" s="650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9">
        <v>4680115887442</v>
      </c>
      <c r="E374" s="650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623</v>
      </c>
      <c r="B375" s="54" t="s">
        <v>624</v>
      </c>
      <c r="C375" s="31">
        <v>4301031066</v>
      </c>
      <c r="D375" s="649">
        <v>4607091383836</v>
      </c>
      <c r="E375" s="650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9">
        <v>0</v>
      </c>
      <c r="Y375" s="640">
        <f t="shared" si="63"/>
        <v>0</v>
      </c>
      <c r="Z375" s="36" t="str">
        <f>IFERROR(IF(Y375=0,"",ROUNDUP(Y375/H375,0)*0.00651),"")</f>
        <v/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idden="1" x14ac:dyDescent="0.2">
      <c r="A376" s="652"/>
      <c r="B376" s="644"/>
      <c r="C376" s="644"/>
      <c r="D376" s="644"/>
      <c r="E376" s="644"/>
      <c r="F376" s="644"/>
      <c r="G376" s="644"/>
      <c r="H376" s="644"/>
      <c r="I376" s="644"/>
      <c r="J376" s="644"/>
      <c r="K376" s="644"/>
      <c r="L376" s="644"/>
      <c r="M376" s="644"/>
      <c r="N376" s="644"/>
      <c r="O376" s="653"/>
      <c r="P376" s="655" t="s">
        <v>72</v>
      </c>
      <c r="Q376" s="656"/>
      <c r="R376" s="656"/>
      <c r="S376" s="656"/>
      <c r="T376" s="656"/>
      <c r="U376" s="656"/>
      <c r="V376" s="657"/>
      <c r="W376" s="37" t="s">
        <v>73</v>
      </c>
      <c r="X376" s="641">
        <f>IFERROR(X369/H369,"0")+IFERROR(X370/H370,"0")+IFERROR(X371/H371,"0")+IFERROR(X372/H372,"0")+IFERROR(X373/H373,"0")+IFERROR(X374/H374,"0")+IFERROR(X375/H375,"0")</f>
        <v>0</v>
      </c>
      <c r="Y376" s="641">
        <f>IFERROR(Y369/H369,"0")+IFERROR(Y370/H370,"0")+IFERROR(Y371/H371,"0")+IFERROR(Y372/H372,"0")+IFERROR(Y373/H373,"0")+IFERROR(Y374/H374,"0")+IFERROR(Y375/H375,"0")</f>
        <v>0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2"/>
      <c r="AB376" s="642"/>
      <c r="AC376" s="642"/>
    </row>
    <row r="377" spans="1:68" hidden="1" x14ac:dyDescent="0.2">
      <c r="A377" s="644"/>
      <c r="B377" s="644"/>
      <c r="C377" s="644"/>
      <c r="D377" s="644"/>
      <c r="E377" s="644"/>
      <c r="F377" s="644"/>
      <c r="G377" s="644"/>
      <c r="H377" s="644"/>
      <c r="I377" s="644"/>
      <c r="J377" s="644"/>
      <c r="K377" s="644"/>
      <c r="L377" s="644"/>
      <c r="M377" s="644"/>
      <c r="N377" s="644"/>
      <c r="O377" s="653"/>
      <c r="P377" s="655" t="s">
        <v>72</v>
      </c>
      <c r="Q377" s="656"/>
      <c r="R377" s="656"/>
      <c r="S377" s="656"/>
      <c r="T377" s="656"/>
      <c r="U377" s="656"/>
      <c r="V377" s="657"/>
      <c r="W377" s="37" t="s">
        <v>67</v>
      </c>
      <c r="X377" s="641">
        <f>IFERROR(SUM(X369:X375),"0")</f>
        <v>0</v>
      </c>
      <c r="Y377" s="641">
        <f>IFERROR(SUM(Y369:Y375),"0")</f>
        <v>0</v>
      </c>
      <c r="Z377" s="37"/>
      <c r="AA377" s="642"/>
      <c r="AB377" s="642"/>
      <c r="AC377" s="642"/>
    </row>
    <row r="378" spans="1:68" ht="14.25" hidden="1" customHeight="1" x14ac:dyDescent="0.25">
      <c r="A378" s="643" t="s">
        <v>74</v>
      </c>
      <c r="B378" s="644"/>
      <c r="C378" s="644"/>
      <c r="D378" s="644"/>
      <c r="E378" s="644"/>
      <c r="F378" s="644"/>
      <c r="G378" s="644"/>
      <c r="H378" s="644"/>
      <c r="I378" s="644"/>
      <c r="J378" s="644"/>
      <c r="K378" s="644"/>
      <c r="L378" s="644"/>
      <c r="M378" s="644"/>
      <c r="N378" s="644"/>
      <c r="O378" s="644"/>
      <c r="P378" s="644"/>
      <c r="Q378" s="644"/>
      <c r="R378" s="644"/>
      <c r="S378" s="644"/>
      <c r="T378" s="644"/>
      <c r="U378" s="644"/>
      <c r="V378" s="644"/>
      <c r="W378" s="644"/>
      <c r="X378" s="644"/>
      <c r="Y378" s="644"/>
      <c r="Z378" s="644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9">
        <v>4607091387766</v>
      </c>
      <c r="E379" s="650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9">
        <v>4607091387957</v>
      </c>
      <c r="E380" s="650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9">
        <v>4607091387964</v>
      </c>
      <c r="E381" s="650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9">
        <v>4680115884588</v>
      </c>
      <c r="E382" s="650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6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2"/>
      <c r="B383" s="644"/>
      <c r="C383" s="644"/>
      <c r="D383" s="644"/>
      <c r="E383" s="644"/>
      <c r="F383" s="644"/>
      <c r="G383" s="644"/>
      <c r="H383" s="644"/>
      <c r="I383" s="644"/>
      <c r="J383" s="644"/>
      <c r="K383" s="644"/>
      <c r="L383" s="644"/>
      <c r="M383" s="644"/>
      <c r="N383" s="644"/>
      <c r="O383" s="653"/>
      <c r="P383" s="655" t="s">
        <v>72</v>
      </c>
      <c r="Q383" s="656"/>
      <c r="R383" s="656"/>
      <c r="S383" s="656"/>
      <c r="T383" s="656"/>
      <c r="U383" s="656"/>
      <c r="V383" s="657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4"/>
      <c r="B384" s="644"/>
      <c r="C384" s="644"/>
      <c r="D384" s="644"/>
      <c r="E384" s="644"/>
      <c r="F384" s="644"/>
      <c r="G384" s="644"/>
      <c r="H384" s="644"/>
      <c r="I384" s="644"/>
      <c r="J384" s="644"/>
      <c r="K384" s="644"/>
      <c r="L384" s="644"/>
      <c r="M384" s="644"/>
      <c r="N384" s="644"/>
      <c r="O384" s="653"/>
      <c r="P384" s="655" t="s">
        <v>72</v>
      </c>
      <c r="Q384" s="656"/>
      <c r="R384" s="656"/>
      <c r="S384" s="656"/>
      <c r="T384" s="656"/>
      <c r="U384" s="656"/>
      <c r="V384" s="657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3" t="s">
        <v>164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34"/>
      <c r="AB385" s="634"/>
      <c r="AC385" s="634"/>
    </row>
    <row r="386" spans="1:68" ht="27" hidden="1" customHeight="1" x14ac:dyDescent="0.25">
      <c r="A386" s="54" t="s">
        <v>637</v>
      </c>
      <c r="B386" s="54" t="s">
        <v>638</v>
      </c>
      <c r="C386" s="31">
        <v>4301060387</v>
      </c>
      <c r="D386" s="649">
        <v>4607091380880</v>
      </c>
      <c r="E386" s="650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9">
        <v>0</v>
      </c>
      <c r="Y386" s="64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9">
        <v>4607091384482</v>
      </c>
      <c r="E387" s="650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9">
        <v>539</v>
      </c>
      <c r="Y387" s="640">
        <f>IFERROR(IF(X387="",0,CEILING((X387/$H387),1)*$H387),"")</f>
        <v>546</v>
      </c>
      <c r="Z387" s="36">
        <f>IFERROR(IF(Y387=0,"",ROUNDUP(Y387/H387,0)*0.01898),"")</f>
        <v>1.3286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573.13666666666677</v>
      </c>
      <c r="BN387" s="64">
        <f>IFERROR(Y387*I387/H387,"0")</f>
        <v>580.58000000000004</v>
      </c>
      <c r="BO387" s="64">
        <f>IFERROR(1/J387*(X387/H387),"0")</f>
        <v>1.0797275641025641</v>
      </c>
      <c r="BP387" s="64">
        <f>IFERROR(1/J387*(Y387/H387),"0")</f>
        <v>1.09375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49">
        <v>4607091380897</v>
      </c>
      <c r="E388" s="650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2"/>
      <c r="B389" s="644"/>
      <c r="C389" s="644"/>
      <c r="D389" s="644"/>
      <c r="E389" s="644"/>
      <c r="F389" s="644"/>
      <c r="G389" s="644"/>
      <c r="H389" s="644"/>
      <c r="I389" s="644"/>
      <c r="J389" s="644"/>
      <c r="K389" s="644"/>
      <c r="L389" s="644"/>
      <c r="M389" s="644"/>
      <c r="N389" s="644"/>
      <c r="O389" s="653"/>
      <c r="P389" s="655" t="s">
        <v>72</v>
      </c>
      <c r="Q389" s="656"/>
      <c r="R389" s="656"/>
      <c r="S389" s="656"/>
      <c r="T389" s="656"/>
      <c r="U389" s="656"/>
      <c r="V389" s="657"/>
      <c r="W389" s="37" t="s">
        <v>73</v>
      </c>
      <c r="X389" s="641">
        <f>IFERROR(X386/H386,"0")+IFERROR(X387/H387,"0")+IFERROR(X388/H388,"0")</f>
        <v>69.102564102564102</v>
      </c>
      <c r="Y389" s="641">
        <f>IFERROR(Y386/H386,"0")+IFERROR(Y387/H387,"0")+IFERROR(Y388/H388,"0")</f>
        <v>70</v>
      </c>
      <c r="Z389" s="641">
        <f>IFERROR(IF(Z386="",0,Z386),"0")+IFERROR(IF(Z387="",0,Z387),"0")+IFERROR(IF(Z388="",0,Z388),"0")</f>
        <v>1.3286</v>
      </c>
      <c r="AA389" s="642"/>
      <c r="AB389" s="642"/>
      <c r="AC389" s="642"/>
    </row>
    <row r="390" spans="1:68" x14ac:dyDescent="0.2">
      <c r="A390" s="644"/>
      <c r="B390" s="644"/>
      <c r="C390" s="644"/>
      <c r="D390" s="644"/>
      <c r="E390" s="644"/>
      <c r="F390" s="644"/>
      <c r="G390" s="644"/>
      <c r="H390" s="644"/>
      <c r="I390" s="644"/>
      <c r="J390" s="644"/>
      <c r="K390" s="644"/>
      <c r="L390" s="644"/>
      <c r="M390" s="644"/>
      <c r="N390" s="644"/>
      <c r="O390" s="653"/>
      <c r="P390" s="655" t="s">
        <v>72</v>
      </c>
      <c r="Q390" s="656"/>
      <c r="R390" s="656"/>
      <c r="S390" s="656"/>
      <c r="T390" s="656"/>
      <c r="U390" s="656"/>
      <c r="V390" s="657"/>
      <c r="W390" s="37" t="s">
        <v>67</v>
      </c>
      <c r="X390" s="641">
        <f>IFERROR(SUM(X386:X388),"0")</f>
        <v>539</v>
      </c>
      <c r="Y390" s="641">
        <f>IFERROR(SUM(Y386:Y388),"0")</f>
        <v>546</v>
      </c>
      <c r="Z390" s="37"/>
      <c r="AA390" s="642"/>
      <c r="AB390" s="642"/>
      <c r="AC390" s="642"/>
    </row>
    <row r="391" spans="1:68" ht="14.25" hidden="1" customHeight="1" x14ac:dyDescent="0.25">
      <c r="A391" s="643" t="s">
        <v>267</v>
      </c>
      <c r="B391" s="644"/>
      <c r="C391" s="644"/>
      <c r="D391" s="644"/>
      <c r="E391" s="644"/>
      <c r="F391" s="644"/>
      <c r="G391" s="644"/>
      <c r="H391" s="644"/>
      <c r="I391" s="644"/>
      <c r="J391" s="644"/>
      <c r="K391" s="644"/>
      <c r="L391" s="644"/>
      <c r="M391" s="644"/>
      <c r="N391" s="644"/>
      <c r="O391" s="644"/>
      <c r="P391" s="644"/>
      <c r="Q391" s="644"/>
      <c r="R391" s="644"/>
      <c r="S391" s="644"/>
      <c r="T391" s="644"/>
      <c r="U391" s="644"/>
      <c r="V391" s="644"/>
      <c r="W391" s="644"/>
      <c r="X391" s="644"/>
      <c r="Y391" s="644"/>
      <c r="Z391" s="644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9">
        <v>4607091388381</v>
      </c>
      <c r="E392" s="650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49">
        <v>4607091388374</v>
      </c>
      <c r="E393" s="650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651</v>
      </c>
      <c r="B394" s="54" t="s">
        <v>652</v>
      </c>
      <c r="C394" s="31">
        <v>4301032015</v>
      </c>
      <c r="D394" s="649">
        <v>4607091383102</v>
      </c>
      <c r="E394" s="650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9">
        <v>8</v>
      </c>
      <c r="Y394" s="640">
        <f>IFERROR(IF(X394="",0,CEILING((X394/$H394),1)*$H394),"")</f>
        <v>10.199999999999999</v>
      </c>
      <c r="Z394" s="36">
        <f>IFERROR(IF(Y394=0,"",ROUNDUP(Y394/H394,0)*0.00651),"")</f>
        <v>2.6040000000000001E-2</v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9.2705882352941185</v>
      </c>
      <c r="BN394" s="64">
        <f>IFERROR(Y394*I394/H394,"0")</f>
        <v>11.82</v>
      </c>
      <c r="BO394" s="64">
        <f>IFERROR(1/J394*(X394/H394),"0")</f>
        <v>1.7237664296487831E-2</v>
      </c>
      <c r="BP394" s="64">
        <f>IFERROR(1/J394*(Y394/H394),"0")</f>
        <v>2.197802197802198E-2</v>
      </c>
    </row>
    <row r="395" spans="1:68" ht="27" customHeight="1" x14ac:dyDescent="0.25">
      <c r="A395" s="54" t="s">
        <v>653</v>
      </c>
      <c r="B395" s="54" t="s">
        <v>654</v>
      </c>
      <c r="C395" s="31">
        <v>4301030233</v>
      </c>
      <c r="D395" s="649">
        <v>4607091388404</v>
      </c>
      <c r="E395" s="650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9">
        <v>13</v>
      </c>
      <c r="Y395" s="640">
        <f>IFERROR(IF(X395="",0,CEILING((X395/$H395),1)*$H395),"")</f>
        <v>15.299999999999999</v>
      </c>
      <c r="Z395" s="36">
        <f>IFERROR(IF(Y395=0,"",ROUNDUP(Y395/H395,0)*0.00651),"")</f>
        <v>3.9059999999999997E-2</v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14.68235294117647</v>
      </c>
      <c r="BN395" s="64">
        <f>IFERROR(Y395*I395/H395,"0")</f>
        <v>17.279999999999998</v>
      </c>
      <c r="BO395" s="64">
        <f>IFERROR(1/J395*(X395/H395),"0")</f>
        <v>2.8011204481792722E-2</v>
      </c>
      <c r="BP395" s="64">
        <f>IFERROR(1/J395*(Y395/H395),"0")</f>
        <v>3.2967032967032968E-2</v>
      </c>
    </row>
    <row r="396" spans="1:68" x14ac:dyDescent="0.2">
      <c r="A396" s="652"/>
      <c r="B396" s="644"/>
      <c r="C396" s="644"/>
      <c r="D396" s="644"/>
      <c r="E396" s="644"/>
      <c r="F396" s="644"/>
      <c r="G396" s="644"/>
      <c r="H396" s="644"/>
      <c r="I396" s="644"/>
      <c r="J396" s="644"/>
      <c r="K396" s="644"/>
      <c r="L396" s="644"/>
      <c r="M396" s="644"/>
      <c r="N396" s="644"/>
      <c r="O396" s="653"/>
      <c r="P396" s="655" t="s">
        <v>72</v>
      </c>
      <c r="Q396" s="656"/>
      <c r="R396" s="656"/>
      <c r="S396" s="656"/>
      <c r="T396" s="656"/>
      <c r="U396" s="656"/>
      <c r="V396" s="657"/>
      <c r="W396" s="37" t="s">
        <v>73</v>
      </c>
      <c r="X396" s="641">
        <f>IFERROR(X392/H392,"0")+IFERROR(X393/H393,"0")+IFERROR(X394/H394,"0")+IFERROR(X395/H395,"0")</f>
        <v>8.2352941176470598</v>
      </c>
      <c r="Y396" s="641">
        <f>IFERROR(Y392/H392,"0")+IFERROR(Y393/H393,"0")+IFERROR(Y394/H394,"0")+IFERROR(Y395/H395,"0")</f>
        <v>10</v>
      </c>
      <c r="Z396" s="641">
        <f>IFERROR(IF(Z392="",0,Z392),"0")+IFERROR(IF(Z393="",0,Z393),"0")+IFERROR(IF(Z394="",0,Z394),"0")+IFERROR(IF(Z395="",0,Z395),"0")</f>
        <v>6.5099999999999991E-2</v>
      </c>
      <c r="AA396" s="642"/>
      <c r="AB396" s="642"/>
      <c r="AC396" s="642"/>
    </row>
    <row r="397" spans="1:68" x14ac:dyDescent="0.2">
      <c r="A397" s="644"/>
      <c r="B397" s="644"/>
      <c r="C397" s="644"/>
      <c r="D397" s="644"/>
      <c r="E397" s="644"/>
      <c r="F397" s="644"/>
      <c r="G397" s="644"/>
      <c r="H397" s="644"/>
      <c r="I397" s="644"/>
      <c r="J397" s="644"/>
      <c r="K397" s="644"/>
      <c r="L397" s="644"/>
      <c r="M397" s="644"/>
      <c r="N397" s="644"/>
      <c r="O397" s="653"/>
      <c r="P397" s="655" t="s">
        <v>72</v>
      </c>
      <c r="Q397" s="656"/>
      <c r="R397" s="656"/>
      <c r="S397" s="656"/>
      <c r="T397" s="656"/>
      <c r="U397" s="656"/>
      <c r="V397" s="657"/>
      <c r="W397" s="37" t="s">
        <v>67</v>
      </c>
      <c r="X397" s="641">
        <f>IFERROR(SUM(X392:X395),"0")</f>
        <v>21</v>
      </c>
      <c r="Y397" s="641">
        <f>IFERROR(SUM(Y392:Y395),"0")</f>
        <v>25.5</v>
      </c>
      <c r="Z397" s="37"/>
      <c r="AA397" s="642"/>
      <c r="AB397" s="642"/>
      <c r="AC397" s="642"/>
    </row>
    <row r="398" spans="1:68" ht="14.25" hidden="1" customHeight="1" x14ac:dyDescent="0.25">
      <c r="A398" s="643" t="s">
        <v>655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34"/>
      <c r="AB398" s="634"/>
      <c r="AC398" s="634"/>
    </row>
    <row r="399" spans="1:68" ht="16.5" hidden="1" customHeight="1" x14ac:dyDescent="0.25">
      <c r="A399" s="54" t="s">
        <v>656</v>
      </c>
      <c r="B399" s="54" t="s">
        <v>657</v>
      </c>
      <c r="C399" s="31">
        <v>4301180007</v>
      </c>
      <c r="D399" s="649">
        <v>4680115881808</v>
      </c>
      <c r="E399" s="650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9">
        <v>0</v>
      </c>
      <c r="Y399" s="64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49">
        <v>4680115881822</v>
      </c>
      <c r="E400" s="650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662</v>
      </c>
      <c r="B401" s="54" t="s">
        <v>663</v>
      </c>
      <c r="C401" s="31">
        <v>4301180001</v>
      </c>
      <c r="D401" s="649">
        <v>4680115880016</v>
      </c>
      <c r="E401" s="650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5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9">
        <v>0</v>
      </c>
      <c r="Y401" s="640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2"/>
      <c r="B402" s="644"/>
      <c r="C402" s="644"/>
      <c r="D402" s="644"/>
      <c r="E402" s="644"/>
      <c r="F402" s="644"/>
      <c r="G402" s="644"/>
      <c r="H402" s="644"/>
      <c r="I402" s="644"/>
      <c r="J402" s="644"/>
      <c r="K402" s="644"/>
      <c r="L402" s="644"/>
      <c r="M402" s="644"/>
      <c r="N402" s="644"/>
      <c r="O402" s="653"/>
      <c r="P402" s="655" t="s">
        <v>72</v>
      </c>
      <c r="Q402" s="656"/>
      <c r="R402" s="656"/>
      <c r="S402" s="656"/>
      <c r="T402" s="656"/>
      <c r="U402" s="656"/>
      <c r="V402" s="657"/>
      <c r="W402" s="37" t="s">
        <v>73</v>
      </c>
      <c r="X402" s="641">
        <f>IFERROR(X399/H399,"0")+IFERROR(X400/H400,"0")+IFERROR(X401/H401,"0")</f>
        <v>0</v>
      </c>
      <c r="Y402" s="641">
        <f>IFERROR(Y399/H399,"0")+IFERROR(Y400/H400,"0")+IFERROR(Y401/H401,"0")</f>
        <v>0</v>
      </c>
      <c r="Z402" s="641">
        <f>IFERROR(IF(Z399="",0,Z399),"0")+IFERROR(IF(Z400="",0,Z400),"0")+IFERROR(IF(Z401="",0,Z401),"0")</f>
        <v>0</v>
      </c>
      <c r="AA402" s="642"/>
      <c r="AB402" s="642"/>
      <c r="AC402" s="642"/>
    </row>
    <row r="403" spans="1:68" hidden="1" x14ac:dyDescent="0.2">
      <c r="A403" s="644"/>
      <c r="B403" s="644"/>
      <c r="C403" s="644"/>
      <c r="D403" s="644"/>
      <c r="E403" s="644"/>
      <c r="F403" s="644"/>
      <c r="G403" s="644"/>
      <c r="H403" s="644"/>
      <c r="I403" s="644"/>
      <c r="J403" s="644"/>
      <c r="K403" s="644"/>
      <c r="L403" s="644"/>
      <c r="M403" s="644"/>
      <c r="N403" s="644"/>
      <c r="O403" s="653"/>
      <c r="P403" s="655" t="s">
        <v>72</v>
      </c>
      <c r="Q403" s="656"/>
      <c r="R403" s="656"/>
      <c r="S403" s="656"/>
      <c r="T403" s="656"/>
      <c r="U403" s="656"/>
      <c r="V403" s="657"/>
      <c r="W403" s="37" t="s">
        <v>67</v>
      </c>
      <c r="X403" s="641">
        <f>IFERROR(SUM(X399:X401),"0")</f>
        <v>0</v>
      </c>
      <c r="Y403" s="641">
        <f>IFERROR(SUM(Y399:Y401),"0")</f>
        <v>0</v>
      </c>
      <c r="Z403" s="37"/>
      <c r="AA403" s="642"/>
      <c r="AB403" s="642"/>
      <c r="AC403" s="642"/>
    </row>
    <row r="404" spans="1:68" ht="14.25" hidden="1" customHeight="1" x14ac:dyDescent="0.25">
      <c r="A404" s="643" t="s">
        <v>664</v>
      </c>
      <c r="B404" s="644"/>
      <c r="C404" s="644"/>
      <c r="D404" s="644"/>
      <c r="E404" s="644"/>
      <c r="F404" s="644"/>
      <c r="G404" s="644"/>
      <c r="H404" s="644"/>
      <c r="I404" s="644"/>
      <c r="J404" s="644"/>
      <c r="K404" s="644"/>
      <c r="L404" s="644"/>
      <c r="M404" s="644"/>
      <c r="N404" s="644"/>
      <c r="O404" s="644"/>
      <c r="P404" s="644"/>
      <c r="Q404" s="644"/>
      <c r="R404" s="644"/>
      <c r="S404" s="644"/>
      <c r="T404" s="644"/>
      <c r="U404" s="644"/>
      <c r="V404" s="644"/>
      <c r="W404" s="644"/>
      <c r="X404" s="644"/>
      <c r="Y404" s="644"/>
      <c r="Z404" s="644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9">
        <v>4680115888678</v>
      </c>
      <c r="E405" s="650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9">
        <v>4680115888654</v>
      </c>
      <c r="E406" s="650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9">
        <v>4680115888753</v>
      </c>
      <c r="E407" s="650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2"/>
      <c r="B408" s="644"/>
      <c r="C408" s="644"/>
      <c r="D408" s="644"/>
      <c r="E408" s="644"/>
      <c r="F408" s="644"/>
      <c r="G408" s="644"/>
      <c r="H408" s="644"/>
      <c r="I408" s="644"/>
      <c r="J408" s="644"/>
      <c r="K408" s="644"/>
      <c r="L408" s="644"/>
      <c r="M408" s="644"/>
      <c r="N408" s="644"/>
      <c r="O408" s="653"/>
      <c r="P408" s="655" t="s">
        <v>72</v>
      </c>
      <c r="Q408" s="656"/>
      <c r="R408" s="656"/>
      <c r="S408" s="656"/>
      <c r="T408" s="656"/>
      <c r="U408" s="656"/>
      <c r="V408" s="657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4"/>
      <c r="B409" s="644"/>
      <c r="C409" s="644"/>
      <c r="D409" s="644"/>
      <c r="E409" s="644"/>
      <c r="F409" s="644"/>
      <c r="G409" s="644"/>
      <c r="H409" s="644"/>
      <c r="I409" s="644"/>
      <c r="J409" s="644"/>
      <c r="K409" s="644"/>
      <c r="L409" s="644"/>
      <c r="M409" s="644"/>
      <c r="N409" s="644"/>
      <c r="O409" s="653"/>
      <c r="P409" s="655" t="s">
        <v>72</v>
      </c>
      <c r="Q409" s="656"/>
      <c r="R409" s="656"/>
      <c r="S409" s="656"/>
      <c r="T409" s="656"/>
      <c r="U409" s="656"/>
      <c r="V409" s="657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51" t="s">
        <v>673</v>
      </c>
      <c r="B410" s="644"/>
      <c r="C410" s="644"/>
      <c r="D410" s="644"/>
      <c r="E410" s="644"/>
      <c r="F410" s="644"/>
      <c r="G410" s="644"/>
      <c r="H410" s="644"/>
      <c r="I410" s="644"/>
      <c r="J410" s="644"/>
      <c r="K410" s="644"/>
      <c r="L410" s="644"/>
      <c r="M410" s="644"/>
      <c r="N410" s="644"/>
      <c r="O410" s="644"/>
      <c r="P410" s="644"/>
      <c r="Q410" s="644"/>
      <c r="R410" s="644"/>
      <c r="S410" s="644"/>
      <c r="T410" s="644"/>
      <c r="U410" s="644"/>
      <c r="V410" s="644"/>
      <c r="W410" s="644"/>
      <c r="X410" s="644"/>
      <c r="Y410" s="644"/>
      <c r="Z410" s="644"/>
      <c r="AA410" s="633"/>
      <c r="AB410" s="633"/>
      <c r="AC410" s="633"/>
    </row>
    <row r="411" spans="1:68" ht="14.25" hidden="1" customHeight="1" x14ac:dyDescent="0.25">
      <c r="A411" s="643" t="s">
        <v>74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9">
        <v>4680115889415</v>
      </c>
      <c r="E412" s="650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6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6"/>
      <c r="R412" s="646"/>
      <c r="S412" s="646"/>
      <c r="T412" s="647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9">
        <v>4680115889422</v>
      </c>
      <c r="E413" s="650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6"/>
      <c r="R413" s="646"/>
      <c r="S413" s="646"/>
      <c r="T413" s="647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2"/>
      <c r="B414" s="644"/>
      <c r="C414" s="644"/>
      <c r="D414" s="644"/>
      <c r="E414" s="644"/>
      <c r="F414" s="644"/>
      <c r="G414" s="644"/>
      <c r="H414" s="644"/>
      <c r="I414" s="644"/>
      <c r="J414" s="644"/>
      <c r="K414" s="644"/>
      <c r="L414" s="644"/>
      <c r="M414" s="644"/>
      <c r="N414" s="644"/>
      <c r="O414" s="653"/>
      <c r="P414" s="655" t="s">
        <v>72</v>
      </c>
      <c r="Q414" s="656"/>
      <c r="R414" s="656"/>
      <c r="S414" s="656"/>
      <c r="T414" s="656"/>
      <c r="U414" s="656"/>
      <c r="V414" s="657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4"/>
      <c r="B415" s="644"/>
      <c r="C415" s="644"/>
      <c r="D415" s="644"/>
      <c r="E415" s="644"/>
      <c r="F415" s="644"/>
      <c r="G415" s="644"/>
      <c r="H415" s="644"/>
      <c r="I415" s="644"/>
      <c r="J415" s="644"/>
      <c r="K415" s="644"/>
      <c r="L415" s="644"/>
      <c r="M415" s="644"/>
      <c r="N415" s="644"/>
      <c r="O415" s="653"/>
      <c r="P415" s="655" t="s">
        <v>72</v>
      </c>
      <c r="Q415" s="656"/>
      <c r="R415" s="656"/>
      <c r="S415" s="656"/>
      <c r="T415" s="656"/>
      <c r="U415" s="656"/>
      <c r="V415" s="657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51" t="s">
        <v>680</v>
      </c>
      <c r="B416" s="644"/>
      <c r="C416" s="644"/>
      <c r="D416" s="644"/>
      <c r="E416" s="644"/>
      <c r="F416" s="644"/>
      <c r="G416" s="644"/>
      <c r="H416" s="644"/>
      <c r="I416" s="644"/>
      <c r="J416" s="644"/>
      <c r="K416" s="644"/>
      <c r="L416" s="644"/>
      <c r="M416" s="644"/>
      <c r="N416" s="644"/>
      <c r="O416" s="644"/>
      <c r="P416" s="644"/>
      <c r="Q416" s="644"/>
      <c r="R416" s="644"/>
      <c r="S416" s="644"/>
      <c r="T416" s="644"/>
      <c r="U416" s="644"/>
      <c r="V416" s="644"/>
      <c r="W416" s="644"/>
      <c r="X416" s="644"/>
      <c r="Y416" s="644"/>
      <c r="Z416" s="644"/>
      <c r="AA416" s="633"/>
      <c r="AB416" s="633"/>
      <c r="AC416" s="633"/>
    </row>
    <row r="417" spans="1:68" ht="14.25" hidden="1" customHeight="1" x14ac:dyDescent="0.25">
      <c r="A417" s="643" t="s">
        <v>74</v>
      </c>
      <c r="B417" s="644"/>
      <c r="C417" s="644"/>
      <c r="D417" s="644"/>
      <c r="E417" s="644"/>
      <c r="F417" s="644"/>
      <c r="G417" s="644"/>
      <c r="H417" s="644"/>
      <c r="I417" s="644"/>
      <c r="J417" s="644"/>
      <c r="K417" s="644"/>
      <c r="L417" s="644"/>
      <c r="M417" s="644"/>
      <c r="N417" s="644"/>
      <c r="O417" s="644"/>
      <c r="P417" s="644"/>
      <c r="Q417" s="644"/>
      <c r="R417" s="644"/>
      <c r="S417" s="644"/>
      <c r="T417" s="644"/>
      <c r="U417" s="644"/>
      <c r="V417" s="644"/>
      <c r="W417" s="644"/>
      <c r="X417" s="644"/>
      <c r="Y417" s="644"/>
      <c r="Z417" s="644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9">
        <v>4607091387919</v>
      </c>
      <c r="E418" s="650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49">
        <v>4680115883604</v>
      </c>
      <c r="E419" s="650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7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9">
        <v>14</v>
      </c>
      <c r="Y419" s="640">
        <f>IFERROR(IF(X419="",0,CEILING((X419/$H419),1)*$H419),"")</f>
        <v>14.700000000000001</v>
      </c>
      <c r="Z419" s="36">
        <f>IFERROR(IF(Y419=0,"",ROUNDUP(Y419/H419,0)*0.00651),"")</f>
        <v>4.5569999999999999E-2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15.679999999999998</v>
      </c>
      <c r="BN419" s="64">
        <f>IFERROR(Y419*I419/H419,"0")</f>
        <v>16.463999999999999</v>
      </c>
      <c r="BO419" s="64">
        <f>IFERROR(1/J419*(X419/H419),"0")</f>
        <v>3.6630036630036632E-2</v>
      </c>
      <c r="BP419" s="64">
        <f>IFERROR(1/J419*(Y419/H419),"0")</f>
        <v>3.8461538461538464E-2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9">
        <v>4680115883567</v>
      </c>
      <c r="E420" s="650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9">
        <v>18</v>
      </c>
      <c r="Y420" s="640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52"/>
      <c r="B421" s="644"/>
      <c r="C421" s="644"/>
      <c r="D421" s="644"/>
      <c r="E421" s="644"/>
      <c r="F421" s="644"/>
      <c r="G421" s="644"/>
      <c r="H421" s="644"/>
      <c r="I421" s="644"/>
      <c r="J421" s="644"/>
      <c r="K421" s="644"/>
      <c r="L421" s="644"/>
      <c r="M421" s="644"/>
      <c r="N421" s="644"/>
      <c r="O421" s="653"/>
      <c r="P421" s="655" t="s">
        <v>72</v>
      </c>
      <c r="Q421" s="656"/>
      <c r="R421" s="656"/>
      <c r="S421" s="656"/>
      <c r="T421" s="656"/>
      <c r="U421" s="656"/>
      <c r="V421" s="657"/>
      <c r="W421" s="37" t="s">
        <v>73</v>
      </c>
      <c r="X421" s="641">
        <f>IFERROR(X418/H418,"0")+IFERROR(X419/H419,"0")+IFERROR(X420/H420,"0")</f>
        <v>15.238095238095237</v>
      </c>
      <c r="Y421" s="641">
        <f>IFERROR(Y418/H418,"0")+IFERROR(Y419/H419,"0")+IFERROR(Y420/H420,"0")</f>
        <v>16</v>
      </c>
      <c r="Z421" s="641">
        <f>IFERROR(IF(Z418="",0,Z418),"0")+IFERROR(IF(Z419="",0,Z419),"0")+IFERROR(IF(Z420="",0,Z420),"0")</f>
        <v>0.10416</v>
      </c>
      <c r="AA421" s="642"/>
      <c r="AB421" s="642"/>
      <c r="AC421" s="642"/>
    </row>
    <row r="422" spans="1:68" x14ac:dyDescent="0.2">
      <c r="A422" s="644"/>
      <c r="B422" s="644"/>
      <c r="C422" s="644"/>
      <c r="D422" s="644"/>
      <c r="E422" s="644"/>
      <c r="F422" s="644"/>
      <c r="G422" s="644"/>
      <c r="H422" s="644"/>
      <c r="I422" s="644"/>
      <c r="J422" s="644"/>
      <c r="K422" s="644"/>
      <c r="L422" s="644"/>
      <c r="M422" s="644"/>
      <c r="N422" s="644"/>
      <c r="O422" s="653"/>
      <c r="P422" s="655" t="s">
        <v>72</v>
      </c>
      <c r="Q422" s="656"/>
      <c r="R422" s="656"/>
      <c r="S422" s="656"/>
      <c r="T422" s="656"/>
      <c r="U422" s="656"/>
      <c r="V422" s="657"/>
      <c r="W422" s="37" t="s">
        <v>67</v>
      </c>
      <c r="X422" s="641">
        <f>IFERROR(SUM(X418:X420),"0")</f>
        <v>32</v>
      </c>
      <c r="Y422" s="641">
        <f>IFERROR(SUM(Y418:Y420),"0")</f>
        <v>33.6</v>
      </c>
      <c r="Z422" s="37"/>
      <c r="AA422" s="642"/>
      <c r="AB422" s="642"/>
      <c r="AC422" s="642"/>
    </row>
    <row r="423" spans="1:68" ht="27.75" hidden="1" customHeight="1" x14ac:dyDescent="0.2">
      <c r="A423" s="693" t="s">
        <v>690</v>
      </c>
      <c r="B423" s="694"/>
      <c r="C423" s="694"/>
      <c r="D423" s="694"/>
      <c r="E423" s="694"/>
      <c r="F423" s="694"/>
      <c r="G423" s="694"/>
      <c r="H423" s="694"/>
      <c r="I423" s="694"/>
      <c r="J423" s="694"/>
      <c r="K423" s="694"/>
      <c r="L423" s="694"/>
      <c r="M423" s="694"/>
      <c r="N423" s="694"/>
      <c r="O423" s="694"/>
      <c r="P423" s="694"/>
      <c r="Q423" s="694"/>
      <c r="R423" s="694"/>
      <c r="S423" s="694"/>
      <c r="T423" s="694"/>
      <c r="U423" s="694"/>
      <c r="V423" s="694"/>
      <c r="W423" s="694"/>
      <c r="X423" s="694"/>
      <c r="Y423" s="694"/>
      <c r="Z423" s="694"/>
      <c r="AA423" s="48"/>
      <c r="AB423" s="48"/>
      <c r="AC423" s="48"/>
    </row>
    <row r="424" spans="1:68" ht="16.5" hidden="1" customHeight="1" x14ac:dyDescent="0.25">
      <c r="A424" s="651" t="s">
        <v>691</v>
      </c>
      <c r="B424" s="644"/>
      <c r="C424" s="644"/>
      <c r="D424" s="644"/>
      <c r="E424" s="644"/>
      <c r="F424" s="644"/>
      <c r="G424" s="644"/>
      <c r="H424" s="644"/>
      <c r="I424" s="644"/>
      <c r="J424" s="644"/>
      <c r="K424" s="644"/>
      <c r="L424" s="644"/>
      <c r="M424" s="644"/>
      <c r="N424" s="644"/>
      <c r="O424" s="644"/>
      <c r="P424" s="644"/>
      <c r="Q424" s="644"/>
      <c r="R424" s="644"/>
      <c r="S424" s="644"/>
      <c r="T424" s="644"/>
      <c r="U424" s="644"/>
      <c r="V424" s="644"/>
      <c r="W424" s="644"/>
      <c r="X424" s="644"/>
      <c r="Y424" s="644"/>
      <c r="Z424" s="644"/>
      <c r="AA424" s="633"/>
      <c r="AB424" s="633"/>
      <c r="AC424" s="633"/>
    </row>
    <row r="425" spans="1:68" ht="14.25" hidden="1" customHeight="1" x14ac:dyDescent="0.25">
      <c r="A425" s="643" t="s">
        <v>111</v>
      </c>
      <c r="B425" s="644"/>
      <c r="C425" s="644"/>
      <c r="D425" s="644"/>
      <c r="E425" s="644"/>
      <c r="F425" s="644"/>
      <c r="G425" s="644"/>
      <c r="H425" s="644"/>
      <c r="I425" s="644"/>
      <c r="J425" s="644"/>
      <c r="K425" s="644"/>
      <c r="L425" s="644"/>
      <c r="M425" s="644"/>
      <c r="N425" s="644"/>
      <c r="O425" s="644"/>
      <c r="P425" s="644"/>
      <c r="Q425" s="644"/>
      <c r="R425" s="644"/>
      <c r="S425" s="644"/>
      <c r="T425" s="644"/>
      <c r="U425" s="644"/>
      <c r="V425" s="644"/>
      <c r="W425" s="644"/>
      <c r="X425" s="644"/>
      <c r="Y425" s="644"/>
      <c r="Z425" s="644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49">
        <v>4680115888401</v>
      </c>
      <c r="E426" s="650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customHeight="1" x14ac:dyDescent="0.25">
      <c r="A427" s="54" t="s">
        <v>695</v>
      </c>
      <c r="B427" s="54" t="s">
        <v>696</v>
      </c>
      <c r="C427" s="31">
        <v>4301011869</v>
      </c>
      <c r="D427" s="649">
        <v>4680115884847</v>
      </c>
      <c r="E427" s="650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9">
        <v>660</v>
      </c>
      <c r="Y427" s="640">
        <f t="shared" si="68"/>
        <v>660</v>
      </c>
      <c r="Z427" s="36">
        <f>IFERROR(IF(Y427=0,"",ROUNDUP(Y427/H427,0)*0.02175),"")</f>
        <v>0.95699999999999996</v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680.68000000000006</v>
      </c>
      <c r="BN427" s="64">
        <f t="shared" si="70"/>
        <v>680.68000000000006</v>
      </c>
      <c r="BO427" s="64">
        <f t="shared" si="71"/>
        <v>0.91666666666666663</v>
      </c>
      <c r="BP427" s="64">
        <f t="shared" si="72"/>
        <v>0.91666666666666663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9">
        <v>4680115884854</v>
      </c>
      <c r="E428" s="650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9">
        <v>246</v>
      </c>
      <c r="Y428" s="640">
        <f t="shared" si="68"/>
        <v>255</v>
      </c>
      <c r="Z428" s="36">
        <f>IFERROR(IF(Y428=0,"",ROUNDUP(Y428/H428,0)*0.02175),"")</f>
        <v>0.36974999999999997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253.70800000000003</v>
      </c>
      <c r="BN428" s="64">
        <f t="shared" si="70"/>
        <v>262.99</v>
      </c>
      <c r="BO428" s="64">
        <f t="shared" si="71"/>
        <v>0.34166666666666662</v>
      </c>
      <c r="BP428" s="64">
        <f t="shared" si="72"/>
        <v>0.35416666666666663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49">
        <v>4680115884830</v>
      </c>
      <c r="E429" s="650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9">
        <v>507</v>
      </c>
      <c r="Y429" s="640">
        <f t="shared" si="68"/>
        <v>510</v>
      </c>
      <c r="Z429" s="36">
        <f>IFERROR(IF(Y429=0,"",ROUNDUP(Y429/H429,0)*0.02175),"")</f>
        <v>0.73949999999999994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522.88599999999997</v>
      </c>
      <c r="BN429" s="64">
        <f t="shared" si="70"/>
        <v>525.98</v>
      </c>
      <c r="BO429" s="64">
        <f t="shared" si="71"/>
        <v>0.70416666666666661</v>
      </c>
      <c r="BP429" s="64">
        <f t="shared" si="72"/>
        <v>0.70833333333333326</v>
      </c>
    </row>
    <row r="430" spans="1:68" ht="27" customHeight="1" x14ac:dyDescent="0.25">
      <c r="A430" s="54" t="s">
        <v>704</v>
      </c>
      <c r="B430" s="54" t="s">
        <v>705</v>
      </c>
      <c r="C430" s="31">
        <v>4301012356</v>
      </c>
      <c r="D430" s="649">
        <v>4680115889231</v>
      </c>
      <c r="E430" s="650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9">
        <v>270</v>
      </c>
      <c r="Y430" s="640">
        <f t="shared" si="68"/>
        <v>270</v>
      </c>
      <c r="Z430" s="36">
        <f>IFERROR(IF(Y430=0,"",ROUNDUP(Y430/H430,0)*0.02175),"")</f>
        <v>0.39149999999999996</v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278.46000000000004</v>
      </c>
      <c r="BN430" s="64">
        <f t="shared" si="70"/>
        <v>278.46000000000004</v>
      </c>
      <c r="BO430" s="64">
        <f t="shared" si="71"/>
        <v>0.375</v>
      </c>
      <c r="BP430" s="64">
        <f t="shared" si="72"/>
        <v>0.375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9">
        <v>4680115882638</v>
      </c>
      <c r="E431" s="650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8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9">
        <v>4680115884922</v>
      </c>
      <c r="E432" s="650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9">
        <v>4680115884861</v>
      </c>
      <c r="E433" s="650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2"/>
      <c r="B434" s="644"/>
      <c r="C434" s="644"/>
      <c r="D434" s="644"/>
      <c r="E434" s="644"/>
      <c r="F434" s="644"/>
      <c r="G434" s="644"/>
      <c r="H434" s="644"/>
      <c r="I434" s="644"/>
      <c r="J434" s="644"/>
      <c r="K434" s="644"/>
      <c r="L434" s="644"/>
      <c r="M434" s="644"/>
      <c r="N434" s="644"/>
      <c r="O434" s="653"/>
      <c r="P434" s="655" t="s">
        <v>72</v>
      </c>
      <c r="Q434" s="656"/>
      <c r="R434" s="656"/>
      <c r="S434" s="656"/>
      <c r="T434" s="656"/>
      <c r="U434" s="656"/>
      <c r="V434" s="657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112.19999999999999</v>
      </c>
      <c r="Y434" s="641">
        <f>IFERROR(Y426/H426,"0")+IFERROR(Y427/H427,"0")+IFERROR(Y428/H428,"0")+IFERROR(Y429/H429,"0")+IFERROR(Y430/H430,"0")+IFERROR(Y431/H431,"0")+IFERROR(Y432/H432,"0")+IFERROR(Y433/H433,"0")</f>
        <v>113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2.4577499999999999</v>
      </c>
      <c r="AA434" s="642"/>
      <c r="AB434" s="642"/>
      <c r="AC434" s="642"/>
    </row>
    <row r="435" spans="1:68" x14ac:dyDescent="0.2">
      <c r="A435" s="644"/>
      <c r="B435" s="644"/>
      <c r="C435" s="644"/>
      <c r="D435" s="644"/>
      <c r="E435" s="644"/>
      <c r="F435" s="644"/>
      <c r="G435" s="644"/>
      <c r="H435" s="644"/>
      <c r="I435" s="644"/>
      <c r="J435" s="644"/>
      <c r="K435" s="644"/>
      <c r="L435" s="644"/>
      <c r="M435" s="644"/>
      <c r="N435" s="644"/>
      <c r="O435" s="653"/>
      <c r="P435" s="655" t="s">
        <v>72</v>
      </c>
      <c r="Q435" s="656"/>
      <c r="R435" s="656"/>
      <c r="S435" s="656"/>
      <c r="T435" s="656"/>
      <c r="U435" s="656"/>
      <c r="V435" s="657"/>
      <c r="W435" s="37" t="s">
        <v>67</v>
      </c>
      <c r="X435" s="641">
        <f>IFERROR(SUM(X426:X433),"0")</f>
        <v>1683</v>
      </c>
      <c r="Y435" s="641">
        <f>IFERROR(SUM(Y426:Y433),"0")</f>
        <v>1695</v>
      </c>
      <c r="Z435" s="37"/>
      <c r="AA435" s="642"/>
      <c r="AB435" s="642"/>
      <c r="AC435" s="642"/>
    </row>
    <row r="436" spans="1:68" ht="14.25" hidden="1" customHeight="1" x14ac:dyDescent="0.25">
      <c r="A436" s="643" t="s">
        <v>146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49">
        <v>4607091383980</v>
      </c>
      <c r="E437" s="650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9">
        <v>1283</v>
      </c>
      <c r="Y437" s="640">
        <f>IFERROR(IF(X437="",0,CEILING((X437/$H437),1)*$H437),"")</f>
        <v>1290</v>
      </c>
      <c r="Z437" s="36">
        <f>IFERROR(IF(Y437=0,"",ROUNDUP(Y437/H437,0)*0.02175),"")</f>
        <v>1.8704999999999998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1323.2006666666668</v>
      </c>
      <c r="BN437" s="64">
        <f>IFERROR(Y437*I437/H437,"0")</f>
        <v>1330.4199999999998</v>
      </c>
      <c r="BO437" s="64">
        <f>IFERROR(1/J437*(X437/H437),"0")</f>
        <v>1.7819444444444443</v>
      </c>
      <c r="BP437" s="64">
        <f>IFERROR(1/J437*(Y437/H437),"0")</f>
        <v>1.7916666666666665</v>
      </c>
    </row>
    <row r="438" spans="1:68" ht="27" customHeight="1" x14ac:dyDescent="0.25">
      <c r="A438" s="54" t="s">
        <v>719</v>
      </c>
      <c r="B438" s="54" t="s">
        <v>720</v>
      </c>
      <c r="C438" s="31">
        <v>4301020355</v>
      </c>
      <c r="D438" s="649">
        <v>4680115888425</v>
      </c>
      <c r="E438" s="650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6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9">
        <v>27</v>
      </c>
      <c r="Y438" s="640">
        <f>IFERROR(IF(X438="",0,CEILING((X438/$H438),1)*$H438),"")</f>
        <v>30</v>
      </c>
      <c r="Z438" s="36">
        <f>IFERROR(IF(Y438=0,"",ROUNDUP(Y438/H438,0)*0.02175),"")</f>
        <v>4.3499999999999997E-2</v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27.846</v>
      </c>
      <c r="BN438" s="64">
        <f>IFERROR(Y438*I438/H438,"0")</f>
        <v>30.94</v>
      </c>
      <c r="BO438" s="64">
        <f>IFERROR(1/J438*(X438/H438),"0")</f>
        <v>3.7499999999999999E-2</v>
      </c>
      <c r="BP438" s="64">
        <f>IFERROR(1/J438*(Y438/H438),"0")</f>
        <v>4.1666666666666664E-2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9">
        <v>4607091384178</v>
      </c>
      <c r="E439" s="650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2"/>
      <c r="B440" s="644"/>
      <c r="C440" s="644"/>
      <c r="D440" s="644"/>
      <c r="E440" s="644"/>
      <c r="F440" s="644"/>
      <c r="G440" s="644"/>
      <c r="H440" s="644"/>
      <c r="I440" s="644"/>
      <c r="J440" s="644"/>
      <c r="K440" s="644"/>
      <c r="L440" s="644"/>
      <c r="M440" s="644"/>
      <c r="N440" s="644"/>
      <c r="O440" s="653"/>
      <c r="P440" s="655" t="s">
        <v>72</v>
      </c>
      <c r="Q440" s="656"/>
      <c r="R440" s="656"/>
      <c r="S440" s="656"/>
      <c r="T440" s="656"/>
      <c r="U440" s="656"/>
      <c r="V440" s="657"/>
      <c r="W440" s="37" t="s">
        <v>73</v>
      </c>
      <c r="X440" s="641">
        <f>IFERROR(X437/H437,"0")+IFERROR(X438/H438,"0")+IFERROR(X439/H439,"0")</f>
        <v>87.333333333333329</v>
      </c>
      <c r="Y440" s="641">
        <f>IFERROR(Y437/H437,"0")+IFERROR(Y438/H438,"0")+IFERROR(Y439/H439,"0")</f>
        <v>88</v>
      </c>
      <c r="Z440" s="641">
        <f>IFERROR(IF(Z437="",0,Z437),"0")+IFERROR(IF(Z438="",0,Z438),"0")+IFERROR(IF(Z439="",0,Z439),"0")</f>
        <v>1.9139999999999999</v>
      </c>
      <c r="AA440" s="642"/>
      <c r="AB440" s="642"/>
      <c r="AC440" s="642"/>
    </row>
    <row r="441" spans="1:68" x14ac:dyDescent="0.2">
      <c r="A441" s="644"/>
      <c r="B441" s="644"/>
      <c r="C441" s="644"/>
      <c r="D441" s="644"/>
      <c r="E441" s="644"/>
      <c r="F441" s="644"/>
      <c r="G441" s="644"/>
      <c r="H441" s="644"/>
      <c r="I441" s="644"/>
      <c r="J441" s="644"/>
      <c r="K441" s="644"/>
      <c r="L441" s="644"/>
      <c r="M441" s="644"/>
      <c r="N441" s="644"/>
      <c r="O441" s="653"/>
      <c r="P441" s="655" t="s">
        <v>72</v>
      </c>
      <c r="Q441" s="656"/>
      <c r="R441" s="656"/>
      <c r="S441" s="656"/>
      <c r="T441" s="656"/>
      <c r="U441" s="656"/>
      <c r="V441" s="657"/>
      <c r="W441" s="37" t="s">
        <v>67</v>
      </c>
      <c r="X441" s="641">
        <f>IFERROR(SUM(X437:X439),"0")</f>
        <v>1310</v>
      </c>
      <c r="Y441" s="641">
        <f>IFERROR(SUM(Y437:Y439),"0")</f>
        <v>1320</v>
      </c>
      <c r="Z441" s="37"/>
      <c r="AA441" s="642"/>
      <c r="AB441" s="642"/>
      <c r="AC441" s="642"/>
    </row>
    <row r="442" spans="1:68" ht="14.25" hidden="1" customHeight="1" x14ac:dyDescent="0.25">
      <c r="A442" s="643" t="s">
        <v>74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9">
        <v>4607091383928</v>
      </c>
      <c r="E443" s="650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9">
        <v>4607091384260</v>
      </c>
      <c r="E444" s="650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99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9">
        <v>4680115889538</v>
      </c>
      <c r="E445" s="650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2"/>
      <c r="B446" s="644"/>
      <c r="C446" s="644"/>
      <c r="D446" s="644"/>
      <c r="E446" s="644"/>
      <c r="F446" s="644"/>
      <c r="G446" s="644"/>
      <c r="H446" s="644"/>
      <c r="I446" s="644"/>
      <c r="J446" s="644"/>
      <c r="K446" s="644"/>
      <c r="L446" s="644"/>
      <c r="M446" s="644"/>
      <c r="N446" s="644"/>
      <c r="O446" s="653"/>
      <c r="P446" s="655" t="s">
        <v>72</v>
      </c>
      <c r="Q446" s="656"/>
      <c r="R446" s="656"/>
      <c r="S446" s="656"/>
      <c r="T446" s="656"/>
      <c r="U446" s="656"/>
      <c r="V446" s="657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4"/>
      <c r="B447" s="644"/>
      <c r="C447" s="644"/>
      <c r="D447" s="644"/>
      <c r="E447" s="644"/>
      <c r="F447" s="644"/>
      <c r="G447" s="644"/>
      <c r="H447" s="644"/>
      <c r="I447" s="644"/>
      <c r="J447" s="644"/>
      <c r="K447" s="644"/>
      <c r="L447" s="644"/>
      <c r="M447" s="644"/>
      <c r="N447" s="644"/>
      <c r="O447" s="653"/>
      <c r="P447" s="655" t="s">
        <v>72</v>
      </c>
      <c r="Q447" s="656"/>
      <c r="R447" s="656"/>
      <c r="S447" s="656"/>
      <c r="T447" s="656"/>
      <c r="U447" s="656"/>
      <c r="V447" s="657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3" t="s">
        <v>164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9">
        <v>4680115889545</v>
      </c>
      <c r="E449" s="650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8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737</v>
      </c>
      <c r="B450" s="54" t="s">
        <v>738</v>
      </c>
      <c r="C450" s="31">
        <v>4301060524</v>
      </c>
      <c r="D450" s="649">
        <v>4607091384673</v>
      </c>
      <c r="E450" s="650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9">
        <v>0</v>
      </c>
      <c r="Y450" s="6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2"/>
      <c r="B451" s="644"/>
      <c r="C451" s="644"/>
      <c r="D451" s="644"/>
      <c r="E451" s="644"/>
      <c r="F451" s="644"/>
      <c r="G451" s="644"/>
      <c r="H451" s="644"/>
      <c r="I451" s="644"/>
      <c r="J451" s="644"/>
      <c r="K451" s="644"/>
      <c r="L451" s="644"/>
      <c r="M451" s="644"/>
      <c r="N451" s="644"/>
      <c r="O451" s="653"/>
      <c r="P451" s="655" t="s">
        <v>72</v>
      </c>
      <c r="Q451" s="656"/>
      <c r="R451" s="656"/>
      <c r="S451" s="656"/>
      <c r="T451" s="656"/>
      <c r="U451" s="656"/>
      <c r="V451" s="657"/>
      <c r="W451" s="37" t="s">
        <v>73</v>
      </c>
      <c r="X451" s="641">
        <f>IFERROR(X449/H449,"0")+IFERROR(X450/H450,"0")</f>
        <v>0</v>
      </c>
      <c r="Y451" s="641">
        <f>IFERROR(Y449/H449,"0")+IFERROR(Y450/H450,"0")</f>
        <v>0</v>
      </c>
      <c r="Z451" s="641">
        <f>IFERROR(IF(Z449="",0,Z449),"0")+IFERROR(IF(Z450="",0,Z450),"0")</f>
        <v>0</v>
      </c>
      <c r="AA451" s="642"/>
      <c r="AB451" s="642"/>
      <c r="AC451" s="642"/>
    </row>
    <row r="452" spans="1:68" hidden="1" x14ac:dyDescent="0.2">
      <c r="A452" s="644"/>
      <c r="B452" s="644"/>
      <c r="C452" s="644"/>
      <c r="D452" s="644"/>
      <c r="E452" s="644"/>
      <c r="F452" s="644"/>
      <c r="G452" s="644"/>
      <c r="H452" s="644"/>
      <c r="I452" s="644"/>
      <c r="J452" s="644"/>
      <c r="K452" s="644"/>
      <c r="L452" s="644"/>
      <c r="M452" s="644"/>
      <c r="N452" s="644"/>
      <c r="O452" s="653"/>
      <c r="P452" s="655" t="s">
        <v>72</v>
      </c>
      <c r="Q452" s="656"/>
      <c r="R452" s="656"/>
      <c r="S452" s="656"/>
      <c r="T452" s="656"/>
      <c r="U452" s="656"/>
      <c r="V452" s="657"/>
      <c r="W452" s="37" t="s">
        <v>67</v>
      </c>
      <c r="X452" s="641">
        <f>IFERROR(SUM(X449:X450),"0")</f>
        <v>0</v>
      </c>
      <c r="Y452" s="641">
        <f>IFERROR(SUM(Y449:Y450),"0")</f>
        <v>0</v>
      </c>
      <c r="Z452" s="37"/>
      <c r="AA452" s="642"/>
      <c r="AB452" s="642"/>
      <c r="AC452" s="642"/>
    </row>
    <row r="453" spans="1:68" ht="16.5" hidden="1" customHeight="1" x14ac:dyDescent="0.25">
      <c r="A453" s="651" t="s">
        <v>740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33"/>
      <c r="AB453" s="633"/>
      <c r="AC453" s="633"/>
    </row>
    <row r="454" spans="1:68" ht="14.25" hidden="1" customHeight="1" x14ac:dyDescent="0.25">
      <c r="A454" s="643" t="s">
        <v>111</v>
      </c>
      <c r="B454" s="644"/>
      <c r="C454" s="644"/>
      <c r="D454" s="644"/>
      <c r="E454" s="644"/>
      <c r="F454" s="644"/>
      <c r="G454" s="644"/>
      <c r="H454" s="644"/>
      <c r="I454" s="644"/>
      <c r="J454" s="644"/>
      <c r="K454" s="644"/>
      <c r="L454" s="644"/>
      <c r="M454" s="644"/>
      <c r="N454" s="644"/>
      <c r="O454" s="644"/>
      <c r="P454" s="644"/>
      <c r="Q454" s="644"/>
      <c r="R454" s="644"/>
      <c r="S454" s="644"/>
      <c r="T454" s="644"/>
      <c r="U454" s="644"/>
      <c r="V454" s="644"/>
      <c r="W454" s="644"/>
      <c r="X454" s="644"/>
      <c r="Y454" s="644"/>
      <c r="Z454" s="644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9">
        <v>4680115884885</v>
      </c>
      <c r="E455" s="650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9">
        <v>4680115884908</v>
      </c>
      <c r="E456" s="650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2"/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53"/>
      <c r="P457" s="655" t="s">
        <v>72</v>
      </c>
      <c r="Q457" s="656"/>
      <c r="R457" s="656"/>
      <c r="S457" s="656"/>
      <c r="T457" s="656"/>
      <c r="U457" s="656"/>
      <c r="V457" s="657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4"/>
      <c r="B458" s="644"/>
      <c r="C458" s="644"/>
      <c r="D458" s="644"/>
      <c r="E458" s="644"/>
      <c r="F458" s="644"/>
      <c r="G458" s="644"/>
      <c r="H458" s="644"/>
      <c r="I458" s="644"/>
      <c r="J458" s="644"/>
      <c r="K458" s="644"/>
      <c r="L458" s="644"/>
      <c r="M458" s="644"/>
      <c r="N458" s="644"/>
      <c r="O458" s="653"/>
      <c r="P458" s="655" t="s">
        <v>72</v>
      </c>
      <c r="Q458" s="656"/>
      <c r="R458" s="656"/>
      <c r="S458" s="656"/>
      <c r="T458" s="656"/>
      <c r="U458" s="656"/>
      <c r="V458" s="657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3" t="s">
        <v>62</v>
      </c>
      <c r="B459" s="644"/>
      <c r="C459" s="644"/>
      <c r="D459" s="644"/>
      <c r="E459" s="644"/>
      <c r="F459" s="644"/>
      <c r="G459" s="644"/>
      <c r="H459" s="644"/>
      <c r="I459" s="644"/>
      <c r="J459" s="644"/>
      <c r="K459" s="644"/>
      <c r="L459" s="644"/>
      <c r="M459" s="644"/>
      <c r="N459" s="644"/>
      <c r="O459" s="644"/>
      <c r="P459" s="644"/>
      <c r="Q459" s="644"/>
      <c r="R459" s="644"/>
      <c r="S459" s="644"/>
      <c r="T459" s="644"/>
      <c r="U459" s="644"/>
      <c r="V459" s="644"/>
      <c r="W459" s="644"/>
      <c r="X459" s="644"/>
      <c r="Y459" s="644"/>
      <c r="Z459" s="644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9">
        <v>4607091384802</v>
      </c>
      <c r="E460" s="650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44"/>
      <c r="C461" s="644"/>
      <c r="D461" s="644"/>
      <c r="E461" s="644"/>
      <c r="F461" s="644"/>
      <c r="G461" s="644"/>
      <c r="H461" s="644"/>
      <c r="I461" s="644"/>
      <c r="J461" s="644"/>
      <c r="K461" s="644"/>
      <c r="L461" s="644"/>
      <c r="M461" s="644"/>
      <c r="N461" s="644"/>
      <c r="O461" s="653"/>
      <c r="P461" s="655" t="s">
        <v>72</v>
      </c>
      <c r="Q461" s="656"/>
      <c r="R461" s="656"/>
      <c r="S461" s="656"/>
      <c r="T461" s="656"/>
      <c r="U461" s="656"/>
      <c r="V461" s="657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4"/>
      <c r="B462" s="644"/>
      <c r="C462" s="644"/>
      <c r="D462" s="644"/>
      <c r="E462" s="644"/>
      <c r="F462" s="644"/>
      <c r="G462" s="644"/>
      <c r="H462" s="644"/>
      <c r="I462" s="644"/>
      <c r="J462" s="644"/>
      <c r="K462" s="644"/>
      <c r="L462" s="644"/>
      <c r="M462" s="644"/>
      <c r="N462" s="644"/>
      <c r="O462" s="653"/>
      <c r="P462" s="655" t="s">
        <v>72</v>
      </c>
      <c r="Q462" s="656"/>
      <c r="R462" s="656"/>
      <c r="S462" s="656"/>
      <c r="T462" s="656"/>
      <c r="U462" s="656"/>
      <c r="V462" s="657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3" t="s">
        <v>74</v>
      </c>
      <c r="B463" s="644"/>
      <c r="C463" s="644"/>
      <c r="D463" s="644"/>
      <c r="E463" s="644"/>
      <c r="F463" s="644"/>
      <c r="G463" s="644"/>
      <c r="H463" s="644"/>
      <c r="I463" s="644"/>
      <c r="J463" s="644"/>
      <c r="K463" s="644"/>
      <c r="L463" s="644"/>
      <c r="M463" s="644"/>
      <c r="N463" s="644"/>
      <c r="O463" s="644"/>
      <c r="P463" s="644"/>
      <c r="Q463" s="644"/>
      <c r="R463" s="644"/>
      <c r="S463" s="644"/>
      <c r="T463" s="644"/>
      <c r="U463" s="644"/>
      <c r="V463" s="644"/>
      <c r="W463" s="644"/>
      <c r="X463" s="644"/>
      <c r="Y463" s="644"/>
      <c r="Z463" s="644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49">
        <v>4607091384246</v>
      </c>
      <c r="E464" s="650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9">
        <v>1063</v>
      </c>
      <c r="Y464" s="640">
        <f>IFERROR(IF(X464="",0,CEILING((X464/$H464),1)*$H464),"")</f>
        <v>1071</v>
      </c>
      <c r="Z464" s="36">
        <f>IFERROR(IF(Y464=0,"",ROUNDUP(Y464/H464,0)*0.01898),"")</f>
        <v>2.2586200000000001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1121.3468888888888</v>
      </c>
      <c r="BN464" s="64">
        <f>IFERROR(Y464*I464/H464,"0")</f>
        <v>1129.7860000000001</v>
      </c>
      <c r="BO464" s="64">
        <f>IFERROR(1/J464*(X464/H464),"0")</f>
        <v>1.8454861111111112</v>
      </c>
      <c r="BP464" s="64">
        <f>IFERROR(1/J464*(Y464/H464),"0")</f>
        <v>1.859375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9">
        <v>4607091384253</v>
      </c>
      <c r="E465" s="650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9">
        <v>40</v>
      </c>
      <c r="Y465" s="640">
        <f>IFERROR(IF(X465="",0,CEILING((X465/$H465),1)*$H465),"")</f>
        <v>40.799999999999997</v>
      </c>
      <c r="Z465" s="36">
        <f>IFERROR(IF(Y465=0,"",ROUNDUP(Y465/H465,0)*0.00651),"")</f>
        <v>0.11067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44.400000000000006</v>
      </c>
      <c r="BN465" s="64">
        <f>IFERROR(Y465*I465/H465,"0")</f>
        <v>45.287999999999997</v>
      </c>
      <c r="BO465" s="64">
        <f>IFERROR(1/J465*(X465/H465),"0")</f>
        <v>9.1575091575091583E-2</v>
      </c>
      <c r="BP465" s="64">
        <f>IFERROR(1/J465*(Y465/H465),"0")</f>
        <v>9.3406593406593408E-2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9">
        <v>4607091384253</v>
      </c>
      <c r="E466" s="650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2"/>
      <c r="B467" s="644"/>
      <c r="C467" s="644"/>
      <c r="D467" s="644"/>
      <c r="E467" s="644"/>
      <c r="F467" s="644"/>
      <c r="G467" s="644"/>
      <c r="H467" s="644"/>
      <c r="I467" s="644"/>
      <c r="J467" s="644"/>
      <c r="K467" s="644"/>
      <c r="L467" s="644"/>
      <c r="M467" s="644"/>
      <c r="N467" s="644"/>
      <c r="O467" s="653"/>
      <c r="P467" s="655" t="s">
        <v>72</v>
      </c>
      <c r="Q467" s="656"/>
      <c r="R467" s="656"/>
      <c r="S467" s="656"/>
      <c r="T467" s="656"/>
      <c r="U467" s="656"/>
      <c r="V467" s="657"/>
      <c r="W467" s="37" t="s">
        <v>73</v>
      </c>
      <c r="X467" s="641">
        <f>IFERROR(X464/H464,"0")+IFERROR(X465/H465,"0")+IFERROR(X466/H466,"0")</f>
        <v>134.77777777777777</v>
      </c>
      <c r="Y467" s="641">
        <f>IFERROR(Y464/H464,"0")+IFERROR(Y465/H465,"0")+IFERROR(Y466/H466,"0")</f>
        <v>136</v>
      </c>
      <c r="Z467" s="641">
        <f>IFERROR(IF(Z464="",0,Z464),"0")+IFERROR(IF(Z465="",0,Z465),"0")+IFERROR(IF(Z466="",0,Z466),"0")</f>
        <v>2.3692899999999999</v>
      </c>
      <c r="AA467" s="642"/>
      <c r="AB467" s="642"/>
      <c r="AC467" s="642"/>
    </row>
    <row r="468" spans="1:68" x14ac:dyDescent="0.2">
      <c r="A468" s="644"/>
      <c r="B468" s="644"/>
      <c r="C468" s="644"/>
      <c r="D468" s="644"/>
      <c r="E468" s="644"/>
      <c r="F468" s="644"/>
      <c r="G468" s="644"/>
      <c r="H468" s="644"/>
      <c r="I468" s="644"/>
      <c r="J468" s="644"/>
      <c r="K468" s="644"/>
      <c r="L468" s="644"/>
      <c r="M468" s="644"/>
      <c r="N468" s="644"/>
      <c r="O468" s="653"/>
      <c r="P468" s="655" t="s">
        <v>72</v>
      </c>
      <c r="Q468" s="656"/>
      <c r="R468" s="656"/>
      <c r="S468" s="656"/>
      <c r="T468" s="656"/>
      <c r="U468" s="656"/>
      <c r="V468" s="657"/>
      <c r="W468" s="37" t="s">
        <v>67</v>
      </c>
      <c r="X468" s="641">
        <f>IFERROR(SUM(X464:X466),"0")</f>
        <v>1103</v>
      </c>
      <c r="Y468" s="641">
        <f>IFERROR(SUM(Y464:Y466),"0")</f>
        <v>1111.8</v>
      </c>
      <c r="Z468" s="37"/>
      <c r="AA468" s="642"/>
      <c r="AB468" s="642"/>
      <c r="AC468" s="642"/>
    </row>
    <row r="469" spans="1:68" ht="27.75" hidden="1" customHeight="1" x14ac:dyDescent="0.2">
      <c r="A469" s="693" t="s">
        <v>756</v>
      </c>
      <c r="B469" s="694"/>
      <c r="C469" s="694"/>
      <c r="D469" s="694"/>
      <c r="E469" s="694"/>
      <c r="F469" s="694"/>
      <c r="G469" s="694"/>
      <c r="H469" s="694"/>
      <c r="I469" s="694"/>
      <c r="J469" s="694"/>
      <c r="K469" s="694"/>
      <c r="L469" s="694"/>
      <c r="M469" s="694"/>
      <c r="N469" s="694"/>
      <c r="O469" s="694"/>
      <c r="P469" s="694"/>
      <c r="Q469" s="694"/>
      <c r="R469" s="694"/>
      <c r="S469" s="694"/>
      <c r="T469" s="694"/>
      <c r="U469" s="694"/>
      <c r="V469" s="694"/>
      <c r="W469" s="694"/>
      <c r="X469" s="694"/>
      <c r="Y469" s="694"/>
      <c r="Z469" s="694"/>
      <c r="AA469" s="48"/>
      <c r="AB469" s="48"/>
      <c r="AC469" s="48"/>
    </row>
    <row r="470" spans="1:68" ht="16.5" hidden="1" customHeight="1" x14ac:dyDescent="0.25">
      <c r="A470" s="651" t="s">
        <v>757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633"/>
      <c r="AB470" s="633"/>
      <c r="AC470" s="633"/>
    </row>
    <row r="471" spans="1:68" ht="14.25" hidden="1" customHeight="1" x14ac:dyDescent="0.25">
      <c r="A471" s="643" t="s">
        <v>62</v>
      </c>
      <c r="B471" s="644"/>
      <c r="C471" s="644"/>
      <c r="D471" s="644"/>
      <c r="E471" s="644"/>
      <c r="F471" s="644"/>
      <c r="G471" s="644"/>
      <c r="H471" s="644"/>
      <c r="I471" s="644"/>
      <c r="J471" s="644"/>
      <c r="K471" s="644"/>
      <c r="L471" s="644"/>
      <c r="M471" s="644"/>
      <c r="N471" s="644"/>
      <c r="O471" s="644"/>
      <c r="P471" s="644"/>
      <c r="Q471" s="644"/>
      <c r="R471" s="644"/>
      <c r="S471" s="644"/>
      <c r="T471" s="644"/>
      <c r="U471" s="644"/>
      <c r="V471" s="644"/>
      <c r="W471" s="644"/>
      <c r="X471" s="644"/>
      <c r="Y471" s="644"/>
      <c r="Z471" s="644"/>
      <c r="AA471" s="634"/>
      <c r="AB471" s="634"/>
      <c r="AC471" s="634"/>
    </row>
    <row r="472" spans="1:68" ht="27" hidden="1" customHeight="1" x14ac:dyDescent="0.25">
      <c r="A472" s="54" t="s">
        <v>758</v>
      </c>
      <c r="B472" s="54" t="s">
        <v>759</v>
      </c>
      <c r="C472" s="31">
        <v>4301031405</v>
      </c>
      <c r="D472" s="649">
        <v>4680115886100</v>
      </c>
      <c r="E472" s="650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9">
        <v>0</v>
      </c>
      <c r="Y472" s="640">
        <f t="shared" ref="Y472:Y477" si="73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0</v>
      </c>
      <c r="BN472" s="64">
        <f t="shared" ref="BN472:BN477" si="75">IFERROR(Y472*I472/H472,"0")</f>
        <v>0</v>
      </c>
      <c r="BO472" s="64">
        <f t="shared" ref="BO472:BO477" si="76">IFERROR(1/J472*(X472/H472),"0")</f>
        <v>0</v>
      </c>
      <c r="BP472" s="64">
        <f t="shared" ref="BP472:BP477" si="77">IFERROR(1/J472*(Y472/H472),"0")</f>
        <v>0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9">
        <v>4680115886124</v>
      </c>
      <c r="E473" s="650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9">
        <v>4607091384338</v>
      </c>
      <c r="E474" s="650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9">
        <v>4680115883161</v>
      </c>
      <c r="E475" s="650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9">
        <v>4607091389531</v>
      </c>
      <c r="E476" s="650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9">
        <v>4607091384345</v>
      </c>
      <c r="E477" s="650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idden="1" x14ac:dyDescent="0.2">
      <c r="A478" s="652"/>
      <c r="B478" s="644"/>
      <c r="C478" s="644"/>
      <c r="D478" s="644"/>
      <c r="E478" s="644"/>
      <c r="F478" s="644"/>
      <c r="G478" s="644"/>
      <c r="H478" s="644"/>
      <c r="I478" s="644"/>
      <c r="J478" s="644"/>
      <c r="K478" s="644"/>
      <c r="L478" s="644"/>
      <c r="M478" s="644"/>
      <c r="N478" s="644"/>
      <c r="O478" s="653"/>
      <c r="P478" s="655" t="s">
        <v>72</v>
      </c>
      <c r="Q478" s="656"/>
      <c r="R478" s="656"/>
      <c r="S478" s="656"/>
      <c r="T478" s="656"/>
      <c r="U478" s="656"/>
      <c r="V478" s="657"/>
      <c r="W478" s="37" t="s">
        <v>73</v>
      </c>
      <c r="X478" s="641">
        <f>IFERROR(X472/H472,"0")+IFERROR(X473/H473,"0")+IFERROR(X474/H474,"0")+IFERROR(X475/H475,"0")+IFERROR(X476/H476,"0")+IFERROR(X477/H477,"0")</f>
        <v>0</v>
      </c>
      <c r="Y478" s="641">
        <f>IFERROR(Y472/H472,"0")+IFERROR(Y473/H473,"0")+IFERROR(Y474/H474,"0")+IFERROR(Y475/H475,"0")+IFERROR(Y476/H476,"0")+IFERROR(Y477/H477,"0")</f>
        <v>0</v>
      </c>
      <c r="Z478" s="641">
        <f>IFERROR(IF(Z472="",0,Z472),"0")+IFERROR(IF(Z473="",0,Z473),"0")+IFERROR(IF(Z474="",0,Z474),"0")+IFERROR(IF(Z475="",0,Z475),"0")+IFERROR(IF(Z476="",0,Z476),"0")+IFERROR(IF(Z477="",0,Z477),"0")</f>
        <v>0</v>
      </c>
      <c r="AA478" s="642"/>
      <c r="AB478" s="642"/>
      <c r="AC478" s="642"/>
    </row>
    <row r="479" spans="1:68" hidden="1" x14ac:dyDescent="0.2">
      <c r="A479" s="644"/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53"/>
      <c r="P479" s="655" t="s">
        <v>72</v>
      </c>
      <c r="Q479" s="656"/>
      <c r="R479" s="656"/>
      <c r="S479" s="656"/>
      <c r="T479" s="656"/>
      <c r="U479" s="656"/>
      <c r="V479" s="657"/>
      <c r="W479" s="37" t="s">
        <v>67</v>
      </c>
      <c r="X479" s="641">
        <f>IFERROR(SUM(X472:X477),"0")</f>
        <v>0</v>
      </c>
      <c r="Y479" s="641">
        <f>IFERROR(SUM(Y472:Y477),"0")</f>
        <v>0</v>
      </c>
      <c r="Z479" s="37"/>
      <c r="AA479" s="642"/>
      <c r="AB479" s="642"/>
      <c r="AC479" s="642"/>
    </row>
    <row r="480" spans="1:68" ht="14.25" hidden="1" customHeight="1" x14ac:dyDescent="0.25">
      <c r="A480" s="643" t="s">
        <v>74</v>
      </c>
      <c r="B480" s="644"/>
      <c r="C480" s="644"/>
      <c r="D480" s="644"/>
      <c r="E480" s="644"/>
      <c r="F480" s="644"/>
      <c r="G480" s="644"/>
      <c r="H480" s="644"/>
      <c r="I480" s="644"/>
      <c r="J480" s="644"/>
      <c r="K480" s="644"/>
      <c r="L480" s="644"/>
      <c r="M480" s="644"/>
      <c r="N480" s="644"/>
      <c r="O480" s="644"/>
      <c r="P480" s="644"/>
      <c r="Q480" s="644"/>
      <c r="R480" s="644"/>
      <c r="S480" s="644"/>
      <c r="T480" s="644"/>
      <c r="U480" s="644"/>
      <c r="V480" s="644"/>
      <c r="W480" s="644"/>
      <c r="X480" s="644"/>
      <c r="Y480" s="644"/>
      <c r="Z480" s="644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9">
        <v>4607091384352</v>
      </c>
      <c r="E481" s="650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9">
        <v>4607091389654</v>
      </c>
      <c r="E482" s="650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2"/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53"/>
      <c r="P483" s="655" t="s">
        <v>72</v>
      </c>
      <c r="Q483" s="656"/>
      <c r="R483" s="656"/>
      <c r="S483" s="656"/>
      <c r="T483" s="656"/>
      <c r="U483" s="656"/>
      <c r="V483" s="657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4"/>
      <c r="B484" s="644"/>
      <c r="C484" s="644"/>
      <c r="D484" s="644"/>
      <c r="E484" s="644"/>
      <c r="F484" s="644"/>
      <c r="G484" s="644"/>
      <c r="H484" s="644"/>
      <c r="I484" s="644"/>
      <c r="J484" s="644"/>
      <c r="K484" s="644"/>
      <c r="L484" s="644"/>
      <c r="M484" s="644"/>
      <c r="N484" s="644"/>
      <c r="O484" s="653"/>
      <c r="P484" s="655" t="s">
        <v>72</v>
      </c>
      <c r="Q484" s="656"/>
      <c r="R484" s="656"/>
      <c r="S484" s="656"/>
      <c r="T484" s="656"/>
      <c r="U484" s="656"/>
      <c r="V484" s="657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51" t="s">
        <v>780</v>
      </c>
      <c r="B485" s="644"/>
      <c r="C485" s="644"/>
      <c r="D485" s="644"/>
      <c r="E485" s="644"/>
      <c r="F485" s="644"/>
      <c r="G485" s="644"/>
      <c r="H485" s="644"/>
      <c r="I485" s="644"/>
      <c r="J485" s="644"/>
      <c r="K485" s="644"/>
      <c r="L485" s="644"/>
      <c r="M485" s="644"/>
      <c r="N485" s="644"/>
      <c r="O485" s="644"/>
      <c r="P485" s="644"/>
      <c r="Q485" s="644"/>
      <c r="R485" s="644"/>
      <c r="S485" s="644"/>
      <c r="T485" s="644"/>
      <c r="U485" s="644"/>
      <c r="V485" s="644"/>
      <c r="W485" s="644"/>
      <c r="X485" s="644"/>
      <c r="Y485" s="644"/>
      <c r="Z485" s="644"/>
      <c r="AA485" s="633"/>
      <c r="AB485" s="633"/>
      <c r="AC485" s="633"/>
    </row>
    <row r="486" spans="1:68" ht="14.25" hidden="1" customHeight="1" x14ac:dyDescent="0.25">
      <c r="A486" s="643" t="s">
        <v>146</v>
      </c>
      <c r="B486" s="644"/>
      <c r="C486" s="644"/>
      <c r="D486" s="644"/>
      <c r="E486" s="644"/>
      <c r="F486" s="644"/>
      <c r="G486" s="644"/>
      <c r="H486" s="644"/>
      <c r="I486" s="644"/>
      <c r="J486" s="644"/>
      <c r="K486" s="644"/>
      <c r="L486" s="644"/>
      <c r="M486" s="644"/>
      <c r="N486" s="644"/>
      <c r="O486" s="644"/>
      <c r="P486" s="644"/>
      <c r="Q486" s="644"/>
      <c r="R486" s="644"/>
      <c r="S486" s="644"/>
      <c r="T486" s="644"/>
      <c r="U486" s="644"/>
      <c r="V486" s="644"/>
      <c r="W486" s="644"/>
      <c r="X486" s="644"/>
      <c r="Y486" s="644"/>
      <c r="Z486" s="644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9">
        <v>4680115885240</v>
      </c>
      <c r="E487" s="650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44"/>
      <c r="C488" s="644"/>
      <c r="D488" s="644"/>
      <c r="E488" s="644"/>
      <c r="F488" s="644"/>
      <c r="G488" s="644"/>
      <c r="H488" s="644"/>
      <c r="I488" s="644"/>
      <c r="J488" s="644"/>
      <c r="K488" s="644"/>
      <c r="L488" s="644"/>
      <c r="M488" s="644"/>
      <c r="N488" s="644"/>
      <c r="O488" s="653"/>
      <c r="P488" s="655" t="s">
        <v>72</v>
      </c>
      <c r="Q488" s="656"/>
      <c r="R488" s="656"/>
      <c r="S488" s="656"/>
      <c r="T488" s="656"/>
      <c r="U488" s="656"/>
      <c r="V488" s="657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4"/>
      <c r="B489" s="644"/>
      <c r="C489" s="644"/>
      <c r="D489" s="644"/>
      <c r="E489" s="644"/>
      <c r="F489" s="644"/>
      <c r="G489" s="644"/>
      <c r="H489" s="644"/>
      <c r="I489" s="644"/>
      <c r="J489" s="644"/>
      <c r="K489" s="644"/>
      <c r="L489" s="644"/>
      <c r="M489" s="644"/>
      <c r="N489" s="644"/>
      <c r="O489" s="653"/>
      <c r="P489" s="655" t="s">
        <v>72</v>
      </c>
      <c r="Q489" s="656"/>
      <c r="R489" s="656"/>
      <c r="S489" s="656"/>
      <c r="T489" s="656"/>
      <c r="U489" s="656"/>
      <c r="V489" s="657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3" t="s">
        <v>62</v>
      </c>
      <c r="B490" s="644"/>
      <c r="C490" s="644"/>
      <c r="D490" s="644"/>
      <c r="E490" s="644"/>
      <c r="F490" s="644"/>
      <c r="G490" s="644"/>
      <c r="H490" s="644"/>
      <c r="I490" s="644"/>
      <c r="J490" s="644"/>
      <c r="K490" s="644"/>
      <c r="L490" s="644"/>
      <c r="M490" s="644"/>
      <c r="N490" s="644"/>
      <c r="O490" s="644"/>
      <c r="P490" s="644"/>
      <c r="Q490" s="644"/>
      <c r="R490" s="644"/>
      <c r="S490" s="644"/>
      <c r="T490" s="644"/>
      <c r="U490" s="644"/>
      <c r="V490" s="644"/>
      <c r="W490" s="644"/>
      <c r="X490" s="644"/>
      <c r="Y490" s="644"/>
      <c r="Z490" s="644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49">
        <v>4680115886094</v>
      </c>
      <c r="E491" s="650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5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9">
        <v>4680115880771</v>
      </c>
      <c r="E492" s="650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9">
        <v>4607091389500</v>
      </c>
      <c r="E493" s="650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2"/>
      <c r="B494" s="644"/>
      <c r="C494" s="644"/>
      <c r="D494" s="644"/>
      <c r="E494" s="644"/>
      <c r="F494" s="644"/>
      <c r="G494" s="644"/>
      <c r="H494" s="644"/>
      <c r="I494" s="644"/>
      <c r="J494" s="644"/>
      <c r="K494" s="644"/>
      <c r="L494" s="644"/>
      <c r="M494" s="644"/>
      <c r="N494" s="644"/>
      <c r="O494" s="653"/>
      <c r="P494" s="655" t="s">
        <v>72</v>
      </c>
      <c r="Q494" s="656"/>
      <c r="R494" s="656"/>
      <c r="S494" s="656"/>
      <c r="T494" s="656"/>
      <c r="U494" s="656"/>
      <c r="V494" s="657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4"/>
      <c r="B495" s="644"/>
      <c r="C495" s="644"/>
      <c r="D495" s="644"/>
      <c r="E495" s="644"/>
      <c r="F495" s="644"/>
      <c r="G495" s="644"/>
      <c r="H495" s="644"/>
      <c r="I495" s="644"/>
      <c r="J495" s="644"/>
      <c r="K495" s="644"/>
      <c r="L495" s="644"/>
      <c r="M495" s="644"/>
      <c r="N495" s="644"/>
      <c r="O495" s="653"/>
      <c r="P495" s="655" t="s">
        <v>72</v>
      </c>
      <c r="Q495" s="656"/>
      <c r="R495" s="656"/>
      <c r="S495" s="656"/>
      <c r="T495" s="656"/>
      <c r="U495" s="656"/>
      <c r="V495" s="657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693" t="s">
        <v>792</v>
      </c>
      <c r="B496" s="694"/>
      <c r="C496" s="694"/>
      <c r="D496" s="694"/>
      <c r="E496" s="694"/>
      <c r="F496" s="694"/>
      <c r="G496" s="694"/>
      <c r="H496" s="694"/>
      <c r="I496" s="694"/>
      <c r="J496" s="694"/>
      <c r="K496" s="694"/>
      <c r="L496" s="694"/>
      <c r="M496" s="694"/>
      <c r="N496" s="694"/>
      <c r="O496" s="694"/>
      <c r="P496" s="694"/>
      <c r="Q496" s="694"/>
      <c r="R496" s="694"/>
      <c r="S496" s="694"/>
      <c r="T496" s="694"/>
      <c r="U496" s="694"/>
      <c r="V496" s="694"/>
      <c r="W496" s="694"/>
      <c r="X496" s="694"/>
      <c r="Y496" s="694"/>
      <c r="Z496" s="694"/>
      <c r="AA496" s="48"/>
      <c r="AB496" s="48"/>
      <c r="AC496" s="48"/>
    </row>
    <row r="497" spans="1:68" ht="16.5" hidden="1" customHeight="1" x14ac:dyDescent="0.25">
      <c r="A497" s="651" t="s">
        <v>792</v>
      </c>
      <c r="B497" s="644"/>
      <c r="C497" s="644"/>
      <c r="D497" s="644"/>
      <c r="E497" s="644"/>
      <c r="F497" s="644"/>
      <c r="G497" s="644"/>
      <c r="H497" s="644"/>
      <c r="I497" s="644"/>
      <c r="J497" s="644"/>
      <c r="K497" s="644"/>
      <c r="L497" s="644"/>
      <c r="M497" s="644"/>
      <c r="N497" s="644"/>
      <c r="O497" s="644"/>
      <c r="P497" s="644"/>
      <c r="Q497" s="644"/>
      <c r="R497" s="644"/>
      <c r="S497" s="644"/>
      <c r="T497" s="644"/>
      <c r="U497" s="644"/>
      <c r="V497" s="644"/>
      <c r="W497" s="644"/>
      <c r="X497" s="644"/>
      <c r="Y497" s="644"/>
      <c r="Z497" s="644"/>
      <c r="AA497" s="633"/>
      <c r="AB497" s="633"/>
      <c r="AC497" s="633"/>
    </row>
    <row r="498" spans="1:68" ht="14.25" hidden="1" customHeight="1" x14ac:dyDescent="0.25">
      <c r="A498" s="643" t="s">
        <v>111</v>
      </c>
      <c r="B498" s="644"/>
      <c r="C498" s="644"/>
      <c r="D498" s="644"/>
      <c r="E498" s="644"/>
      <c r="F498" s="644"/>
      <c r="G498" s="644"/>
      <c r="H498" s="644"/>
      <c r="I498" s="644"/>
      <c r="J498" s="644"/>
      <c r="K498" s="644"/>
      <c r="L498" s="644"/>
      <c r="M498" s="644"/>
      <c r="N498" s="644"/>
      <c r="O498" s="644"/>
      <c r="P498" s="644"/>
      <c r="Q498" s="644"/>
      <c r="R498" s="644"/>
      <c r="S498" s="644"/>
      <c r="T498" s="644"/>
      <c r="U498" s="644"/>
      <c r="V498" s="644"/>
      <c r="W498" s="644"/>
      <c r="X498" s="644"/>
      <c r="Y498" s="644"/>
      <c r="Z498" s="644"/>
      <c r="AA498" s="634"/>
      <c r="AB498" s="634"/>
      <c r="AC498" s="634"/>
    </row>
    <row r="499" spans="1:68" ht="27" customHeight="1" x14ac:dyDescent="0.25">
      <c r="A499" s="54" t="s">
        <v>793</v>
      </c>
      <c r="B499" s="54" t="s">
        <v>794</v>
      </c>
      <c r="C499" s="31">
        <v>4301011769</v>
      </c>
      <c r="D499" s="649">
        <v>4607091389067</v>
      </c>
      <c r="E499" s="650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9">
        <v>20</v>
      </c>
      <c r="Y499" s="640">
        <f t="shared" ref="Y499:Y507" si="78">IFERROR(IF(X499="",0,CEILING((X499/$H499),1)*$H499),"")</f>
        <v>21.12</v>
      </c>
      <c r="Z499" s="36">
        <f t="shared" ref="Z499:Z504" si="79">IFERROR(IF(Y499=0,"",ROUNDUP(Y499/H499,0)*0.01196),"")</f>
        <v>4.7840000000000001E-2</v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21.325757575757574</v>
      </c>
      <c r="BN499" s="64">
        <f t="shared" ref="BN499:BN507" si="81">IFERROR(Y499*I499/H499,"0")</f>
        <v>22.52</v>
      </c>
      <c r="BO499" s="64">
        <f t="shared" ref="BO499:BO507" si="82">IFERROR(1/J499*(X499/H499),"0")</f>
        <v>3.6421911421911424E-2</v>
      </c>
      <c r="BP499" s="64">
        <f t="shared" ref="BP499:BP507" si="83">IFERROR(1/J499*(Y499/H499),"0")</f>
        <v>3.8461538461538464E-2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9">
        <v>4680115889576</v>
      </c>
      <c r="E500" s="650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49">
        <v>4680115885271</v>
      </c>
      <c r="E501" s="650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49">
        <v>4680115885226</v>
      </c>
      <c r="E502" s="650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9">
        <v>559</v>
      </c>
      <c r="Y502" s="640">
        <f t="shared" si="78"/>
        <v>559.68000000000006</v>
      </c>
      <c r="Z502" s="36">
        <f t="shared" si="79"/>
        <v>1.26776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596.05492424242425</v>
      </c>
      <c r="BN502" s="64">
        <f t="shared" si="81"/>
        <v>596.78000000000009</v>
      </c>
      <c r="BO502" s="64">
        <f t="shared" si="82"/>
        <v>1.0179924242424241</v>
      </c>
      <c r="BP502" s="64">
        <f t="shared" si="83"/>
        <v>1.0192307692307694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9">
        <v>4680115884502</v>
      </c>
      <c r="E503" s="650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9">
        <v>4607091389104</v>
      </c>
      <c r="E504" s="650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9">
        <v>561</v>
      </c>
      <c r="Y504" s="640">
        <f t="shared" si="78"/>
        <v>564.96</v>
      </c>
      <c r="Z504" s="36">
        <f t="shared" si="79"/>
        <v>1.27972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598.18749999999989</v>
      </c>
      <c r="BN504" s="64">
        <f t="shared" si="81"/>
        <v>602.41</v>
      </c>
      <c r="BO504" s="64">
        <f t="shared" si="82"/>
        <v>1.0216346153846154</v>
      </c>
      <c r="BP504" s="64">
        <f t="shared" si="83"/>
        <v>1.028846153846154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9">
        <v>4680115886391</v>
      </c>
      <c r="E505" s="650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1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4301012048</v>
      </c>
      <c r="D506" s="649">
        <v>4680115880603</v>
      </c>
      <c r="E506" s="650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9">
        <v>0</v>
      </c>
      <c r="Y506" s="640">
        <f t="shared" si="78"/>
        <v>0</v>
      </c>
      <c r="Z506" s="36" t="str">
        <f>IFERROR(IF(Y506=0,"",ROUNDUP(Y506/H506,0)*0.00902),"")</f>
        <v/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49">
        <v>4607091389982</v>
      </c>
      <c r="E507" s="650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9">
        <v>122</v>
      </c>
      <c r="Y507" s="640">
        <f t="shared" si="78"/>
        <v>124.8</v>
      </c>
      <c r="Z507" s="36">
        <f>IFERROR(IF(Y507=0,"",ROUNDUP(Y507/H507,0)*0.00902),"")</f>
        <v>0.23452000000000001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175.62916666666666</v>
      </c>
      <c r="BN507" s="64">
        <f t="shared" si="81"/>
        <v>179.66000000000003</v>
      </c>
      <c r="BO507" s="64">
        <f t="shared" si="82"/>
        <v>0.19255050505050506</v>
      </c>
      <c r="BP507" s="64">
        <f t="shared" si="83"/>
        <v>0.19696969696969696</v>
      </c>
    </row>
    <row r="508" spans="1:68" x14ac:dyDescent="0.2">
      <c r="A508" s="652"/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53"/>
      <c r="P508" s="655" t="s">
        <v>72</v>
      </c>
      <c r="Q508" s="656"/>
      <c r="R508" s="656"/>
      <c r="S508" s="656"/>
      <c r="T508" s="656"/>
      <c r="U508" s="656"/>
      <c r="V508" s="657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241.32575757575754</v>
      </c>
      <c r="Y508" s="641">
        <f>IFERROR(Y499/H499,"0")+IFERROR(Y500/H500,"0")+IFERROR(Y501/H501,"0")+IFERROR(Y502/H502,"0")+IFERROR(Y503/H503,"0")+IFERROR(Y504/H504,"0")+IFERROR(Y505/H505,"0")+IFERROR(Y506/H506,"0")+IFERROR(Y507/H507,"0")</f>
        <v>243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2.8298399999999999</v>
      </c>
      <c r="AA508" s="642"/>
      <c r="AB508" s="642"/>
      <c r="AC508" s="642"/>
    </row>
    <row r="509" spans="1:68" x14ac:dyDescent="0.2">
      <c r="A509" s="644"/>
      <c r="B509" s="644"/>
      <c r="C509" s="644"/>
      <c r="D509" s="644"/>
      <c r="E509" s="644"/>
      <c r="F509" s="644"/>
      <c r="G509" s="644"/>
      <c r="H509" s="644"/>
      <c r="I509" s="644"/>
      <c r="J509" s="644"/>
      <c r="K509" s="644"/>
      <c r="L509" s="644"/>
      <c r="M509" s="644"/>
      <c r="N509" s="644"/>
      <c r="O509" s="653"/>
      <c r="P509" s="655" t="s">
        <v>72</v>
      </c>
      <c r="Q509" s="656"/>
      <c r="R509" s="656"/>
      <c r="S509" s="656"/>
      <c r="T509" s="656"/>
      <c r="U509" s="656"/>
      <c r="V509" s="657"/>
      <c r="W509" s="37" t="s">
        <v>67</v>
      </c>
      <c r="X509" s="641">
        <f>IFERROR(SUM(X499:X507),"0")</f>
        <v>1262</v>
      </c>
      <c r="Y509" s="641">
        <f>IFERROR(SUM(Y499:Y507),"0")</f>
        <v>1270.5600000000002</v>
      </c>
      <c r="Z509" s="37"/>
      <c r="AA509" s="642"/>
      <c r="AB509" s="642"/>
      <c r="AC509" s="642"/>
    </row>
    <row r="510" spans="1:68" ht="14.25" hidden="1" customHeight="1" x14ac:dyDescent="0.25">
      <c r="A510" s="643" t="s">
        <v>146</v>
      </c>
      <c r="B510" s="644"/>
      <c r="C510" s="644"/>
      <c r="D510" s="644"/>
      <c r="E510" s="644"/>
      <c r="F510" s="644"/>
      <c r="G510" s="644"/>
      <c r="H510" s="644"/>
      <c r="I510" s="644"/>
      <c r="J510" s="644"/>
      <c r="K510" s="644"/>
      <c r="L510" s="644"/>
      <c r="M510" s="644"/>
      <c r="N510" s="644"/>
      <c r="O510" s="644"/>
      <c r="P510" s="644"/>
      <c r="Q510" s="644"/>
      <c r="R510" s="644"/>
      <c r="S510" s="644"/>
      <c r="T510" s="644"/>
      <c r="U510" s="644"/>
      <c r="V510" s="644"/>
      <c r="W510" s="644"/>
      <c r="X510" s="644"/>
      <c r="Y510" s="644"/>
      <c r="Z510" s="644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49">
        <v>4607091388930</v>
      </c>
      <c r="E511" s="650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9">
        <v>1810</v>
      </c>
      <c r="Y511" s="640">
        <f>IFERROR(IF(X511="",0,CEILING((X511/$H511),1)*$H511),"")</f>
        <v>1811.0400000000002</v>
      </c>
      <c r="Z511" s="36">
        <f>IFERROR(IF(Y511=0,"",ROUNDUP(Y511/H511,0)*0.01196),"")</f>
        <v>4.1022800000000004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1929.9810606060603</v>
      </c>
      <c r="BN511" s="64">
        <f>IFERROR(Y511*I511/H511,"0")</f>
        <v>1931.0900000000001</v>
      </c>
      <c r="BO511" s="64">
        <f>IFERROR(1/J511*(X511/H511),"0")</f>
        <v>3.2961829836829839</v>
      </c>
      <c r="BP511" s="64">
        <f>IFERROR(1/J511*(Y511/H511),"0")</f>
        <v>3.2980769230769234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9">
        <v>4680115886407</v>
      </c>
      <c r="E512" s="650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49">
        <v>4680115880054</v>
      </c>
      <c r="E513" s="650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9">
        <v>61</v>
      </c>
      <c r="Y513" s="640">
        <f>IFERROR(IF(X513="",0,CEILING((X513/$H513),1)*$H513),"")</f>
        <v>62.4</v>
      </c>
      <c r="Z513" s="36">
        <f>IFERROR(IF(Y513=0,"",ROUNDUP(Y513/H513,0)*0.00902),"")</f>
        <v>0.11726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87.814583333333331</v>
      </c>
      <c r="BN513" s="64">
        <f>IFERROR(Y513*I513/H513,"0")</f>
        <v>89.830000000000013</v>
      </c>
      <c r="BO513" s="64">
        <f>IFERROR(1/J513*(X513/H513),"0")</f>
        <v>9.6275252525252528E-2</v>
      </c>
      <c r="BP513" s="64">
        <f>IFERROR(1/J513*(Y513/H513),"0")</f>
        <v>9.8484848484848481E-2</v>
      </c>
    </row>
    <row r="514" spans="1:68" x14ac:dyDescent="0.2">
      <c r="A514" s="652"/>
      <c r="B514" s="644"/>
      <c r="C514" s="644"/>
      <c r="D514" s="644"/>
      <c r="E514" s="644"/>
      <c r="F514" s="644"/>
      <c r="G514" s="644"/>
      <c r="H514" s="644"/>
      <c r="I514" s="644"/>
      <c r="J514" s="644"/>
      <c r="K514" s="644"/>
      <c r="L514" s="644"/>
      <c r="M514" s="644"/>
      <c r="N514" s="644"/>
      <c r="O514" s="653"/>
      <c r="P514" s="655" t="s">
        <v>72</v>
      </c>
      <c r="Q514" s="656"/>
      <c r="R514" s="656"/>
      <c r="S514" s="656"/>
      <c r="T514" s="656"/>
      <c r="U514" s="656"/>
      <c r="V514" s="657"/>
      <c r="W514" s="37" t="s">
        <v>73</v>
      </c>
      <c r="X514" s="641">
        <f>IFERROR(X511/H511,"0")+IFERROR(X512/H512,"0")+IFERROR(X513/H513,"0")</f>
        <v>355.51136363636363</v>
      </c>
      <c r="Y514" s="641">
        <f>IFERROR(Y511/H511,"0")+IFERROR(Y512/H512,"0")+IFERROR(Y513/H513,"0")</f>
        <v>356</v>
      </c>
      <c r="Z514" s="641">
        <f>IFERROR(IF(Z511="",0,Z511),"0")+IFERROR(IF(Z512="",0,Z512),"0")+IFERROR(IF(Z513="",0,Z513),"0")</f>
        <v>4.2195400000000003</v>
      </c>
      <c r="AA514" s="642"/>
      <c r="AB514" s="642"/>
      <c r="AC514" s="642"/>
    </row>
    <row r="515" spans="1:68" x14ac:dyDescent="0.2">
      <c r="A515" s="644"/>
      <c r="B515" s="644"/>
      <c r="C515" s="644"/>
      <c r="D515" s="644"/>
      <c r="E515" s="644"/>
      <c r="F515" s="644"/>
      <c r="G515" s="644"/>
      <c r="H515" s="644"/>
      <c r="I515" s="644"/>
      <c r="J515" s="644"/>
      <c r="K515" s="644"/>
      <c r="L515" s="644"/>
      <c r="M515" s="644"/>
      <c r="N515" s="644"/>
      <c r="O515" s="653"/>
      <c r="P515" s="655" t="s">
        <v>72</v>
      </c>
      <c r="Q515" s="656"/>
      <c r="R515" s="656"/>
      <c r="S515" s="656"/>
      <c r="T515" s="656"/>
      <c r="U515" s="656"/>
      <c r="V515" s="657"/>
      <c r="W515" s="37" t="s">
        <v>67</v>
      </c>
      <c r="X515" s="641">
        <f>IFERROR(SUM(X511:X513),"0")</f>
        <v>1871</v>
      </c>
      <c r="Y515" s="641">
        <f>IFERROR(SUM(Y511:Y513),"0")</f>
        <v>1873.4400000000003</v>
      </c>
      <c r="Z515" s="37"/>
      <c r="AA515" s="642"/>
      <c r="AB515" s="642"/>
      <c r="AC515" s="642"/>
    </row>
    <row r="516" spans="1:68" ht="14.25" hidden="1" customHeight="1" x14ac:dyDescent="0.25">
      <c r="A516" s="643" t="s">
        <v>62</v>
      </c>
      <c r="B516" s="644"/>
      <c r="C516" s="644"/>
      <c r="D516" s="644"/>
      <c r="E516" s="644"/>
      <c r="F516" s="644"/>
      <c r="G516" s="644"/>
      <c r="H516" s="644"/>
      <c r="I516" s="644"/>
      <c r="J516" s="644"/>
      <c r="K516" s="644"/>
      <c r="L516" s="644"/>
      <c r="M516" s="644"/>
      <c r="N516" s="644"/>
      <c r="O516" s="644"/>
      <c r="P516" s="644"/>
      <c r="Q516" s="644"/>
      <c r="R516" s="644"/>
      <c r="S516" s="644"/>
      <c r="T516" s="644"/>
      <c r="U516" s="644"/>
      <c r="V516" s="644"/>
      <c r="W516" s="644"/>
      <c r="X516" s="644"/>
      <c r="Y516" s="644"/>
      <c r="Z516" s="644"/>
      <c r="AA516" s="634"/>
      <c r="AB516" s="634"/>
      <c r="AC516" s="634"/>
    </row>
    <row r="517" spans="1:68" ht="27" hidden="1" customHeight="1" x14ac:dyDescent="0.25">
      <c r="A517" s="54" t="s">
        <v>823</v>
      </c>
      <c r="B517" s="54" t="s">
        <v>824</v>
      </c>
      <c r="C517" s="31">
        <v>4301031349</v>
      </c>
      <c r="D517" s="649">
        <v>4680115883116</v>
      </c>
      <c r="E517" s="650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9">
        <v>0</v>
      </c>
      <c r="Y517" s="640">
        <f t="shared" ref="Y517:Y523" si="84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0</v>
      </c>
      <c r="BN517" s="64">
        <f t="shared" ref="BN517:BN523" si="86">IFERROR(Y517*I517/H517,"0")</f>
        <v>0</v>
      </c>
      <c r="BO517" s="64">
        <f t="shared" ref="BO517:BO523" si="87">IFERROR(1/J517*(X517/H517),"0")</f>
        <v>0</v>
      </c>
      <c r="BP517" s="64">
        <f t="shared" ref="BP517:BP523" si="88">IFERROR(1/J517*(Y517/H517),"0")</f>
        <v>0</v>
      </c>
    </row>
    <row r="518" spans="1:68" ht="27" customHeight="1" x14ac:dyDescent="0.25">
      <c r="A518" s="54" t="s">
        <v>826</v>
      </c>
      <c r="B518" s="54" t="s">
        <v>827</v>
      </c>
      <c r="C518" s="31">
        <v>4301031350</v>
      </c>
      <c r="D518" s="649">
        <v>4680115883093</v>
      </c>
      <c r="E518" s="650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9">
        <v>601</v>
      </c>
      <c r="Y518" s="640">
        <f t="shared" si="84"/>
        <v>601.92000000000007</v>
      </c>
      <c r="Z518" s="36">
        <f>IFERROR(IF(Y518=0,"",ROUNDUP(Y518/H518,0)*0.01196),"")</f>
        <v>1.36344</v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640.83901515151513</v>
      </c>
      <c r="BN518" s="64">
        <f t="shared" si="86"/>
        <v>641.82000000000005</v>
      </c>
      <c r="BO518" s="64">
        <f t="shared" si="87"/>
        <v>1.0944784382284383</v>
      </c>
      <c r="BP518" s="64">
        <f t="shared" si="88"/>
        <v>1.0961538461538463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9">
        <v>4680115883109</v>
      </c>
      <c r="E519" s="650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9">
        <v>1396</v>
      </c>
      <c r="Y519" s="640">
        <f t="shared" si="84"/>
        <v>1399.2</v>
      </c>
      <c r="Z519" s="36">
        <f>IFERROR(IF(Y519=0,"",ROUNDUP(Y519/H519,0)*0.01196),"")</f>
        <v>3.1694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1488.5378787878785</v>
      </c>
      <c r="BN519" s="64">
        <f t="shared" si="86"/>
        <v>1491.95</v>
      </c>
      <c r="BO519" s="64">
        <f t="shared" si="87"/>
        <v>2.5422494172494172</v>
      </c>
      <c r="BP519" s="64">
        <f t="shared" si="88"/>
        <v>2.5480769230769234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9">
        <v>4680115882072</v>
      </c>
      <c r="E520" s="650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9">
        <v>4680115882102</v>
      </c>
      <c r="E521" s="650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9">
        <v>4680115882102</v>
      </c>
      <c r="E522" s="650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9">
        <v>4680115882096</v>
      </c>
      <c r="E523" s="650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2"/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53"/>
      <c r="P524" s="655" t="s">
        <v>72</v>
      </c>
      <c r="Q524" s="656"/>
      <c r="R524" s="656"/>
      <c r="S524" s="656"/>
      <c r="T524" s="656"/>
      <c r="U524" s="656"/>
      <c r="V524" s="657"/>
      <c r="W524" s="37" t="s">
        <v>73</v>
      </c>
      <c r="X524" s="641">
        <f>IFERROR(X517/H517,"0")+IFERROR(X518/H518,"0")+IFERROR(X519/H519,"0")+IFERROR(X520/H520,"0")+IFERROR(X521/H521,"0")+IFERROR(X522/H522,"0")+IFERROR(X523/H523,"0")</f>
        <v>378.21969696969694</v>
      </c>
      <c r="Y524" s="641">
        <f>IFERROR(Y517/H517,"0")+IFERROR(Y518/H518,"0")+IFERROR(Y519/H519,"0")+IFERROR(Y520/H520,"0")+IFERROR(Y521/H521,"0")+IFERROR(Y522/H522,"0")+IFERROR(Y523/H523,"0")</f>
        <v>379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4.5328400000000002</v>
      </c>
      <c r="AA524" s="642"/>
      <c r="AB524" s="642"/>
      <c r="AC524" s="642"/>
    </row>
    <row r="525" spans="1:68" x14ac:dyDescent="0.2">
      <c r="A525" s="644"/>
      <c r="B525" s="644"/>
      <c r="C525" s="644"/>
      <c r="D525" s="644"/>
      <c r="E525" s="644"/>
      <c r="F525" s="644"/>
      <c r="G525" s="644"/>
      <c r="H525" s="644"/>
      <c r="I525" s="644"/>
      <c r="J525" s="644"/>
      <c r="K525" s="644"/>
      <c r="L525" s="644"/>
      <c r="M525" s="644"/>
      <c r="N525" s="644"/>
      <c r="O525" s="653"/>
      <c r="P525" s="655" t="s">
        <v>72</v>
      </c>
      <c r="Q525" s="656"/>
      <c r="R525" s="656"/>
      <c r="S525" s="656"/>
      <c r="T525" s="656"/>
      <c r="U525" s="656"/>
      <c r="V525" s="657"/>
      <c r="W525" s="37" t="s">
        <v>67</v>
      </c>
      <c r="X525" s="641">
        <f>IFERROR(SUM(X517:X523),"0")</f>
        <v>1997</v>
      </c>
      <c r="Y525" s="641">
        <f>IFERROR(SUM(Y517:Y523),"0")</f>
        <v>2001.1200000000001</v>
      </c>
      <c r="Z525" s="37"/>
      <c r="AA525" s="642"/>
      <c r="AB525" s="642"/>
      <c r="AC525" s="642"/>
    </row>
    <row r="526" spans="1:68" ht="27.75" hidden="1" customHeight="1" x14ac:dyDescent="0.2">
      <c r="A526" s="693" t="s">
        <v>839</v>
      </c>
      <c r="B526" s="694"/>
      <c r="C526" s="694"/>
      <c r="D526" s="694"/>
      <c r="E526" s="694"/>
      <c r="F526" s="694"/>
      <c r="G526" s="694"/>
      <c r="H526" s="694"/>
      <c r="I526" s="694"/>
      <c r="J526" s="694"/>
      <c r="K526" s="694"/>
      <c r="L526" s="694"/>
      <c r="M526" s="694"/>
      <c r="N526" s="694"/>
      <c r="O526" s="694"/>
      <c r="P526" s="694"/>
      <c r="Q526" s="694"/>
      <c r="R526" s="694"/>
      <c r="S526" s="694"/>
      <c r="T526" s="694"/>
      <c r="U526" s="694"/>
      <c r="V526" s="694"/>
      <c r="W526" s="694"/>
      <c r="X526" s="694"/>
      <c r="Y526" s="694"/>
      <c r="Z526" s="694"/>
      <c r="AA526" s="48"/>
      <c r="AB526" s="48"/>
      <c r="AC526" s="48"/>
    </row>
    <row r="527" spans="1:68" ht="16.5" hidden="1" customHeight="1" x14ac:dyDescent="0.25">
      <c r="A527" s="651" t="s">
        <v>839</v>
      </c>
      <c r="B527" s="644"/>
      <c r="C527" s="644"/>
      <c r="D527" s="644"/>
      <c r="E527" s="644"/>
      <c r="F527" s="644"/>
      <c r="G527" s="644"/>
      <c r="H527" s="644"/>
      <c r="I527" s="644"/>
      <c r="J527" s="644"/>
      <c r="K527" s="644"/>
      <c r="L527" s="644"/>
      <c r="M527" s="644"/>
      <c r="N527" s="644"/>
      <c r="O527" s="644"/>
      <c r="P527" s="644"/>
      <c r="Q527" s="644"/>
      <c r="R527" s="644"/>
      <c r="S527" s="644"/>
      <c r="T527" s="644"/>
      <c r="U527" s="644"/>
      <c r="V527" s="644"/>
      <c r="W527" s="644"/>
      <c r="X527" s="644"/>
      <c r="Y527" s="644"/>
      <c r="Z527" s="644"/>
      <c r="AA527" s="633"/>
      <c r="AB527" s="633"/>
      <c r="AC527" s="633"/>
    </row>
    <row r="528" spans="1:68" ht="14.25" hidden="1" customHeight="1" x14ac:dyDescent="0.25">
      <c r="A528" s="643" t="s">
        <v>111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9">
        <v>4640242180564</v>
      </c>
      <c r="E529" s="650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2"/>
      <c r="B530" s="644"/>
      <c r="C530" s="644"/>
      <c r="D530" s="644"/>
      <c r="E530" s="644"/>
      <c r="F530" s="644"/>
      <c r="G530" s="644"/>
      <c r="H530" s="644"/>
      <c r="I530" s="644"/>
      <c r="J530" s="644"/>
      <c r="K530" s="644"/>
      <c r="L530" s="644"/>
      <c r="M530" s="644"/>
      <c r="N530" s="644"/>
      <c r="O530" s="653"/>
      <c r="P530" s="655" t="s">
        <v>72</v>
      </c>
      <c r="Q530" s="656"/>
      <c r="R530" s="656"/>
      <c r="S530" s="656"/>
      <c r="T530" s="656"/>
      <c r="U530" s="656"/>
      <c r="V530" s="657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4"/>
      <c r="B531" s="644"/>
      <c r="C531" s="644"/>
      <c r="D531" s="644"/>
      <c r="E531" s="644"/>
      <c r="F531" s="644"/>
      <c r="G531" s="644"/>
      <c r="H531" s="644"/>
      <c r="I531" s="644"/>
      <c r="J531" s="644"/>
      <c r="K531" s="644"/>
      <c r="L531" s="644"/>
      <c r="M531" s="644"/>
      <c r="N531" s="644"/>
      <c r="O531" s="653"/>
      <c r="P531" s="655" t="s">
        <v>72</v>
      </c>
      <c r="Q531" s="656"/>
      <c r="R531" s="656"/>
      <c r="S531" s="656"/>
      <c r="T531" s="656"/>
      <c r="U531" s="656"/>
      <c r="V531" s="657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3" t="s">
        <v>146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9">
        <v>4640242180519</v>
      </c>
      <c r="E533" s="650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2"/>
      <c r="B534" s="644"/>
      <c r="C534" s="644"/>
      <c r="D534" s="644"/>
      <c r="E534" s="644"/>
      <c r="F534" s="644"/>
      <c r="G534" s="644"/>
      <c r="H534" s="644"/>
      <c r="I534" s="644"/>
      <c r="J534" s="644"/>
      <c r="K534" s="644"/>
      <c r="L534" s="644"/>
      <c r="M534" s="644"/>
      <c r="N534" s="644"/>
      <c r="O534" s="653"/>
      <c r="P534" s="655" t="s">
        <v>72</v>
      </c>
      <c r="Q534" s="656"/>
      <c r="R534" s="656"/>
      <c r="S534" s="656"/>
      <c r="T534" s="656"/>
      <c r="U534" s="656"/>
      <c r="V534" s="657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4"/>
      <c r="B535" s="644"/>
      <c r="C535" s="644"/>
      <c r="D535" s="644"/>
      <c r="E535" s="644"/>
      <c r="F535" s="644"/>
      <c r="G535" s="644"/>
      <c r="H535" s="644"/>
      <c r="I535" s="644"/>
      <c r="J535" s="644"/>
      <c r="K535" s="644"/>
      <c r="L535" s="644"/>
      <c r="M535" s="644"/>
      <c r="N535" s="644"/>
      <c r="O535" s="653"/>
      <c r="P535" s="655" t="s">
        <v>72</v>
      </c>
      <c r="Q535" s="656"/>
      <c r="R535" s="656"/>
      <c r="S535" s="656"/>
      <c r="T535" s="656"/>
      <c r="U535" s="656"/>
      <c r="V535" s="657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3" t="s">
        <v>62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9">
        <v>4640242180595</v>
      </c>
      <c r="E537" s="650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44"/>
      <c r="C538" s="644"/>
      <c r="D538" s="644"/>
      <c r="E538" s="644"/>
      <c r="F538" s="644"/>
      <c r="G538" s="644"/>
      <c r="H538" s="644"/>
      <c r="I538" s="644"/>
      <c r="J538" s="644"/>
      <c r="K538" s="644"/>
      <c r="L538" s="644"/>
      <c r="M538" s="644"/>
      <c r="N538" s="644"/>
      <c r="O538" s="653"/>
      <c r="P538" s="655" t="s">
        <v>72</v>
      </c>
      <c r="Q538" s="656"/>
      <c r="R538" s="656"/>
      <c r="S538" s="656"/>
      <c r="T538" s="656"/>
      <c r="U538" s="656"/>
      <c r="V538" s="657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4"/>
      <c r="B539" s="644"/>
      <c r="C539" s="644"/>
      <c r="D539" s="644"/>
      <c r="E539" s="644"/>
      <c r="F539" s="644"/>
      <c r="G539" s="644"/>
      <c r="H539" s="644"/>
      <c r="I539" s="644"/>
      <c r="J539" s="644"/>
      <c r="K539" s="644"/>
      <c r="L539" s="644"/>
      <c r="M539" s="644"/>
      <c r="N539" s="644"/>
      <c r="O539" s="653"/>
      <c r="P539" s="655" t="s">
        <v>72</v>
      </c>
      <c r="Q539" s="656"/>
      <c r="R539" s="656"/>
      <c r="S539" s="656"/>
      <c r="T539" s="656"/>
      <c r="U539" s="656"/>
      <c r="V539" s="657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3" t="s">
        <v>74</v>
      </c>
      <c r="B540" s="644"/>
      <c r="C540" s="644"/>
      <c r="D540" s="644"/>
      <c r="E540" s="644"/>
      <c r="F540" s="644"/>
      <c r="G540" s="644"/>
      <c r="H540" s="644"/>
      <c r="I540" s="644"/>
      <c r="J540" s="644"/>
      <c r="K540" s="644"/>
      <c r="L540" s="644"/>
      <c r="M540" s="644"/>
      <c r="N540" s="644"/>
      <c r="O540" s="644"/>
      <c r="P540" s="644"/>
      <c r="Q540" s="644"/>
      <c r="R540" s="644"/>
      <c r="S540" s="644"/>
      <c r="T540" s="644"/>
      <c r="U540" s="644"/>
      <c r="V540" s="644"/>
      <c r="W540" s="644"/>
      <c r="X540" s="644"/>
      <c r="Y540" s="644"/>
      <c r="Z540" s="644"/>
      <c r="AA540" s="634"/>
      <c r="AB540" s="634"/>
      <c r="AC540" s="634"/>
    </row>
    <row r="541" spans="1:68" ht="27" hidden="1" customHeight="1" x14ac:dyDescent="0.25">
      <c r="A541" s="54" t="s">
        <v>849</v>
      </c>
      <c r="B541" s="54" t="s">
        <v>850</v>
      </c>
      <c r="C541" s="31">
        <v>4301052043</v>
      </c>
      <c r="D541" s="649">
        <v>4640242180533</v>
      </c>
      <c r="E541" s="650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9">
        <v>0</v>
      </c>
      <c r="Y541" s="640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53"/>
      <c r="P542" s="655" t="s">
        <v>72</v>
      </c>
      <c r="Q542" s="656"/>
      <c r="R542" s="656"/>
      <c r="S542" s="656"/>
      <c r="T542" s="656"/>
      <c r="U542" s="656"/>
      <c r="V542" s="657"/>
      <c r="W542" s="37" t="s">
        <v>73</v>
      </c>
      <c r="X542" s="641">
        <f>IFERROR(X541/H541,"0")</f>
        <v>0</v>
      </c>
      <c r="Y542" s="641">
        <f>IFERROR(Y541/H541,"0")</f>
        <v>0</v>
      </c>
      <c r="Z542" s="641">
        <f>IFERROR(IF(Z541="",0,Z541),"0")</f>
        <v>0</v>
      </c>
      <c r="AA542" s="642"/>
      <c r="AB542" s="642"/>
      <c r="AC542" s="642"/>
    </row>
    <row r="543" spans="1:68" hidden="1" x14ac:dyDescent="0.2">
      <c r="A543" s="644"/>
      <c r="B543" s="644"/>
      <c r="C543" s="644"/>
      <c r="D543" s="644"/>
      <c r="E543" s="644"/>
      <c r="F543" s="644"/>
      <c r="G543" s="644"/>
      <c r="H543" s="644"/>
      <c r="I543" s="644"/>
      <c r="J543" s="644"/>
      <c r="K543" s="644"/>
      <c r="L543" s="644"/>
      <c r="M543" s="644"/>
      <c r="N543" s="644"/>
      <c r="O543" s="653"/>
      <c r="P543" s="655" t="s">
        <v>72</v>
      </c>
      <c r="Q543" s="656"/>
      <c r="R543" s="656"/>
      <c r="S543" s="656"/>
      <c r="T543" s="656"/>
      <c r="U543" s="656"/>
      <c r="V543" s="657"/>
      <c r="W543" s="37" t="s">
        <v>67</v>
      </c>
      <c r="X543" s="641">
        <f>IFERROR(SUM(X541:X541),"0")</f>
        <v>0</v>
      </c>
      <c r="Y543" s="641">
        <f>IFERROR(SUM(Y541:Y541),"0")</f>
        <v>0</v>
      </c>
      <c r="Z543" s="37"/>
      <c r="AA543" s="642"/>
      <c r="AB543" s="642"/>
      <c r="AC543" s="642"/>
    </row>
    <row r="544" spans="1:68" ht="14.25" hidden="1" customHeight="1" x14ac:dyDescent="0.25">
      <c r="A544" s="643" t="s">
        <v>164</v>
      </c>
      <c r="B544" s="644"/>
      <c r="C544" s="644"/>
      <c r="D544" s="644"/>
      <c r="E544" s="644"/>
      <c r="F544" s="644"/>
      <c r="G544" s="644"/>
      <c r="H544" s="644"/>
      <c r="I544" s="644"/>
      <c r="J544" s="644"/>
      <c r="K544" s="644"/>
      <c r="L544" s="644"/>
      <c r="M544" s="644"/>
      <c r="N544" s="644"/>
      <c r="O544" s="644"/>
      <c r="P544" s="644"/>
      <c r="Q544" s="644"/>
      <c r="R544" s="644"/>
      <c r="S544" s="644"/>
      <c r="T544" s="644"/>
      <c r="U544" s="644"/>
      <c r="V544" s="644"/>
      <c r="W544" s="644"/>
      <c r="X544" s="644"/>
      <c r="Y544" s="644"/>
      <c r="Z544" s="644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9">
        <v>4640242180120</v>
      </c>
      <c r="E545" s="650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3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9">
        <v>4640242180137</v>
      </c>
      <c r="E546" s="650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44"/>
      <c r="C547" s="644"/>
      <c r="D547" s="644"/>
      <c r="E547" s="644"/>
      <c r="F547" s="644"/>
      <c r="G547" s="644"/>
      <c r="H547" s="644"/>
      <c r="I547" s="644"/>
      <c r="J547" s="644"/>
      <c r="K547" s="644"/>
      <c r="L547" s="644"/>
      <c r="M547" s="644"/>
      <c r="N547" s="644"/>
      <c r="O547" s="653"/>
      <c r="P547" s="655" t="s">
        <v>72</v>
      </c>
      <c r="Q547" s="656"/>
      <c r="R547" s="656"/>
      <c r="S547" s="656"/>
      <c r="T547" s="656"/>
      <c r="U547" s="656"/>
      <c r="V547" s="657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4"/>
      <c r="B548" s="644"/>
      <c r="C548" s="644"/>
      <c r="D548" s="644"/>
      <c r="E548" s="644"/>
      <c r="F548" s="644"/>
      <c r="G548" s="644"/>
      <c r="H548" s="644"/>
      <c r="I548" s="644"/>
      <c r="J548" s="644"/>
      <c r="K548" s="644"/>
      <c r="L548" s="644"/>
      <c r="M548" s="644"/>
      <c r="N548" s="644"/>
      <c r="O548" s="653"/>
      <c r="P548" s="655" t="s">
        <v>72</v>
      </c>
      <c r="Q548" s="656"/>
      <c r="R548" s="656"/>
      <c r="S548" s="656"/>
      <c r="T548" s="656"/>
      <c r="U548" s="656"/>
      <c r="V548" s="657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51" t="s">
        <v>858</v>
      </c>
      <c r="B549" s="644"/>
      <c r="C549" s="644"/>
      <c r="D549" s="644"/>
      <c r="E549" s="644"/>
      <c r="F549" s="644"/>
      <c r="G549" s="644"/>
      <c r="H549" s="644"/>
      <c r="I549" s="644"/>
      <c r="J549" s="644"/>
      <c r="K549" s="644"/>
      <c r="L549" s="644"/>
      <c r="M549" s="644"/>
      <c r="N549" s="644"/>
      <c r="O549" s="644"/>
      <c r="P549" s="644"/>
      <c r="Q549" s="644"/>
      <c r="R549" s="644"/>
      <c r="S549" s="644"/>
      <c r="T549" s="644"/>
      <c r="U549" s="644"/>
      <c r="V549" s="644"/>
      <c r="W549" s="644"/>
      <c r="X549" s="644"/>
      <c r="Y549" s="644"/>
      <c r="Z549" s="644"/>
      <c r="AA549" s="633"/>
      <c r="AB549" s="633"/>
      <c r="AC549" s="633"/>
    </row>
    <row r="550" spans="1:68" ht="14.25" hidden="1" customHeight="1" x14ac:dyDescent="0.25">
      <c r="A550" s="643" t="s">
        <v>146</v>
      </c>
      <c r="B550" s="644"/>
      <c r="C550" s="644"/>
      <c r="D550" s="644"/>
      <c r="E550" s="644"/>
      <c r="F550" s="644"/>
      <c r="G550" s="644"/>
      <c r="H550" s="644"/>
      <c r="I550" s="644"/>
      <c r="J550" s="644"/>
      <c r="K550" s="644"/>
      <c r="L550" s="644"/>
      <c r="M550" s="644"/>
      <c r="N550" s="644"/>
      <c r="O550" s="644"/>
      <c r="P550" s="644"/>
      <c r="Q550" s="644"/>
      <c r="R550" s="644"/>
      <c r="S550" s="644"/>
      <c r="T550" s="644"/>
      <c r="U550" s="644"/>
      <c r="V550" s="644"/>
      <c r="W550" s="644"/>
      <c r="X550" s="644"/>
      <c r="Y550" s="644"/>
      <c r="Z550" s="644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9">
        <v>4680115889798</v>
      </c>
      <c r="E551" s="650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44"/>
      <c r="C552" s="644"/>
      <c r="D552" s="644"/>
      <c r="E552" s="644"/>
      <c r="F552" s="644"/>
      <c r="G552" s="644"/>
      <c r="H552" s="644"/>
      <c r="I552" s="644"/>
      <c r="J552" s="644"/>
      <c r="K552" s="644"/>
      <c r="L552" s="644"/>
      <c r="M552" s="644"/>
      <c r="N552" s="644"/>
      <c r="O552" s="653"/>
      <c r="P552" s="655" t="s">
        <v>72</v>
      </c>
      <c r="Q552" s="656"/>
      <c r="R552" s="656"/>
      <c r="S552" s="656"/>
      <c r="T552" s="656"/>
      <c r="U552" s="656"/>
      <c r="V552" s="657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4"/>
      <c r="B553" s="644"/>
      <c r="C553" s="644"/>
      <c r="D553" s="644"/>
      <c r="E553" s="644"/>
      <c r="F553" s="644"/>
      <c r="G553" s="644"/>
      <c r="H553" s="644"/>
      <c r="I553" s="644"/>
      <c r="J553" s="644"/>
      <c r="K553" s="644"/>
      <c r="L553" s="644"/>
      <c r="M553" s="644"/>
      <c r="N553" s="644"/>
      <c r="O553" s="653"/>
      <c r="P553" s="655" t="s">
        <v>72</v>
      </c>
      <c r="Q553" s="656"/>
      <c r="R553" s="656"/>
      <c r="S553" s="656"/>
      <c r="T553" s="656"/>
      <c r="U553" s="656"/>
      <c r="V553" s="657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26"/>
      <c r="B554" s="644"/>
      <c r="C554" s="644"/>
      <c r="D554" s="644"/>
      <c r="E554" s="644"/>
      <c r="F554" s="644"/>
      <c r="G554" s="644"/>
      <c r="H554" s="644"/>
      <c r="I554" s="644"/>
      <c r="J554" s="644"/>
      <c r="K554" s="644"/>
      <c r="L554" s="644"/>
      <c r="M554" s="644"/>
      <c r="N554" s="644"/>
      <c r="O554" s="727"/>
      <c r="P554" s="665" t="s">
        <v>862</v>
      </c>
      <c r="Q554" s="666"/>
      <c r="R554" s="666"/>
      <c r="S554" s="666"/>
      <c r="T554" s="666"/>
      <c r="U554" s="666"/>
      <c r="V554" s="667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16652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16838.939999999999</v>
      </c>
      <c r="Z554" s="37"/>
      <c r="AA554" s="642"/>
      <c r="AB554" s="642"/>
      <c r="AC554" s="642"/>
    </row>
    <row r="555" spans="1:68" x14ac:dyDescent="0.2">
      <c r="A555" s="644"/>
      <c r="B555" s="644"/>
      <c r="C555" s="644"/>
      <c r="D555" s="644"/>
      <c r="E555" s="644"/>
      <c r="F555" s="644"/>
      <c r="G555" s="644"/>
      <c r="H555" s="644"/>
      <c r="I555" s="644"/>
      <c r="J555" s="644"/>
      <c r="K555" s="644"/>
      <c r="L555" s="644"/>
      <c r="M555" s="644"/>
      <c r="N555" s="644"/>
      <c r="O555" s="727"/>
      <c r="P555" s="665" t="s">
        <v>863</v>
      </c>
      <c r="Q555" s="666"/>
      <c r="R555" s="666"/>
      <c r="S555" s="666"/>
      <c r="T555" s="666"/>
      <c r="U555" s="666"/>
      <c r="V555" s="667"/>
      <c r="W555" s="37" t="s">
        <v>67</v>
      </c>
      <c r="X555" s="641">
        <f>IFERROR(SUM(BM22:BM551),"0")</f>
        <v>17720.008300302699</v>
      </c>
      <c r="Y555" s="641">
        <f>IFERROR(SUM(BN22:BN551),"0")</f>
        <v>17919.218000000001</v>
      </c>
      <c r="Z555" s="37"/>
      <c r="AA555" s="642"/>
      <c r="AB555" s="642"/>
      <c r="AC555" s="642"/>
    </row>
    <row r="556" spans="1:68" x14ac:dyDescent="0.2">
      <c r="A556" s="644"/>
      <c r="B556" s="644"/>
      <c r="C556" s="644"/>
      <c r="D556" s="644"/>
      <c r="E556" s="644"/>
      <c r="F556" s="644"/>
      <c r="G556" s="644"/>
      <c r="H556" s="644"/>
      <c r="I556" s="644"/>
      <c r="J556" s="644"/>
      <c r="K556" s="644"/>
      <c r="L556" s="644"/>
      <c r="M556" s="644"/>
      <c r="N556" s="644"/>
      <c r="O556" s="727"/>
      <c r="P556" s="665" t="s">
        <v>864</v>
      </c>
      <c r="Q556" s="666"/>
      <c r="R556" s="666"/>
      <c r="S556" s="666"/>
      <c r="T556" s="666"/>
      <c r="U556" s="666"/>
      <c r="V556" s="667"/>
      <c r="W556" s="37" t="s">
        <v>865</v>
      </c>
      <c r="X556" s="38">
        <f>ROUNDUP(SUM(BO22:BO551),0)</f>
        <v>30</v>
      </c>
      <c r="Y556" s="38">
        <f>ROUNDUP(SUM(BP22:BP551),0)</f>
        <v>30</v>
      </c>
      <c r="Z556" s="37"/>
      <c r="AA556" s="642"/>
      <c r="AB556" s="642"/>
      <c r="AC556" s="642"/>
    </row>
    <row r="557" spans="1:68" x14ac:dyDescent="0.2">
      <c r="A557" s="644"/>
      <c r="B557" s="644"/>
      <c r="C557" s="644"/>
      <c r="D557" s="644"/>
      <c r="E557" s="644"/>
      <c r="F557" s="644"/>
      <c r="G557" s="644"/>
      <c r="H557" s="644"/>
      <c r="I557" s="644"/>
      <c r="J557" s="644"/>
      <c r="K557" s="644"/>
      <c r="L557" s="644"/>
      <c r="M557" s="644"/>
      <c r="N557" s="644"/>
      <c r="O557" s="727"/>
      <c r="P557" s="665" t="s">
        <v>866</v>
      </c>
      <c r="Q557" s="666"/>
      <c r="R557" s="666"/>
      <c r="S557" s="666"/>
      <c r="T557" s="666"/>
      <c r="U557" s="666"/>
      <c r="V557" s="667"/>
      <c r="W557" s="37" t="s">
        <v>67</v>
      </c>
      <c r="X557" s="641">
        <f>GrossWeightTotal+PalletQtyTotal*25</f>
        <v>18470.008300302699</v>
      </c>
      <c r="Y557" s="641">
        <f>GrossWeightTotalR+PalletQtyTotalR*25</f>
        <v>18669.218000000001</v>
      </c>
      <c r="Z557" s="37"/>
      <c r="AA557" s="642"/>
      <c r="AB557" s="642"/>
      <c r="AC557" s="642"/>
    </row>
    <row r="558" spans="1:68" x14ac:dyDescent="0.2">
      <c r="A558" s="644"/>
      <c r="B558" s="644"/>
      <c r="C558" s="644"/>
      <c r="D558" s="644"/>
      <c r="E558" s="644"/>
      <c r="F558" s="644"/>
      <c r="G558" s="644"/>
      <c r="H558" s="644"/>
      <c r="I558" s="644"/>
      <c r="J558" s="644"/>
      <c r="K558" s="644"/>
      <c r="L558" s="644"/>
      <c r="M558" s="644"/>
      <c r="N558" s="644"/>
      <c r="O558" s="727"/>
      <c r="P558" s="665" t="s">
        <v>867</v>
      </c>
      <c r="Q558" s="666"/>
      <c r="R558" s="666"/>
      <c r="S558" s="666"/>
      <c r="T558" s="666"/>
      <c r="U558" s="666"/>
      <c r="V558" s="667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3160.1129660489955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3196</v>
      </c>
      <c r="Z558" s="37"/>
      <c r="AA558" s="642"/>
      <c r="AB558" s="642"/>
      <c r="AC558" s="642"/>
    </row>
    <row r="559" spans="1:68" ht="15.6" hidden="1" customHeight="1" x14ac:dyDescent="0.2">
      <c r="A559" s="644"/>
      <c r="B559" s="644"/>
      <c r="C559" s="644"/>
      <c r="D559" s="644"/>
      <c r="E559" s="644"/>
      <c r="F559" s="644"/>
      <c r="G559" s="644"/>
      <c r="H559" s="644"/>
      <c r="I559" s="644"/>
      <c r="J559" s="644"/>
      <c r="K559" s="644"/>
      <c r="L559" s="644"/>
      <c r="M559" s="644"/>
      <c r="N559" s="644"/>
      <c r="O559" s="727"/>
      <c r="P559" s="665" t="s">
        <v>868</v>
      </c>
      <c r="Q559" s="666"/>
      <c r="R559" s="666"/>
      <c r="S559" s="666"/>
      <c r="T559" s="666"/>
      <c r="U559" s="666"/>
      <c r="V559" s="667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35.637700000000009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88" t="s">
        <v>109</v>
      </c>
      <c r="E561" s="763"/>
      <c r="F561" s="763"/>
      <c r="G561" s="763"/>
      <c r="H561" s="763"/>
      <c r="I561" s="763"/>
      <c r="J561" s="733"/>
      <c r="K561" s="688" t="s">
        <v>333</v>
      </c>
      <c r="L561" s="763"/>
      <c r="M561" s="763"/>
      <c r="N561" s="763"/>
      <c r="O561" s="763"/>
      <c r="P561" s="763"/>
      <c r="Q561" s="763"/>
      <c r="R561" s="763"/>
      <c r="S561" s="763"/>
      <c r="T561" s="763"/>
      <c r="U561" s="763"/>
      <c r="V561" s="733"/>
      <c r="W561" s="688" t="s">
        <v>690</v>
      </c>
      <c r="X561" s="733"/>
      <c r="Y561" s="688" t="s">
        <v>756</v>
      </c>
      <c r="Z561" s="733"/>
      <c r="AA561" s="631" t="s">
        <v>792</v>
      </c>
      <c r="AB561" s="688" t="s">
        <v>839</v>
      </c>
      <c r="AC561" s="733"/>
      <c r="AF561" s="632"/>
    </row>
    <row r="562" spans="1:32" ht="14.25" customHeight="1" thickTop="1" x14ac:dyDescent="0.2">
      <c r="A562" s="709" t="s">
        <v>871</v>
      </c>
      <c r="B562" s="688" t="s">
        <v>61</v>
      </c>
      <c r="C562" s="688" t="s">
        <v>93</v>
      </c>
      <c r="D562" s="688" t="s">
        <v>110</v>
      </c>
      <c r="E562" s="688" t="s">
        <v>126</v>
      </c>
      <c r="F562" s="688" t="s">
        <v>172</v>
      </c>
      <c r="G562" s="688" t="s">
        <v>195</v>
      </c>
      <c r="H562" s="688" t="s">
        <v>239</v>
      </c>
      <c r="I562" s="688" t="s">
        <v>252</v>
      </c>
      <c r="J562" s="688" t="s">
        <v>109</v>
      </c>
      <c r="K562" s="688" t="s">
        <v>334</v>
      </c>
      <c r="L562" s="688" t="s">
        <v>355</v>
      </c>
      <c r="M562" s="688" t="s">
        <v>429</v>
      </c>
      <c r="N562" s="632"/>
      <c r="O562" s="688" t="s">
        <v>497</v>
      </c>
      <c r="P562" s="688" t="s">
        <v>526</v>
      </c>
      <c r="Q562" s="688" t="s">
        <v>547</v>
      </c>
      <c r="R562" s="688" t="s">
        <v>556</v>
      </c>
      <c r="S562" s="688" t="s">
        <v>577</v>
      </c>
      <c r="T562" s="688" t="s">
        <v>586</v>
      </c>
      <c r="U562" s="688" t="s">
        <v>673</v>
      </c>
      <c r="V562" s="688" t="s">
        <v>680</v>
      </c>
      <c r="W562" s="688" t="s">
        <v>691</v>
      </c>
      <c r="X562" s="688" t="s">
        <v>740</v>
      </c>
      <c r="Y562" s="688" t="s">
        <v>757</v>
      </c>
      <c r="Z562" s="688" t="s">
        <v>780</v>
      </c>
      <c r="AA562" s="688" t="s">
        <v>792</v>
      </c>
      <c r="AB562" s="688" t="s">
        <v>839</v>
      </c>
      <c r="AC562" s="688" t="s">
        <v>858</v>
      </c>
      <c r="AF562" s="632"/>
    </row>
    <row r="563" spans="1:32" ht="13.9" customHeight="1" thickBot="1" x14ac:dyDescent="0.25">
      <c r="A563" s="710"/>
      <c r="B563" s="689"/>
      <c r="C563" s="689"/>
      <c r="D563" s="689"/>
      <c r="E563" s="689"/>
      <c r="F563" s="689"/>
      <c r="G563" s="689"/>
      <c r="H563" s="689"/>
      <c r="I563" s="689"/>
      <c r="J563" s="689"/>
      <c r="K563" s="689"/>
      <c r="L563" s="689"/>
      <c r="M563" s="689"/>
      <c r="N563" s="632"/>
      <c r="O563" s="689"/>
      <c r="P563" s="689"/>
      <c r="Q563" s="689"/>
      <c r="R563" s="689"/>
      <c r="S563" s="689"/>
      <c r="T563" s="689"/>
      <c r="U563" s="689"/>
      <c r="V563" s="689"/>
      <c r="W563" s="689"/>
      <c r="X563" s="689"/>
      <c r="Y563" s="689"/>
      <c r="Z563" s="689"/>
      <c r="AA563" s="689"/>
      <c r="AB563" s="689"/>
      <c r="AC563" s="689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1.8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317.20000000000005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441.7</v>
      </c>
      <c r="F564" s="46">
        <f>IFERROR(Y85*1,"0")+IFERROR(Y86*1,"0")+IFERROR(Y87*1,"0")+IFERROR(Y88*1,"0")+IFERROR(Y89*1,"0")+IFERROR(Y93*1,"0")+IFERROR(Y94*1,"0")+IFERROR(Y95*1,"0")+IFERROR(Y96*1,"0")</f>
        <v>751.00000000000011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1963.2</v>
      </c>
      <c r="H564" s="46">
        <f>IFERROR(Y132*1,"0")+IFERROR(Y133*1,"0")+IFERROR(Y137*1,"0")+IFERROR(Y138*1,"0")+IFERROR(Y142*1,"0")+IFERROR(Y143*1,"0")</f>
        <v>19.200000000000003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101.22000000000001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258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2788.7999999999997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0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192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117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582.29999999999995</v>
      </c>
      <c r="U564" s="46">
        <f>IFERROR(Y412*1,"0")+IFERROR(Y413*1,"0")</f>
        <v>0</v>
      </c>
      <c r="V564" s="46">
        <f>IFERROR(Y418*1,"0")+IFERROR(Y419*1,"0")+IFERROR(Y420*1,"0")</f>
        <v>33.6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3015</v>
      </c>
      <c r="X564" s="46">
        <f>IFERROR(Y455*1,"0")+IFERROR(Y456*1,"0")+IFERROR(Y460*1,"0")+IFERROR(Y464*1,"0")+IFERROR(Y465*1,"0")+IFERROR(Y466*1,"0")</f>
        <v>1111.8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5145.1200000000008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1 063,00"/>
        <filter val="1 103,00"/>
        <filter val="1 250,00"/>
        <filter val="1 262,00"/>
        <filter val="1 283,00"/>
        <filter val="1 310,00"/>
        <filter val="1 396,00"/>
        <filter val="1 431,00"/>
        <filter val="1 514,00"/>
        <filter val="1 683,00"/>
        <filter val="1 810,00"/>
        <filter val="1 871,00"/>
        <filter val="1 997,00"/>
        <filter val="1,00"/>
        <filter val="10,00"/>
        <filter val="112,20"/>
        <filter val="115,00"/>
        <filter val="12,70"/>
        <filter val="121,00"/>
        <filter val="122,00"/>
        <filter val="13,00"/>
        <filter val="134,78"/>
        <filter val="139,00"/>
        <filter val="14,00"/>
        <filter val="14,74"/>
        <filter val="15,00"/>
        <filter val="15,23"/>
        <filter val="15,24"/>
        <filter val="151,00"/>
        <filter val="16 652,00"/>
        <filter val="16,00"/>
        <filter val="164,00"/>
        <filter val="17 720,01"/>
        <filter val="17,00"/>
        <filter val="18 470,01"/>
        <filter val="18,00"/>
        <filter val="185,00"/>
        <filter val="188,00"/>
        <filter val="19,00"/>
        <filter val="191,00"/>
        <filter val="192,00"/>
        <filter val="2,00"/>
        <filter val="20,00"/>
        <filter val="205,00"/>
        <filter val="21,00"/>
        <filter val="21,43"/>
        <filter val="211,73"/>
        <filter val="22,00"/>
        <filter val="22,86"/>
        <filter val="24,00"/>
        <filter val="24,10"/>
        <filter val="241,33"/>
        <filter val="246,00"/>
        <filter val="249,26"/>
        <filter val="25,25"/>
        <filter val="261,00"/>
        <filter val="27,00"/>
        <filter val="270,00"/>
        <filter val="293,00"/>
        <filter val="3 160,11"/>
        <filter val="3,89"/>
        <filter val="30"/>
        <filter val="30,64"/>
        <filter val="306,00"/>
        <filter val="32,00"/>
        <filter val="343,33"/>
        <filter val="355,51"/>
        <filter val="36,87"/>
        <filter val="37,00"/>
        <filter val="378,22"/>
        <filter val="39,00"/>
        <filter val="4,00"/>
        <filter val="40,00"/>
        <filter val="400,00"/>
        <filter val="404,00"/>
        <filter val="42,00"/>
        <filter val="45,00"/>
        <filter val="46,00"/>
        <filter val="5,94"/>
        <filter val="50,00"/>
        <filter val="507,00"/>
        <filter val="51,00"/>
        <filter val="513,55"/>
        <filter val="517,00"/>
        <filter val="539,00"/>
        <filter val="550,00"/>
        <filter val="558,00"/>
        <filter val="559,00"/>
        <filter val="561,00"/>
        <filter val="57,00"/>
        <filter val="6,00"/>
        <filter val="6,67"/>
        <filter val="60,00"/>
        <filter val="601,00"/>
        <filter val="61,00"/>
        <filter val="61,12"/>
        <filter val="660,00"/>
        <filter val="675,00"/>
        <filter val="681,00"/>
        <filter val="69,00"/>
        <filter val="69,10"/>
        <filter val="69,46"/>
        <filter val="7,00"/>
        <filter val="70,00"/>
        <filter val="756,00"/>
        <filter val="78,00"/>
        <filter val="79,58"/>
        <filter val="8,00"/>
        <filter val="8,24"/>
        <filter val="8,89"/>
        <filter val="81,00"/>
        <filter val="87,33"/>
        <filter val="9,00"/>
        <filter val="900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D105:E105"/>
    <mergeCell ref="N17:N18"/>
    <mergeCell ref="D49:E49"/>
    <mergeCell ref="J9:M9"/>
    <mergeCell ref="A13:M13"/>
    <mergeCell ref="P15:T16"/>
    <mergeCell ref="P23:T23"/>
    <mergeCell ref="D162:E162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P149:T149"/>
    <mergeCell ref="P174:T174"/>
    <mergeCell ref="D266:E266"/>
    <mergeCell ref="U17:V17"/>
    <mergeCell ref="Y17:Y18"/>
    <mergeCell ref="D331:E331"/>
    <mergeCell ref="D57:E57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P433:T433"/>
    <mergeCell ref="P524:V524"/>
    <mergeCell ref="A549:Z549"/>
    <mergeCell ref="D341:E341"/>
    <mergeCell ref="A536:Z536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F5:G5"/>
    <mergeCell ref="V11:W11"/>
    <mergeCell ref="D152:E152"/>
    <mergeCell ref="D323:E323"/>
    <mergeCell ref="Q13:R13"/>
    <mergeCell ref="P97:V97"/>
    <mergeCell ref="P134:V134"/>
    <mergeCell ref="P201:T201"/>
    <mergeCell ref="M17:M18"/>
    <mergeCell ref="O17:O18"/>
    <mergeCell ref="H5:M5"/>
    <mergeCell ref="H17:H18"/>
    <mergeCell ref="AD17:AF18"/>
    <mergeCell ref="D101:E101"/>
    <mergeCell ref="Z562:Z563"/>
    <mergeCell ref="P403:V403"/>
    <mergeCell ref="AB562:AB563"/>
    <mergeCell ref="P117:V117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D392:E392"/>
    <mergeCell ref="P57:T57"/>
    <mergeCell ref="D475:E475"/>
    <mergeCell ref="P342:T342"/>
    <mergeCell ref="A408:O409"/>
    <mergeCell ref="A552:O553"/>
    <mergeCell ref="P305:V305"/>
    <mergeCell ref="P228:T228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Q562:Q56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A391:Z391"/>
    <mergeCell ref="P176:T176"/>
    <mergeCell ref="P114:T114"/>
    <mergeCell ref="P247:T247"/>
    <mergeCell ref="P241:T241"/>
    <mergeCell ref="D149:E149"/>
    <mergeCell ref="P258:V258"/>
    <mergeCell ref="A297:Z297"/>
    <mergeCell ref="P102:T102"/>
    <mergeCell ref="P121:T121"/>
    <mergeCell ref="A160:Z160"/>
    <mergeCell ref="P96:T96"/>
    <mergeCell ref="D112:E112"/>
    <mergeCell ref="A90:O91"/>
    <mergeCell ref="D405:E405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A64:Z64"/>
    <mergeCell ref="P41:T41"/>
    <mergeCell ref="D22:E22"/>
    <mergeCell ref="A62:O63"/>
    <mergeCell ref="P49:T49"/>
    <mergeCell ref="P63:V63"/>
    <mergeCell ref="P52:V52"/>
    <mergeCell ref="D29:E29"/>
    <mergeCell ref="D23:E23"/>
    <mergeCell ref="D59:E59"/>
    <mergeCell ref="D27:E27"/>
    <mergeCell ref="A24:O25"/>
    <mergeCell ref="P65:T65"/>
    <mergeCell ref="A383:O384"/>
    <mergeCell ref="Q6:R6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R562:R563"/>
    <mergeCell ref="P158:V158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512:T512"/>
    <mergeCell ref="P487:T487"/>
    <mergeCell ref="A214:Z214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D283:E283"/>
    <mergeCell ref="P389:V389"/>
    <mergeCell ref="P419:T419"/>
    <mergeCell ref="P219:T219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519:E519"/>
    <mergeCell ref="D56:E56"/>
    <mergeCell ref="D127:E127"/>
    <mergeCell ref="P206:T206"/>
    <mergeCell ref="D491:E491"/>
    <mergeCell ref="P233:T233"/>
    <mergeCell ref="P37:T37"/>
    <mergeCell ref="D116:E116"/>
    <mergeCell ref="D352:E352"/>
    <mergeCell ref="T562:T563"/>
    <mergeCell ref="A230:O231"/>
    <mergeCell ref="A119:Z119"/>
    <mergeCell ref="A417:Z417"/>
    <mergeCell ref="D61:E61"/>
    <mergeCell ref="P115:T115"/>
    <mergeCell ref="P231:V231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496:Z496"/>
    <mergeCell ref="D132:E132"/>
    <mergeCell ref="P89:T89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D178:E178"/>
    <mergeCell ref="P88:T88"/>
    <mergeCell ref="P461:V461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D182:E182"/>
    <mergeCell ref="A14:M14"/>
    <mergeCell ref="A111:Z111"/>
    <mergeCell ref="P153:T153"/>
    <mergeCell ref="P324:T324"/>
    <mergeCell ref="A92:Z92"/>
    <mergeCell ref="A350:Z350"/>
    <mergeCell ref="P313:V313"/>
    <mergeCell ref="P380:T380"/>
    <mergeCell ref="P328:V328"/>
    <mergeCell ref="P213:V213"/>
    <mergeCell ref="A209:Z209"/>
    <mergeCell ref="P122:T122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514:O515"/>
    <mergeCell ref="I562:I563"/>
    <mergeCell ref="K562:K563"/>
    <mergeCell ref="P554:V554"/>
    <mergeCell ref="P545:T545"/>
    <mergeCell ref="P511:T511"/>
    <mergeCell ref="P534:V534"/>
    <mergeCell ref="P525:V525"/>
    <mergeCell ref="P533:T533"/>
    <mergeCell ref="P408:V408"/>
    <mergeCell ref="D325:E325"/>
    <mergeCell ref="A398:Z398"/>
    <mergeCell ref="P450:T450"/>
    <mergeCell ref="D456:E456"/>
    <mergeCell ref="P211:T211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69:O70"/>
    <mergeCell ref="P272:T272"/>
    <mergeCell ref="P308:T308"/>
    <mergeCell ref="D106:E106"/>
    <mergeCell ref="P427:T427"/>
    <mergeCell ref="P283:T283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6:C6"/>
    <mergeCell ref="Q12:R12"/>
    <mergeCell ref="A26:Z26"/>
    <mergeCell ref="D8:M8"/>
    <mergeCell ref="D7:M7"/>
    <mergeCell ref="P236:T236"/>
    <mergeCell ref="D79:E79"/>
    <mergeCell ref="D9:E9"/>
    <mergeCell ref="P137:T137"/>
    <mergeCell ref="D180:E180"/>
    <mergeCell ref="F9:G9"/>
    <mergeCell ref="A248:O249"/>
    <mergeCell ref="D93:E93"/>
    <mergeCell ref="P277:T277"/>
    <mergeCell ref="D220:E220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D113:E113"/>
    <mergeCell ref="P180:T180"/>
    <mergeCell ref="P415:V415"/>
    <mergeCell ref="I17:I18"/>
    <mergeCell ref="P281:T281"/>
    <mergeCell ref="P17:T18"/>
    <mergeCell ref="A471:Z471"/>
    <mergeCell ref="P113:T113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A467:O468"/>
    <mergeCell ref="P481:T481"/>
    <mergeCell ref="P189:T189"/>
    <mergeCell ref="P456:T456"/>
    <mergeCell ref="P287:T287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A414:O415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P103:T103"/>
    <mergeCell ref="P474:T474"/>
    <mergeCell ref="P268:T268"/>
    <mergeCell ref="P401:T401"/>
    <mergeCell ref="P168:T168"/>
    <mergeCell ref="D211:E211"/>
    <mergeCell ref="A538:O539"/>
    <mergeCell ref="P237:T237"/>
    <mergeCell ref="P31:T31"/>
    <mergeCell ref="P91:V9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P33:V33"/>
    <mergeCell ref="P264:V264"/>
    <mergeCell ref="P335:V335"/>
    <mergeCell ref="A396:O397"/>
    <mergeCell ref="A45:Z45"/>
    <mergeCell ref="P462:V462"/>
    <mergeCell ref="P163:T163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D280:E280"/>
    <mergeCell ref="D551:E551"/>
    <mergeCell ref="D300:E300"/>
    <mergeCell ref="P473:T473"/>
    <mergeCell ref="A291:Z291"/>
    <mergeCell ref="P548:V548"/>
    <mergeCell ref="D365:E365"/>
    <mergeCell ref="P327:V327"/>
    <mergeCell ref="P394:T394"/>
    <mergeCell ref="A451:O452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A34:Z34"/>
    <mergeCell ref="A83:Z83"/>
    <mergeCell ref="A276:Z276"/>
    <mergeCell ref="P451:V451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  <mergeCell ref="P435:V435"/>
    <mergeCell ref="D399:E399"/>
    <mergeCell ref="P468:V468"/>
    <mergeCell ref="A141:Z141"/>
    <mergeCell ref="A144:O145"/>
    <mergeCell ref="P225:T225"/>
    <mergeCell ref="D439:E439"/>
    <mergeCell ref="P200:T20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