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4C116BB-1127-4FAC-B4C4-04D7FE0BF3C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5" i="1" l="1"/>
  <c r="X554" i="1"/>
  <c r="BO553" i="1"/>
  <c r="BM553" i="1"/>
  <c r="Y553" i="1"/>
  <c r="P553" i="1"/>
  <c r="X550" i="1"/>
  <c r="X549" i="1"/>
  <c r="BO548" i="1"/>
  <c r="BM548" i="1"/>
  <c r="Y548" i="1"/>
  <c r="P548" i="1"/>
  <c r="BO547" i="1"/>
  <c r="BM547" i="1"/>
  <c r="Y547" i="1"/>
  <c r="Y549" i="1" s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1" i="1"/>
  <c r="X530" i="1"/>
  <c r="BO529" i="1"/>
  <c r="BM529" i="1"/>
  <c r="Y529" i="1"/>
  <c r="P529" i="1"/>
  <c r="BO528" i="1"/>
  <c r="BN528" i="1"/>
  <c r="BM528" i="1"/>
  <c r="Y528" i="1"/>
  <c r="BP528" i="1" s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N508" i="1"/>
  <c r="BM508" i="1"/>
  <c r="Y508" i="1"/>
  <c r="BP508" i="1" s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O498" i="1"/>
  <c r="BM498" i="1"/>
  <c r="Y498" i="1"/>
  <c r="BN498" i="1" s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BN479" i="1" s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8" i="1"/>
  <c r="Y457" i="1"/>
  <c r="X457" i="1"/>
  <c r="BO456" i="1"/>
  <c r="BN456" i="1"/>
  <c r="BM456" i="1"/>
  <c r="Y456" i="1"/>
  <c r="BP456" i="1" s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N444" i="1"/>
  <c r="BM444" i="1"/>
  <c r="Y444" i="1"/>
  <c r="BP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N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N432" i="1"/>
  <c r="BM432" i="1"/>
  <c r="Y432" i="1"/>
  <c r="BP432" i="1" s="1"/>
  <c r="P432" i="1"/>
  <c r="X428" i="1"/>
  <c r="X427" i="1"/>
  <c r="BO426" i="1"/>
  <c r="BM426" i="1"/>
  <c r="Y426" i="1"/>
  <c r="P426" i="1"/>
  <c r="BO425" i="1"/>
  <c r="BM425" i="1"/>
  <c r="Y425" i="1"/>
  <c r="P425" i="1"/>
  <c r="BO424" i="1"/>
  <c r="BN424" i="1"/>
  <c r="BM424" i="1"/>
  <c r="Y424" i="1"/>
  <c r="BP424" i="1" s="1"/>
  <c r="P424" i="1"/>
  <c r="X421" i="1"/>
  <c r="Y420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BN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Y395" i="1"/>
  <c r="X395" i="1"/>
  <c r="BO394" i="1"/>
  <c r="BN394" i="1"/>
  <c r="BM394" i="1"/>
  <c r="Y394" i="1"/>
  <c r="BP394" i="1" s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BN388" i="1" s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BN376" i="1" s="1"/>
  <c r="P376" i="1"/>
  <c r="BO375" i="1"/>
  <c r="BM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O359" i="1"/>
  <c r="BN359" i="1"/>
  <c r="BM359" i="1"/>
  <c r="Y359" i="1"/>
  <c r="BP359" i="1" s="1"/>
  <c r="P359" i="1"/>
  <c r="BO358" i="1"/>
  <c r="BM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BN344" i="1" s="1"/>
  <c r="P344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N332" i="1"/>
  <c r="BM332" i="1"/>
  <c r="Y332" i="1"/>
  <c r="BP332" i="1" s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BN307" i="1" s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N292" i="1"/>
  <c r="BM292" i="1"/>
  <c r="Y292" i="1"/>
  <c r="BP292" i="1" s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Z285" i="1" s="1"/>
  <c r="P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70" i="1"/>
  <c r="X269" i="1"/>
  <c r="BO268" i="1"/>
  <c r="BM268" i="1"/>
  <c r="Y268" i="1"/>
  <c r="P268" i="1"/>
  <c r="BO267" i="1"/>
  <c r="BN267" i="1"/>
  <c r="BM267" i="1"/>
  <c r="Y267" i="1"/>
  <c r="BP267" i="1" s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X255" i="1"/>
  <c r="X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P247" i="1"/>
  <c r="BO246" i="1"/>
  <c r="BN246" i="1"/>
  <c r="BM246" i="1"/>
  <c r="Y246" i="1"/>
  <c r="BP246" i="1" s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X237" i="1"/>
  <c r="X236" i="1"/>
  <c r="BO235" i="1"/>
  <c r="BM235" i="1"/>
  <c r="Y235" i="1"/>
  <c r="P235" i="1"/>
  <c r="BO234" i="1"/>
  <c r="BN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N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O191" i="1"/>
  <c r="BN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BN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O166" i="1"/>
  <c r="BN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N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2" i="1"/>
  <c r="X141" i="1"/>
  <c r="BO140" i="1"/>
  <c r="BM140" i="1"/>
  <c r="Y140" i="1"/>
  <c r="BN140" i="1" s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X131" i="1"/>
  <c r="X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P88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BP82" i="1" s="1"/>
  <c r="P82" i="1"/>
  <c r="BO81" i="1"/>
  <c r="BM81" i="1"/>
  <c r="Y81" i="1"/>
  <c r="Y85" i="1" s="1"/>
  <c r="P81" i="1"/>
  <c r="X79" i="1"/>
  <c r="X78" i="1"/>
  <c r="BO77" i="1"/>
  <c r="BM77" i="1"/>
  <c r="Y77" i="1"/>
  <c r="BP77" i="1" s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60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F9" i="1" l="1"/>
  <c r="J9" i="1"/>
  <c r="Z38" i="1"/>
  <c r="BP38" i="1"/>
  <c r="BN55" i="1"/>
  <c r="Z63" i="1"/>
  <c r="BP63" i="1"/>
  <c r="Y73" i="1"/>
  <c r="BN77" i="1"/>
  <c r="Z90" i="1"/>
  <c r="BP90" i="1"/>
  <c r="BN105" i="1"/>
  <c r="BN117" i="1"/>
  <c r="Z140" i="1"/>
  <c r="BP140" i="1"/>
  <c r="Z176" i="1"/>
  <c r="BP176" i="1"/>
  <c r="Z183" i="1"/>
  <c r="BP183" i="1"/>
  <c r="Z226" i="1"/>
  <c r="BP226" i="1"/>
  <c r="Z307" i="1"/>
  <c r="BP307" i="1"/>
  <c r="Z344" i="1"/>
  <c r="BP344" i="1"/>
  <c r="Z376" i="1"/>
  <c r="BP376" i="1"/>
  <c r="Z388" i="1"/>
  <c r="BP388" i="1"/>
  <c r="Z406" i="1"/>
  <c r="BP406" i="1"/>
  <c r="Z479" i="1"/>
  <c r="BP479" i="1"/>
  <c r="Z498" i="1"/>
  <c r="BP498" i="1"/>
  <c r="Z512" i="1"/>
  <c r="BP512" i="1"/>
  <c r="F10" i="1"/>
  <c r="Z166" i="1"/>
  <c r="Z191" i="1"/>
  <c r="Z222" i="1"/>
  <c r="Z267" i="1"/>
  <c r="Z279" i="1"/>
  <c r="Z394" i="1"/>
  <c r="Z424" i="1"/>
  <c r="Z436" i="1"/>
  <c r="Z456" i="1"/>
  <c r="Z508" i="1"/>
  <c r="Z55" i="1"/>
  <c r="Z77" i="1"/>
  <c r="Z105" i="1"/>
  <c r="Z117" i="1"/>
  <c r="Z155" i="1"/>
  <c r="Z209" i="1"/>
  <c r="Z234" i="1"/>
  <c r="Z246" i="1"/>
  <c r="Z275" i="1"/>
  <c r="Z292" i="1"/>
  <c r="Z332" i="1"/>
  <c r="Z359" i="1"/>
  <c r="Z432" i="1"/>
  <c r="Z444" i="1"/>
  <c r="Z528" i="1"/>
  <c r="AB566" i="1"/>
  <c r="BP294" i="1"/>
  <c r="BN294" i="1"/>
  <c r="Z294" i="1"/>
  <c r="BP309" i="1"/>
  <c r="BN309" i="1"/>
  <c r="Z309" i="1"/>
  <c r="BP337" i="1"/>
  <c r="BN337" i="1"/>
  <c r="Z337" i="1"/>
  <c r="BP352" i="1"/>
  <c r="BN352" i="1"/>
  <c r="Z352" i="1"/>
  <c r="BP370" i="1"/>
  <c r="BN370" i="1"/>
  <c r="Z370" i="1"/>
  <c r="BP386" i="1"/>
  <c r="BN386" i="1"/>
  <c r="Z386" i="1"/>
  <c r="BP400" i="1"/>
  <c r="BN400" i="1"/>
  <c r="Z400" i="1"/>
  <c r="BP426" i="1"/>
  <c r="BN426" i="1"/>
  <c r="Z426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Z22" i="1"/>
  <c r="BN22" i="1"/>
  <c r="Y32" i="1"/>
  <c r="Z30" i="1"/>
  <c r="BN30" i="1"/>
  <c r="C566" i="1"/>
  <c r="Z40" i="1"/>
  <c r="BN40" i="1"/>
  <c r="D566" i="1"/>
  <c r="Z50" i="1"/>
  <c r="BN50" i="1"/>
  <c r="Z57" i="1"/>
  <c r="BN57" i="1"/>
  <c r="Z61" i="1"/>
  <c r="BN61" i="1"/>
  <c r="Z67" i="1"/>
  <c r="BN67" i="1"/>
  <c r="BP67" i="1"/>
  <c r="Z71" i="1"/>
  <c r="BN71" i="1"/>
  <c r="Z81" i="1"/>
  <c r="BN81" i="1"/>
  <c r="BP81" i="1"/>
  <c r="Z88" i="1"/>
  <c r="BN88" i="1"/>
  <c r="Z92" i="1"/>
  <c r="BN92" i="1"/>
  <c r="Y100" i="1"/>
  <c r="Z98" i="1"/>
  <c r="BN98" i="1"/>
  <c r="G566" i="1"/>
  <c r="Z107" i="1"/>
  <c r="BN107" i="1"/>
  <c r="Z111" i="1"/>
  <c r="BN111" i="1"/>
  <c r="Y119" i="1"/>
  <c r="Z123" i="1"/>
  <c r="BN123" i="1"/>
  <c r="Z129" i="1"/>
  <c r="Z130" i="1" s="1"/>
  <c r="BN129" i="1"/>
  <c r="BP129" i="1"/>
  <c r="Y130" i="1"/>
  <c r="Z134" i="1"/>
  <c r="BN134" i="1"/>
  <c r="Z144" i="1"/>
  <c r="BN144" i="1"/>
  <c r="BP144" i="1"/>
  <c r="I566" i="1"/>
  <c r="Z153" i="1"/>
  <c r="BN153" i="1"/>
  <c r="Z159" i="1"/>
  <c r="Z160" i="1" s="1"/>
  <c r="BN159" i="1"/>
  <c r="BP159" i="1"/>
  <c r="Y160" i="1"/>
  <c r="Z164" i="1"/>
  <c r="BN164" i="1"/>
  <c r="Z172" i="1"/>
  <c r="BN172" i="1"/>
  <c r="Z178" i="1"/>
  <c r="BN178" i="1"/>
  <c r="Z181" i="1"/>
  <c r="BN181" i="1"/>
  <c r="Z185" i="1"/>
  <c r="BN185" i="1"/>
  <c r="Z207" i="1"/>
  <c r="BN207" i="1"/>
  <c r="Z211" i="1"/>
  <c r="BN211" i="1"/>
  <c r="Z224" i="1"/>
  <c r="BN224" i="1"/>
  <c r="Z228" i="1"/>
  <c r="BN228" i="1"/>
  <c r="Z232" i="1"/>
  <c r="BN232" i="1"/>
  <c r="Z240" i="1"/>
  <c r="BN240" i="1"/>
  <c r="Z244" i="1"/>
  <c r="BN244" i="1"/>
  <c r="Z252" i="1"/>
  <c r="BN252" i="1"/>
  <c r="Z273" i="1"/>
  <c r="BN273" i="1"/>
  <c r="Z277" i="1"/>
  <c r="BN277" i="1"/>
  <c r="Z283" i="1"/>
  <c r="BN283" i="1"/>
  <c r="Z286" i="1"/>
  <c r="BN286" i="1"/>
  <c r="Z290" i="1"/>
  <c r="BN290" i="1"/>
  <c r="BP305" i="1"/>
  <c r="BN305" i="1"/>
  <c r="Z305" i="1"/>
  <c r="BP330" i="1"/>
  <c r="BN330" i="1"/>
  <c r="Z330" i="1"/>
  <c r="Y340" i="1"/>
  <c r="BP346" i="1"/>
  <c r="BN346" i="1"/>
  <c r="Z346" i="1"/>
  <c r="BP366" i="1"/>
  <c r="BN366" i="1"/>
  <c r="Z366" i="1"/>
  <c r="BP378" i="1"/>
  <c r="BN378" i="1"/>
  <c r="Z378" i="1"/>
  <c r="Y396" i="1"/>
  <c r="BP392" i="1"/>
  <c r="BN392" i="1"/>
  <c r="Z392" i="1"/>
  <c r="BP412" i="1"/>
  <c r="BN412" i="1"/>
  <c r="Z412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48" i="1"/>
  <c r="BN548" i="1"/>
  <c r="Z548" i="1"/>
  <c r="AC566" i="1"/>
  <c r="Y554" i="1"/>
  <c r="BP553" i="1"/>
  <c r="BN553" i="1"/>
  <c r="Z553" i="1"/>
  <c r="Z554" i="1" s="1"/>
  <c r="Y300" i="1"/>
  <c r="Y25" i="1"/>
  <c r="Y33" i="1"/>
  <c r="Y43" i="1"/>
  <c r="Y51" i="1"/>
  <c r="Y64" i="1"/>
  <c r="Y74" i="1"/>
  <c r="Y78" i="1"/>
  <c r="Y84" i="1"/>
  <c r="Y93" i="1"/>
  <c r="Y101" i="1"/>
  <c r="Y114" i="1"/>
  <c r="Y120" i="1"/>
  <c r="Y126" i="1"/>
  <c r="Y137" i="1"/>
  <c r="Y141" i="1"/>
  <c r="Y147" i="1"/>
  <c r="Y156" i="1"/>
  <c r="Y169" i="1"/>
  <c r="Y173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6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Y237" i="1"/>
  <c r="Y248" i="1"/>
  <c r="BP239" i="1"/>
  <c r="BN239" i="1"/>
  <c r="Z239" i="1"/>
  <c r="BP243" i="1"/>
  <c r="BN243" i="1"/>
  <c r="Z243" i="1"/>
  <c r="BP247" i="1"/>
  <c r="BN247" i="1"/>
  <c r="Z247" i="1"/>
  <c r="Y249" i="1"/>
  <c r="Y254" i="1"/>
  <c r="BP251" i="1"/>
  <c r="BN251" i="1"/>
  <c r="Z251" i="1"/>
  <c r="BP268" i="1"/>
  <c r="BN268" i="1"/>
  <c r="Z268" i="1"/>
  <c r="Z269" i="1" s="1"/>
  <c r="Y270" i="1"/>
  <c r="Y281" i="1"/>
  <c r="BP272" i="1"/>
  <c r="BN272" i="1"/>
  <c r="Z272" i="1"/>
  <c r="BP276" i="1"/>
  <c r="BN276" i="1"/>
  <c r="Z276" i="1"/>
  <c r="Y280" i="1"/>
  <c r="BP284" i="1"/>
  <c r="BN284" i="1"/>
  <c r="Z284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Y333" i="1"/>
  <c r="BP331" i="1"/>
  <c r="BN331" i="1"/>
  <c r="Z331" i="1"/>
  <c r="BP399" i="1"/>
  <c r="BN399" i="1"/>
  <c r="Z399" i="1"/>
  <c r="Y403" i="1"/>
  <c r="BP407" i="1"/>
  <c r="BN407" i="1"/>
  <c r="Z407" i="1"/>
  <c r="Y409" i="1"/>
  <c r="Y414" i="1"/>
  <c r="BP411" i="1"/>
  <c r="BN411" i="1"/>
  <c r="Z411" i="1"/>
  <c r="Y415" i="1"/>
  <c r="BP425" i="1"/>
  <c r="BN425" i="1"/>
  <c r="Z425" i="1"/>
  <c r="Y427" i="1"/>
  <c r="P566" i="1"/>
  <c r="H9" i="1"/>
  <c r="B566" i="1"/>
  <c r="X557" i="1"/>
  <c r="X559" i="1" s="1"/>
  <c r="X558" i="1"/>
  <c r="Z23" i="1"/>
  <c r="Z24" i="1" s="1"/>
  <c r="BN23" i="1"/>
  <c r="Y24" i="1"/>
  <c r="X556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6" i="1"/>
  <c r="Z56" i="1"/>
  <c r="BN56" i="1"/>
  <c r="Z58" i="1"/>
  <c r="BN58" i="1"/>
  <c r="Z60" i="1"/>
  <c r="BN60" i="1"/>
  <c r="Z62" i="1"/>
  <c r="BN62" i="1"/>
  <c r="Y65" i="1"/>
  <c r="Z68" i="1"/>
  <c r="BN68" i="1"/>
  <c r="Z70" i="1"/>
  <c r="BN70" i="1"/>
  <c r="Z72" i="1"/>
  <c r="BN72" i="1"/>
  <c r="Z76" i="1"/>
  <c r="Z78" i="1" s="1"/>
  <c r="BN76" i="1"/>
  <c r="BP76" i="1"/>
  <c r="Z82" i="1"/>
  <c r="Z84" i="1" s="1"/>
  <c r="BN82" i="1"/>
  <c r="F566" i="1"/>
  <c r="Z89" i="1"/>
  <c r="BN89" i="1"/>
  <c r="Z91" i="1"/>
  <c r="BN91" i="1"/>
  <c r="Y94" i="1"/>
  <c r="Z97" i="1"/>
  <c r="BN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2" i="1"/>
  <c r="BN122" i="1"/>
  <c r="BP122" i="1"/>
  <c r="Z124" i="1"/>
  <c r="BN124" i="1"/>
  <c r="H566" i="1"/>
  <c r="Z135" i="1"/>
  <c r="BN135" i="1"/>
  <c r="Y136" i="1"/>
  <c r="Z139" i="1"/>
  <c r="Z141" i="1" s="1"/>
  <c r="BN139" i="1"/>
  <c r="BP139" i="1"/>
  <c r="Z145" i="1"/>
  <c r="BN145" i="1"/>
  <c r="Z150" i="1"/>
  <c r="BN150" i="1"/>
  <c r="BP150" i="1"/>
  <c r="Z152" i="1"/>
  <c r="BN152" i="1"/>
  <c r="Z154" i="1"/>
  <c r="BN154" i="1"/>
  <c r="Y157" i="1"/>
  <c r="J566" i="1"/>
  <c r="Z165" i="1"/>
  <c r="BN165" i="1"/>
  <c r="Z167" i="1"/>
  <c r="BN167" i="1"/>
  <c r="Y168" i="1"/>
  <c r="Z171" i="1"/>
  <c r="BN171" i="1"/>
  <c r="BP171" i="1"/>
  <c r="Y187" i="1"/>
  <c r="Z177" i="1"/>
  <c r="BN177" i="1"/>
  <c r="Z179" i="1"/>
  <c r="BN179" i="1"/>
  <c r="BP180" i="1"/>
  <c r="BN180" i="1"/>
  <c r="BP182" i="1"/>
  <c r="BN182" i="1"/>
  <c r="Z182" i="1"/>
  <c r="BP186" i="1"/>
  <c r="BN186" i="1"/>
  <c r="Z186" i="1"/>
  <c r="Y188" i="1"/>
  <c r="Y193" i="1"/>
  <c r="BP190" i="1"/>
  <c r="BN190" i="1"/>
  <c r="Z190" i="1"/>
  <c r="Z193" i="1" s="1"/>
  <c r="BP208" i="1"/>
  <c r="BN208" i="1"/>
  <c r="Z208" i="1"/>
  <c r="BP212" i="1"/>
  <c r="BN212" i="1"/>
  <c r="Z212" i="1"/>
  <c r="Y214" i="1"/>
  <c r="L566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53" i="1"/>
  <c r="BN253" i="1"/>
  <c r="Z253" i="1"/>
  <c r="Y255" i="1"/>
  <c r="Y258" i="1"/>
  <c r="BP257" i="1"/>
  <c r="BN257" i="1"/>
  <c r="Z257" i="1"/>
  <c r="Z258" i="1" s="1"/>
  <c r="Y259" i="1"/>
  <c r="M566" i="1"/>
  <c r="Y265" i="1"/>
  <c r="BP262" i="1"/>
  <c r="BN262" i="1"/>
  <c r="Z262" i="1"/>
  <c r="Z264" i="1" s="1"/>
  <c r="Y269" i="1"/>
  <c r="BP274" i="1"/>
  <c r="BN274" i="1"/>
  <c r="Z274" i="1"/>
  <c r="BP278" i="1"/>
  <c r="BN278" i="1"/>
  <c r="Z278" i="1"/>
  <c r="BP289" i="1"/>
  <c r="BN289" i="1"/>
  <c r="Z289" i="1"/>
  <c r="BP293" i="1"/>
  <c r="BN293" i="1"/>
  <c r="Z293" i="1"/>
  <c r="BP345" i="1"/>
  <c r="BN345" i="1"/>
  <c r="Z345" i="1"/>
  <c r="Y349" i="1"/>
  <c r="BP353" i="1"/>
  <c r="BN353" i="1"/>
  <c r="Z353" i="1"/>
  <c r="Z354" i="1" s="1"/>
  <c r="Y355" i="1"/>
  <c r="S566" i="1"/>
  <c r="Y361" i="1"/>
  <c r="BP358" i="1"/>
  <c r="BN358" i="1"/>
  <c r="Z358" i="1"/>
  <c r="Y362" i="1"/>
  <c r="BP367" i="1"/>
  <c r="BN367" i="1"/>
  <c r="Z367" i="1"/>
  <c r="BP371" i="1"/>
  <c r="BN371" i="1"/>
  <c r="Z371" i="1"/>
  <c r="Y373" i="1"/>
  <c r="Y382" i="1"/>
  <c r="BP375" i="1"/>
  <c r="BN375" i="1"/>
  <c r="Z375" i="1"/>
  <c r="Y383" i="1"/>
  <c r="BP379" i="1"/>
  <c r="BN379" i="1"/>
  <c r="Z379" i="1"/>
  <c r="BP387" i="1"/>
  <c r="BN387" i="1"/>
  <c r="Z387" i="1"/>
  <c r="Y296" i="1"/>
  <c r="BP285" i="1"/>
  <c r="BN285" i="1"/>
  <c r="BP287" i="1"/>
  <c r="BN287" i="1"/>
  <c r="Z287" i="1"/>
  <c r="BP291" i="1"/>
  <c r="BN291" i="1"/>
  <c r="Z291" i="1"/>
  <c r="Y295" i="1"/>
  <c r="BP299" i="1"/>
  <c r="BN299" i="1"/>
  <c r="Z299" i="1"/>
  <c r="Z300" i="1" s="1"/>
  <c r="Y301" i="1"/>
  <c r="O566" i="1"/>
  <c r="Y311" i="1"/>
  <c r="BP304" i="1"/>
  <c r="BN304" i="1"/>
  <c r="Z304" i="1"/>
  <c r="BP308" i="1"/>
  <c r="BN308" i="1"/>
  <c r="Z308" i="1"/>
  <c r="BP329" i="1"/>
  <c r="BN329" i="1"/>
  <c r="Z329" i="1"/>
  <c r="BP338" i="1"/>
  <c r="BN338" i="1"/>
  <c r="Z338" i="1"/>
  <c r="BP347" i="1"/>
  <c r="BN347" i="1"/>
  <c r="Z347" i="1"/>
  <c r="Y354" i="1"/>
  <c r="BP360" i="1"/>
  <c r="BN360" i="1"/>
  <c r="Z360" i="1"/>
  <c r="T566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90" i="1"/>
  <c r="BP385" i="1"/>
  <c r="BN385" i="1"/>
  <c r="Z385" i="1"/>
  <c r="Y389" i="1"/>
  <c r="BP393" i="1"/>
  <c r="BN393" i="1"/>
  <c r="Z393" i="1"/>
  <c r="Z395" i="1" s="1"/>
  <c r="Y402" i="1"/>
  <c r="BP401" i="1"/>
  <c r="BN401" i="1"/>
  <c r="Z401" i="1"/>
  <c r="Y408" i="1"/>
  <c r="BP405" i="1"/>
  <c r="BN405" i="1"/>
  <c r="Z405" i="1"/>
  <c r="Z408" i="1" s="1"/>
  <c r="BP413" i="1"/>
  <c r="BN413" i="1"/>
  <c r="Z413" i="1"/>
  <c r="U566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Y474" i="1"/>
  <c r="BP480" i="1"/>
  <c r="BN480" i="1"/>
  <c r="Z480" i="1"/>
  <c r="Y484" i="1"/>
  <c r="BP488" i="1"/>
  <c r="BN488" i="1"/>
  <c r="Z488" i="1"/>
  <c r="Z489" i="1" s="1"/>
  <c r="Y490" i="1"/>
  <c r="Y494" i="1"/>
  <c r="BP493" i="1"/>
  <c r="BN493" i="1"/>
  <c r="Z493" i="1"/>
  <c r="Z494" i="1" s="1"/>
  <c r="Z566" i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66" i="1"/>
  <c r="Q566" i="1"/>
  <c r="Y341" i="1"/>
  <c r="R566" i="1"/>
  <c r="Y350" i="1"/>
  <c r="V566" i="1"/>
  <c r="Y428" i="1"/>
  <c r="W566" i="1"/>
  <c r="Y440" i="1"/>
  <c r="BP435" i="1"/>
  <c r="BN435" i="1"/>
  <c r="Z435" i="1"/>
  <c r="Z440" i="1" s="1"/>
  <c r="BP439" i="1"/>
  <c r="BN439" i="1"/>
  <c r="Z439" i="1"/>
  <c r="Y441" i="1"/>
  <c r="Y446" i="1"/>
  <c r="BP443" i="1"/>
  <c r="BN443" i="1"/>
  <c r="Z443" i="1"/>
  <c r="Z446" i="1" s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66" i="1"/>
  <c r="Y485" i="1"/>
  <c r="BP478" i="1"/>
  <c r="BN478" i="1"/>
  <c r="Z478" i="1"/>
  <c r="BP482" i="1"/>
  <c r="BN482" i="1"/>
  <c r="Z482" i="1"/>
  <c r="Y489" i="1"/>
  <c r="BP499" i="1"/>
  <c r="BN499" i="1"/>
  <c r="Z499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Z520" i="1" s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55" i="1"/>
  <c r="Z340" i="1" l="1"/>
  <c r="Z349" i="1"/>
  <c r="Z484" i="1"/>
  <c r="Z168" i="1"/>
  <c r="Z100" i="1"/>
  <c r="Z64" i="1"/>
  <c r="Y558" i="1"/>
  <c r="Z402" i="1"/>
  <c r="Z389" i="1"/>
  <c r="Z187" i="1"/>
  <c r="Z173" i="1"/>
  <c r="Z156" i="1"/>
  <c r="Z146" i="1"/>
  <c r="Z136" i="1"/>
  <c r="Z126" i="1"/>
  <c r="Z93" i="1"/>
  <c r="Z73" i="1"/>
  <c r="Z51" i="1"/>
  <c r="Z42" i="1"/>
  <c r="Y557" i="1"/>
  <c r="Z427" i="1"/>
  <c r="Z295" i="1"/>
  <c r="Z514" i="1"/>
  <c r="Z500" i="1"/>
  <c r="Z372" i="1"/>
  <c r="Z311" i="1"/>
  <c r="Z236" i="1"/>
  <c r="Z119" i="1"/>
  <c r="Z113" i="1"/>
  <c r="Z32" i="1"/>
  <c r="Y560" i="1"/>
  <c r="Z333" i="1"/>
  <c r="Z280" i="1"/>
  <c r="Z254" i="1"/>
  <c r="Z530" i="1"/>
  <c r="Z473" i="1"/>
  <c r="Z452" i="1"/>
  <c r="Z382" i="1"/>
  <c r="Z361" i="1"/>
  <c r="Z414" i="1"/>
  <c r="Z248" i="1"/>
  <c r="Z213" i="1"/>
  <c r="Y556" i="1"/>
  <c r="Z561" i="1" l="1"/>
  <c r="Y559" i="1"/>
</calcChain>
</file>

<file path=xl/sharedStrings.xml><?xml version="1.0" encoding="utf-8"?>
<sst xmlns="http://schemas.openxmlformats.org/spreadsheetml/2006/main" count="2545" uniqueCount="912">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</sst>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7" t="s">
        <v>0</v>
      </c>
      <c r="E1" s="680"/>
      <c r="F1" s="680"/>
      <c r="G1" s="12" t="s">
        <v>1</v>
      </c>
      <c r="H1" s="727" t="s">
        <v>2</v>
      </c>
      <c r="I1" s="680"/>
      <c r="J1" s="680"/>
      <c r="K1" s="680"/>
      <c r="L1" s="680"/>
      <c r="M1" s="680"/>
      <c r="N1" s="680"/>
      <c r="O1" s="680"/>
      <c r="P1" s="680"/>
      <c r="Q1" s="680"/>
      <c r="R1" s="679" t="s">
        <v>3</v>
      </c>
      <c r="S1" s="680"/>
      <c r="T1" s="6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91" t="s">
        <v>8</v>
      </c>
      <c r="B5" s="672"/>
      <c r="C5" s="673"/>
      <c r="D5" s="737"/>
      <c r="E5" s="738"/>
      <c r="F5" s="969" t="s">
        <v>9</v>
      </c>
      <c r="G5" s="673"/>
      <c r="H5" s="737" t="s">
        <v>911</v>
      </c>
      <c r="I5" s="912"/>
      <c r="J5" s="912"/>
      <c r="K5" s="912"/>
      <c r="L5" s="912"/>
      <c r="M5" s="738"/>
      <c r="N5" s="58"/>
      <c r="P5" s="24" t="s">
        <v>10</v>
      </c>
      <c r="Q5" s="987">
        <v>46292</v>
      </c>
      <c r="R5" s="790"/>
      <c r="T5" s="823" t="s">
        <v>11</v>
      </c>
      <c r="U5" s="824"/>
      <c r="V5" s="826" t="s">
        <v>12</v>
      </c>
      <c r="W5" s="790"/>
      <c r="AB5" s="51"/>
      <c r="AC5" s="51"/>
      <c r="AD5" s="51"/>
      <c r="AE5" s="51"/>
    </row>
    <row r="6" spans="1:32" s="637" customFormat="1" ht="24" customHeight="1" x14ac:dyDescent="0.2">
      <c r="A6" s="791" t="s">
        <v>13</v>
      </c>
      <c r="B6" s="672"/>
      <c r="C6" s="673"/>
      <c r="D6" s="915" t="s">
        <v>890</v>
      </c>
      <c r="E6" s="916"/>
      <c r="F6" s="916"/>
      <c r="G6" s="916"/>
      <c r="H6" s="916"/>
      <c r="I6" s="916"/>
      <c r="J6" s="916"/>
      <c r="K6" s="916"/>
      <c r="L6" s="916"/>
      <c r="M6" s="790"/>
      <c r="N6" s="59"/>
      <c r="P6" s="24" t="s">
        <v>14</v>
      </c>
      <c r="Q6" s="996" t="str">
        <f>IF(Q5=0," ",CHOOSE(WEEKDAY(Q5,2),"Понедельник","Вторник","Среда","Четверг","Пятница","Суббота","Воскресенье"))</f>
        <v>Воскресенье</v>
      </c>
      <c r="R6" s="648"/>
      <c r="T6" s="832" t="s">
        <v>15</v>
      </c>
      <c r="U6" s="824"/>
      <c r="V6" s="898" t="s">
        <v>16</v>
      </c>
      <c r="W6" s="730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15" t="str">
        <f>IFERROR(VLOOKUP(DeliveryAddress,Table,3,0),1)</f>
        <v>7</v>
      </c>
      <c r="E7" s="716"/>
      <c r="F7" s="716"/>
      <c r="G7" s="716"/>
      <c r="H7" s="716"/>
      <c r="I7" s="716"/>
      <c r="J7" s="716"/>
      <c r="K7" s="716"/>
      <c r="L7" s="716"/>
      <c r="M7" s="717"/>
      <c r="N7" s="60"/>
      <c r="P7" s="24"/>
      <c r="Q7" s="42"/>
      <c r="R7" s="42"/>
      <c r="T7" s="658"/>
      <c r="U7" s="824"/>
      <c r="V7" s="899"/>
      <c r="W7" s="900"/>
      <c r="AB7" s="51"/>
      <c r="AC7" s="51"/>
      <c r="AD7" s="51"/>
      <c r="AE7" s="51"/>
    </row>
    <row r="8" spans="1:32" s="637" customFormat="1" ht="25.5" customHeight="1" x14ac:dyDescent="0.2">
      <c r="A8" s="1011" t="s">
        <v>17</v>
      </c>
      <c r="B8" s="650"/>
      <c r="C8" s="651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99">
        <v>0.41666666666666669</v>
      </c>
      <c r="R8" s="717"/>
      <c r="T8" s="658"/>
      <c r="U8" s="824"/>
      <c r="V8" s="899"/>
      <c r="W8" s="900"/>
      <c r="AB8" s="51"/>
      <c r="AC8" s="51"/>
      <c r="AD8" s="51"/>
      <c r="AE8" s="51"/>
    </row>
    <row r="9" spans="1:32" s="637" customFormat="1" ht="39.950000000000003" customHeight="1" x14ac:dyDescent="0.2">
      <c r="A9" s="8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06"/>
      <c r="E9" s="668"/>
      <c r="F9" s="8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86"/>
      <c r="R9" s="787"/>
      <c r="T9" s="658"/>
      <c r="U9" s="824"/>
      <c r="V9" s="901"/>
      <c r="W9" s="90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06"/>
      <c r="E10" s="668"/>
      <c r="F10" s="8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5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3"/>
      <c r="R10" s="834"/>
      <c r="U10" s="24" t="s">
        <v>21</v>
      </c>
      <c r="V10" s="729" t="s">
        <v>22</v>
      </c>
      <c r="W10" s="730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9"/>
      <c r="R11" s="790"/>
      <c r="U11" s="24" t="s">
        <v>25</v>
      </c>
      <c r="V11" s="933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48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28</v>
      </c>
      <c r="Q12" s="799"/>
      <c r="R12" s="717"/>
      <c r="S12" s="23"/>
      <c r="U12" s="24"/>
      <c r="V12" s="680"/>
      <c r="W12" s="658"/>
      <c r="AB12" s="51"/>
      <c r="AC12" s="51"/>
      <c r="AD12" s="51"/>
      <c r="AE12" s="51"/>
    </row>
    <row r="13" spans="1:32" s="637" customFormat="1" ht="23.25" customHeight="1" x14ac:dyDescent="0.2">
      <c r="A13" s="848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30</v>
      </c>
      <c r="Q13" s="933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48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9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811" t="s">
        <v>33</v>
      </c>
      <c r="Q15" s="680"/>
      <c r="R15" s="680"/>
      <c r="S15" s="680"/>
      <c r="T15" s="6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4" t="s">
        <v>36</v>
      </c>
      <c r="D17" s="692" t="s">
        <v>37</v>
      </c>
      <c r="E17" s="766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65"/>
      <c r="R17" s="765"/>
      <c r="S17" s="765"/>
      <c r="T17" s="766"/>
      <c r="U17" s="1009" t="s">
        <v>49</v>
      </c>
      <c r="V17" s="673"/>
      <c r="W17" s="692" t="s">
        <v>50</v>
      </c>
      <c r="X17" s="692" t="s">
        <v>51</v>
      </c>
      <c r="Y17" s="1007" t="s">
        <v>52</v>
      </c>
      <c r="Z17" s="896" t="s">
        <v>53</v>
      </c>
      <c r="AA17" s="883" t="s">
        <v>54</v>
      </c>
      <c r="AB17" s="883" t="s">
        <v>55</v>
      </c>
      <c r="AC17" s="883" t="s">
        <v>56</v>
      </c>
      <c r="AD17" s="88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67"/>
      <c r="E18" s="769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67"/>
      <c r="Q18" s="768"/>
      <c r="R18" s="768"/>
      <c r="S18" s="768"/>
      <c r="T18" s="769"/>
      <c r="U18" s="67" t="s">
        <v>59</v>
      </c>
      <c r="V18" s="67" t="s">
        <v>60</v>
      </c>
      <c r="W18" s="693"/>
      <c r="X18" s="693"/>
      <c r="Y18" s="1008"/>
      <c r="Z18" s="897"/>
      <c r="AA18" s="884"/>
      <c r="AB18" s="884"/>
      <c r="AC18" s="884"/>
      <c r="AD18" s="962"/>
      <c r="AE18" s="963"/>
      <c r="AF18" s="964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76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3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3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76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3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76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3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188</v>
      </c>
      <c r="Y47" s="644">
        <f>IFERROR(IF(X47="",0,CEILING((X47/$H47),1)*$H47),"")</f>
        <v>194.4</v>
      </c>
      <c r="Z47" s="36">
        <f>IFERROR(IF(Y47=0,"",ROUNDUP(Y47/H47,0)*0.01898),"")</f>
        <v>0.34164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195.13703703703703</v>
      </c>
      <c r="BN47" s="64">
        <f>IFERROR(Y47*I47/H47,"0")</f>
        <v>201.78</v>
      </c>
      <c r="BO47" s="64">
        <f>IFERROR(1/J47*(X47/H47),"0")</f>
        <v>0.2719907407407407</v>
      </c>
      <c r="BP47" s="64">
        <f>IFERROR(1/J47*(Y47/H47),"0")</f>
        <v>0.28125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87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29</v>
      </c>
      <c r="Y49" s="644">
        <f>IFERROR(IF(X49="",0,CEILING((X49/$H49),1)*$H49),"")</f>
        <v>32</v>
      </c>
      <c r="Z49" s="36">
        <f>IFERROR(IF(Y49=0,"",ROUNDUP(Y49/H49,0)*0.00902),"")</f>
        <v>7.2160000000000002E-2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30.377500000000001</v>
      </c>
      <c r="BN49" s="64">
        <f>IFERROR(Y49*I49/H49,"0")</f>
        <v>33.520000000000003</v>
      </c>
      <c r="BO49" s="64">
        <f>IFERROR(1/J49*(X49/H49),"0")</f>
        <v>5.4924242424242424E-2</v>
      </c>
      <c r="BP49" s="64">
        <f>IFERROR(1/J49*(Y49/H49),"0")</f>
        <v>6.0606060606060608E-2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24.657407407407405</v>
      </c>
      <c r="Y51" s="645">
        <f>IFERROR(Y47/H47,"0")+IFERROR(Y48/H48,"0")+IFERROR(Y49/H49,"0")+IFERROR(Y50/H50,"0")</f>
        <v>26</v>
      </c>
      <c r="Z51" s="645">
        <f>IFERROR(IF(Z47="",0,Z47),"0")+IFERROR(IF(Z48="",0,Z48),"0")+IFERROR(IF(Z49="",0,Z49),"0")+IFERROR(IF(Z50="",0,Z50),"0")</f>
        <v>0.4138</v>
      </c>
      <c r="AA51" s="646"/>
      <c r="AB51" s="646"/>
      <c r="AC51" s="646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217</v>
      </c>
      <c r="Y52" s="645">
        <f>IFERROR(SUM(Y47:Y50),"0")</f>
        <v>226.4</v>
      </c>
      <c r="Z52" s="37"/>
      <c r="AA52" s="646"/>
      <c r="AB52" s="646"/>
      <c r="AC52" s="646"/>
    </row>
    <row r="53" spans="1:68" ht="16.5" hidden="1" customHeight="1" x14ac:dyDescent="0.25">
      <c r="A53" s="676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3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0</v>
      </c>
      <c r="Y55" s="644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87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43</v>
      </c>
      <c r="Y62" s="644">
        <f t="shared" si="0"/>
        <v>45</v>
      </c>
      <c r="Z62" s="36">
        <f>IFERROR(IF(Y62=0,"",ROUNDUP(Y62/H62,0)*0.00902),"")</f>
        <v>9.0200000000000002E-2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44.815555555555562</v>
      </c>
      <c r="BN62" s="64">
        <f t="shared" si="2"/>
        <v>46.900000000000006</v>
      </c>
      <c r="BO62" s="64">
        <f t="shared" si="3"/>
        <v>7.2390572390572394E-2</v>
      </c>
      <c r="BP62" s="64">
        <f t="shared" si="4"/>
        <v>7.575757575757576E-2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9.5555555555555554</v>
      </c>
      <c r="Y64" s="645">
        <f>IFERROR(Y55/H55,"0")+IFERROR(Y56/H56,"0")+IFERROR(Y57/H57,"0")+IFERROR(Y58/H58,"0")+IFERROR(Y59/H59,"0")+IFERROR(Y60/H60,"0")+IFERROR(Y61/H61,"0")+IFERROR(Y62/H62,"0")+IFERROR(Y63/H63,"0")</f>
        <v>10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9.0200000000000002E-2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43</v>
      </c>
      <c r="Y65" s="645">
        <f>IFERROR(SUM(Y55:Y63),"0")</f>
        <v>45</v>
      </c>
      <c r="Z65" s="37"/>
      <c r="AA65" s="646"/>
      <c r="AB65" s="646"/>
      <c r="AC65" s="646"/>
    </row>
    <row r="66" spans="1:68" ht="14.25" hidden="1" customHeight="1" x14ac:dyDescent="0.25">
      <c r="A66" s="663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4</v>
      </c>
      <c r="Y67" s="644">
        <f t="shared" ref="Y67:Y72" si="5">IFERROR(IF(X67="",0,CEILING((X67/$H67),1)*$H67),"")</f>
        <v>10.8</v>
      </c>
      <c r="Z67" s="36">
        <f>IFERROR(IF(Y67=0,"",ROUNDUP(Y67/H67,0)*0.01898),"")</f>
        <v>1.898E-2</v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4.1518518518518519</v>
      </c>
      <c r="BN67" s="64">
        <f t="shared" ref="BN67:BN72" si="7">IFERROR(Y67*I67/H67,"0")</f>
        <v>11.21</v>
      </c>
      <c r="BO67" s="64">
        <f t="shared" ref="BO67:BO72" si="8">IFERROR(1/J67*(X67/H67),"0")</f>
        <v>5.7870370370370367E-3</v>
      </c>
      <c r="BP67" s="64">
        <f t="shared" ref="BP67:BP72" si="9">IFERROR(1/J67*(Y67/H67),"0")</f>
        <v>1.5625E-2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81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7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0.37037037037037035</v>
      </c>
      <c r="Y73" s="645">
        <f>IFERROR(Y67/H67,"0")+IFERROR(Y68/H68,"0")+IFERROR(Y69/H69,"0")+IFERROR(Y70/H70,"0")+IFERROR(Y71/H71,"0")+IFERROR(Y72/H72,"0")</f>
        <v>1</v>
      </c>
      <c r="Z73" s="645">
        <f>IFERROR(IF(Z67="",0,Z67),"0")+IFERROR(IF(Z68="",0,Z68),"0")+IFERROR(IF(Z69="",0,Z69),"0")+IFERROR(IF(Z70="",0,Z70),"0")+IFERROR(IF(Z71="",0,Z71),"0")+IFERROR(IF(Z72="",0,Z72),"0")</f>
        <v>1.898E-2</v>
      </c>
      <c r="AA73" s="646"/>
      <c r="AB73" s="646"/>
      <c r="AC73" s="646"/>
    </row>
    <row r="74" spans="1:68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4</v>
      </c>
      <c r="Y74" s="645">
        <f>IFERROR(SUM(Y67:Y72),"0")</f>
        <v>10.8</v>
      </c>
      <c r="Z74" s="37"/>
      <c r="AA74" s="646"/>
      <c r="AB74" s="646"/>
      <c r="AC74" s="646"/>
    </row>
    <row r="75" spans="1:68" ht="14.25" hidden="1" customHeight="1" x14ac:dyDescent="0.25">
      <c r="A75" s="663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3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hidden="1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0</v>
      </c>
      <c r="Y84" s="645">
        <f>IFERROR(Y81/H81,"0")+IFERROR(Y82/H82,"0")+IFERROR(Y83/H83,"0")</f>
        <v>0</v>
      </c>
      <c r="Z84" s="645">
        <f>IFERROR(IF(Z81="",0,Z81),"0")+IFERROR(IF(Z82="",0,Z82),"0")+IFERROR(IF(Z83="",0,Z83),"0")</f>
        <v>0</v>
      </c>
      <c r="AA84" s="646"/>
      <c r="AB84" s="646"/>
      <c r="AC84" s="646"/>
    </row>
    <row r="85" spans="1:68" hidden="1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0</v>
      </c>
      <c r="Y85" s="645">
        <f>IFERROR(SUM(Y81:Y83),"0")</f>
        <v>0</v>
      </c>
      <c r="Z85" s="37"/>
      <c r="AA85" s="646"/>
      <c r="AB85" s="646"/>
      <c r="AC85" s="646"/>
    </row>
    <row r="86" spans="1:68" ht="16.5" hidden="1" customHeight="1" x14ac:dyDescent="0.25">
      <c r="A86" s="676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3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8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80</v>
      </c>
      <c r="Y92" s="644">
        <f>IFERROR(IF(X92="",0,CEILING((X92/$H92),1)*$H92),"")</f>
        <v>81</v>
      </c>
      <c r="Z92" s="36">
        <f>IFERROR(IF(Y92=0,"",ROUNDUP(Y92/H92,0)*0.00902),"")</f>
        <v>0.16236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83.377777777777794</v>
      </c>
      <c r="BN92" s="64">
        <f>IFERROR(Y92*I92/H92,"0")</f>
        <v>84.420000000000016</v>
      </c>
      <c r="BO92" s="64">
        <f>IFERROR(1/J92*(X92/H92),"0")</f>
        <v>0.13468013468013468</v>
      </c>
      <c r="BP92" s="64">
        <f>IFERROR(1/J92*(Y92/H92),"0")</f>
        <v>0.13636363636363635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17.777777777777779</v>
      </c>
      <c r="Y93" s="645">
        <f>IFERROR(Y88/H88,"0")+IFERROR(Y89/H89,"0")+IFERROR(Y90/H90,"0")+IFERROR(Y91/H91,"0")+IFERROR(Y92/H92,"0")</f>
        <v>18</v>
      </c>
      <c r="Z93" s="645">
        <f>IFERROR(IF(Z88="",0,Z88),"0")+IFERROR(IF(Z89="",0,Z89),"0")+IFERROR(IF(Z90="",0,Z90),"0")+IFERROR(IF(Z91="",0,Z91),"0")+IFERROR(IF(Z92="",0,Z92),"0")</f>
        <v>0.16236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80</v>
      </c>
      <c r="Y94" s="645">
        <f>IFERROR(SUM(Y88:Y92),"0")</f>
        <v>81</v>
      </c>
      <c r="Z94" s="37"/>
      <c r="AA94" s="646"/>
      <c r="AB94" s="646"/>
      <c r="AC94" s="646"/>
    </row>
    <row r="95" spans="1:68" ht="14.25" hidden="1" customHeight="1" x14ac:dyDescent="0.25">
      <c r="A95" s="663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502</v>
      </c>
      <c r="Y96" s="644">
        <f>IFERROR(IF(X96="",0,CEILING((X96/$H96),1)*$H96),"")</f>
        <v>502.2</v>
      </c>
      <c r="Z96" s="36">
        <f>IFERROR(IF(Y96=0,"",ROUNDUP(Y96/H96,0)*0.01898),"")</f>
        <v>1.17676</v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532.61580246913582</v>
      </c>
      <c r="BN96" s="64">
        <f>IFERROR(Y96*I96/H96,"0")</f>
        <v>532.82799999999997</v>
      </c>
      <c r="BO96" s="64">
        <f>IFERROR(1/J96*(X96/H96),"0")</f>
        <v>0.96836419753086422</v>
      </c>
      <c r="BP96" s="64">
        <f>IFERROR(1/J96*(Y96/H96),"0")</f>
        <v>0.96875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10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61.97530864197531</v>
      </c>
      <c r="Y100" s="645">
        <f>IFERROR(Y96/H96,"0")+IFERROR(Y97/H97,"0")+IFERROR(Y98/H98,"0")+IFERROR(Y99/H99,"0")</f>
        <v>62</v>
      </c>
      <c r="Z100" s="645">
        <f>IFERROR(IF(Z96="",0,Z96),"0")+IFERROR(IF(Z97="",0,Z97),"0")+IFERROR(IF(Z98="",0,Z98),"0")+IFERROR(IF(Z99="",0,Z99),"0")</f>
        <v>1.17676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502</v>
      </c>
      <c r="Y101" s="645">
        <f>IFERROR(SUM(Y96:Y99),"0")</f>
        <v>502.2</v>
      </c>
      <c r="Z101" s="37"/>
      <c r="AA101" s="646"/>
      <c r="AB101" s="646"/>
      <c r="AC101" s="646"/>
    </row>
    <row r="102" spans="1:68" ht="16.5" hidden="1" customHeight="1" x14ac:dyDescent="0.25">
      <c r="A102" s="676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3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17</v>
      </c>
      <c r="Y104" s="644">
        <f t="shared" ref="Y104:Y112" si="10">IFERROR(IF(X104="",0,CEILING((X104/$H104),1)*$H104),"")</f>
        <v>21.6</v>
      </c>
      <c r="Z104" s="36">
        <f>IFERROR(IF(Y104=0,"",ROUNDUP(Y104/H104,0)*0.01898),"")</f>
        <v>3.7960000000000001E-2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17.645370370370372</v>
      </c>
      <c r="BN104" s="64">
        <f t="shared" ref="BN104:BN112" si="12">IFERROR(Y104*I104/H104,"0")</f>
        <v>22.42</v>
      </c>
      <c r="BO104" s="64">
        <f t="shared" ref="BO104:BO112" si="13">IFERROR(1/J104*(X104/H104),"0")</f>
        <v>2.4594907407407406E-2</v>
      </c>
      <c r="BP104" s="64">
        <f t="shared" ref="BP104:BP112" si="14">IFERROR(1/J104*(Y104/H104),"0")</f>
        <v>3.125E-2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9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107</v>
      </c>
      <c r="Y109" s="644">
        <f t="shared" si="10"/>
        <v>108</v>
      </c>
      <c r="Z109" s="36">
        <f>IFERROR(IF(Y109=0,"",ROUNDUP(Y109/H109,0)*0.00902),"")</f>
        <v>0.21648000000000001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111.51777777777778</v>
      </c>
      <c r="BN109" s="64">
        <f t="shared" si="12"/>
        <v>112.56</v>
      </c>
      <c r="BO109" s="64">
        <f t="shared" si="13"/>
        <v>0.18013468013468015</v>
      </c>
      <c r="BP109" s="64">
        <f t="shared" si="14"/>
        <v>0.18181818181818182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3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25.351851851851851</v>
      </c>
      <c r="Y113" s="645">
        <f>IFERROR(Y104/H104,"0")+IFERROR(Y105/H105,"0")+IFERROR(Y106/H106,"0")+IFERROR(Y107/H107,"0")+IFERROR(Y108/H108,"0")+IFERROR(Y109/H109,"0")+IFERROR(Y110/H110,"0")+IFERROR(Y111/H111,"0")+IFERROR(Y112/H112,"0")</f>
        <v>26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0.25444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124</v>
      </c>
      <c r="Y114" s="645">
        <f>IFERROR(SUM(Y104:Y112),"0")</f>
        <v>129.6</v>
      </c>
      <c r="Z114" s="37"/>
      <c r="AA114" s="646"/>
      <c r="AB114" s="646"/>
      <c r="AC114" s="646"/>
    </row>
    <row r="115" spans="1:68" ht="14.25" hidden="1" customHeight="1" x14ac:dyDescent="0.25">
      <c r="A115" s="663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37</v>
      </c>
      <c r="Y116" s="644">
        <f>IFERROR(IF(X116="",0,CEILING((X116/$H116),1)*$H116),"")</f>
        <v>43.2</v>
      </c>
      <c r="Z116" s="36">
        <f>IFERROR(IF(Y116=0,"",ROUNDUP(Y116/H116,0)*0.01898),"")</f>
        <v>7.5920000000000001E-2</v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38.404629629629632</v>
      </c>
      <c r="BN116" s="64">
        <f>IFERROR(Y116*I116/H116,"0")</f>
        <v>44.84</v>
      </c>
      <c r="BO116" s="64">
        <f>IFERROR(1/J116*(X116/H116),"0")</f>
        <v>5.3530092592592587E-2</v>
      </c>
      <c r="BP116" s="64">
        <f>IFERROR(1/J116*(Y116/H116),"0")</f>
        <v>6.25E-2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9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6</v>
      </c>
      <c r="Y118" s="644">
        <f>IFERROR(IF(X118="",0,CEILING((X118/$H118),1)*$H118),"")</f>
        <v>7.1999999999999993</v>
      </c>
      <c r="Z118" s="36">
        <f>IFERROR(IF(Y118=0,"",ROUNDUP(Y118/H118,0)*0.00651),"")</f>
        <v>1.9529999999999999E-2</v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6.45</v>
      </c>
      <c r="BN118" s="64">
        <f>IFERROR(Y118*I118/H118,"0")</f>
        <v>7.7399999999999993</v>
      </c>
      <c r="BO118" s="64">
        <f>IFERROR(1/J118*(X118/H118),"0")</f>
        <v>1.3736263736263738E-2</v>
      </c>
      <c r="BP118" s="64">
        <f>IFERROR(1/J118*(Y118/H118),"0")</f>
        <v>1.6483516483516484E-2</v>
      </c>
    </row>
    <row r="119" spans="1:68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5.9259259259259256</v>
      </c>
      <c r="Y119" s="645">
        <f>IFERROR(Y116/H116,"0")+IFERROR(Y117/H117,"0")+IFERROR(Y118/H118,"0")</f>
        <v>7</v>
      </c>
      <c r="Z119" s="645">
        <f>IFERROR(IF(Z116="",0,Z116),"0")+IFERROR(IF(Z117="",0,Z117),"0")+IFERROR(IF(Z118="",0,Z118),"0")</f>
        <v>9.5450000000000007E-2</v>
      </c>
      <c r="AA119" s="646"/>
      <c r="AB119" s="646"/>
      <c r="AC119" s="646"/>
    </row>
    <row r="120" spans="1:68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43</v>
      </c>
      <c r="Y120" s="645">
        <f>IFERROR(SUM(Y116:Y118),"0")</f>
        <v>50.400000000000006</v>
      </c>
      <c r="Z120" s="37"/>
      <c r="AA120" s="646"/>
      <c r="AB120" s="646"/>
      <c r="AC120" s="646"/>
    </row>
    <row r="121" spans="1:68" ht="14.25" hidden="1" customHeight="1" x14ac:dyDescent="0.25">
      <c r="A121" s="663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75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584</v>
      </c>
      <c r="Y122" s="644">
        <f>IFERROR(IF(X122="",0,CEILING((X122/$H122),1)*$H122),"")</f>
        <v>591.29999999999995</v>
      </c>
      <c r="Z122" s="36">
        <f>IFERROR(IF(Y122=0,"",ROUNDUP(Y122/H122,0)*0.01898),"")</f>
        <v>1.38554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619.18419753086425</v>
      </c>
      <c r="BN122" s="64">
        <f>IFERROR(Y122*I122/H122,"0")</f>
        <v>626.92399999999986</v>
      </c>
      <c r="BO122" s="64">
        <f>IFERROR(1/J122*(X122/H122),"0")</f>
        <v>1.1265432098765433</v>
      </c>
      <c r="BP122" s="64">
        <f>IFERROR(1/J122*(Y122/H122),"0")</f>
        <v>1.140625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3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72.098765432098773</v>
      </c>
      <c r="Y126" s="645">
        <f>IFERROR(Y122/H122,"0")+IFERROR(Y123/H123,"0")+IFERROR(Y124/H124,"0")+IFERROR(Y125/H125,"0")</f>
        <v>73</v>
      </c>
      <c r="Z126" s="645">
        <f>IFERROR(IF(Z122="",0,Z122),"0")+IFERROR(IF(Z123="",0,Z123),"0")+IFERROR(IF(Z124="",0,Z124),"0")+IFERROR(IF(Z125="",0,Z125),"0")</f>
        <v>1.38554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584</v>
      </c>
      <c r="Y127" s="645">
        <f>IFERROR(SUM(Y122:Y125),"0")</f>
        <v>591.29999999999995</v>
      </c>
      <c r="Z127" s="37"/>
      <c r="AA127" s="646"/>
      <c r="AB127" s="646"/>
      <c r="AC127" s="646"/>
    </row>
    <row r="128" spans="1:68" ht="14.25" hidden="1" customHeight="1" x14ac:dyDescent="0.25">
      <c r="A128" s="663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hidden="1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7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0</v>
      </c>
      <c r="Y129" s="6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0</v>
      </c>
      <c r="Y130" s="645">
        <f>IFERROR(Y129/H129,"0")</f>
        <v>0</v>
      </c>
      <c r="Z130" s="645">
        <f>IFERROR(IF(Z129="",0,Z129),"0")</f>
        <v>0</v>
      </c>
      <c r="AA130" s="646"/>
      <c r="AB130" s="646"/>
      <c r="AC130" s="646"/>
    </row>
    <row r="131" spans="1:68" hidden="1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0</v>
      </c>
      <c r="Y131" s="645">
        <f>IFERROR(SUM(Y129:Y129),"0")</f>
        <v>0</v>
      </c>
      <c r="Z131" s="37"/>
      <c r="AA131" s="646"/>
      <c r="AB131" s="646"/>
      <c r="AC131" s="646"/>
    </row>
    <row r="132" spans="1:68" ht="16.5" hidden="1" customHeight="1" x14ac:dyDescent="0.25">
      <c r="A132" s="676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3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8</v>
      </c>
      <c r="Y134" s="644">
        <f>IFERROR(IF(X134="",0,CEILING((X134/$H134),1)*$H134),"")</f>
        <v>9.6000000000000014</v>
      </c>
      <c r="Z134" s="36">
        <f>IFERROR(IF(Y134=0,"",ROUNDUP(Y134/H134,0)*0.00651),"")</f>
        <v>1.9529999999999999E-2</v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8.4499999999999993</v>
      </c>
      <c r="BN134" s="64">
        <f>IFERROR(Y134*I134/H134,"0")</f>
        <v>10.139999999999999</v>
      </c>
      <c r="BO134" s="64">
        <f>IFERROR(1/J134*(X134/H134),"0")</f>
        <v>1.3736263736263738E-2</v>
      </c>
      <c r="BP134" s="64">
        <f>IFERROR(1/J134*(Y134/H134),"0")</f>
        <v>1.6483516483516487E-2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2.5</v>
      </c>
      <c r="Y136" s="645">
        <f>IFERROR(Y134/H134,"0")+IFERROR(Y135/H135,"0")</f>
        <v>3.0000000000000004</v>
      </c>
      <c r="Z136" s="645">
        <f>IFERROR(IF(Z134="",0,Z134),"0")+IFERROR(IF(Z135="",0,Z135),"0")</f>
        <v>1.9529999999999999E-2</v>
      </c>
      <c r="AA136" s="646"/>
      <c r="AB136" s="646"/>
      <c r="AC136" s="646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8</v>
      </c>
      <c r="Y137" s="645">
        <f>IFERROR(SUM(Y134:Y135),"0")</f>
        <v>9.6000000000000014</v>
      </c>
      <c r="Z137" s="37"/>
      <c r="AA137" s="646"/>
      <c r="AB137" s="646"/>
      <c r="AC137" s="646"/>
    </row>
    <row r="138" spans="1:68" ht="14.25" hidden="1" customHeight="1" x14ac:dyDescent="0.25">
      <c r="A138" s="663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12</v>
      </c>
      <c r="Y139" s="644">
        <f>IFERROR(IF(X139="",0,CEILING((X139/$H139),1)*$H139),"")</f>
        <v>14</v>
      </c>
      <c r="Z139" s="36">
        <f>IFERROR(IF(Y139=0,"",ROUNDUP(Y139/H139,0)*0.00651),"")</f>
        <v>3.2550000000000003E-2</v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13.148571428571429</v>
      </c>
      <c r="BN139" s="64">
        <f>IFERROR(Y139*I139/H139,"0")</f>
        <v>15.34</v>
      </c>
      <c r="BO139" s="64">
        <f>IFERROR(1/J139*(X139/H139),"0")</f>
        <v>2.3547880690737835E-2</v>
      </c>
      <c r="BP139" s="64">
        <f>IFERROR(1/J139*(Y139/H139),"0")</f>
        <v>2.7472527472527476E-2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4.2857142857142856</v>
      </c>
      <c r="Y141" s="645">
        <f>IFERROR(Y139/H139,"0")+IFERROR(Y140/H140,"0")</f>
        <v>5</v>
      </c>
      <c r="Z141" s="645">
        <f>IFERROR(IF(Z139="",0,Z139),"0")+IFERROR(IF(Z140="",0,Z140),"0")</f>
        <v>3.2550000000000003E-2</v>
      </c>
      <c r="AA141" s="646"/>
      <c r="AB141" s="646"/>
      <c r="AC141" s="646"/>
    </row>
    <row r="142" spans="1:68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12</v>
      </c>
      <c r="Y142" s="645">
        <f>IFERROR(SUM(Y139:Y140),"0")</f>
        <v>14</v>
      </c>
      <c r="Z142" s="37"/>
      <c r="AA142" s="646"/>
      <c r="AB142" s="646"/>
      <c r="AC142" s="646"/>
    </row>
    <row r="143" spans="1:68" ht="14.25" hidden="1" customHeight="1" x14ac:dyDescent="0.25">
      <c r="A143" s="663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36</v>
      </c>
      <c r="Y144" s="644">
        <f>IFERROR(IF(X144="",0,CEILING((X144/$H144),1)*$H144),"")</f>
        <v>36.96</v>
      </c>
      <c r="Z144" s="36">
        <f>IFERROR(IF(Y144=0,"",ROUNDUP(Y144/H144,0)*0.00651),"")</f>
        <v>9.1139999999999999E-2</v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39.654545454545456</v>
      </c>
      <c r="BN144" s="64">
        <f>IFERROR(Y144*I144/H144,"0")</f>
        <v>40.711999999999996</v>
      </c>
      <c r="BO144" s="64">
        <f>IFERROR(1/J144*(X144/H144),"0")</f>
        <v>7.4925074925074928E-2</v>
      </c>
      <c r="BP144" s="64">
        <f>IFERROR(1/J144*(Y144/H144),"0")</f>
        <v>7.6923076923076927E-2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13.636363636363635</v>
      </c>
      <c r="Y146" s="645">
        <f>IFERROR(Y144/H144,"0")+IFERROR(Y145/H145,"0")</f>
        <v>14</v>
      </c>
      <c r="Z146" s="645">
        <f>IFERROR(IF(Z144="",0,Z144),"0")+IFERROR(IF(Z145="",0,Z145),"0")</f>
        <v>9.1139999999999999E-2</v>
      </c>
      <c r="AA146" s="646"/>
      <c r="AB146" s="646"/>
      <c r="AC146" s="646"/>
    </row>
    <row r="147" spans="1:68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36</v>
      </c>
      <c r="Y147" s="645">
        <f>IFERROR(SUM(Y144:Y145),"0")</f>
        <v>36.96</v>
      </c>
      <c r="Z147" s="37"/>
      <c r="AA147" s="646"/>
      <c r="AB147" s="646"/>
      <c r="AC147" s="646"/>
    </row>
    <row r="148" spans="1:68" ht="16.5" hidden="1" customHeight="1" x14ac:dyDescent="0.25">
      <c r="A148" s="676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3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3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10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6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3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hidden="1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9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0</v>
      </c>
      <c r="Y168" s="645">
        <f>IFERROR(Y164/H164,"0")+IFERROR(Y165/H165,"0")+IFERROR(Y166/H166,"0")+IFERROR(Y167/H167,"0")</f>
        <v>0</v>
      </c>
      <c r="Z168" s="645">
        <f>IFERROR(IF(Z164="",0,Z164),"0")+IFERROR(IF(Z165="",0,Z165),"0")+IFERROR(IF(Z166="",0,Z166),"0")+IFERROR(IF(Z167="",0,Z167),"0")</f>
        <v>0</v>
      </c>
      <c r="AA168" s="646"/>
      <c r="AB168" s="646"/>
      <c r="AC168" s="646"/>
    </row>
    <row r="169" spans="1:68" hidden="1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0</v>
      </c>
      <c r="Y169" s="645">
        <f>IFERROR(SUM(Y164:Y167),"0")</f>
        <v>0</v>
      </c>
      <c r="Z169" s="37"/>
      <c r="AA169" s="646"/>
      <c r="AB169" s="646"/>
      <c r="AC169" s="646"/>
    </row>
    <row r="170" spans="1:68" ht="14.25" hidden="1" customHeight="1" x14ac:dyDescent="0.25">
      <c r="A170" s="663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3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3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85</v>
      </c>
      <c r="Y176" s="644">
        <f t="shared" ref="Y176:Y186" si="21">IFERROR(IF(X176="",0,CEILING((X176/$H176),1)*$H176),"")</f>
        <v>87.5</v>
      </c>
      <c r="Z176" s="36">
        <f>IFERROR(IF(Y176=0,"",ROUNDUP(Y176/H176,0)*0.00902),"")</f>
        <v>0.22550000000000001</v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89.614285714285714</v>
      </c>
      <c r="BN176" s="64">
        <f t="shared" ref="BN176:BN186" si="23">IFERROR(Y176*I176/H176,"0")</f>
        <v>92.25</v>
      </c>
      <c r="BO176" s="64">
        <f t="shared" ref="BO176:BO186" si="24">IFERROR(1/J176*(X176/H176),"0")</f>
        <v>0.18398268398268397</v>
      </c>
      <c r="BP176" s="64">
        <f t="shared" ref="BP176:BP186" si="25">IFERROR(1/J176*(Y176/H176),"0")</f>
        <v>0.18939393939393939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2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255</v>
      </c>
      <c r="Y178" s="644">
        <f t="shared" si="21"/>
        <v>255.5</v>
      </c>
      <c r="Z178" s="36">
        <f>IFERROR(IF(Y178=0,"",ROUNDUP(Y178/H178,0)*0.00902),"")</f>
        <v>0.65846000000000005</v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268.8428571428571</v>
      </c>
      <c r="BN178" s="64">
        <f t="shared" si="23"/>
        <v>269.37</v>
      </c>
      <c r="BO178" s="64">
        <f t="shared" si="24"/>
        <v>0.55194805194805197</v>
      </c>
      <c r="BP178" s="64">
        <f t="shared" si="25"/>
        <v>0.55303030303030309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170</v>
      </c>
      <c r="Y179" s="644">
        <f t="shared" si="21"/>
        <v>171.5</v>
      </c>
      <c r="Z179" s="36">
        <f>IFERROR(IF(Y179=0,"",ROUNDUP(Y179/H179,0)*0.00902),"")</f>
        <v>0.44198000000000004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179.22857142857143</v>
      </c>
      <c r="BN179" s="64">
        <f t="shared" si="23"/>
        <v>180.81</v>
      </c>
      <c r="BO179" s="64">
        <f t="shared" si="24"/>
        <v>0.36796536796536794</v>
      </c>
      <c r="BP179" s="64">
        <f t="shared" si="25"/>
        <v>0.37121212121212122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48</v>
      </c>
      <c r="Y182" s="644">
        <f t="shared" si="21"/>
        <v>48.72</v>
      </c>
      <c r="Z182" s="36">
        <f>IFERROR(IF(Y182=0,"",ROUNDUP(Y182/H182,0)*0.00502),"")</f>
        <v>0.14558000000000001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50.857142857142861</v>
      </c>
      <c r="BN182" s="64">
        <f t="shared" si="23"/>
        <v>51.62</v>
      </c>
      <c r="BO182" s="64">
        <f t="shared" si="24"/>
        <v>0.12210012210012212</v>
      </c>
      <c r="BP182" s="64">
        <f t="shared" si="25"/>
        <v>0.12393162393162395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0</v>
      </c>
      <c r="Y183" s="644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0</v>
      </c>
      <c r="Y184" s="644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7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95</v>
      </c>
      <c r="Y186" s="644">
        <f t="shared" si="21"/>
        <v>95.759999999999991</v>
      </c>
      <c r="Z186" s="36">
        <f>IFERROR(IF(Y186=0,"",ROUNDUP(Y186/H186,0)*0.00502),"")</f>
        <v>0.28614000000000001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100.6547619047619</v>
      </c>
      <c r="BN186" s="64">
        <f t="shared" si="23"/>
        <v>101.46000000000001</v>
      </c>
      <c r="BO186" s="64">
        <f t="shared" si="24"/>
        <v>0.2416564916564917</v>
      </c>
      <c r="BP186" s="64">
        <f t="shared" si="25"/>
        <v>0.24358974358974361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230.83333333333337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233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1.7576600000000002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653</v>
      </c>
      <c r="Y188" s="645">
        <f>IFERROR(SUM(Y176:Y186),"0")</f>
        <v>658.98</v>
      </c>
      <c r="Z188" s="37"/>
      <c r="AA188" s="646"/>
      <c r="AB188" s="646"/>
      <c r="AC188" s="646"/>
    </row>
    <row r="189" spans="1:68" ht="14.25" hidden="1" customHeight="1" x14ac:dyDescent="0.25">
      <c r="A189" s="663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8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0</v>
      </c>
      <c r="Y192" s="6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0</v>
      </c>
      <c r="Y193" s="645">
        <f>IFERROR(Y190/H190,"0")+IFERROR(Y191/H191,"0")+IFERROR(Y192/H192,"0")</f>
        <v>0</v>
      </c>
      <c r="Z193" s="645">
        <f>IFERROR(IF(Z190="",0,Z190),"0")+IFERROR(IF(Z191="",0,Z191),"0")+IFERROR(IF(Z192="",0,Z192),"0")</f>
        <v>0</v>
      </c>
      <c r="AA193" s="646"/>
      <c r="AB193" s="646"/>
      <c r="AC193" s="646"/>
    </row>
    <row r="194" spans="1:68" hidden="1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0</v>
      </c>
      <c r="Y194" s="645">
        <f>IFERROR(SUM(Y190:Y192),"0")</f>
        <v>0</v>
      </c>
      <c r="Z194" s="37"/>
      <c r="AA194" s="646"/>
      <c r="AB194" s="646"/>
      <c r="AC194" s="646"/>
    </row>
    <row r="195" spans="1:68" ht="14.25" hidden="1" customHeight="1" x14ac:dyDescent="0.25">
      <c r="A195" s="663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3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4" t="s">
        <v>335</v>
      </c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48"/>
      <c r="AB203" s="48"/>
      <c r="AC203" s="48"/>
    </row>
    <row r="204" spans="1:68" ht="16.5" hidden="1" customHeight="1" x14ac:dyDescent="0.25">
      <c r="A204" s="676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3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70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5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7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8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6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3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6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3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256</v>
      </c>
      <c r="Y221" s="644">
        <f t="shared" ref="Y221:Y235" si="32">IFERROR(IF(X221="",0,CEILING((X221/$H221),1)*$H221),"")</f>
        <v>256.2</v>
      </c>
      <c r="Z221" s="36">
        <f>IFERROR(IF(Y221=0,"",ROUNDUP(Y221/H221,0)*0.00902),"")</f>
        <v>0.55022000000000004</v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271.23809523809524</v>
      </c>
      <c r="BN221" s="64">
        <f t="shared" ref="BN221:BN235" si="34">IFERROR(Y221*I221/H221,"0")</f>
        <v>271.45</v>
      </c>
      <c r="BO221" s="64">
        <f t="shared" ref="BO221:BO235" si="35">IFERROR(1/J221*(X221/H221),"0")</f>
        <v>0.46176046176046176</v>
      </c>
      <c r="BP221" s="64">
        <f t="shared" ref="BP221:BP235" si="36">IFERROR(1/J221*(Y221/H221),"0")</f>
        <v>0.4621212121212121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136</v>
      </c>
      <c r="Y223" s="644">
        <f t="shared" si="32"/>
        <v>138.6</v>
      </c>
      <c r="Z223" s="36">
        <f>IFERROR(IF(Y223=0,"",ROUNDUP(Y223/H223,0)*0.00902),"")</f>
        <v>0.29766000000000004</v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142.15238095238095</v>
      </c>
      <c r="BN223" s="64">
        <f t="shared" si="34"/>
        <v>144.86999999999998</v>
      </c>
      <c r="BO223" s="64">
        <f t="shared" si="35"/>
        <v>0.24531024531024531</v>
      </c>
      <c r="BP223" s="64">
        <f t="shared" si="36"/>
        <v>0.25</v>
      </c>
    </row>
    <row r="224" spans="1:68" ht="37.5" hidden="1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0</v>
      </c>
      <c r="Y224" s="644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60</v>
      </c>
      <c r="Y225" s="644">
        <f t="shared" si="32"/>
        <v>60.900000000000006</v>
      </c>
      <c r="Z225" s="36">
        <f t="shared" ref="Z225:Z230" si="37">IFERROR(IF(Y225=0,"",ROUNDUP(Y225/H225,0)*0.00502),"")</f>
        <v>0.14558000000000001</v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63.714285714285715</v>
      </c>
      <c r="BN225" s="64">
        <f t="shared" si="34"/>
        <v>64.67</v>
      </c>
      <c r="BO225" s="64">
        <f t="shared" si="35"/>
        <v>0.12210012210012211</v>
      </c>
      <c r="BP225" s="64">
        <f t="shared" si="36"/>
        <v>0.12393162393162395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82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15</v>
      </c>
      <c r="Y230" s="644">
        <f t="shared" si="32"/>
        <v>16.2</v>
      </c>
      <c r="Z230" s="36">
        <f t="shared" si="37"/>
        <v>4.5179999999999998E-2</v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16.083333333333332</v>
      </c>
      <c r="BN230" s="64">
        <f t="shared" si="34"/>
        <v>17.369999999999997</v>
      </c>
      <c r="BO230" s="64">
        <f t="shared" si="35"/>
        <v>3.561253561253562E-2</v>
      </c>
      <c r="BP230" s="64">
        <f t="shared" si="36"/>
        <v>3.8461538461538464E-2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0</v>
      </c>
      <c r="Y231" s="644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89</v>
      </c>
      <c r="Y232" s="644">
        <f t="shared" si="32"/>
        <v>90.3</v>
      </c>
      <c r="Z232" s="36">
        <f>IFERROR(IF(Y232=0,"",ROUNDUP(Y232/H232,0)*0.00502),"")</f>
        <v>0.21586</v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93.238095238095241</v>
      </c>
      <c r="BN232" s="64">
        <f t="shared" si="34"/>
        <v>94.6</v>
      </c>
      <c r="BO232" s="64">
        <f t="shared" si="35"/>
        <v>0.18111518111518113</v>
      </c>
      <c r="BP232" s="64">
        <f t="shared" si="36"/>
        <v>0.18376068376068377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1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172.61904761904762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175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1.2544999999999999</v>
      </c>
      <c r="AA236" s="646"/>
      <c r="AB236" s="646"/>
      <c r="AC236" s="646"/>
    </row>
    <row r="237" spans="1:68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556</v>
      </c>
      <c r="Y237" s="645">
        <f>IFERROR(SUM(Y221:Y235),"0")</f>
        <v>562.19999999999993</v>
      </c>
      <c r="Z237" s="37"/>
      <c r="AA237" s="646"/>
      <c r="AB237" s="646"/>
      <c r="AC237" s="646"/>
    </row>
    <row r="238" spans="1:68" ht="14.25" hidden="1" customHeight="1" x14ac:dyDescent="0.25">
      <c r="A238" s="663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4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7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3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4</v>
      </c>
      <c r="Y253" s="644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4.6031746031746028</v>
      </c>
      <c r="BN253" s="64">
        <f>IFERROR(Y253*I253/H253,"0")</f>
        <v>5.8</v>
      </c>
      <c r="BO253" s="64">
        <f>IFERROR(1/J253*(X253/H253),"0")</f>
        <v>1.469723691945914E-2</v>
      </c>
      <c r="BP253" s="64">
        <f>IFERROR(1/J253*(Y253/H253),"0")</f>
        <v>1.8518518518518517E-2</v>
      </c>
    </row>
    <row r="254" spans="1:68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3.1746031746031744</v>
      </c>
      <c r="Y254" s="645">
        <f>IFERROR(Y251/H251,"0")+IFERROR(Y252/H252,"0")+IFERROR(Y253/H253,"0")</f>
        <v>4</v>
      </c>
      <c r="Z254" s="645">
        <f>IFERROR(IF(Z251="",0,Z251),"0")+IFERROR(IF(Z252="",0,Z252),"0")+IFERROR(IF(Z253="",0,Z253),"0")</f>
        <v>2.3599999999999999E-2</v>
      </c>
      <c r="AA254" s="646"/>
      <c r="AB254" s="646"/>
      <c r="AC254" s="646"/>
    </row>
    <row r="255" spans="1:68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4</v>
      </c>
      <c r="Y255" s="645">
        <f>IFERROR(SUM(Y251:Y253),"0")</f>
        <v>5.04</v>
      </c>
      <c r="Z255" s="37"/>
      <c r="AA255" s="646"/>
      <c r="AB255" s="646"/>
      <c r="AC255" s="646"/>
    </row>
    <row r="256" spans="1:68" ht="14.25" hidden="1" customHeight="1" x14ac:dyDescent="0.25">
      <c r="A256" s="663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1</v>
      </c>
      <c r="Y257" s="644">
        <f>IFERROR(IF(X257="",0,CEILING((X257/$H257),1)*$H257),"")</f>
        <v>1.26</v>
      </c>
      <c r="Z257" s="36">
        <f>IFERROR(IF(Y257=0,"",ROUNDUP(Y257/H257,0)*0.0059),"")</f>
        <v>5.8999999999999999E-3</v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1.1507936507936507</v>
      </c>
      <c r="BN257" s="64">
        <f>IFERROR(Y257*I257/H257,"0")</f>
        <v>1.45</v>
      </c>
      <c r="BO257" s="64">
        <f>IFERROR(1/J257*(X257/H257),"0")</f>
        <v>3.6743092298647849E-3</v>
      </c>
      <c r="BP257" s="64">
        <f>IFERROR(1/J257*(Y257/H257),"0")</f>
        <v>4.6296296296296294E-3</v>
      </c>
    </row>
    <row r="258" spans="1:68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0.79365079365079361</v>
      </c>
      <c r="Y258" s="645">
        <f>IFERROR(Y257/H257,"0")</f>
        <v>1</v>
      </c>
      <c r="Z258" s="645">
        <f>IFERROR(IF(Z257="",0,Z257),"0")</f>
        <v>5.8999999999999999E-3</v>
      </c>
      <c r="AA258" s="646"/>
      <c r="AB258" s="646"/>
      <c r="AC258" s="646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1</v>
      </c>
      <c r="Y259" s="645">
        <f>IFERROR(SUM(Y257:Y257),"0")</f>
        <v>1.26</v>
      </c>
      <c r="Z259" s="37"/>
      <c r="AA259" s="646"/>
      <c r="AB259" s="646"/>
      <c r="AC259" s="646"/>
    </row>
    <row r="260" spans="1:68" ht="16.5" hidden="1" customHeight="1" x14ac:dyDescent="0.25">
      <c r="A260" s="676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3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3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3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51</v>
      </c>
      <c r="Y272" s="644">
        <f t="shared" ref="Y272:Y279" si="43">IFERROR(IF(X272="",0,CEILING((X272/$H272),1)*$H272),"")</f>
        <v>54</v>
      </c>
      <c r="Z272" s="36">
        <f>IFERROR(IF(Y272=0,"",ROUNDUP(Y272/H272,0)*0.00902),"")</f>
        <v>9.0200000000000002E-2</v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52.794444444444437</v>
      </c>
      <c r="BN272" s="64">
        <f t="shared" ref="BN272:BN279" si="45">IFERROR(Y272*I272/H272,"0")</f>
        <v>55.9</v>
      </c>
      <c r="BO272" s="64">
        <f t="shared" ref="BO272:BO279" si="46">IFERROR(1/J272*(X272/H272),"0")</f>
        <v>7.1548821548821556E-2</v>
      </c>
      <c r="BP272" s="64">
        <f t="shared" ref="BP272:BP279" si="47">IFERROR(1/J272*(Y272/H272),"0")</f>
        <v>7.575757575757576E-2</v>
      </c>
    </row>
    <row r="273" spans="1:68" ht="27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51</v>
      </c>
      <c r="Y273" s="644">
        <f t="shared" si="43"/>
        <v>54</v>
      </c>
      <c r="Z273" s="36">
        <f>IFERROR(IF(Y273=0,"",ROUNDUP(Y273/H273,0)*0.00902),"")</f>
        <v>9.0200000000000002E-2</v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52.794444444444437</v>
      </c>
      <c r="BN273" s="64">
        <f t="shared" si="45"/>
        <v>55.9</v>
      </c>
      <c r="BO273" s="64">
        <f t="shared" si="46"/>
        <v>7.1548821548821556E-2</v>
      </c>
      <c r="BP273" s="64">
        <f t="shared" si="47"/>
        <v>7.575757575757576E-2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90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85</v>
      </c>
      <c r="Y274" s="644">
        <f t="shared" si="43"/>
        <v>86.4</v>
      </c>
      <c r="Z274" s="36">
        <f>IFERROR(IF(Y274=0,"",ROUNDUP(Y274/H274,0)*0.00902),"")</f>
        <v>0.14432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87.990740740740733</v>
      </c>
      <c r="BN274" s="64">
        <f t="shared" si="45"/>
        <v>89.44</v>
      </c>
      <c r="BO274" s="64">
        <f t="shared" si="46"/>
        <v>0.11924803591470258</v>
      </c>
      <c r="BP274" s="64">
        <f t="shared" si="47"/>
        <v>0.12121212121212122</v>
      </c>
    </row>
    <row r="275" spans="1:68" ht="27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102</v>
      </c>
      <c r="Y275" s="644">
        <f t="shared" si="43"/>
        <v>102.60000000000001</v>
      </c>
      <c r="Z275" s="36">
        <f>IFERROR(IF(Y275=0,"",ROUNDUP(Y275/H275,0)*0.00902),"")</f>
        <v>0.17138</v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105.58888888888887</v>
      </c>
      <c r="BN275" s="64">
        <f t="shared" si="45"/>
        <v>106.21</v>
      </c>
      <c r="BO275" s="64">
        <f t="shared" si="46"/>
        <v>0.14309764309764311</v>
      </c>
      <c r="BP275" s="64">
        <f t="shared" si="47"/>
        <v>0.14393939393939395</v>
      </c>
    </row>
    <row r="276" spans="1:68" ht="27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15</v>
      </c>
      <c r="Y276" s="644">
        <f t="shared" si="43"/>
        <v>16.2</v>
      </c>
      <c r="Z276" s="36">
        <f>IFERROR(IF(Y276=0,"",ROUNDUP(Y276/H276,0)*0.00502),"")</f>
        <v>4.5179999999999998E-2</v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16.083333333333332</v>
      </c>
      <c r="BN276" s="64">
        <f t="shared" si="45"/>
        <v>17.369999999999997</v>
      </c>
      <c r="BO276" s="64">
        <f t="shared" si="46"/>
        <v>3.561253561253562E-2</v>
      </c>
      <c r="BP276" s="64">
        <f t="shared" si="47"/>
        <v>3.8461538461538464E-2</v>
      </c>
    </row>
    <row r="277" spans="1:68" ht="27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7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15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15.833333333333332</v>
      </c>
      <c r="BN277" s="64">
        <f t="shared" si="45"/>
        <v>17.099999999999998</v>
      </c>
      <c r="BO277" s="64">
        <f t="shared" si="46"/>
        <v>3.561253561253562E-2</v>
      </c>
      <c r="BP277" s="64">
        <f t="shared" si="47"/>
        <v>3.8461538461538464E-2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26</v>
      </c>
      <c r="Y279" s="644">
        <f t="shared" si="43"/>
        <v>27</v>
      </c>
      <c r="Z279" s="36">
        <f>IFERROR(IF(Y279=0,"",ROUNDUP(Y279/H279,0)*0.00502),"")</f>
        <v>7.5300000000000006E-2</v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27.444444444444443</v>
      </c>
      <c r="BN279" s="64">
        <f t="shared" si="45"/>
        <v>28.499999999999996</v>
      </c>
      <c r="BO279" s="64">
        <f t="shared" si="46"/>
        <v>6.1728395061728406E-2</v>
      </c>
      <c r="BP279" s="64">
        <f t="shared" si="47"/>
        <v>6.4102564102564111E-2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84.629629629629633</v>
      </c>
      <c r="Y280" s="645">
        <f>IFERROR(Y272/H272,"0")+IFERROR(Y273/H273,"0")+IFERROR(Y274/H274,"0")+IFERROR(Y275/H275,"0")+IFERROR(Y276/H276,"0")+IFERROR(Y277/H277,"0")+IFERROR(Y278/H278,"0")+IFERROR(Y279/H279,"0")</f>
        <v>88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0.66176000000000001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345</v>
      </c>
      <c r="Y281" s="645">
        <f>IFERROR(SUM(Y272:Y279),"0")</f>
        <v>356.4</v>
      </c>
      <c r="Z281" s="37"/>
      <c r="AA281" s="646"/>
      <c r="AB281" s="646"/>
      <c r="AC281" s="646"/>
    </row>
    <row r="282" spans="1:68" ht="14.25" hidden="1" customHeight="1" x14ac:dyDescent="0.25">
      <c r="A282" s="663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hidden="1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34</v>
      </c>
      <c r="Y284" s="644">
        <f t="shared" si="48"/>
        <v>40.5</v>
      </c>
      <c r="Z284" s="36">
        <f>IFERROR(IF(Y284=0,"",ROUNDUP(Y284/H284,0)*0.01898),"")</f>
        <v>9.4899999999999998E-2</v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35.998024691358026</v>
      </c>
      <c r="BN284" s="64">
        <f t="shared" si="50"/>
        <v>42.88</v>
      </c>
      <c r="BO284" s="64">
        <f t="shared" si="51"/>
        <v>6.558641975308642E-2</v>
      </c>
      <c r="BP284" s="64">
        <f t="shared" si="52"/>
        <v>7.8125E-2</v>
      </c>
    </row>
    <row r="285" spans="1:68" ht="27" hidden="1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68</v>
      </c>
      <c r="Y286" s="644">
        <f t="shared" si="48"/>
        <v>69.599999999999994</v>
      </c>
      <c r="Z286" s="36">
        <f>IFERROR(IF(Y286=0,"",ROUNDUP(Y286/H286,0)*0.00651),"")</f>
        <v>0.18879000000000001</v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75.650000000000006</v>
      </c>
      <c r="BN286" s="64">
        <f t="shared" si="50"/>
        <v>77.430000000000007</v>
      </c>
      <c r="BO286" s="64">
        <f t="shared" si="51"/>
        <v>0.15567765567765571</v>
      </c>
      <c r="BP286" s="64">
        <f t="shared" si="52"/>
        <v>0.15934065934065936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315</v>
      </c>
      <c r="Y289" s="644">
        <f t="shared" si="48"/>
        <v>316.8</v>
      </c>
      <c r="Z289" s="36">
        <f>IFERROR(IF(Y289=0,"",ROUNDUP(Y289/H289,0)*0.00651),"")</f>
        <v>0.85931999999999997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348.07499999999999</v>
      </c>
      <c r="BN289" s="64">
        <f t="shared" si="50"/>
        <v>350.06400000000008</v>
      </c>
      <c r="BO289" s="64">
        <f t="shared" si="51"/>
        <v>0.72115384615384626</v>
      </c>
      <c r="BP289" s="64">
        <f t="shared" si="52"/>
        <v>0.72527472527472536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170</v>
      </c>
      <c r="Y291" s="644">
        <f t="shared" si="48"/>
        <v>170.4</v>
      </c>
      <c r="Z291" s="36">
        <f>IFERROR(IF(Y291=0,"",ROUNDUP(Y291/H291,0)*0.00651),"")</f>
        <v>0.46221000000000001</v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187.85000000000002</v>
      </c>
      <c r="BN291" s="64">
        <f t="shared" si="50"/>
        <v>188.29200000000003</v>
      </c>
      <c r="BO291" s="64">
        <f t="shared" si="51"/>
        <v>0.38919413919413925</v>
      </c>
      <c r="BP291" s="64">
        <f t="shared" si="52"/>
        <v>0.39010989010989017</v>
      </c>
    </row>
    <row r="292" spans="1:68" ht="27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27</v>
      </c>
      <c r="Y292" s="644">
        <f t="shared" si="48"/>
        <v>28.799999999999997</v>
      </c>
      <c r="Z292" s="36">
        <f>IFERROR(IF(Y292=0,"",ROUNDUP(Y292/H292,0)*0.00651),"")</f>
        <v>7.8119999999999995E-2</v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29.835000000000001</v>
      </c>
      <c r="BN292" s="64">
        <f t="shared" si="50"/>
        <v>31.824000000000002</v>
      </c>
      <c r="BO292" s="64">
        <f t="shared" si="51"/>
        <v>6.1813186813186816E-2</v>
      </c>
      <c r="BP292" s="64">
        <f t="shared" si="52"/>
        <v>6.5934065934065936E-2</v>
      </c>
    </row>
    <row r="293" spans="1:68" ht="27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183</v>
      </c>
      <c r="Y293" s="644">
        <f t="shared" si="48"/>
        <v>184.79999999999998</v>
      </c>
      <c r="Z293" s="36">
        <f>IFERROR(IF(Y293=0,"",ROUNDUP(Y293/H293,0)*0.00651),"")</f>
        <v>0.50126999999999999</v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202.67250000000001</v>
      </c>
      <c r="BN293" s="64">
        <f t="shared" si="50"/>
        <v>204.66599999999997</v>
      </c>
      <c r="BO293" s="64">
        <f t="shared" si="51"/>
        <v>0.41895604395604397</v>
      </c>
      <c r="BP293" s="64">
        <f t="shared" si="52"/>
        <v>0.42307692307692313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322.1141975308642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326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2.1846099999999997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797</v>
      </c>
      <c r="Y296" s="645">
        <f>IFERROR(SUM(Y283:Y294),"0")</f>
        <v>810.89999999999986</v>
      </c>
      <c r="Z296" s="37"/>
      <c r="AA296" s="646"/>
      <c r="AB296" s="646"/>
      <c r="AC296" s="646"/>
    </row>
    <row r="297" spans="1:68" ht="14.25" hidden="1" customHeight="1" x14ac:dyDescent="0.25">
      <c r="A297" s="663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7</v>
      </c>
      <c r="Y298" s="644">
        <f>IFERROR(IF(X298="",0,CEILING((X298/$H298),1)*$H298),"")</f>
        <v>7.1999999999999993</v>
      </c>
      <c r="Z298" s="36">
        <f>IFERROR(IF(Y298=0,"",ROUNDUP(Y298/H298,0)*0.00651),"")</f>
        <v>1.9529999999999999E-2</v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7.7350000000000003</v>
      </c>
      <c r="BN298" s="64">
        <f>IFERROR(Y298*I298/H298,"0")</f>
        <v>7.9560000000000004</v>
      </c>
      <c r="BO298" s="64">
        <f>IFERROR(1/J298*(X298/H298),"0")</f>
        <v>1.6025641025641028E-2</v>
      </c>
      <c r="BP298" s="64">
        <f>IFERROR(1/J298*(Y298/H298),"0")</f>
        <v>1.6483516483516484E-2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2.916666666666667</v>
      </c>
      <c r="Y300" s="645">
        <f>IFERROR(Y298/H298,"0")+IFERROR(Y299/H299,"0")</f>
        <v>3</v>
      </c>
      <c r="Z300" s="645">
        <f>IFERROR(IF(Z298="",0,Z298),"0")+IFERROR(IF(Z299="",0,Z299),"0")</f>
        <v>1.9529999999999999E-2</v>
      </c>
      <c r="AA300" s="646"/>
      <c r="AB300" s="646"/>
      <c r="AC300" s="646"/>
    </row>
    <row r="301" spans="1:68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7</v>
      </c>
      <c r="Y301" s="645">
        <f>IFERROR(SUM(Y298:Y299),"0")</f>
        <v>7.1999999999999993</v>
      </c>
      <c r="Z301" s="37"/>
      <c r="AA301" s="646"/>
      <c r="AB301" s="646"/>
      <c r="AC301" s="646"/>
    </row>
    <row r="302" spans="1:68" ht="16.5" hidden="1" customHeight="1" x14ac:dyDescent="0.25">
      <c r="A302" s="676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3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hidden="1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75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63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9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3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2</v>
      </c>
      <c r="Y318" s="644">
        <f>IFERROR(IF(X318="",0,CEILING((X318/$H318),1)*$H318),"")</f>
        <v>3.6</v>
      </c>
      <c r="Z318" s="36">
        <f>IFERROR(IF(Y318=0,"",ROUNDUP(Y318/H318,0)*0.0059),"")</f>
        <v>1.18E-2</v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2.1944444444444446</v>
      </c>
      <c r="BN318" s="64">
        <f>IFERROR(Y318*I318/H318,"0")</f>
        <v>3.95</v>
      </c>
      <c r="BO318" s="64">
        <f>IFERROR(1/J318*(X318/H318),"0")</f>
        <v>5.1440329218106996E-3</v>
      </c>
      <c r="BP318" s="64">
        <f>IFERROR(1/J318*(Y318/H318),"0")</f>
        <v>9.2592592592592587E-3</v>
      </c>
    </row>
    <row r="319" spans="1:68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1.1111111111111112</v>
      </c>
      <c r="Y319" s="645">
        <f>IFERROR(Y318/H318,"0")</f>
        <v>2</v>
      </c>
      <c r="Z319" s="645">
        <f>IFERROR(IF(Z318="",0,Z318),"0")</f>
        <v>1.18E-2</v>
      </c>
      <c r="AA319" s="646"/>
      <c r="AB319" s="646"/>
      <c r="AC319" s="646"/>
    </row>
    <row r="320" spans="1:68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2</v>
      </c>
      <c r="Y320" s="645">
        <f>IFERROR(SUM(Y318:Y318),"0")</f>
        <v>3.6</v>
      </c>
      <c r="Z320" s="37"/>
      <c r="AA320" s="646"/>
      <c r="AB320" s="646"/>
      <c r="AC320" s="646"/>
    </row>
    <row r="321" spans="1:68" ht="14.25" hidden="1" customHeight="1" x14ac:dyDescent="0.25">
      <c r="A321" s="663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6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3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2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6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3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8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0</v>
      </c>
      <c r="Y339" s="64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0</v>
      </c>
      <c r="Y340" s="645">
        <f>IFERROR(Y337/H337,"0")+IFERROR(Y338/H338,"0")+IFERROR(Y339/H339,"0")</f>
        <v>0</v>
      </c>
      <c r="Z340" s="645">
        <f>IFERROR(IF(Z337="",0,Z337),"0")+IFERROR(IF(Z338="",0,Z338),"0")+IFERROR(IF(Z339="",0,Z339),"0")</f>
        <v>0</v>
      </c>
      <c r="AA340" s="646"/>
      <c r="AB340" s="646"/>
      <c r="AC340" s="646"/>
    </row>
    <row r="341" spans="1:68" hidden="1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0</v>
      </c>
      <c r="Y341" s="645">
        <f>IFERROR(SUM(Y337:Y339),"0")</f>
        <v>0</v>
      </c>
      <c r="Z341" s="37"/>
      <c r="AA341" s="646"/>
      <c r="AB341" s="646"/>
      <c r="AC341" s="646"/>
    </row>
    <row r="342" spans="1:68" ht="16.5" hidden="1" customHeight="1" x14ac:dyDescent="0.25">
      <c r="A342" s="676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3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6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3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176</v>
      </c>
      <c r="Y358" s="644">
        <f>IFERROR(IF(X358="",0,CEILING((X358/$H358),1)*$H358),"")</f>
        <v>179.4</v>
      </c>
      <c r="Z358" s="36">
        <f>IFERROR(IF(Y358=0,"",ROUNDUP(Y358/H358,0)*0.01898),"")</f>
        <v>0.43653999999999998</v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185.25128205128206</v>
      </c>
      <c r="BN358" s="64">
        <f>IFERROR(Y358*I358/H358,"0")</f>
        <v>188.83000000000004</v>
      </c>
      <c r="BO358" s="64">
        <f>IFERROR(1/J358*(X358/H358),"0")</f>
        <v>0.35256410256410259</v>
      </c>
      <c r="BP358" s="64">
        <f>IFERROR(1/J358*(Y358/H358),"0")</f>
        <v>0.359375</v>
      </c>
    </row>
    <row r="359" spans="1:68" ht="27" hidden="1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22.564102564102566</v>
      </c>
      <c r="Y361" s="645">
        <f>IFERROR(Y358/H358,"0")+IFERROR(Y359/H359,"0")+IFERROR(Y360/H360,"0")</f>
        <v>23</v>
      </c>
      <c r="Z361" s="645">
        <f>IFERROR(IF(Z358="",0,Z358),"0")+IFERROR(IF(Z359="",0,Z359),"0")+IFERROR(IF(Z360="",0,Z360),"0")</f>
        <v>0.43653999999999998</v>
      </c>
      <c r="AA361" s="646"/>
      <c r="AB361" s="646"/>
      <c r="AC361" s="646"/>
    </row>
    <row r="362" spans="1:68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176</v>
      </c>
      <c r="Y362" s="645">
        <f>IFERROR(SUM(Y358:Y360),"0")</f>
        <v>179.4</v>
      </c>
      <c r="Z362" s="37"/>
      <c r="AA362" s="646"/>
      <c r="AB362" s="646"/>
      <c r="AC362" s="646"/>
    </row>
    <row r="363" spans="1:68" ht="16.5" hidden="1" customHeight="1" x14ac:dyDescent="0.25">
      <c r="A363" s="676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3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0</v>
      </c>
      <c r="Y369" s="644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8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0</v>
      </c>
      <c r="Y372" s="645">
        <f>IFERROR(Y365/H365,"0")+IFERROR(Y366/H366,"0")+IFERROR(Y367/H367,"0")+IFERROR(Y368/H368,"0")+IFERROR(Y369/H369,"0")+IFERROR(Y370/H370,"0")+IFERROR(Y371/H371,"0")</f>
        <v>0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6"/>
      <c r="AB372" s="646"/>
      <c r="AC372" s="646"/>
    </row>
    <row r="373" spans="1:68" hidden="1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0</v>
      </c>
      <c r="Y373" s="645">
        <f>IFERROR(SUM(Y365:Y371),"0")</f>
        <v>0</v>
      </c>
      <c r="Z373" s="37"/>
      <c r="AA373" s="646"/>
      <c r="AB373" s="646"/>
      <c r="AC373" s="646"/>
    </row>
    <row r="374" spans="1:68" ht="14.25" hidden="1" customHeight="1" x14ac:dyDescent="0.25">
      <c r="A374" s="663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0</v>
      </c>
      <c r="Y376" s="644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14</v>
      </c>
      <c r="Y381" s="644">
        <f t="shared" si="68"/>
        <v>14.4</v>
      </c>
      <c r="Z381" s="36">
        <f>IFERROR(IF(Y381=0,"",ROUNDUP(Y381/H381,0)*0.00651),"")</f>
        <v>5.2080000000000001E-2</v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15.773333333333333</v>
      </c>
      <c r="BN381" s="64">
        <f t="shared" si="70"/>
        <v>16.224</v>
      </c>
      <c r="BO381" s="64">
        <f t="shared" si="71"/>
        <v>4.2735042735042736E-2</v>
      </c>
      <c r="BP381" s="64">
        <f t="shared" si="72"/>
        <v>4.3956043956043959E-2</v>
      </c>
    </row>
    <row r="382" spans="1:68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7.7777777777777777</v>
      </c>
      <c r="Y382" s="645">
        <f>IFERROR(Y375/H375,"0")+IFERROR(Y376/H376,"0")+IFERROR(Y377/H377,"0")+IFERROR(Y378/H378,"0")+IFERROR(Y379/H379,"0")+IFERROR(Y380/H380,"0")+IFERROR(Y381/H381,"0")</f>
        <v>8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5.2080000000000001E-2</v>
      </c>
      <c r="AA382" s="646"/>
      <c r="AB382" s="646"/>
      <c r="AC382" s="646"/>
    </row>
    <row r="383" spans="1:68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14</v>
      </c>
      <c r="Y383" s="645">
        <f>IFERROR(SUM(Y375:Y381),"0")</f>
        <v>14.4</v>
      </c>
      <c r="Z383" s="37"/>
      <c r="AA383" s="646"/>
      <c r="AB383" s="646"/>
      <c r="AC383" s="646"/>
    </row>
    <row r="384" spans="1:68" ht="14.25" hidden="1" customHeight="1" x14ac:dyDescent="0.25">
      <c r="A384" s="663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6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3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365</v>
      </c>
      <c r="Y392" s="644">
        <f>IFERROR(IF(X392="",0,CEILING((X392/$H392),1)*$H392),"")</f>
        <v>369.6</v>
      </c>
      <c r="Z392" s="36">
        <f>IFERROR(IF(Y392=0,"",ROUNDUP(Y392/H392,0)*0.01898),"")</f>
        <v>0.83511999999999997</v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386.46547619047618</v>
      </c>
      <c r="BN392" s="64">
        <f>IFERROR(Y392*I392/H392,"0")</f>
        <v>391.33600000000001</v>
      </c>
      <c r="BO392" s="64">
        <f>IFERROR(1/J392*(X392/H392),"0")</f>
        <v>0.67894345238095233</v>
      </c>
      <c r="BP392" s="64">
        <f>IFERROR(1/J392*(Y392/H392),"0")</f>
        <v>0.6875</v>
      </c>
    </row>
    <row r="393" spans="1:68" ht="27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425</v>
      </c>
      <c r="Y393" s="644">
        <f>IFERROR(IF(X393="",0,CEILING((X393/$H393),1)*$H393),"")</f>
        <v>429</v>
      </c>
      <c r="Z393" s="36">
        <f>IFERROR(IF(Y393=0,"",ROUNDUP(Y393/H393,0)*0.01898),"")</f>
        <v>1.0439000000000001</v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451.91666666666669</v>
      </c>
      <c r="BN393" s="64">
        <f>IFERROR(Y393*I393/H393,"0")</f>
        <v>456.17</v>
      </c>
      <c r="BO393" s="64">
        <f>IFERROR(1/J393*(X393/H393),"0")</f>
        <v>0.85136217948717952</v>
      </c>
      <c r="BP393" s="64">
        <f>IFERROR(1/J393*(Y393/H393),"0")</f>
        <v>0.859375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0</v>
      </c>
      <c r="Y394" s="64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97.939560439560438</v>
      </c>
      <c r="Y395" s="645">
        <f>IFERROR(Y392/H392,"0")+IFERROR(Y393/H393,"0")+IFERROR(Y394/H394,"0")</f>
        <v>99</v>
      </c>
      <c r="Z395" s="645">
        <f>IFERROR(IF(Z392="",0,Z392),"0")+IFERROR(IF(Z393="",0,Z393),"0")+IFERROR(IF(Z394="",0,Z394),"0")</f>
        <v>1.8790200000000001</v>
      </c>
      <c r="AA395" s="646"/>
      <c r="AB395" s="646"/>
      <c r="AC395" s="646"/>
    </row>
    <row r="396" spans="1:68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790</v>
      </c>
      <c r="Y396" s="645">
        <f>IFERROR(SUM(Y392:Y394),"0")</f>
        <v>798.6</v>
      </c>
      <c r="Z396" s="37"/>
      <c r="AA396" s="646"/>
      <c r="AB396" s="646"/>
      <c r="AC396" s="646"/>
    </row>
    <row r="397" spans="1:68" ht="14.25" hidden="1" customHeight="1" x14ac:dyDescent="0.25">
      <c r="A397" s="663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8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0</v>
      </c>
      <c r="Y401" s="644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0</v>
      </c>
      <c r="Y402" s="645">
        <f>IFERROR(Y398/H398,"0")+IFERROR(Y399/H399,"0")+IFERROR(Y400/H400,"0")+IFERROR(Y401/H401,"0")</f>
        <v>0</v>
      </c>
      <c r="Z402" s="645">
        <f>IFERROR(IF(Z398="",0,Z398),"0")+IFERROR(IF(Z399="",0,Z399),"0")+IFERROR(IF(Z400="",0,Z400),"0")+IFERROR(IF(Z401="",0,Z401),"0")</f>
        <v>0</v>
      </c>
      <c r="AA402" s="646"/>
      <c r="AB402" s="646"/>
      <c r="AC402" s="646"/>
    </row>
    <row r="403" spans="1:68" hidden="1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0</v>
      </c>
      <c r="Y403" s="645">
        <f>IFERROR(SUM(Y398:Y401),"0")</f>
        <v>0</v>
      </c>
      <c r="Z403" s="37"/>
      <c r="AA403" s="646"/>
      <c r="AB403" s="646"/>
      <c r="AC403" s="646"/>
    </row>
    <row r="404" spans="1:68" ht="14.25" hidden="1" customHeight="1" x14ac:dyDescent="0.25">
      <c r="A404" s="663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43</v>
      </c>
      <c r="Y405" s="644">
        <f>IFERROR(IF(X405="",0,CEILING((X405/$H405),1)*$H405),"")</f>
        <v>44</v>
      </c>
      <c r="Z405" s="36">
        <f>IFERROR(IF(Y405=0,"",ROUNDUP(Y405/H405,0)*0.00474),"")</f>
        <v>0.10428000000000001</v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48.160000000000004</v>
      </c>
      <c r="BN405" s="64">
        <f>IFERROR(Y405*I405/H405,"0")</f>
        <v>49.28</v>
      </c>
      <c r="BO405" s="64">
        <f>IFERROR(1/J405*(X405/H405),"0")</f>
        <v>9.0336134453781511E-2</v>
      </c>
      <c r="BP405" s="64">
        <f>IFERROR(1/J405*(Y405/H405),"0")</f>
        <v>9.2436974789915957E-2</v>
      </c>
    </row>
    <row r="406" spans="1:68" ht="27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25</v>
      </c>
      <c r="Y406" s="644">
        <f>IFERROR(IF(X406="",0,CEILING((X406/$H406),1)*$H406),"")</f>
        <v>26</v>
      </c>
      <c r="Z406" s="36">
        <f>IFERROR(IF(Y406=0,"",ROUNDUP(Y406/H406,0)*0.00474),"")</f>
        <v>6.1620000000000001E-2</v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28.000000000000004</v>
      </c>
      <c r="BN406" s="64">
        <f>IFERROR(Y406*I406/H406,"0")</f>
        <v>29.120000000000005</v>
      </c>
      <c r="BO406" s="64">
        <f>IFERROR(1/J406*(X406/H406),"0")</f>
        <v>5.2521008403361345E-2</v>
      </c>
      <c r="BP406" s="64">
        <f>IFERROR(1/J406*(Y406/H406),"0")</f>
        <v>5.4621848739495799E-2</v>
      </c>
    </row>
    <row r="407" spans="1:68" ht="27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82</v>
      </c>
      <c r="Y407" s="644">
        <f>IFERROR(IF(X407="",0,CEILING((X407/$H407),1)*$H407),"")</f>
        <v>82</v>
      </c>
      <c r="Z407" s="36">
        <f>IFERROR(IF(Y407=0,"",ROUNDUP(Y407/H407,0)*0.00474),"")</f>
        <v>0.19434000000000001</v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91.84</v>
      </c>
      <c r="BN407" s="64">
        <f>IFERROR(Y407*I407/H407,"0")</f>
        <v>91.84</v>
      </c>
      <c r="BO407" s="64">
        <f>IFERROR(1/J407*(X407/H407),"0")</f>
        <v>0.17226890756302521</v>
      </c>
      <c r="BP407" s="64">
        <f>IFERROR(1/J407*(Y407/H407),"0")</f>
        <v>0.17226890756302521</v>
      </c>
    </row>
    <row r="408" spans="1:68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75</v>
      </c>
      <c r="Y408" s="645">
        <f>IFERROR(Y405/H405,"0")+IFERROR(Y406/H406,"0")+IFERROR(Y407/H407,"0")</f>
        <v>76</v>
      </c>
      <c r="Z408" s="645">
        <f>IFERROR(IF(Z405="",0,Z405),"0")+IFERROR(IF(Z406="",0,Z406),"0")+IFERROR(IF(Z407="",0,Z407),"0")</f>
        <v>0.36024</v>
      </c>
      <c r="AA408" s="646"/>
      <c r="AB408" s="646"/>
      <c r="AC408" s="646"/>
    </row>
    <row r="409" spans="1:68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150</v>
      </c>
      <c r="Y409" s="645">
        <f>IFERROR(SUM(Y405:Y407),"0")</f>
        <v>152</v>
      </c>
      <c r="Z409" s="37"/>
      <c r="AA409" s="646"/>
      <c r="AB409" s="646"/>
      <c r="AC409" s="646"/>
    </row>
    <row r="410" spans="1:68" ht="14.25" hidden="1" customHeight="1" x14ac:dyDescent="0.25">
      <c r="A410" s="663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80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0</v>
      </c>
      <c r="Y413" s="644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0</v>
      </c>
      <c r="Y414" s="645">
        <f>IFERROR(Y411/H411,"0")+IFERROR(Y412/H412,"0")+IFERROR(Y413/H413,"0")</f>
        <v>0</v>
      </c>
      <c r="Z414" s="645">
        <f>IFERROR(IF(Z411="",0,Z411),"0")+IFERROR(IF(Z412="",0,Z412),"0")+IFERROR(IF(Z413="",0,Z413),"0")</f>
        <v>0</v>
      </c>
      <c r="AA414" s="646"/>
      <c r="AB414" s="646"/>
      <c r="AC414" s="646"/>
    </row>
    <row r="415" spans="1:68" hidden="1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0</v>
      </c>
      <c r="Y415" s="645">
        <f>IFERROR(SUM(Y411:Y413),"0")</f>
        <v>0</v>
      </c>
      <c r="Z415" s="37"/>
      <c r="AA415" s="646"/>
      <c r="AB415" s="646"/>
      <c r="AC415" s="646"/>
    </row>
    <row r="416" spans="1:68" ht="16.5" hidden="1" customHeight="1" x14ac:dyDescent="0.25">
      <c r="A416" s="676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3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7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6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3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30</v>
      </c>
      <c r="Y425" s="644">
        <f>IFERROR(IF(X425="",0,CEILING((X425/$H425),1)*$H425),"")</f>
        <v>31.5</v>
      </c>
      <c r="Z425" s="36">
        <f>IFERROR(IF(Y425=0,"",ROUNDUP(Y425/H425,0)*0.00651),"")</f>
        <v>9.7650000000000001E-2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33.6</v>
      </c>
      <c r="BN425" s="64">
        <f>IFERROR(Y425*I425/H425,"0")</f>
        <v>35.279999999999994</v>
      </c>
      <c r="BO425" s="64">
        <f>IFERROR(1/J425*(X425/H425),"0")</f>
        <v>7.8492935635792779E-2</v>
      </c>
      <c r="BP425" s="64">
        <f>IFERROR(1/J425*(Y425/H425),"0")</f>
        <v>8.241758241758243E-2</v>
      </c>
    </row>
    <row r="426" spans="1:68" ht="27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6</v>
      </c>
      <c r="Y426" s="644">
        <f>IFERROR(IF(X426="",0,CEILING((X426/$H426),1)*$H426),"")</f>
        <v>6.3000000000000007</v>
      </c>
      <c r="Z426" s="36">
        <f>IFERROR(IF(Y426=0,"",ROUNDUP(Y426/H426,0)*0.00651),"")</f>
        <v>1.9529999999999999E-2</v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6.6857142857142851</v>
      </c>
      <c r="BN426" s="64">
        <f>IFERROR(Y426*I426/H426,"0")</f>
        <v>7.0200000000000005</v>
      </c>
      <c r="BO426" s="64">
        <f>IFERROR(1/J426*(X426/H426),"0")</f>
        <v>1.5698587127158558E-2</v>
      </c>
      <c r="BP426" s="64">
        <f>IFERROR(1/J426*(Y426/H426),"0")</f>
        <v>1.6483516483516484E-2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17.142857142857142</v>
      </c>
      <c r="Y427" s="645">
        <f>IFERROR(Y424/H424,"0")+IFERROR(Y425/H425,"0")+IFERROR(Y426/H426,"0")</f>
        <v>18</v>
      </c>
      <c r="Z427" s="645">
        <f>IFERROR(IF(Z424="",0,Z424),"0")+IFERROR(IF(Z425="",0,Z425),"0")+IFERROR(IF(Z426="",0,Z426),"0")</f>
        <v>0.11718000000000001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36</v>
      </c>
      <c r="Y428" s="645">
        <f>IFERROR(SUM(Y424:Y426),"0")</f>
        <v>37.799999999999997</v>
      </c>
      <c r="Z428" s="37"/>
      <c r="AA428" s="646"/>
      <c r="AB428" s="646"/>
      <c r="AC428" s="646"/>
    </row>
    <row r="429" spans="1:68" ht="27.75" hidden="1" customHeight="1" x14ac:dyDescent="0.2">
      <c r="A429" s="664" t="s">
        <v>690</v>
      </c>
      <c r="B429" s="665"/>
      <c r="C429" s="665"/>
      <c r="D429" s="665"/>
      <c r="E429" s="665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48"/>
      <c r="AB429" s="48"/>
      <c r="AC429" s="48"/>
    </row>
    <row r="430" spans="1:68" ht="16.5" hidden="1" customHeight="1" x14ac:dyDescent="0.25">
      <c r="A430" s="676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3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53</v>
      </c>
      <c r="Y432" s="644">
        <f t="shared" ref="Y432:Y439" si="73">IFERROR(IF(X432="",0,CEILING((X432/$H432),1)*$H432),"")</f>
        <v>60</v>
      </c>
      <c r="Z432" s="36">
        <f>IFERROR(IF(Y432=0,"",ROUNDUP(Y432/H432,0)*0.02175),"")</f>
        <v>8.6999999999999994E-2</v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54.660666666666671</v>
      </c>
      <c r="BN432" s="64">
        <f t="shared" ref="BN432:BN439" si="75">IFERROR(Y432*I432/H432,"0")</f>
        <v>61.88</v>
      </c>
      <c r="BO432" s="64">
        <f t="shared" ref="BO432:BO439" si="76">IFERROR(1/J432*(X432/H432),"0")</f>
        <v>7.3611111111111099E-2</v>
      </c>
      <c r="BP432" s="64">
        <f t="shared" ref="BP432:BP439" si="77">IFERROR(1/J432*(Y432/H432),"0")</f>
        <v>8.3333333333333329E-2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8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1800</v>
      </c>
      <c r="Y433" s="644">
        <f t="shared" si="73"/>
        <v>1800</v>
      </c>
      <c r="Z433" s="36">
        <f>IFERROR(IF(Y433=0,"",ROUNDUP(Y433/H433,0)*0.02175),"")</f>
        <v>2.61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1856.4</v>
      </c>
      <c r="BN433" s="64">
        <f t="shared" si="75"/>
        <v>1856.4</v>
      </c>
      <c r="BO433" s="64">
        <f t="shared" si="76"/>
        <v>2.5</v>
      </c>
      <c r="BP433" s="64">
        <f t="shared" si="77"/>
        <v>2.5</v>
      </c>
    </row>
    <row r="434" spans="1:68" ht="27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1850</v>
      </c>
      <c r="Y434" s="644">
        <f t="shared" si="73"/>
        <v>1860</v>
      </c>
      <c r="Z434" s="36">
        <f>IFERROR(IF(Y434=0,"",ROUNDUP(Y434/H434,0)*0.02175),"")</f>
        <v>2.6969999999999996</v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1907.9666666666667</v>
      </c>
      <c r="BN434" s="64">
        <f t="shared" si="75"/>
        <v>1918.28</v>
      </c>
      <c r="BO434" s="64">
        <f t="shared" si="76"/>
        <v>2.5694444444444442</v>
      </c>
      <c r="BP434" s="64">
        <f t="shared" si="77"/>
        <v>2.583333333333333</v>
      </c>
    </row>
    <row r="435" spans="1:68" ht="27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724</v>
      </c>
      <c r="Y435" s="644">
        <f t="shared" si="73"/>
        <v>735</v>
      </c>
      <c r="Z435" s="36">
        <f>IFERROR(IF(Y435=0,"",ROUNDUP(Y435/H435,0)*0.02175),"")</f>
        <v>1.06575</v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746.68533333333335</v>
      </c>
      <c r="BN435" s="64">
        <f t="shared" si="75"/>
        <v>758.03000000000009</v>
      </c>
      <c r="BO435" s="64">
        <f t="shared" si="76"/>
        <v>1.0055555555555555</v>
      </c>
      <c r="BP435" s="64">
        <f t="shared" si="77"/>
        <v>1.0208333333333333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100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900</v>
      </c>
      <c r="Y436" s="644">
        <f t="shared" si="73"/>
        <v>900</v>
      </c>
      <c r="Z436" s="36">
        <f>IFERROR(IF(Y436=0,"",ROUNDUP(Y436/H436,0)*0.02175),"")</f>
        <v>1.3049999999999999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928.2</v>
      </c>
      <c r="BN436" s="64">
        <f t="shared" si="75"/>
        <v>928.2</v>
      </c>
      <c r="BO436" s="64">
        <f t="shared" si="76"/>
        <v>1.25</v>
      </c>
      <c r="BP436" s="64">
        <f t="shared" si="77"/>
        <v>1.25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87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355.13333333333333</v>
      </c>
      <c r="Y440" s="645">
        <f>IFERROR(Y432/H432,"0")+IFERROR(Y433/H433,"0")+IFERROR(Y434/H434,"0")+IFERROR(Y435/H435,"0")+IFERROR(Y436/H436,"0")+IFERROR(Y437/H437,"0")+IFERROR(Y438/H438,"0")+IFERROR(Y439/H439,"0")</f>
        <v>357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7.7647499999999994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5327</v>
      </c>
      <c r="Y441" s="645">
        <f>IFERROR(SUM(Y432:Y439),"0")</f>
        <v>5355</v>
      </c>
      <c r="Z441" s="37"/>
      <c r="AA441" s="646"/>
      <c r="AB441" s="646"/>
      <c r="AC441" s="646"/>
    </row>
    <row r="442" spans="1:68" ht="14.25" hidden="1" customHeight="1" x14ac:dyDescent="0.25">
      <c r="A442" s="663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1100</v>
      </c>
      <c r="Y443" s="644">
        <f>IFERROR(IF(X443="",0,CEILING((X443/$H443),1)*$H443),"")</f>
        <v>1110</v>
      </c>
      <c r="Z443" s="36">
        <f>IFERROR(IF(Y443=0,"",ROUNDUP(Y443/H443,0)*0.02175),"")</f>
        <v>1.6094999999999999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1134.4666666666667</v>
      </c>
      <c r="BN443" s="64">
        <f>IFERROR(Y443*I443/H443,"0")</f>
        <v>1144.78</v>
      </c>
      <c r="BO443" s="64">
        <f>IFERROR(1/J443*(X443/H443),"0")</f>
        <v>1.5277777777777777</v>
      </c>
      <c r="BP443" s="64">
        <f>IFERROR(1/J443*(Y443/H443),"0")</f>
        <v>1.5416666666666665</v>
      </c>
    </row>
    <row r="444" spans="1:68" ht="27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29</v>
      </c>
      <c r="Y444" s="644">
        <f>IFERROR(IF(X444="",0,CEILING((X444/$H444),1)*$H444),"")</f>
        <v>30</v>
      </c>
      <c r="Z444" s="36">
        <f>IFERROR(IF(Y444=0,"",ROUNDUP(Y444/H444,0)*0.02175),"")</f>
        <v>4.3499999999999997E-2</v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29.908666666666665</v>
      </c>
      <c r="BN444" s="64">
        <f>IFERROR(Y444*I444/H444,"0")</f>
        <v>30.94</v>
      </c>
      <c r="BO444" s="64">
        <f>IFERROR(1/J444*(X444/H444),"0")</f>
        <v>4.0277777777777773E-2</v>
      </c>
      <c r="BP444" s="64">
        <f>IFERROR(1/J444*(Y444/H444),"0")</f>
        <v>4.1666666666666664E-2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75.266666666666666</v>
      </c>
      <c r="Y446" s="645">
        <f>IFERROR(Y443/H443,"0")+IFERROR(Y444/H444,"0")+IFERROR(Y445/H445,"0")</f>
        <v>76</v>
      </c>
      <c r="Z446" s="645">
        <f>IFERROR(IF(Z443="",0,Z443),"0")+IFERROR(IF(Z444="",0,Z444),"0")+IFERROR(IF(Z445="",0,Z445),"0")</f>
        <v>1.653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1129</v>
      </c>
      <c r="Y447" s="645">
        <f>IFERROR(SUM(Y443:Y445),"0")</f>
        <v>1140</v>
      </c>
      <c r="Z447" s="37"/>
      <c r="AA447" s="646"/>
      <c r="AB447" s="646"/>
      <c r="AC447" s="646"/>
    </row>
    <row r="448" spans="1:68" ht="14.25" hidden="1" customHeight="1" x14ac:dyDescent="0.25">
      <c r="A448" s="663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34</v>
      </c>
      <c r="Y450" s="644">
        <f>IFERROR(IF(X450="",0,CEILING((X450/$H450),1)*$H450),"")</f>
        <v>36</v>
      </c>
      <c r="Z450" s="36">
        <f>IFERROR(IF(Y450=0,"",ROUNDUP(Y450/H450,0)*0.01898),"")</f>
        <v>7.5920000000000001E-2</v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35.86622222222222</v>
      </c>
      <c r="BN450" s="64">
        <f>IFERROR(Y450*I450/H450,"0")</f>
        <v>37.975999999999999</v>
      </c>
      <c r="BO450" s="64">
        <f>IFERROR(1/J450*(X450/H450),"0")</f>
        <v>5.9027777777777776E-2</v>
      </c>
      <c r="BP450" s="64">
        <f>IFERROR(1/J450*(Y450/H450),"0")</f>
        <v>6.25E-2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3.7777777777777777</v>
      </c>
      <c r="Y452" s="645">
        <f>IFERROR(Y449/H449,"0")+IFERROR(Y450/H450,"0")+IFERROR(Y451/H451,"0")</f>
        <v>4</v>
      </c>
      <c r="Z452" s="645">
        <f>IFERROR(IF(Z449="",0,Z449),"0")+IFERROR(IF(Z450="",0,Z450),"0")+IFERROR(IF(Z451="",0,Z451),"0")</f>
        <v>7.5920000000000001E-2</v>
      </c>
      <c r="AA452" s="646"/>
      <c r="AB452" s="646"/>
      <c r="AC452" s="646"/>
    </row>
    <row r="453" spans="1:68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34</v>
      </c>
      <c r="Y453" s="645">
        <f>IFERROR(SUM(Y449:Y451),"0")</f>
        <v>36</v>
      </c>
      <c r="Z453" s="37"/>
      <c r="AA453" s="646"/>
      <c r="AB453" s="646"/>
      <c r="AC453" s="646"/>
    </row>
    <row r="454" spans="1:68" ht="14.25" hidden="1" customHeight="1" x14ac:dyDescent="0.25">
      <c r="A454" s="663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85</v>
      </c>
      <c r="Y456" s="644">
        <f>IFERROR(IF(X456="",0,CEILING((X456/$H456),1)*$H456),"")</f>
        <v>90</v>
      </c>
      <c r="Z456" s="36">
        <f>IFERROR(IF(Y456=0,"",ROUNDUP(Y456/H456,0)*0.01898),"")</f>
        <v>0.1898</v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89.665555555555557</v>
      </c>
      <c r="BN456" s="64">
        <f>IFERROR(Y456*I456/H456,"0")</f>
        <v>94.94</v>
      </c>
      <c r="BO456" s="64">
        <f>IFERROR(1/J456*(X456/H456),"0")</f>
        <v>0.14756944444444445</v>
      </c>
      <c r="BP456" s="64">
        <f>IFERROR(1/J456*(Y456/H456),"0")</f>
        <v>0.15625</v>
      </c>
    </row>
    <row r="457" spans="1:68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9.4444444444444446</v>
      </c>
      <c r="Y457" s="645">
        <f>IFERROR(Y455/H455,"0")+IFERROR(Y456/H456,"0")</f>
        <v>10</v>
      </c>
      <c r="Z457" s="645">
        <f>IFERROR(IF(Z455="",0,Z455),"0")+IFERROR(IF(Z456="",0,Z456),"0")</f>
        <v>0.1898</v>
      </c>
      <c r="AA457" s="646"/>
      <c r="AB457" s="646"/>
      <c r="AC457" s="646"/>
    </row>
    <row r="458" spans="1:68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85</v>
      </c>
      <c r="Y458" s="645">
        <f>IFERROR(SUM(Y455:Y456),"0")</f>
        <v>90</v>
      </c>
      <c r="Z458" s="37"/>
      <c r="AA458" s="646"/>
      <c r="AB458" s="646"/>
      <c r="AC458" s="646"/>
    </row>
    <row r="459" spans="1:68" ht="16.5" hidden="1" customHeight="1" x14ac:dyDescent="0.25">
      <c r="A459" s="676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3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3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8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3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hidden="1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4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14</v>
      </c>
      <c r="Y471" s="644">
        <f>IFERROR(IF(X471="",0,CEILING((X471/$H471),1)*$H471),"")</f>
        <v>14.399999999999999</v>
      </c>
      <c r="Z471" s="36">
        <f>IFERROR(IF(Y471=0,"",ROUNDUP(Y471/H471,0)*0.00651),"")</f>
        <v>3.9059999999999997E-2</v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15.540000000000001</v>
      </c>
      <c r="BN471" s="64">
        <f>IFERROR(Y471*I471/H471,"0")</f>
        <v>15.983999999999998</v>
      </c>
      <c r="BO471" s="64">
        <f>IFERROR(1/J471*(X471/H471),"0")</f>
        <v>3.2051282051282055E-2</v>
      </c>
      <c r="BP471" s="64">
        <f>IFERROR(1/J471*(Y471/H471),"0")</f>
        <v>3.2967032967032968E-2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5.8333333333333339</v>
      </c>
      <c r="Y473" s="645">
        <f>IFERROR(Y470/H470,"0")+IFERROR(Y471/H471,"0")+IFERROR(Y472/H472,"0")</f>
        <v>6</v>
      </c>
      <c r="Z473" s="645">
        <f>IFERROR(IF(Z470="",0,Z470),"0")+IFERROR(IF(Z471="",0,Z471),"0")+IFERROR(IF(Z472="",0,Z472),"0")</f>
        <v>3.9059999999999997E-2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14</v>
      </c>
      <c r="Y474" s="645">
        <f>IFERROR(SUM(Y470:Y472),"0")</f>
        <v>14.399999999999999</v>
      </c>
      <c r="Z474" s="37"/>
      <c r="AA474" s="646"/>
      <c r="AB474" s="646"/>
      <c r="AC474" s="646"/>
    </row>
    <row r="475" spans="1:68" ht="27.75" hidden="1" customHeight="1" x14ac:dyDescent="0.2">
      <c r="A475" s="664" t="s">
        <v>756</v>
      </c>
      <c r="B475" s="665"/>
      <c r="C475" s="665"/>
      <c r="D475" s="665"/>
      <c r="E475" s="665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48"/>
      <c r="AB475" s="48"/>
      <c r="AC475" s="48"/>
    </row>
    <row r="476" spans="1:68" ht="16.5" hidden="1" customHeight="1" x14ac:dyDescent="0.25">
      <c r="A476" s="676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3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8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3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8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6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3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80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3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4" t="s">
        <v>792</v>
      </c>
      <c r="B502" s="665"/>
      <c r="C502" s="665"/>
      <c r="D502" s="665"/>
      <c r="E502" s="665"/>
      <c r="F502" s="665"/>
      <c r="G502" s="665"/>
      <c r="H502" s="665"/>
      <c r="I502" s="665"/>
      <c r="J502" s="665"/>
      <c r="K502" s="665"/>
      <c r="L502" s="665"/>
      <c r="M502" s="665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48"/>
      <c r="AB502" s="48"/>
      <c r="AC502" s="48"/>
    </row>
    <row r="503" spans="1:68" ht="16.5" hidden="1" customHeight="1" x14ac:dyDescent="0.25">
      <c r="A503" s="676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3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hidden="1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0</v>
      </c>
      <c r="Y505" s="644">
        <f t="shared" ref="Y505:Y513" si="83">IFERROR(IF(X505="",0,CEILING((X505/$H505),1)*$H505),"")</f>
        <v>0</v>
      </c>
      <c r="Z505" s="36" t="str">
        <f t="shared" ref="Z505:Z510" si="84">IFERROR(IF(Y505=0,"",ROUNDUP(Y505/H505,0)*0.01196),"")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0</v>
      </c>
      <c r="BN505" s="64">
        <f t="shared" ref="BN505:BN513" si="86">IFERROR(Y505*I505/H505,"0")</f>
        <v>0</v>
      </c>
      <c r="BO505" s="64">
        <f t="shared" ref="BO505:BO513" si="87">IFERROR(1/J505*(X505/H505),"0")</f>
        <v>0</v>
      </c>
      <c r="BP505" s="64">
        <f t="shared" ref="BP505:BP513" si="88">IFERROR(1/J505*(Y505/H505),"0")</f>
        <v>0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42</v>
      </c>
      <c r="Y507" s="644">
        <f t="shared" si="83"/>
        <v>42.24</v>
      </c>
      <c r="Z507" s="36">
        <f t="shared" si="84"/>
        <v>9.5680000000000001E-2</v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44.784090909090907</v>
      </c>
      <c r="BN507" s="64">
        <f t="shared" si="86"/>
        <v>45.04</v>
      </c>
      <c r="BO507" s="64">
        <f t="shared" si="87"/>
        <v>7.6486013986013984E-2</v>
      </c>
      <c r="BP507" s="64">
        <f t="shared" si="88"/>
        <v>7.6923076923076927E-2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445</v>
      </c>
      <c r="Y508" s="644">
        <f t="shared" si="83"/>
        <v>448.8</v>
      </c>
      <c r="Z508" s="36">
        <f t="shared" si="84"/>
        <v>1.0165999999999999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474.49810606060601</v>
      </c>
      <c r="BN508" s="64">
        <f t="shared" si="86"/>
        <v>478.55</v>
      </c>
      <c r="BO508" s="64">
        <f t="shared" si="87"/>
        <v>0.81038752913752921</v>
      </c>
      <c r="BP508" s="64">
        <f t="shared" si="88"/>
        <v>0.8173076923076924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9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577</v>
      </c>
      <c r="Y510" s="644">
        <f t="shared" si="83"/>
        <v>580.80000000000007</v>
      </c>
      <c r="Z510" s="36">
        <f t="shared" si="84"/>
        <v>1.3156000000000001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615.24810606060601</v>
      </c>
      <c r="BN510" s="64">
        <f t="shared" si="86"/>
        <v>619.30000000000007</v>
      </c>
      <c r="BO510" s="64">
        <f t="shared" si="87"/>
        <v>1.0507721445221445</v>
      </c>
      <c r="BP510" s="64">
        <f t="shared" si="88"/>
        <v>1.0576923076923079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0</v>
      </c>
      <c r="Y512" s="644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0</v>
      </c>
      <c r="Y513" s="644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201.5151515151515</v>
      </c>
      <c r="Y514" s="645">
        <f>IFERROR(Y505/H505,"0")+IFERROR(Y506/H506,"0")+IFERROR(Y507/H507,"0")+IFERROR(Y508/H508,"0")+IFERROR(Y509/H509,"0")+IFERROR(Y510/H510,"0")+IFERROR(Y511/H511,"0")+IFERROR(Y512/H512,"0")+IFERROR(Y513/H513,"0")</f>
        <v>203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2.42788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1064</v>
      </c>
      <c r="Y515" s="645">
        <f>IFERROR(SUM(Y505:Y513),"0")</f>
        <v>1071.8400000000001</v>
      </c>
      <c r="Z515" s="37"/>
      <c r="AA515" s="646"/>
      <c r="AB515" s="646"/>
      <c r="AC515" s="646"/>
    </row>
    <row r="516" spans="1:68" ht="14.25" hidden="1" customHeight="1" x14ac:dyDescent="0.25">
      <c r="A516" s="663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641</v>
      </c>
      <c r="Y517" s="644">
        <f>IFERROR(IF(X517="",0,CEILING((X517/$H517),1)*$H517),"")</f>
        <v>644.16000000000008</v>
      </c>
      <c r="Z517" s="36">
        <f>IFERROR(IF(Y517=0,"",ROUNDUP(Y517/H517,0)*0.01196),"")</f>
        <v>1.45912</v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683.49053030303025</v>
      </c>
      <c r="BN517" s="64">
        <f>IFERROR(Y517*I517/H517,"0")</f>
        <v>686.86000000000013</v>
      </c>
      <c r="BO517" s="64">
        <f>IFERROR(1/J517*(X517/H517),"0")</f>
        <v>1.1673222610722611</v>
      </c>
      <c r="BP517" s="64">
        <f>IFERROR(1/J517*(Y517/H517),"0")</f>
        <v>1.1730769230769234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hidden="1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7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0</v>
      </c>
      <c r="Y519" s="644">
        <f>IFERROR(IF(X519="",0,CEILING((X519/$H519),1)*$H519),"")</f>
        <v>0</v>
      </c>
      <c r="Z519" s="36" t="str">
        <f>IFERROR(IF(Y519=0,"",ROUNDUP(Y519/H519,0)*0.00902),"")</f>
        <v/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121.40151515151514</v>
      </c>
      <c r="Y520" s="645">
        <f>IFERROR(Y517/H517,"0")+IFERROR(Y518/H518,"0")+IFERROR(Y519/H519,"0")</f>
        <v>122.00000000000001</v>
      </c>
      <c r="Z520" s="645">
        <f>IFERROR(IF(Z517="",0,Z517),"0")+IFERROR(IF(Z518="",0,Z518),"0")+IFERROR(IF(Z519="",0,Z519),"0")</f>
        <v>1.45912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641</v>
      </c>
      <c r="Y521" s="645">
        <f>IFERROR(SUM(Y517:Y519),"0")</f>
        <v>644.16000000000008</v>
      </c>
      <c r="Z521" s="37"/>
      <c r="AA521" s="646"/>
      <c r="AB521" s="646"/>
      <c r="AC521" s="646"/>
    </row>
    <row r="522" spans="1:68" ht="14.25" hidden="1" customHeight="1" x14ac:dyDescent="0.25">
      <c r="A522" s="663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hidden="1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0</v>
      </c>
      <c r="Y523" s="644">
        <f t="shared" ref="Y523:Y529" si="89">IFERROR(IF(X523="",0,CEILING((X523/$H523),1)*$H523),"")</f>
        <v>0</v>
      </c>
      <c r="Z523" s="36" t="str">
        <f>IFERROR(IF(Y523=0,"",ROUNDUP(Y523/H523,0)*0.01196),"")</f>
        <v/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0</v>
      </c>
      <c r="BN523" s="64">
        <f t="shared" ref="BN523:BN529" si="91">IFERROR(Y523*I523/H523,"0")</f>
        <v>0</v>
      </c>
      <c r="BO523" s="64">
        <f t="shared" ref="BO523:BO529" si="92">IFERROR(1/J523*(X523/H523),"0")</f>
        <v>0</v>
      </c>
      <c r="BP523" s="64">
        <f t="shared" ref="BP523:BP529" si="93">IFERROR(1/J523*(Y523/H523),"0")</f>
        <v>0</v>
      </c>
    </row>
    <row r="524" spans="1:68" ht="27" hidden="1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0</v>
      </c>
      <c r="Y524" s="644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8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299</v>
      </c>
      <c r="Y525" s="644">
        <f t="shared" si="89"/>
        <v>300.96000000000004</v>
      </c>
      <c r="Z525" s="36">
        <f>IFERROR(IF(Y525=0,"",ROUNDUP(Y525/H525,0)*0.01196),"")</f>
        <v>0.68171999999999999</v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318.82007575757569</v>
      </c>
      <c r="BN525" s="64">
        <f t="shared" si="91"/>
        <v>320.91000000000003</v>
      </c>
      <c r="BO525" s="64">
        <f t="shared" si="92"/>
        <v>0.5445075757575758</v>
      </c>
      <c r="BP525" s="64">
        <f t="shared" si="93"/>
        <v>0.54807692307692313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8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8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56.628787878787875</v>
      </c>
      <c r="Y530" s="645">
        <f>IFERROR(Y523/H523,"0")+IFERROR(Y524/H524,"0")+IFERROR(Y525/H525,"0")+IFERROR(Y526/H526,"0")+IFERROR(Y527/H527,"0")+IFERROR(Y528/H528,"0")+IFERROR(Y529/H529,"0")</f>
        <v>57.000000000000007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0.68171999999999999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299</v>
      </c>
      <c r="Y531" s="645">
        <f>IFERROR(SUM(Y523:Y529),"0")</f>
        <v>300.96000000000004</v>
      </c>
      <c r="Z531" s="37"/>
      <c r="AA531" s="646"/>
      <c r="AB531" s="646"/>
      <c r="AC531" s="646"/>
    </row>
    <row r="532" spans="1:68" ht="27.75" hidden="1" customHeight="1" x14ac:dyDescent="0.2">
      <c r="A532" s="664" t="s">
        <v>839</v>
      </c>
      <c r="B532" s="665"/>
      <c r="C532" s="665"/>
      <c r="D532" s="665"/>
      <c r="E532" s="665"/>
      <c r="F532" s="665"/>
      <c r="G532" s="665"/>
      <c r="H532" s="665"/>
      <c r="I532" s="665"/>
      <c r="J532" s="665"/>
      <c r="K532" s="665"/>
      <c r="L532" s="665"/>
      <c r="M532" s="665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48"/>
      <c r="AB532" s="48"/>
      <c r="AC532" s="48"/>
    </row>
    <row r="533" spans="1:68" ht="16.5" hidden="1" customHeight="1" x14ac:dyDescent="0.25">
      <c r="A533" s="676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3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3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3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hidden="1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0</v>
      </c>
      <c r="Y543" s="64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0</v>
      </c>
      <c r="Y544" s="645">
        <f>IFERROR(Y543/H543,"0")</f>
        <v>0</v>
      </c>
      <c r="Z544" s="645">
        <f>IFERROR(IF(Z543="",0,Z543),"0")</f>
        <v>0</v>
      </c>
      <c r="AA544" s="646"/>
      <c r="AB544" s="646"/>
      <c r="AC544" s="646"/>
    </row>
    <row r="545" spans="1:68" hidden="1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0</v>
      </c>
      <c r="Y545" s="645">
        <f>IFERROR(SUM(Y543:Y543),"0")</f>
        <v>0</v>
      </c>
      <c r="Z545" s="37"/>
      <c r="AA545" s="646"/>
      <c r="AB545" s="646"/>
      <c r="AC545" s="646"/>
    </row>
    <row r="546" spans="1:68" ht="14.25" hidden="1" customHeight="1" x14ac:dyDescent="0.25">
      <c r="A546" s="663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6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3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29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4"/>
      <c r="P556" s="671" t="s">
        <v>859</v>
      </c>
      <c r="Q556" s="672"/>
      <c r="R556" s="672"/>
      <c r="S556" s="672"/>
      <c r="T556" s="672"/>
      <c r="U556" s="672"/>
      <c r="V556" s="673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13777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13937.400000000001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4"/>
      <c r="P557" s="671" t="s">
        <v>860</v>
      </c>
      <c r="Q557" s="672"/>
      <c r="R557" s="672"/>
      <c r="S557" s="672"/>
      <c r="T557" s="672"/>
      <c r="U557" s="672"/>
      <c r="V557" s="673"/>
      <c r="W557" s="37" t="s">
        <v>67</v>
      </c>
      <c r="X557" s="645">
        <f>IFERROR(SUM(BM22:BM553),"0")</f>
        <v>14458.741152822487</v>
      </c>
      <c r="Y557" s="645">
        <f>IFERROR(SUM(BN22:BN553),"0")</f>
        <v>14627.706000000004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4"/>
      <c r="P558" s="671" t="s">
        <v>861</v>
      </c>
      <c r="Q558" s="672"/>
      <c r="R558" s="672"/>
      <c r="S558" s="672"/>
      <c r="T558" s="672"/>
      <c r="U558" s="672"/>
      <c r="V558" s="673"/>
      <c r="W558" s="37" t="s">
        <v>862</v>
      </c>
      <c r="X558" s="38">
        <f>ROUNDUP(SUM(BO22:BO553),0)</f>
        <v>24</v>
      </c>
      <c r="Y558" s="38">
        <f>ROUNDUP(SUM(BP22:BP553),0)</f>
        <v>24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4"/>
      <c r="P559" s="671" t="s">
        <v>863</v>
      </c>
      <c r="Q559" s="672"/>
      <c r="R559" s="672"/>
      <c r="S559" s="672"/>
      <c r="T559" s="672"/>
      <c r="U559" s="672"/>
      <c r="V559" s="673"/>
      <c r="W559" s="37" t="s">
        <v>67</v>
      </c>
      <c r="X559" s="645">
        <f>GrossWeightTotal+PalletQtyTotal*25</f>
        <v>15058.741152822487</v>
      </c>
      <c r="Y559" s="645">
        <f>GrossWeightTotalR+PalletQtyTotalR*25</f>
        <v>15227.706000000004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4"/>
      <c r="P560" s="671" t="s">
        <v>864</v>
      </c>
      <c r="Q560" s="672"/>
      <c r="R560" s="672"/>
      <c r="S560" s="672"/>
      <c r="T560" s="672"/>
      <c r="U560" s="672"/>
      <c r="V560" s="673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2105.7525887692555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2136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4"/>
      <c r="P561" s="671" t="s">
        <v>865</v>
      </c>
      <c r="Q561" s="672"/>
      <c r="R561" s="672"/>
      <c r="S561" s="672"/>
      <c r="T561" s="672"/>
      <c r="U561" s="672"/>
      <c r="V561" s="673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26.796419999999998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13"/>
      <c r="F563" s="713"/>
      <c r="G563" s="713"/>
      <c r="H563" s="713"/>
      <c r="I563" s="713"/>
      <c r="J563" s="704"/>
      <c r="K563" s="703" t="s">
        <v>335</v>
      </c>
      <c r="L563" s="713"/>
      <c r="M563" s="713"/>
      <c r="N563" s="713"/>
      <c r="O563" s="713"/>
      <c r="P563" s="713"/>
      <c r="Q563" s="713"/>
      <c r="R563" s="713"/>
      <c r="S563" s="713"/>
      <c r="T563" s="713"/>
      <c r="U563" s="713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9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70"/>
      <c r="B565" s="710"/>
      <c r="C565" s="710"/>
      <c r="D565" s="710"/>
      <c r="E565" s="710"/>
      <c r="F565" s="710"/>
      <c r="G565" s="710"/>
      <c r="H565" s="710"/>
      <c r="I565" s="710"/>
      <c r="J565" s="710"/>
      <c r="K565" s="710"/>
      <c r="L565" s="710"/>
      <c r="M565" s="710"/>
      <c r="N565" s="641"/>
      <c r="O565" s="710"/>
      <c r="P565" s="710"/>
      <c r="Q565" s="710"/>
      <c r="R565" s="710"/>
      <c r="S565" s="710"/>
      <c r="T565" s="710"/>
      <c r="U565" s="710"/>
      <c r="V565" s="710"/>
      <c r="W565" s="710"/>
      <c r="X565" s="710"/>
      <c r="Y565" s="710"/>
      <c r="Z565" s="710"/>
      <c r="AA565" s="710"/>
      <c r="AB565" s="710"/>
      <c r="AC565" s="710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0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226.4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55.8</v>
      </c>
      <c r="F566" s="46">
        <f>IFERROR(Y88*1,"0")+IFERROR(Y89*1,"0")+IFERROR(Y90*1,"0")+IFERROR(Y91*1,"0")+IFERROR(Y92*1,"0")+IFERROR(Y96*1,"0")+IFERROR(Y97*1,"0")+IFERROR(Y98*1,"0")+IFERROR(Y99*1,"0")</f>
        <v>583.20000000000005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771.3</v>
      </c>
      <c r="H566" s="46">
        <f>IFERROR(Y134*1,"0")+IFERROR(Y135*1,"0")+IFERROR(Y139*1,"0")+IFERROR(Y140*1,"0")+IFERROR(Y144*1,"0")+IFERROR(Y145*1,"0")</f>
        <v>60.56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658.98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568.49999999999989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1174.5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3.6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0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179.4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965</v>
      </c>
      <c r="U566" s="46">
        <f>IFERROR(Y418*1,"0")+IFERROR(Y419*1,"0")</f>
        <v>0</v>
      </c>
      <c r="V566" s="46">
        <f>IFERROR(Y424*1,"0")+IFERROR(Y425*1,"0")+IFERROR(Y426*1,"0")</f>
        <v>37.799999999999997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6621</v>
      </c>
      <c r="X566" s="46">
        <f>IFERROR(Y461*1,"0")+IFERROR(Y462*1,"0")+IFERROR(Y466*1,"0")+IFERROR(Y470*1,"0")+IFERROR(Y471*1,"0")+IFERROR(Y472*1,"0")</f>
        <v>14.399999999999999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2016.9600000000003</v>
      </c>
      <c r="AB566" s="46">
        <f>IFERROR(Y535*1,"0")+IFERROR(Y539*1,"0")+IFERROR(Y543*1,"0")+IFERROR(Y547*1,"0")+IFERROR(Y548*1,"0")</f>
        <v>0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79"/>
        <filter val="1 064,00"/>
        <filter val="1 100,00"/>
        <filter val="1 129,00"/>
        <filter val="1 800,00"/>
        <filter val="1 850,00"/>
        <filter val="1,00"/>
        <filter val="1,11"/>
        <filter val="102,00"/>
        <filter val="107,00"/>
        <filter val="12,00"/>
        <filter val="121,40"/>
        <filter val="124,00"/>
        <filter val="13 777,00"/>
        <filter val="13,64"/>
        <filter val="136,00"/>
        <filter val="14 458,74"/>
        <filter val="14,00"/>
        <filter val="15 058,74"/>
        <filter val="15,00"/>
        <filter val="150,00"/>
        <filter val="17,00"/>
        <filter val="17,14"/>
        <filter val="17,78"/>
        <filter val="170,00"/>
        <filter val="172,62"/>
        <filter val="176,00"/>
        <filter val="183,00"/>
        <filter val="188,00"/>
        <filter val="2 105,75"/>
        <filter val="2,00"/>
        <filter val="2,50"/>
        <filter val="2,92"/>
        <filter val="201,52"/>
        <filter val="217,00"/>
        <filter val="22,56"/>
        <filter val="230,83"/>
        <filter val="24"/>
        <filter val="24,66"/>
        <filter val="25,00"/>
        <filter val="25,35"/>
        <filter val="255,00"/>
        <filter val="256,00"/>
        <filter val="26,00"/>
        <filter val="27,00"/>
        <filter val="29,00"/>
        <filter val="299,00"/>
        <filter val="3,17"/>
        <filter val="3,78"/>
        <filter val="30,00"/>
        <filter val="315,00"/>
        <filter val="322,11"/>
        <filter val="34,00"/>
        <filter val="345,00"/>
        <filter val="355,13"/>
        <filter val="36,00"/>
        <filter val="365,00"/>
        <filter val="37,00"/>
        <filter val="4,00"/>
        <filter val="4,29"/>
        <filter val="42,00"/>
        <filter val="425,00"/>
        <filter val="43,00"/>
        <filter val="445,00"/>
        <filter val="48,00"/>
        <filter val="5 327,00"/>
        <filter val="5,83"/>
        <filter val="5,93"/>
        <filter val="502,00"/>
        <filter val="51,00"/>
        <filter val="53,00"/>
        <filter val="556,00"/>
        <filter val="56,63"/>
        <filter val="577,00"/>
        <filter val="584,00"/>
        <filter val="6,00"/>
        <filter val="60,00"/>
        <filter val="61,98"/>
        <filter val="641,00"/>
        <filter val="653,00"/>
        <filter val="68,00"/>
        <filter val="7,00"/>
        <filter val="7,78"/>
        <filter val="72,10"/>
        <filter val="724,00"/>
        <filter val="75,00"/>
        <filter val="75,27"/>
        <filter val="790,00"/>
        <filter val="797,00"/>
        <filter val="8,00"/>
        <filter val="80,00"/>
        <filter val="82,00"/>
        <filter val="84,63"/>
        <filter val="85,00"/>
        <filter val="89,00"/>
        <filter val="9,44"/>
        <filter val="9,56"/>
        <filter val="900,00"/>
        <filter val="95,00"/>
        <filter val="97,94"/>
      </filters>
    </filterColumn>
    <filterColumn colId="29" showButton="0"/>
    <filterColumn colId="30" showButton="0"/>
  </autoFilter>
  <mergeCells count="999">
    <mergeCell ref="C564:C565"/>
    <mergeCell ref="D286:E286"/>
    <mergeCell ref="D563:J563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I564:I565"/>
    <mergeCell ref="P444:T444"/>
    <mergeCell ref="D50:E50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D359:E359"/>
    <mergeCell ref="D347:E347"/>
    <mergeCell ref="P157:V157"/>
    <mergeCell ref="P159:T159"/>
    <mergeCell ref="D140:E140"/>
    <mergeCell ref="A138:Z138"/>
    <mergeCell ref="A12:M12"/>
    <mergeCell ref="P130:V130"/>
    <mergeCell ref="P97:T97"/>
    <mergeCell ref="Y17:Y18"/>
    <mergeCell ref="U17:V17"/>
    <mergeCell ref="D293:E293"/>
    <mergeCell ref="P58:T58"/>
    <mergeCell ref="D110:E110"/>
    <mergeCell ref="X17:X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P307:T307"/>
    <mergeCell ref="D483:E483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P71:T71"/>
    <mergeCell ref="D123:E123"/>
    <mergeCell ref="P160:V160"/>
    <mergeCell ref="P83:T83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P131:V131"/>
    <mergeCell ref="P187:V187"/>
    <mergeCell ref="P258:V258"/>
    <mergeCell ref="P439:T439"/>
    <mergeCell ref="P433:T433"/>
    <mergeCell ref="D276:E276"/>
    <mergeCell ref="P37:T37"/>
    <mergeCell ref="A78:O79"/>
    <mergeCell ref="A42:O43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A546:Z546"/>
    <mergeCell ref="P373:V373"/>
    <mergeCell ref="P202:V202"/>
    <mergeCell ref="P380:T380"/>
    <mergeCell ref="P500:V500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355:V355"/>
    <mergeCell ref="D487:E487"/>
    <mergeCell ref="A14:M14"/>
    <mergeCell ref="I17:I18"/>
    <mergeCell ref="D211:E211"/>
    <mergeCell ref="P466:T466"/>
    <mergeCell ref="A486:Z486"/>
    <mergeCell ref="P531:V531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9:Z19"/>
    <mergeCell ref="P310:T310"/>
    <mergeCell ref="D182:E182"/>
    <mergeCell ref="A489:O490"/>
    <mergeCell ref="D480:E480"/>
    <mergeCell ref="A160:O161"/>
    <mergeCell ref="D109:E109"/>
    <mergeCell ref="P424:T424"/>
    <mergeCell ref="D345:E345"/>
    <mergeCell ref="A280:O281"/>
    <mergeCell ref="P254:V254"/>
    <mergeCell ref="A349:O350"/>
    <mergeCell ref="P447:V447"/>
    <mergeCell ref="P389:V389"/>
    <mergeCell ref="D348:E348"/>
    <mergeCell ref="D62:E62"/>
    <mergeCell ref="D72:E72"/>
    <mergeCell ref="A95:Z95"/>
    <mergeCell ref="A26:Z26"/>
    <mergeCell ref="P230:T230"/>
    <mergeCell ref="A325:Z325"/>
    <mergeCell ref="P96:T96"/>
    <mergeCell ref="P90:T90"/>
    <mergeCell ref="A469:Z469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235:E235"/>
    <mergeCell ref="P214:V214"/>
    <mergeCell ref="P270:V270"/>
    <mergeCell ref="D517:E517"/>
    <mergeCell ref="P401:T401"/>
    <mergeCell ref="P268:T268"/>
    <mergeCell ref="P339:T339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D47:E47"/>
    <mergeCell ref="P136:V136"/>
    <mergeCell ref="P65:V65"/>
    <mergeCell ref="A53:Z53"/>
    <mergeCell ref="D124:E124"/>
    <mergeCell ref="P81:T81"/>
    <mergeCell ref="P56:T56"/>
    <mergeCell ref="D56:E56"/>
    <mergeCell ref="A416:Z416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D251:E251"/>
    <mergeCell ref="A549:O550"/>
    <mergeCell ref="P554:V554"/>
    <mergeCell ref="D543:E543"/>
    <mergeCell ref="D518:E518"/>
    <mergeCell ref="P252:T252"/>
    <mergeCell ref="P379:T379"/>
    <mergeCell ref="A313:Z313"/>
    <mergeCell ref="A538:Z538"/>
    <mergeCell ref="A514:O515"/>
    <mergeCell ref="D519:E519"/>
    <mergeCell ref="A496:Z496"/>
    <mergeCell ref="D513:E513"/>
    <mergeCell ref="P560:V560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P377:T377"/>
    <mergeCell ref="P206:T206"/>
    <mergeCell ref="P233:T233"/>
    <mergeCell ref="A473:O474"/>
    <mergeCell ref="D411:E411"/>
    <mergeCell ref="D482:E482"/>
    <mergeCell ref="D289:E289"/>
    <mergeCell ref="A149:Z149"/>
    <mergeCell ref="P395:V395"/>
    <mergeCell ref="P209:T209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