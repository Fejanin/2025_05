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5E345CF-9191-4CF1-9147-9073BD3503D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N521" i="2"/>
  <c r="BM521" i="2"/>
  <c r="Z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Z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Z261" i="2"/>
  <c r="Z262" i="2" s="1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Z205" i="2"/>
  <c r="Z206" i="2" s="1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N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P77" i="2" l="1"/>
  <c r="Z77" i="2"/>
  <c r="Z231" i="2"/>
  <c r="Z28" i="2"/>
  <c r="BN199" i="2"/>
  <c r="Z404" i="2"/>
  <c r="Z440" i="2"/>
  <c r="BP50" i="2"/>
  <c r="Z86" i="2"/>
  <c r="BN86" i="2"/>
  <c r="Z93" i="2"/>
  <c r="BN93" i="2"/>
  <c r="BP98" i="2"/>
  <c r="Y112" i="2"/>
  <c r="Y136" i="2"/>
  <c r="BP173" i="2"/>
  <c r="Z221" i="2"/>
  <c r="Z240" i="2"/>
  <c r="BN240" i="2"/>
  <c r="Z241" i="2"/>
  <c r="Z326" i="2"/>
  <c r="BN326" i="2"/>
  <c r="Z327" i="2"/>
  <c r="BN327" i="2"/>
  <c r="Z328" i="2"/>
  <c r="Z442" i="2"/>
  <c r="BN442" i="2"/>
  <c r="Z466" i="2"/>
  <c r="BN466" i="2"/>
  <c r="Z474" i="2"/>
  <c r="BN474" i="2"/>
  <c r="Z476" i="2"/>
  <c r="Y179" i="2"/>
  <c r="BN187" i="2"/>
  <c r="BN194" i="2"/>
  <c r="BN266" i="2"/>
  <c r="BN382" i="2"/>
  <c r="BP396" i="2"/>
  <c r="BN410" i="2"/>
  <c r="BN416" i="2"/>
  <c r="BN455" i="2"/>
  <c r="BN503" i="2"/>
  <c r="BN516" i="2"/>
  <c r="Y33" i="2"/>
  <c r="Z31" i="2"/>
  <c r="BN31" i="2"/>
  <c r="BP38" i="2"/>
  <c r="BN41" i="2"/>
  <c r="Z48" i="2"/>
  <c r="Y82" i="2"/>
  <c r="BP80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Z185" i="2"/>
  <c r="BN185" i="2"/>
  <c r="Z191" i="2"/>
  <c r="BN191" i="2"/>
  <c r="BN218" i="2"/>
  <c r="Z219" i="2"/>
  <c r="Z230" i="2"/>
  <c r="Z233" i="2"/>
  <c r="BN233" i="2"/>
  <c r="Z242" i="2"/>
  <c r="Y252" i="2"/>
  <c r="BN250" i="2"/>
  <c r="Z251" i="2"/>
  <c r="BN292" i="2"/>
  <c r="Z293" i="2"/>
  <c r="BN293" i="2"/>
  <c r="Z295" i="2"/>
  <c r="BN298" i="2"/>
  <c r="BN313" i="2"/>
  <c r="Z318" i="2"/>
  <c r="Z319" i="2" s="1"/>
  <c r="BP333" i="2"/>
  <c r="BN336" i="2"/>
  <c r="Z337" i="2"/>
  <c r="BN343" i="2"/>
  <c r="Z349" i="2"/>
  <c r="BN351" i="2"/>
  <c r="Z353" i="2"/>
  <c r="BN372" i="2"/>
  <c r="Z374" i="2"/>
  <c r="BN374" i="2"/>
  <c r="BN384" i="2"/>
  <c r="BN392" i="2"/>
  <c r="Z396" i="2"/>
  <c r="Z436" i="2"/>
  <c r="BN436" i="2"/>
  <c r="BN443" i="2"/>
  <c r="BN454" i="2"/>
  <c r="BN460" i="2"/>
  <c r="Y462" i="2"/>
  <c r="Z486" i="2"/>
  <c r="BN486" i="2"/>
  <c r="BN502" i="2"/>
  <c r="BN510" i="2"/>
  <c r="BN515" i="2"/>
  <c r="BN530" i="2"/>
  <c r="Z532" i="2"/>
  <c r="Z363" i="2"/>
  <c r="Y366" i="2"/>
  <c r="Z104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7" i="2" s="1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Z354" i="2" s="1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2" i="2" l="1"/>
  <c r="Z329" i="2"/>
  <c r="Z386" i="2"/>
  <c r="Z345" i="2"/>
  <c r="Z174" i="2"/>
  <c r="Z120" i="2"/>
  <c r="Z444" i="2"/>
  <c r="Z456" i="2"/>
  <c r="Z399" i="2"/>
  <c r="Z142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<sst xmlns="http://schemas.openxmlformats.org/spreadsheetml/2006/main" count="4366" uniqueCount="910">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</sst>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909</v>
      </c>
      <c r="I5" s="1013"/>
      <c r="J5" s="1013"/>
      <c r="K5" s="1013"/>
      <c r="L5" s="1013"/>
      <c r="M5" s="1013"/>
      <c r="N5" s="72"/>
      <c r="P5" s="27" t="s">
        <v>4</v>
      </c>
      <c r="Q5" s="1015">
        <v>46292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Воскресенье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4.1666666666666664E-2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/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/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/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/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30</v>
      </c>
      <c r="Y85" s="55">
        <f>IFERROR(IF(X85="",0,CEILING((X85/$H85),1)*$H85),"")</f>
        <v>32.400000000000006</v>
      </c>
      <c r="Z85" s="41">
        <f>IFERROR(IF(Y85=0,"",ROUNDUP(Y85/H85,0)*0.01898),"")</f>
        <v>5.6940000000000004E-2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31.138888888888889</v>
      </c>
      <c r="BN85" s="78">
        <f>IFERROR(Y85*I85/H85,"0")</f>
        <v>33.630000000000003</v>
      </c>
      <c r="BO85" s="78">
        <f>IFERROR(1/J85*(X85/H85),"0")</f>
        <v>4.3402777777777776E-2</v>
      </c>
      <c r="BP85" s="78">
        <f>IFERROR(1/J85*(Y85/H85),"0")</f>
        <v>4.6875000000000007E-2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9</v>
      </c>
      <c r="Y89" s="55">
        <f>IFERROR(IF(X89="",0,CEILING((X89/$H89),1)*$H89),"")</f>
        <v>9</v>
      </c>
      <c r="Z89" s="41">
        <f>IFERROR(IF(Y89=0,"",ROUNDUP(Y89/H89,0)*0.00902),"")</f>
        <v>1.804E-2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9.3800000000000008</v>
      </c>
      <c r="BN89" s="78">
        <f>IFERROR(Y89*I89/H89,"0")</f>
        <v>9.3800000000000008</v>
      </c>
      <c r="BO89" s="78">
        <f>IFERROR(1/J89*(X89/H89),"0")</f>
        <v>1.5151515151515152E-2</v>
      </c>
      <c r="BP89" s="78">
        <f>IFERROR(1/J89*(Y89/H89),"0")</f>
        <v>1.5151515151515152E-2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4.7777777777777777</v>
      </c>
      <c r="Y90" s="43">
        <f>IFERROR(Y85/H85,"0")+IFERROR(Y86/H86,"0")+IFERROR(Y87/H87,"0")+IFERROR(Y88/H88,"0")+IFERROR(Y89/H89,"0")</f>
        <v>5</v>
      </c>
      <c r="Z90" s="43">
        <f>IFERROR(IF(Z85="",0,Z85),"0")+IFERROR(IF(Z86="",0,Z86),"0")+IFERROR(IF(Z87="",0,Z87),"0")+IFERROR(IF(Z88="",0,Z88),"0")+IFERROR(IF(Z89="",0,Z89),"0")</f>
        <v>7.4980000000000005E-2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39</v>
      </c>
      <c r="Y91" s="43">
        <f>IFERROR(SUM(Y85:Y89),"0")</f>
        <v>41.400000000000006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30</v>
      </c>
      <c r="Y104" s="55">
        <f t="shared" ref="Y104:Y111" si="10">IFERROR(IF(X104="",0,CEILING((X104/$H104),1)*$H104),"")</f>
        <v>32.400000000000006</v>
      </c>
      <c r="Z104" s="41">
        <f>IFERROR(IF(Y104=0,"",ROUNDUP(Y104/H104,0)*0.01898),"")</f>
        <v>5.6940000000000004E-2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31.138888888888889</v>
      </c>
      <c r="BN104" s="78">
        <f t="shared" ref="BN104:BN111" si="12">IFERROR(Y104*I104/H104,"0")</f>
        <v>33.630000000000003</v>
      </c>
      <c r="BO104" s="78">
        <f t="shared" ref="BO104:BO111" si="13">IFERROR(1/J104*(X104/H104),"0")</f>
        <v>4.3402777777777776E-2</v>
      </c>
      <c r="BP104" s="78">
        <f t="shared" ref="BP104:BP111" si="14">IFERROR(1/J104*(Y104/H104),"0")</f>
        <v>4.6875000000000007E-2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2.7777777777777777</v>
      </c>
      <c r="Y112" s="43">
        <f>IFERROR(Y104/H104,"0")+IFERROR(Y105/H105,"0")+IFERROR(Y106/H106,"0")+IFERROR(Y107/H107,"0")+IFERROR(Y108/H108,"0")+IFERROR(Y109/H109,"0")+IFERROR(Y110/H110,"0")+IFERROR(Y111/H111,"0")</f>
        <v>3.0000000000000004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5.6940000000000004E-2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30</v>
      </c>
      <c r="Y113" s="43">
        <f>IFERROR(SUM(Y104:Y111),"0")</f>
        <v>32.400000000000006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35</v>
      </c>
      <c r="Y182" s="55">
        <f t="shared" ref="Y182:Y195" si="27">IFERROR(IF(X182="",0,CEILING((X182/$H182),1)*$H182),"")</f>
        <v>35</v>
      </c>
      <c r="Z182" s="41">
        <f t="shared" ref="Z182:Z187" si="28">IFERROR(IF(Y182=0,"",ROUNDUP(Y182/H182,0)*0.00902),"")</f>
        <v>9.0200000000000002E-2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36.9</v>
      </c>
      <c r="BN182" s="78">
        <f t="shared" ref="BN182:BN195" si="30">IFERROR(Y182*I182/H182,"0")</f>
        <v>36.9</v>
      </c>
      <c r="BO182" s="78">
        <f t="shared" ref="BO182:BO195" si="31">IFERROR(1/J182*(X182/H182),"0")</f>
        <v>7.575757575757576E-2</v>
      </c>
      <c r="BP182" s="78">
        <f t="shared" ref="BP182:BP195" si="32">IFERROR(1/J182*(Y182/H182),"0")</f>
        <v>7.575757575757576E-2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100</v>
      </c>
      <c r="Y184" s="55">
        <f t="shared" si="27"/>
        <v>101.5</v>
      </c>
      <c r="Z184" s="41">
        <f t="shared" si="28"/>
        <v>0.26158000000000003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105.42857142857143</v>
      </c>
      <c r="BN184" s="78">
        <f t="shared" si="30"/>
        <v>107.00999999999999</v>
      </c>
      <c r="BO184" s="78">
        <f t="shared" si="31"/>
        <v>0.21645021645021648</v>
      </c>
      <c r="BP184" s="78">
        <f t="shared" si="32"/>
        <v>0.2196969696969697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100</v>
      </c>
      <c r="Y186" s="55">
        <f t="shared" si="27"/>
        <v>101.5</v>
      </c>
      <c r="Z186" s="41">
        <f t="shared" si="28"/>
        <v>0.26158000000000003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105.42857142857143</v>
      </c>
      <c r="BN186" s="78">
        <f t="shared" si="30"/>
        <v>107.00999999999999</v>
      </c>
      <c r="BO186" s="78">
        <f t="shared" si="31"/>
        <v>0.21645021645021648</v>
      </c>
      <c r="BP186" s="78">
        <f t="shared" si="32"/>
        <v>0.2196969696969697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6.72</v>
      </c>
      <c r="Y190" s="55">
        <f t="shared" si="27"/>
        <v>6.72</v>
      </c>
      <c r="Z190" s="41">
        <f>IFERROR(IF(Y190=0,"",ROUNDUP(Y190/H190,0)*0.00502),"")</f>
        <v>2.0080000000000001E-2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7.1199999999999992</v>
      </c>
      <c r="BN190" s="78">
        <f t="shared" si="30"/>
        <v>7.1199999999999992</v>
      </c>
      <c r="BO190" s="78">
        <f t="shared" si="31"/>
        <v>1.7094017094017096E-2</v>
      </c>
      <c r="BP190" s="78">
        <f t="shared" si="32"/>
        <v>1.7094017094017096E-2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8.4</v>
      </c>
      <c r="Y192" s="55">
        <f t="shared" si="27"/>
        <v>8.4</v>
      </c>
      <c r="Z192" s="41">
        <f>IFERROR(IF(Y192=0,"",ROUNDUP(Y192/H192,0)*0.00502),"")</f>
        <v>2.5100000000000001E-2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8.9000000000000021</v>
      </c>
      <c r="BN192" s="78">
        <f t="shared" si="30"/>
        <v>8.9000000000000021</v>
      </c>
      <c r="BO192" s="78">
        <f t="shared" si="31"/>
        <v>2.1367521367521368E-2</v>
      </c>
      <c r="BP192" s="78">
        <f t="shared" si="32"/>
        <v>2.1367521367521368E-2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8.4</v>
      </c>
      <c r="Y195" s="55">
        <f t="shared" si="27"/>
        <v>8.4</v>
      </c>
      <c r="Z195" s="41">
        <f>IFERROR(IF(Y195=0,"",ROUNDUP(Y195/H195,0)*0.00502),"")</f>
        <v>2.5100000000000001E-2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8.9000000000000021</v>
      </c>
      <c r="BN195" s="78">
        <f t="shared" si="30"/>
        <v>8.9000000000000021</v>
      </c>
      <c r="BO195" s="78">
        <f t="shared" si="31"/>
        <v>2.1367521367521368E-2</v>
      </c>
      <c r="BP195" s="78">
        <f t="shared" si="32"/>
        <v>2.1367521367521368E-2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81.142857142857139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82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0.68364000000000014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258.52</v>
      </c>
      <c r="Y197" s="43">
        <f>IFERROR(SUM(Y182:Y195),"0")</f>
        <v>261.52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4.8</v>
      </c>
      <c r="Y248" s="55">
        <f>IFERROR(IF(X248="",0,CEILING((X248/$H248),1)*$H248),"")</f>
        <v>4.8</v>
      </c>
      <c r="Z248" s="41">
        <f>IFERROR(IF(Y248=0,"",ROUNDUP(Y248/H248,0)*0.01196),"")</f>
        <v>1.196E-2</v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5.2220000000000004</v>
      </c>
      <c r="BN248" s="78">
        <f>IFERROR(Y248*I248/H248,"0")</f>
        <v>5.2220000000000004</v>
      </c>
      <c r="BO248" s="78">
        <f>IFERROR(1/J248*(X248/H248),"0")</f>
        <v>9.6153846153846159E-3</v>
      </c>
      <c r="BP248" s="78">
        <f>IFERROR(1/J248*(Y248/H248),"0")</f>
        <v>9.6153846153846159E-3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1</v>
      </c>
      <c r="Y252" s="43">
        <f>IFERROR(Y247/H247,"0")+IFERROR(Y248/H248,"0")+IFERROR(Y249/H249,"0")+IFERROR(Y250/H250,"0")+IFERROR(Y251/H251,"0")</f>
        <v>1</v>
      </c>
      <c r="Z252" s="43">
        <f>IFERROR(IF(Z247="",0,Z247),"0")+IFERROR(IF(Z248="",0,Z248),"0")+IFERROR(IF(Z249="",0,Z249),"0")+IFERROR(IF(Z250="",0,Z250),"0")+IFERROR(IF(Z251="",0,Z251),"0")</f>
        <v>1.196E-2</v>
      </c>
      <c r="AA252" s="67"/>
      <c r="AB252" s="67"/>
      <c r="AC252" s="67"/>
    </row>
    <row r="253" spans="1:68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4.8</v>
      </c>
      <c r="Y253" s="43">
        <f>IFERROR(SUM(Y247:Y251),"0")</f>
        <v>4.8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150</v>
      </c>
      <c r="Y276" s="55">
        <f t="shared" ref="Y276:Y283" si="45">IFERROR(IF(X276="",0,CEILING((X276/$H276),1)*$H276),"")</f>
        <v>151.20000000000002</v>
      </c>
      <c r="Z276" s="41">
        <f>IFERROR(IF(Y276=0,"",ROUNDUP(Y276/H276,0)*0.00902),"")</f>
        <v>0.25256000000000001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155.27777777777777</v>
      </c>
      <c r="BN276" s="78">
        <f t="shared" ref="BN276:BN283" si="47">IFERROR(Y276*I276/H276,"0")</f>
        <v>156.52000000000001</v>
      </c>
      <c r="BO276" s="78">
        <f t="shared" ref="BO276:BO283" si="48">IFERROR(1/J276*(X276/H276),"0")</f>
        <v>0.21043771043771042</v>
      </c>
      <c r="BP276" s="78">
        <f t="shared" ref="BP276:BP283" si="49">IFERROR(1/J276*(Y276/H276),"0")</f>
        <v>0.21212121212121213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50</v>
      </c>
      <c r="Y277" s="55">
        <f t="shared" si="45"/>
        <v>54</v>
      </c>
      <c r="Z277" s="41">
        <f>IFERROR(IF(Y277=0,"",ROUNDUP(Y277/H277,0)*0.00902),"")</f>
        <v>9.0200000000000002E-2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51.759259259259252</v>
      </c>
      <c r="BN277" s="78">
        <f t="shared" si="47"/>
        <v>55.9</v>
      </c>
      <c r="BO277" s="78">
        <f t="shared" si="48"/>
        <v>7.0145903479236812E-2</v>
      </c>
      <c r="BP277" s="78">
        <f t="shared" si="49"/>
        <v>7.575757575757576E-2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100</v>
      </c>
      <c r="Y278" s="55">
        <f t="shared" si="45"/>
        <v>102.60000000000001</v>
      </c>
      <c r="Z278" s="41">
        <f>IFERROR(IF(Y278=0,"",ROUNDUP(Y278/H278,0)*0.00902),"")</f>
        <v>0.17138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103.5185185185185</v>
      </c>
      <c r="BN278" s="78">
        <f t="shared" si="47"/>
        <v>106.21</v>
      </c>
      <c r="BO278" s="78">
        <f t="shared" si="48"/>
        <v>0.14029180695847362</v>
      </c>
      <c r="BP278" s="78">
        <f t="shared" si="49"/>
        <v>0.14393939393939395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45"/>
        <v>54</v>
      </c>
      <c r="Z279" s="41">
        <f>IFERROR(IF(Y279=0,"",ROUNDUP(Y279/H279,0)*0.00902),"")</f>
        <v>9.0200000000000002E-2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51.759259259259252</v>
      </c>
      <c r="BN279" s="78">
        <f t="shared" si="47"/>
        <v>55.9</v>
      </c>
      <c r="BO279" s="78">
        <f t="shared" si="48"/>
        <v>7.0145903479236812E-2</v>
      </c>
      <c r="BP279" s="78">
        <f t="shared" si="49"/>
        <v>7.575757575757576E-2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64.81481481481481</v>
      </c>
      <c r="Y284" s="43">
        <f>IFERROR(Y276/H276,"0")+IFERROR(Y277/H277,"0")+IFERROR(Y278/H278,"0")+IFERROR(Y279/H279,"0")+IFERROR(Y280/H280,"0")+IFERROR(Y281/H281,"0")+IFERROR(Y282/H282,"0")+IFERROR(Y283/H283,"0")</f>
        <v>67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0.6043400000000001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350</v>
      </c>
      <c r="Y285" s="43">
        <f>IFERROR(SUM(Y276:Y283),"0")</f>
        <v>361.8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16</v>
      </c>
      <c r="Y287" s="55">
        <f t="shared" ref="Y287:Y298" si="50">IFERROR(IF(X287="",0,CEILING((X287/$H287),1)*$H287),"")</f>
        <v>16.2</v>
      </c>
      <c r="Z287" s="41">
        <f>IFERROR(IF(Y287=0,"",ROUNDUP(Y287/H287,0)*0.01898),"")</f>
        <v>3.7960000000000001E-2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16.975802469135804</v>
      </c>
      <c r="BN287" s="78">
        <f t="shared" ref="BN287:BN298" si="52">IFERROR(Y287*I287/H287,"0")</f>
        <v>17.187999999999999</v>
      </c>
      <c r="BO287" s="78">
        <f t="shared" ref="BO287:BO298" si="53">IFERROR(1/J287*(X287/H287),"0")</f>
        <v>3.0864197530864199E-2</v>
      </c>
      <c r="BP287" s="78">
        <f t="shared" ref="BP287:BP298" si="54">IFERROR(1/J287*(Y287/H287),"0")</f>
        <v>3.125E-2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32</v>
      </c>
      <c r="Y288" s="55">
        <f t="shared" si="50"/>
        <v>32.4</v>
      </c>
      <c r="Z288" s="41">
        <f>IFERROR(IF(Y288=0,"",ROUNDUP(Y288/H288,0)*0.01898),"")</f>
        <v>7.5920000000000001E-2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33.8804938271605</v>
      </c>
      <c r="BN288" s="78">
        <f t="shared" si="52"/>
        <v>34.304000000000002</v>
      </c>
      <c r="BO288" s="78">
        <f t="shared" si="53"/>
        <v>6.1728395061728399E-2</v>
      </c>
      <c r="BP288" s="78">
        <f t="shared" si="54"/>
        <v>6.25E-2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4.8</v>
      </c>
      <c r="Y293" s="55">
        <f t="shared" si="50"/>
        <v>4.8</v>
      </c>
      <c r="Z293" s="41">
        <f>IFERROR(IF(Y293=0,"",ROUNDUP(Y293/H293,0)*0.00651),"")</f>
        <v>1.302E-2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5.3040000000000003</v>
      </c>
      <c r="BN293" s="78">
        <f t="shared" si="52"/>
        <v>5.3040000000000003</v>
      </c>
      <c r="BO293" s="78">
        <f t="shared" si="53"/>
        <v>1.098901098901099E-2</v>
      </c>
      <c r="BP293" s="78">
        <f t="shared" si="54"/>
        <v>1.098901098901099E-2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7.9259259259259265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8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0.12690000000000001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52.8</v>
      </c>
      <c r="Y300" s="43">
        <f>IFERROR(SUM(Y287:Y298),"0")</f>
        <v>53.399999999999991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40</v>
      </c>
      <c r="Y335" s="55">
        <f>IFERROR(IF(X335="",0,CEILING((X335/$H335),1)*$H335),"")</f>
        <v>43.2</v>
      </c>
      <c r="Z335" s="41">
        <f>IFERROR(IF(Y335=0,"",ROUNDUP(Y335/H335,0)*0.01898),"")</f>
        <v>7.5920000000000001E-2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41.518518518518519</v>
      </c>
      <c r="BN335" s="78">
        <f>IFERROR(Y335*I335/H335,"0")</f>
        <v>44.84</v>
      </c>
      <c r="BO335" s="78">
        <f>IFERROR(1/J335*(X335/H335),"0")</f>
        <v>5.7870370370370364E-2</v>
      </c>
      <c r="BP335" s="78">
        <f>IFERROR(1/J335*(Y335/H335),"0")</f>
        <v>6.25E-2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3.7037037037037033</v>
      </c>
      <c r="Y338" s="43">
        <f>IFERROR(Y333/H333,"0")+IFERROR(Y334/H334,"0")+IFERROR(Y335/H335,"0")+IFERROR(Y336/H336,"0")+IFERROR(Y337/H337,"0")</f>
        <v>4</v>
      </c>
      <c r="Z338" s="43">
        <f>IFERROR(IF(Z333="",0,Z333),"0")+IFERROR(IF(Z334="",0,Z334),"0")+IFERROR(IF(Z335="",0,Z335),"0")+IFERROR(IF(Z336="",0,Z336),"0")+IFERROR(IF(Z337="",0,Z337),"0")</f>
        <v>7.5920000000000001E-2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40</v>
      </c>
      <c r="Y339" s="43">
        <f>IFERROR(SUM(Y333:Y337),"0")</f>
        <v>43.2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/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15</v>
      </c>
      <c r="Y364" s="55">
        <f>IFERROR(IF(X364="",0,CEILING((X364/$H364),1)*$H364),"")</f>
        <v>15.6</v>
      </c>
      <c r="Z364" s="41">
        <f>IFERROR(IF(Y364=0,"",ROUNDUP(Y364/H364,0)*0.01898),"")</f>
        <v>3.7960000000000001E-2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15.78846153846154</v>
      </c>
      <c r="BN364" s="78">
        <f>IFERROR(Y364*I364/H364,"0")</f>
        <v>16.420000000000002</v>
      </c>
      <c r="BO364" s="78">
        <f>IFERROR(1/J364*(X364/H364),"0")</f>
        <v>3.0048076923076924E-2</v>
      </c>
      <c r="BP364" s="78">
        <f>IFERROR(1/J364*(Y364/H364),"0")</f>
        <v>3.125E-2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/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1.9230769230769231</v>
      </c>
      <c r="Y366" s="43">
        <f>IFERROR(Y363/H363,"0")+IFERROR(Y364/H364,"0")+IFERROR(Y365/H365,"0")</f>
        <v>2</v>
      </c>
      <c r="Z366" s="43">
        <f>IFERROR(IF(Z363="",0,Z363),"0")+IFERROR(IF(Z364="",0,Z364),"0")+IFERROR(IF(Z365="",0,Z365),"0")</f>
        <v>3.7960000000000001E-2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15</v>
      </c>
      <c r="Y367" s="43">
        <f>IFERROR(SUM(Y363:Y365),"0")</f>
        <v>15.6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30</v>
      </c>
      <c r="Y379" s="55">
        <f t="shared" ref="Y379:Y385" si="65">IFERROR(IF(X379="",0,CEILING((X379/$H379),1)*$H379),"")</f>
        <v>33.6</v>
      </c>
      <c r="Z379" s="41">
        <f>IFERROR(IF(Y379=0,"",ROUNDUP(Y379/H379,0)*0.00902),"")</f>
        <v>7.2160000000000002E-2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31.785714285714285</v>
      </c>
      <c r="BN379" s="78">
        <f t="shared" ref="BN379:BN385" si="67">IFERROR(Y379*I379/H379,"0")</f>
        <v>35.6</v>
      </c>
      <c r="BO379" s="78">
        <f t="shared" ref="BO379:BO385" si="68">IFERROR(1/J379*(X379/H379),"0")</f>
        <v>5.4112554112554112E-2</v>
      </c>
      <c r="BP379" s="78">
        <f t="shared" ref="BP379:BP385" si="69">IFERROR(1/J379*(Y379/H379),"0")</f>
        <v>6.0606060606060608E-2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50</v>
      </c>
      <c r="Y380" s="55">
        <f t="shared" si="65"/>
        <v>50.400000000000006</v>
      </c>
      <c r="Z380" s="41">
        <f>IFERROR(IF(Y380=0,"",ROUNDUP(Y380/H380,0)*0.00902),"")</f>
        <v>0.10824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52.976190476190474</v>
      </c>
      <c r="BN380" s="78">
        <f t="shared" si="67"/>
        <v>53.400000000000006</v>
      </c>
      <c r="BO380" s="78">
        <f t="shared" si="68"/>
        <v>9.0187590187590191E-2</v>
      </c>
      <c r="BP380" s="78">
        <f t="shared" si="69"/>
        <v>9.0909090909090912E-2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19.047619047619047</v>
      </c>
      <c r="Y386" s="43">
        <f>IFERROR(Y379/H379,"0")+IFERROR(Y380/H380,"0")+IFERROR(Y381/H381,"0")+IFERROR(Y382/H382,"0")+IFERROR(Y383/H383,"0")+IFERROR(Y384/H384,"0")+IFERROR(Y385/H385,"0")</f>
        <v>20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0.1804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80</v>
      </c>
      <c r="Y387" s="43">
        <f>IFERROR(SUM(Y379:Y385),"0")</f>
        <v>84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/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/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6</v>
      </c>
      <c r="Y402" s="55">
        <f>IFERROR(IF(X402="",0,CEILING((X402/$H402),1)*$H402),"")</f>
        <v>6.08</v>
      </c>
      <c r="Z402" s="41">
        <f>IFERROR(IF(Y402=0,"",ROUNDUP(Y402/H402,0)*0.00902),"")</f>
        <v>1.804E-2</v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6.5328947368421053</v>
      </c>
      <c r="BN402" s="78">
        <f>IFERROR(Y402*I402/H402,"0")</f>
        <v>6.62</v>
      </c>
      <c r="BO402" s="78">
        <f>IFERROR(1/J402*(X402/H402),"0")</f>
        <v>1.4952153110047847E-2</v>
      </c>
      <c r="BP402" s="78">
        <f>IFERROR(1/J402*(Y402/H402),"0")</f>
        <v>1.5151515151515152E-2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1.9736842105263157</v>
      </c>
      <c r="Y406" s="43">
        <f>IFERROR(Y402/H402,"0")+IFERROR(Y403/H403,"0")+IFERROR(Y404/H404,"0")+IFERROR(Y405/H405,"0")</f>
        <v>2</v>
      </c>
      <c r="Z406" s="43">
        <f>IFERROR(IF(Z402="",0,Z402),"0")+IFERROR(IF(Z403="",0,Z403),"0")+IFERROR(IF(Z404="",0,Z404),"0")+IFERROR(IF(Z405="",0,Z405),"0")</f>
        <v>1.804E-2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6</v>
      </c>
      <c r="Y407" s="43">
        <f>IFERROR(SUM(Y402:Y405),"0")</f>
        <v>6.08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/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80</v>
      </c>
      <c r="Y422" s="55">
        <f>IFERROR(IF(X422="",0,CEILING((X422/$H422),1)*$H422),"")</f>
        <v>85.8</v>
      </c>
      <c r="Z422" s="41">
        <f>IFERROR(IF(Y422=0,"",ROUNDUP(Y422/H422,0)*0.01898),"")</f>
        <v>0.20877999999999999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84.205128205128219</v>
      </c>
      <c r="BN422" s="78">
        <f>IFERROR(Y422*I422/H422,"0")</f>
        <v>90.31</v>
      </c>
      <c r="BO422" s="78">
        <f>IFERROR(1/J422*(X422/H422),"0")</f>
        <v>0.16025641025641027</v>
      </c>
      <c r="BP422" s="78">
        <f>IFERROR(1/J422*(Y422/H422),"0")</f>
        <v>0.171875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30</v>
      </c>
      <c r="Y423" s="55">
        <f>IFERROR(IF(X423="",0,CEILING((X423/$H423),1)*$H423),"")</f>
        <v>31.2</v>
      </c>
      <c r="Z423" s="41">
        <f>IFERROR(IF(Y423=0,"",ROUNDUP(Y423/H423,0)*0.01898),"")</f>
        <v>7.5920000000000001E-2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31.57692307692308</v>
      </c>
      <c r="BN423" s="78">
        <f>IFERROR(Y423*I423/H423,"0")</f>
        <v>32.840000000000003</v>
      </c>
      <c r="BO423" s="78">
        <f>IFERROR(1/J423*(X423/H423),"0")</f>
        <v>6.0096153846153848E-2</v>
      </c>
      <c r="BP423" s="78">
        <f>IFERROR(1/J423*(Y423/H423),"0")</f>
        <v>6.25E-2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14.102564102564104</v>
      </c>
      <c r="Y424" s="43">
        <f>IFERROR(Y422/H422,"0")+IFERROR(Y423/H423,"0")</f>
        <v>15</v>
      </c>
      <c r="Z424" s="43">
        <f>IFERROR(IF(Z422="",0,Z422),"0")+IFERROR(IF(Z423="",0,Z423),"0")</f>
        <v>0.28470000000000001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110</v>
      </c>
      <c r="Y425" s="43">
        <f>IFERROR(SUM(Y422:Y423),"0")</f>
        <v>117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16.8</v>
      </c>
      <c r="Y429" s="55">
        <f>IFERROR(IF(X429="",0,CEILING((X429/$H429),1)*$H429),"")</f>
        <v>16.8</v>
      </c>
      <c r="Z429" s="41">
        <f>IFERROR(IF(Y429=0,"",ROUNDUP(Y429/H429,0)*0.00651),"")</f>
        <v>5.2080000000000001E-2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18.815999999999999</v>
      </c>
      <c r="BN429" s="78">
        <f>IFERROR(Y429*I429/H429,"0")</f>
        <v>18.815999999999999</v>
      </c>
      <c r="BO429" s="78">
        <f>IFERROR(1/J429*(X429/H429),"0")</f>
        <v>4.3956043956043959E-2</v>
      </c>
      <c r="BP429" s="78">
        <f>IFERROR(1/J429*(Y429/H429),"0")</f>
        <v>4.3956043956043959E-2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4.2</v>
      </c>
      <c r="Y430" s="55">
        <f>IFERROR(IF(X430="",0,CEILING((X430/$H430),1)*$H430),"")</f>
        <v>4.2</v>
      </c>
      <c r="Z430" s="41">
        <f>IFERROR(IF(Y430=0,"",ROUNDUP(Y430/H430,0)*0.00651),"")</f>
        <v>1.302E-2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4.68</v>
      </c>
      <c r="BN430" s="78">
        <f>IFERROR(Y430*I430/H430,"0")</f>
        <v>4.68</v>
      </c>
      <c r="BO430" s="78">
        <f>IFERROR(1/J430*(X430/H430),"0")</f>
        <v>1.098901098901099E-2</v>
      </c>
      <c r="BP430" s="78">
        <f>IFERROR(1/J430*(Y430/H430),"0")</f>
        <v>1.098901098901099E-2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10</v>
      </c>
      <c r="Y431" s="43">
        <f>IFERROR(Y428/H428,"0")+IFERROR(Y429/H429,"0")+IFERROR(Y430/H430,"0")</f>
        <v>10</v>
      </c>
      <c r="Z431" s="43">
        <f>IFERROR(IF(Z428="",0,Z428),"0")+IFERROR(IF(Z429="",0,Z429),"0")+IFERROR(IF(Z430="",0,Z430),"0")</f>
        <v>6.5100000000000005E-2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21</v>
      </c>
      <c r="Y432" s="43">
        <f>IFERROR(SUM(Y428:Y430),"0")</f>
        <v>21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/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150</v>
      </c>
      <c r="Y438" s="55">
        <f t="shared" si="70"/>
        <v>150</v>
      </c>
      <c r="Z438" s="41">
        <f>IFERROR(IF(Y438=0,"",ROUNDUP(Y438/H438,0)*0.02175),"")</f>
        <v>0.21749999999999997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154.69999999999999</v>
      </c>
      <c r="BN438" s="78">
        <f t="shared" si="72"/>
        <v>154.69999999999999</v>
      </c>
      <c r="BO438" s="78">
        <f t="shared" si="73"/>
        <v>0.20833333333333331</v>
      </c>
      <c r="BP438" s="78">
        <f t="shared" si="74"/>
        <v>0.20833333333333331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400</v>
      </c>
      <c r="Y439" s="55">
        <f t="shared" si="70"/>
        <v>405</v>
      </c>
      <c r="Z439" s="41">
        <f>IFERROR(IF(Y439=0,"",ROUNDUP(Y439/H439,0)*0.02175),"")</f>
        <v>0.58724999999999994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412.53333333333336</v>
      </c>
      <c r="BN439" s="78">
        <f t="shared" si="72"/>
        <v>417.69</v>
      </c>
      <c r="BO439" s="78">
        <f t="shared" si="73"/>
        <v>0.55555555555555558</v>
      </c>
      <c r="BP439" s="78">
        <f t="shared" si="74"/>
        <v>0.5625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36.666666666666671</v>
      </c>
      <c r="Y444" s="43">
        <f>IFERROR(Y436/H436,"0")+IFERROR(Y437/H437,"0")+IFERROR(Y438/H438,"0")+IFERROR(Y439/H439,"0")+IFERROR(Y440/H440,"0")+IFERROR(Y441/H441,"0")+IFERROR(Y442/H442,"0")+IFERROR(Y443/H443,"0")</f>
        <v>37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0.80474999999999985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550</v>
      </c>
      <c r="Y445" s="43">
        <f>IFERROR(SUM(Y436:Y443),"0")</f>
        <v>555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100</v>
      </c>
      <c r="Y447" s="55">
        <f>IFERROR(IF(X447="",0,CEILING((X447/$H447),1)*$H447),"")</f>
        <v>105</v>
      </c>
      <c r="Z447" s="41">
        <f>IFERROR(IF(Y447=0,"",ROUNDUP(Y447/H447,0)*0.02175),"")</f>
        <v>0.15225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103.13333333333334</v>
      </c>
      <c r="BN447" s="78">
        <f>IFERROR(Y447*I447/H447,"0")</f>
        <v>108.29</v>
      </c>
      <c r="BO447" s="78">
        <f>IFERROR(1/J447*(X447/H447),"0")</f>
        <v>0.1388888888888889</v>
      </c>
      <c r="BP447" s="78">
        <f>IFERROR(1/J447*(Y447/H447),"0")</f>
        <v>0.14583333333333331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6.666666666666667</v>
      </c>
      <c r="Y450" s="43">
        <f>IFERROR(Y447/H447,"0")+IFERROR(Y448/H448,"0")+IFERROR(Y449/H449,"0")</f>
        <v>7</v>
      </c>
      <c r="Z450" s="43">
        <f>IFERROR(IF(Z447="",0,Z447),"0")+IFERROR(IF(Z448="",0,Z448),"0")+IFERROR(IF(Z449="",0,Z449),"0")</f>
        <v>0.15225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100</v>
      </c>
      <c r="Y451" s="43">
        <f>IFERROR(SUM(Y447:Y449),"0")</f>
        <v>105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/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45</v>
      </c>
      <c r="Y482" s="55">
        <f t="shared" ref="Y482:Y487" si="75">IFERROR(IF(X482="",0,CEILING((X482/$H482),1)*$H482),"")</f>
        <v>48.6</v>
      </c>
      <c r="Z482" s="41">
        <f>IFERROR(IF(Y482=0,"",ROUNDUP(Y482/H482,0)*0.00902),"")</f>
        <v>8.1180000000000002E-2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46.583333333333329</v>
      </c>
      <c r="BN482" s="78">
        <f t="shared" ref="BN482:BN487" si="77">IFERROR(Y482*I482/H482,"0")</f>
        <v>50.309999999999995</v>
      </c>
      <c r="BO482" s="78">
        <f t="shared" ref="BO482:BO487" si="78">IFERROR(1/J482*(X482/H482),"0")</f>
        <v>6.3131313131313122E-2</v>
      </c>
      <c r="BP482" s="78">
        <f t="shared" ref="BP482:BP487" si="79">IFERROR(1/J482*(Y482/H482),"0")</f>
        <v>6.8181818181818177E-2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30</v>
      </c>
      <c r="Y483" s="55">
        <f t="shared" si="75"/>
        <v>32.400000000000006</v>
      </c>
      <c r="Z483" s="41">
        <f>IFERROR(IF(Y483=0,"",ROUNDUP(Y483/H483,0)*0.00902),"")</f>
        <v>5.4120000000000001E-2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31.05555555555555</v>
      </c>
      <c r="BN483" s="78">
        <f t="shared" si="77"/>
        <v>33.54</v>
      </c>
      <c r="BO483" s="78">
        <f t="shared" si="78"/>
        <v>4.208754208754209E-2</v>
      </c>
      <c r="BP483" s="78">
        <f t="shared" si="79"/>
        <v>4.5454545454545463E-2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13.888888888888888</v>
      </c>
      <c r="Y488" s="43">
        <f>IFERROR(Y482/H482,"0")+IFERROR(Y483/H483,"0")+IFERROR(Y484/H484,"0")+IFERROR(Y485/H485,"0")+IFERROR(Y486/H486,"0")+IFERROR(Y487/H487,"0")</f>
        <v>15</v>
      </c>
      <c r="Z488" s="43">
        <f>IFERROR(IF(Z482="",0,Z482),"0")+IFERROR(IF(Z483="",0,Z483),"0")+IFERROR(IF(Z484="",0,Z484),"0")+IFERROR(IF(Z485="",0,Z485),"0")+IFERROR(IF(Z486="",0,Z486),"0")+IFERROR(IF(Z487="",0,Z487),"0")</f>
        <v>0.1353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75</v>
      </c>
      <c r="Y489" s="43">
        <f>IFERROR(SUM(Y482:Y487),"0")</f>
        <v>81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35</v>
      </c>
      <c r="Y501" s="55">
        <f>IFERROR(IF(X501="",0,CEILING((X501/$H501),1)*$H501),"")</f>
        <v>37.800000000000004</v>
      </c>
      <c r="Z501" s="41">
        <f>IFERROR(IF(Y501=0,"",ROUNDUP(Y501/H501,0)*0.00902),"")</f>
        <v>6.3140000000000002E-2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36.231481481481481</v>
      </c>
      <c r="BN501" s="78">
        <f>IFERROR(Y501*I501/H501,"0")</f>
        <v>39.130000000000003</v>
      </c>
      <c r="BO501" s="78">
        <f>IFERROR(1/J501*(X501/H501),"0")</f>
        <v>4.9102132435465767E-2</v>
      </c>
      <c r="BP501" s="78">
        <f>IFERROR(1/J501*(Y501/H501),"0")</f>
        <v>5.3030303030303032E-2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6.481481481481481</v>
      </c>
      <c r="Y504" s="43">
        <f>IFERROR(Y501/H501,"0")+IFERROR(Y502/H502,"0")+IFERROR(Y503/H503,"0")</f>
        <v>7</v>
      </c>
      <c r="Z504" s="43">
        <f>IFERROR(IF(Z501="",0,Z501),"0")+IFERROR(IF(Z502="",0,Z502),"0")+IFERROR(IF(Z503="",0,Z503),"0")</f>
        <v>6.3140000000000002E-2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35</v>
      </c>
      <c r="Y505" s="43">
        <f>IFERROR(SUM(Y501:Y503),"0")</f>
        <v>37.800000000000004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/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15</v>
      </c>
      <c r="Y511" s="55">
        <f t="shared" si="80"/>
        <v>15.84</v>
      </c>
      <c r="Z511" s="41">
        <f t="shared" si="81"/>
        <v>3.5880000000000002E-2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15.994318181818182</v>
      </c>
      <c r="BN511" s="78">
        <f t="shared" si="83"/>
        <v>16.889999999999997</v>
      </c>
      <c r="BO511" s="78">
        <f t="shared" si="84"/>
        <v>2.7316433566433568E-2</v>
      </c>
      <c r="BP511" s="78">
        <f t="shared" si="85"/>
        <v>2.8846153846153848E-2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190</v>
      </c>
      <c r="Y512" s="55">
        <f t="shared" si="80"/>
        <v>190.08</v>
      </c>
      <c r="Z512" s="41">
        <f t="shared" si="81"/>
        <v>0.43056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202.59469696969697</v>
      </c>
      <c r="BN512" s="78">
        <f t="shared" si="83"/>
        <v>202.67999999999998</v>
      </c>
      <c r="BO512" s="78">
        <f t="shared" si="84"/>
        <v>0.34600815850815853</v>
      </c>
      <c r="BP512" s="78">
        <f t="shared" si="85"/>
        <v>0.34615384615384615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70</v>
      </c>
      <c r="Y514" s="55">
        <f t="shared" si="80"/>
        <v>73.92</v>
      </c>
      <c r="Z514" s="41">
        <f t="shared" si="81"/>
        <v>0.16744000000000001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74.640151515151501</v>
      </c>
      <c r="BN514" s="78">
        <f t="shared" si="83"/>
        <v>78.819999999999993</v>
      </c>
      <c r="BO514" s="78">
        <f t="shared" si="84"/>
        <v>0.12747668997668998</v>
      </c>
      <c r="BP514" s="78">
        <f t="shared" si="85"/>
        <v>0.13461538461538464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52.083333333333336</v>
      </c>
      <c r="Y518" s="43">
        <f>IFERROR(Y509/H509,"0")+IFERROR(Y510/H510,"0")+IFERROR(Y511/H511,"0")+IFERROR(Y512/H512,"0")+IFERROR(Y513/H513,"0")+IFERROR(Y514/H514,"0")+IFERROR(Y515/H515,"0")+IFERROR(Y516/H516,"0")+IFERROR(Y517/H517,"0")</f>
        <v>53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0.63388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275</v>
      </c>
      <c r="Y519" s="43">
        <f>IFERROR(SUM(Y509:Y517),"0")</f>
        <v>279.84000000000003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/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75</v>
      </c>
      <c r="Y527" s="55">
        <f t="shared" ref="Y527:Y533" si="86">IFERROR(IF(X527="",0,CEILING((X527/$H527),1)*$H527),"")</f>
        <v>79.2</v>
      </c>
      <c r="Z527" s="41">
        <f>IFERROR(IF(Y527=0,"",ROUNDUP(Y527/H527,0)*0.01196),"")</f>
        <v>0.1794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79.971590909090907</v>
      </c>
      <c r="BN527" s="78">
        <f t="shared" ref="BN527:BN533" si="88">IFERROR(Y527*I527/H527,"0")</f>
        <v>84.45</v>
      </c>
      <c r="BO527" s="78">
        <f t="shared" ref="BO527:BO533" si="89">IFERROR(1/J527*(X527/H527),"0")</f>
        <v>0.13658216783216784</v>
      </c>
      <c r="BP527" s="78">
        <f t="shared" ref="BP527:BP533" si="90">IFERROR(1/J527*(Y527/H527),"0")</f>
        <v>0.14423076923076925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/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75</v>
      </c>
      <c r="Y529" s="55">
        <f t="shared" si="86"/>
        <v>79.2</v>
      </c>
      <c r="Z529" s="41">
        <f>IFERROR(IF(Y529=0,"",ROUNDUP(Y529/H529,0)*0.01196),"")</f>
        <v>0.1794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79.971590909090907</v>
      </c>
      <c r="BN529" s="78">
        <f t="shared" si="88"/>
        <v>84.45</v>
      </c>
      <c r="BO529" s="78">
        <f t="shared" si="89"/>
        <v>0.13658216783216784</v>
      </c>
      <c r="BP529" s="78">
        <f t="shared" si="90"/>
        <v>0.14423076923076925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28.409090909090907</v>
      </c>
      <c r="Y534" s="43">
        <f>IFERROR(Y527/H527,"0")+IFERROR(Y528/H528,"0")+IFERROR(Y529/H529,"0")+IFERROR(Y530/H530,"0")+IFERROR(Y531/H531,"0")+IFERROR(Y532/H532,"0")+IFERROR(Y533/H533,"0")</f>
        <v>30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0.35880000000000001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150</v>
      </c>
      <c r="Y535" s="43">
        <f>IFERROR(SUM(Y527:Y533),"0")</f>
        <v>158.4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20</v>
      </c>
      <c r="Y539" s="55">
        <f>IFERROR(IF(X539="",0,CEILING((X539/$H539),1)*$H539),"")</f>
        <v>24</v>
      </c>
      <c r="Z539" s="41">
        <f>IFERROR(IF(Y539=0,"",ROUNDUP(Y539/H539,0)*0.01898),"")</f>
        <v>3.7960000000000001E-2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20.683333333333334</v>
      </c>
      <c r="BN539" s="78">
        <f>IFERROR(Y539*I539/H539,"0")</f>
        <v>24.820000000000004</v>
      </c>
      <c r="BO539" s="78">
        <f>IFERROR(1/J539*(X539/H539),"0")</f>
        <v>2.6041666666666668E-2</v>
      </c>
      <c r="BP539" s="78">
        <f>IFERROR(1/J539*(Y539/H539),"0")</f>
        <v>3.125E-2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1.6666666666666667</v>
      </c>
      <c r="Y540" s="43">
        <f>IFERROR(Y539/H539,"0")</f>
        <v>2</v>
      </c>
      <c r="Z540" s="43">
        <f>IFERROR(IF(Z539="",0,Z539),"0")</f>
        <v>3.7960000000000001E-2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20</v>
      </c>
      <c r="Y541" s="43">
        <f>IFERROR(SUM(Y539:Y539),"0")</f>
        <v>24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100</v>
      </c>
      <c r="Y551" s="55">
        <f>IFERROR(IF(X551="",0,CEILING((X551/$H551),1)*$H551),"")</f>
        <v>108</v>
      </c>
      <c r="Z551" s="41">
        <f>IFERROR(IF(Y551=0,"",ROUNDUP(Y551/H551,0)*0.01898),"")</f>
        <v>0.22776000000000002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105.48888888888888</v>
      </c>
      <c r="BN551" s="78">
        <f>IFERROR(Y551*I551/H551,"0")</f>
        <v>113.92799999999998</v>
      </c>
      <c r="BO551" s="78">
        <f>IFERROR(1/J551*(X551/H551),"0")</f>
        <v>0.1736111111111111</v>
      </c>
      <c r="BP551" s="78">
        <f>IFERROR(1/J551*(Y551/H551),"0")</f>
        <v>0.1875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11.111111111111111</v>
      </c>
      <c r="Y552" s="43">
        <f>IFERROR(Y551/H551,"0")</f>
        <v>12</v>
      </c>
      <c r="Z552" s="43">
        <f>IFERROR(IF(Z551="",0,Z551),"0")</f>
        <v>0.22776000000000002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100</v>
      </c>
      <c r="Y553" s="43">
        <f>IFERROR(SUM(Y551:Y551),"0")</f>
        <v>108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2312.12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2391.2400000000002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2419.4934703279182</v>
      </c>
      <c r="Y565" s="43">
        <f>IFERROR(SUM(BN22:BN561),"0")</f>
        <v>2502.252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2519.4934703279182</v>
      </c>
      <c r="Y567" s="43">
        <f>GrossWeightTotalR+PalletQtyTotalR*25</f>
        <v>2602.252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370.16370715054921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382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4.6347200000000015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41.400000000000006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32.400000000000006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261.52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4.8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415.2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43.2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15.6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90.08</v>
      </c>
      <c r="U574" s="52">
        <f>IFERROR(Y422*1,"0")+IFERROR(Y423*1,"0")</f>
        <v>117</v>
      </c>
      <c r="V574" s="52">
        <f>IFERROR(Y428*1,"0")+IFERROR(Y429*1,"0")+IFERROR(Y430*1,"0")</f>
        <v>21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660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81</v>
      </c>
      <c r="Z574" s="52">
        <f>IFERROR(Y497*1,"0")+IFERROR(Y501*1,"0")+IFERROR(Y502*1,"0")+IFERROR(Y503*1,"0")</f>
        <v>37.800000000000004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438.24</v>
      </c>
      <c r="AB574" s="52">
        <f>IFERROR(Y539*1,"0")+IFERROR(Y543*1,"0")+IFERROR(Y547*1,"0")+IFERROR(Y551*1,"0")+IFERROR(Y555*1,"0")+IFERROR(Y556*1,"0")</f>
        <v>132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00"/>
        <filter val="1,67"/>
        <filter val="1,92"/>
        <filter val="1,97"/>
        <filter val="10,00"/>
        <filter val="100,00"/>
        <filter val="11,11"/>
        <filter val="110,00"/>
        <filter val="13,89"/>
        <filter val="14,10"/>
        <filter val="15,00"/>
        <filter val="150,00"/>
        <filter val="16,00"/>
        <filter val="16,80"/>
        <filter val="19,05"/>
        <filter val="190,00"/>
        <filter val="2 312,12"/>
        <filter val="2 419,49"/>
        <filter val="2 519,49"/>
        <filter val="2,78"/>
        <filter val="20,00"/>
        <filter val="21,00"/>
        <filter val="258,52"/>
        <filter val="275,00"/>
        <filter val="28,41"/>
        <filter val="3,70"/>
        <filter val="30,00"/>
        <filter val="32,00"/>
        <filter val="35,00"/>
        <filter val="350,00"/>
        <filter val="36,67"/>
        <filter val="370,16"/>
        <filter val="39,00"/>
        <filter val="4"/>
        <filter val="4,20"/>
        <filter val="4,78"/>
        <filter val="4,80"/>
        <filter val="40,00"/>
        <filter val="400,00"/>
        <filter val="45,00"/>
        <filter val="50,00"/>
        <filter val="52,08"/>
        <filter val="52,80"/>
        <filter val="550,00"/>
        <filter val="6,00"/>
        <filter val="6,48"/>
        <filter val="6,67"/>
        <filter val="6,72"/>
        <filter val="64,81"/>
        <filter val="7,93"/>
        <filter val="70,00"/>
        <filter val="75,00"/>
        <filter val="8,40"/>
        <filter val="80,00"/>
        <filter val="81,14"/>
        <filter val="9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2026-09-24T13:11:49Z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