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900FBC-70BE-4088-8815-ED663BE1AB84}" xr6:coauthVersionLast="47" xr6:coauthVersionMax="47" xr10:uidLastSave="{00000000-0000-0000-0000-000000000000}"/>
  <bookViews>
    <workbookView xWindow="210" yWindow="0" windowWidth="2529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N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P414" i="2"/>
  <c r="BO413" i="2"/>
  <c r="BM413" i="2"/>
  <c r="Y413" i="2"/>
  <c r="BN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O406" i="2"/>
  <c r="BM406" i="2"/>
  <c r="Y406" i="2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P372" i="2"/>
  <c r="BO372" i="2"/>
  <c r="BN372" i="2"/>
  <c r="BM372" i="2"/>
  <c r="Z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Z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P331" i="2"/>
  <c r="BO331" i="2"/>
  <c r="BN331" i="2"/>
  <c r="BM331" i="2"/>
  <c r="Z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BN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Z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X271" i="2"/>
  <c r="X270" i="2"/>
  <c r="BO269" i="2"/>
  <c r="BM269" i="2"/>
  <c r="Y269" i="2"/>
  <c r="BN269" i="2" s="1"/>
  <c r="P269" i="2"/>
  <c r="BO268" i="2"/>
  <c r="BM268" i="2"/>
  <c r="Y268" i="2"/>
  <c r="BP268" i="2" s="1"/>
  <c r="P268" i="2"/>
  <c r="Y266" i="2"/>
  <c r="X266" i="2"/>
  <c r="X265" i="2"/>
  <c r="BO264" i="2"/>
  <c r="BM264" i="2"/>
  <c r="Y264" i="2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N208" i="2"/>
  <c r="BM208" i="2"/>
  <c r="Y208" i="2"/>
  <c r="BP208" i="2" s="1"/>
  <c r="P208" i="2"/>
  <c r="BO207" i="2"/>
  <c r="BM207" i="2"/>
  <c r="Y207" i="2"/>
  <c r="BP207" i="2" s="1"/>
  <c r="P207" i="2"/>
  <c r="Y203" i="2"/>
  <c r="X203" i="2"/>
  <c r="X202" i="2"/>
  <c r="BP201" i="2"/>
  <c r="BO201" i="2"/>
  <c r="BM201" i="2"/>
  <c r="Z201" i="2"/>
  <c r="Z202" i="2" s="1"/>
  <c r="Y201" i="2"/>
  <c r="Y202" i="2" s="1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N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P181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N165" i="2"/>
  <c r="BM165" i="2"/>
  <c r="Z165" i="2"/>
  <c r="Y165" i="2"/>
  <c r="P165" i="2"/>
  <c r="X162" i="2"/>
  <c r="Y161" i="2"/>
  <c r="X161" i="2"/>
  <c r="BP160" i="2"/>
  <c r="BO160" i="2"/>
  <c r="BM160" i="2"/>
  <c r="Y160" i="2"/>
  <c r="P160" i="2"/>
  <c r="X158" i="2"/>
  <c r="X157" i="2"/>
  <c r="BO156" i="2"/>
  <c r="BM156" i="2"/>
  <c r="Y156" i="2"/>
  <c r="Z156" i="2" s="1"/>
  <c r="P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P124" i="2"/>
  <c r="BO124" i="2"/>
  <c r="BM124" i="2"/>
  <c r="Y124" i="2"/>
  <c r="Z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P103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P57" i="2"/>
  <c r="BO57" i="2"/>
  <c r="BN57" i="2"/>
  <c r="BM57" i="2"/>
  <c r="Z57" i="2"/>
  <c r="Y57" i="2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N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294" i="2" l="1"/>
  <c r="Y538" i="2"/>
  <c r="Z28" i="2"/>
  <c r="Y43" i="2"/>
  <c r="BP154" i="2"/>
  <c r="BN201" i="2"/>
  <c r="Z236" i="2"/>
  <c r="Z513" i="2"/>
  <c r="Z140" i="2"/>
  <c r="BP140" i="2"/>
  <c r="BP294" i="2"/>
  <c r="BP49" i="2"/>
  <c r="BP109" i="2"/>
  <c r="Z184" i="2"/>
  <c r="Z208" i="2"/>
  <c r="Z269" i="2"/>
  <c r="Z333" i="2"/>
  <c r="Z369" i="2"/>
  <c r="Z413" i="2"/>
  <c r="Y453" i="2"/>
  <c r="BN29" i="2"/>
  <c r="BN40" i="2"/>
  <c r="BN55" i="2"/>
  <c r="BN63" i="2"/>
  <c r="BN76" i="2"/>
  <c r="BP97" i="2"/>
  <c r="BN97" i="2"/>
  <c r="Z97" i="2"/>
  <c r="BN98" i="2"/>
  <c r="BP98" i="2"/>
  <c r="BP146" i="2"/>
  <c r="Z146" i="2"/>
  <c r="BN173" i="2"/>
  <c r="Y175" i="2"/>
  <c r="BP178" i="2"/>
  <c r="BN178" i="2"/>
  <c r="Z178" i="2"/>
  <c r="BN207" i="2"/>
  <c r="BP213" i="2"/>
  <c r="BN213" i="2"/>
  <c r="Z213" i="2"/>
  <c r="BN222" i="2"/>
  <c r="BP222" i="2"/>
  <c r="BN235" i="2"/>
  <c r="BN240" i="2"/>
  <c r="Z240" i="2"/>
  <c r="BN241" i="2"/>
  <c r="BP241" i="2"/>
  <c r="BN268" i="2"/>
  <c r="BN273" i="2"/>
  <c r="Z273" i="2"/>
  <c r="BN274" i="2"/>
  <c r="BP274" i="2"/>
  <c r="BN284" i="2"/>
  <c r="BP284" i="2"/>
  <c r="BN305" i="2"/>
  <c r="BP305" i="2"/>
  <c r="BP367" i="2"/>
  <c r="BN367" i="2"/>
  <c r="Z367" i="2"/>
  <c r="BP387" i="2"/>
  <c r="BN387" i="2"/>
  <c r="Z387" i="2"/>
  <c r="BN389" i="2"/>
  <c r="Z389" i="2"/>
  <c r="BP414" i="2"/>
  <c r="BN414" i="2"/>
  <c r="Z414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Z80" i="2"/>
  <c r="BN80" i="2"/>
  <c r="BN91" i="2"/>
  <c r="BN106" i="2"/>
  <c r="BP117" i="2"/>
  <c r="BN117" i="2"/>
  <c r="Z117" i="2"/>
  <c r="BN183" i="2"/>
  <c r="Z191" i="2"/>
  <c r="Y195" i="2"/>
  <c r="BP191" i="2"/>
  <c r="BP229" i="2"/>
  <c r="BN229" i="2"/>
  <c r="Z229" i="2"/>
  <c r="Y259" i="2"/>
  <c r="Y260" i="2"/>
  <c r="BP264" i="2"/>
  <c r="BN264" i="2"/>
  <c r="Z264" i="2"/>
  <c r="BP292" i="2"/>
  <c r="BN292" i="2"/>
  <c r="Z292" i="2"/>
  <c r="BN332" i="2"/>
  <c r="BP348" i="2"/>
  <c r="BN348" i="2"/>
  <c r="Z348" i="2"/>
  <c r="BN371" i="2"/>
  <c r="Z371" i="2"/>
  <c r="BN401" i="2"/>
  <c r="BP406" i="2"/>
  <c r="BN406" i="2"/>
  <c r="Z406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95" i="2"/>
  <c r="BN193" i="2"/>
  <c r="BN218" i="2"/>
  <c r="BN278" i="2"/>
  <c r="Y350" i="2"/>
  <c r="BN347" i="2"/>
  <c r="BN388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Z142" i="2" s="1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Z362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X564" i="2" s="1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Z7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69" i="2" s="1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1" i="2" s="1"/>
  <c r="Z284" i="2"/>
  <c r="Z305" i="2"/>
  <c r="Z345" i="2"/>
  <c r="BP425" i="2"/>
  <c r="AB571" i="2"/>
  <c r="BN166" i="2"/>
  <c r="Z501" i="2" l="1"/>
  <c r="Z270" i="2"/>
  <c r="Z249" i="2"/>
  <c r="Z341" i="2"/>
  <c r="Z428" i="2"/>
  <c r="Z531" i="2"/>
  <c r="Z421" i="2"/>
  <c r="Z554" i="2"/>
  <c r="Z474" i="2"/>
  <c r="Z521" i="2"/>
  <c r="Z415" i="2"/>
  <c r="Z147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<sst xmlns="http://schemas.openxmlformats.org/spreadsheetml/2006/main" count="4361" uniqueCount="923">
  <si>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</si>
  <si>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</si>
  <si>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</si>
  <si>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</si>
  <si>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</si>
  <si>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</si>
  <si>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</si>
  <si>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</si>
  <si>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</si>
  <si>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</si>
  <si>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</si>
  <si>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</si>
  <si>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</si>
  <si>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</si>
  <si>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</si>
  <si>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</si>
  <si>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</si>
  <si>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</si>
  <si>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</si>
  <si>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</si>
  <si>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</si>
  <si>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</si>
  <si>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</si>
  <si>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</si>
  <si>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</si>
  <si>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</si>
  <si>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</si>
  <si>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</si>
  <si>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</si>
  <si>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</si>
  <si>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</si>
  <si>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</si>
  <si>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</si>
  <si>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</si>
  <si>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</si>
  <si>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</si>
  <si>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</si>
  <si>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</si>
  <si>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</si>
  <si>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</si>
  <si>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</si>
  <si>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</si>
  <si>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</si>
  <si>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</si>
  <si>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</si>
  <si>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</si>
  <si>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</si>
  <si>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</si>
  <si>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</si>
  <si>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</si>
  <si>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</si>
  <si>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</si>
  <si>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</si>
  <si>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</si>
  <si>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</si>
  <si>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</si>
  <si>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</si>
  <si>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</si>
  <si>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</si>
  <si>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</si>
  <si>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</si>
  <si>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</si>
  <si>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</si>
  <si>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</si>
  <si>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</si>
  <si>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</si>
  <si>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</si>
  <si>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</si>
  <si>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</si>
  <si>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</si>
  <si>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</si>
  <si>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</si>
  <si>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</si>
  <si>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</si>
  <si>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</si>
  <si>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</si>
  <si>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</si>
  <si>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</si>
  <si>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</si>
  <si>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</si>
  <si>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</si>
  <si>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</si>
  <si>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</si>
  <si>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</si>
  <si>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</si>
  <si>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</si>
  <si>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</si>
  <si>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</si>
  <si>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</si>
  <si>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</si>
  <si>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</si>
  <si>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</si>
  <si>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</si>
  <si>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</si>
  <si>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</si>
  <si>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</si>
  <si>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</si>
  <si>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</si>
  <si>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</si>
  <si>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</si>
  <si>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</si>
  <si>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</si>
  <si>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</si>
  <si>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</si>
  <si>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</si>
  <si>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</si>
  <si>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</si>
  <si>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</si>
  <si>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</si>
  <si>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</si>
  <si>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</si>
  <si>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</si>
  <si>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</si>
  <si>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</si>
  <si>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</si>
  <si>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</si>
  <si>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</si>
  <si>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</si>
  <si>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</si>
  <si>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</si>
  <si>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</si>
  <si>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</si>
  <si>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</si>
  <si>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</si>
  <si>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</si>
  <si>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</si>
  <si>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</si>
  <si>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</si>
  <si>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</si>
  <si>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</si>
  <si>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</si>
  <si>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</si>
  <si>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</si>
  <si>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</si>
  <si>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</si>
  <si>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</si>
  <si>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</si>
  <si>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</si>
  <si>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</si>
  <si>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</si>
  <si>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</si>
  <si>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</si>
  <si>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</si>
  <si>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</si>
  <si>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</si>
  <si>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</si>
  <si>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</si>
  <si>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</si>
  <si>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</si>
  <si>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</si>
  <si>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</si>
  <si>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</si>
  <si>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</si>
  <si>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</si>
  <si>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</si>
  <si>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</si>
  <si>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</si>
  <si>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</si>
  <si>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</si>
  <si>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</si>
  <si>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</si>
  <si>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</si>
  <si>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</si>
  <si>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</si>
  <si>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</si>
  <si>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</si>
  <si>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</si>
  <si>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</si>
  <si>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</si>
  <si>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</si>
  <si>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</si>
  <si>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</si>
  <si>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</si>
  <si>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</si>
  <si>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</si>
  <si>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</si>
  <si>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</si>
  <si>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</si>
  <si>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</si>
  <si>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</si>
  <si>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</si>
  <si>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</si>
  <si>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</si>
  <si>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</si>
  <si>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</si>
  <si>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</si>
  <si>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</si>
  <si>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</si>
  <si>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</si>
  <si>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</si>
  <si>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</si>
  <si>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</si>
  <si>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</si>
  <si>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</si>
  <si>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</si>
  <si>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</si>
  <si>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</si>
  <si>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</si>
  <si>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</si>
  <si>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</si>
  <si>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</si>
  <si>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</si>
  <si>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</si>
  <si>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</si>
  <si>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</si>
  <si>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</si>
  <si>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</si>
  <si>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</si>
  <si>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</si>
  <si>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</si>
  <si>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</si>
  <si>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</si>
  <si>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</si>
  <si>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</si>
  <si>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</si>
  <si>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</si>
  <si>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</si>
  <si>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</si>
  <si>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</si>
  <si>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</si>
  <si>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</si>
  <si>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</si>
  <si>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</si>
  <si>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</si>
  <si>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</si>
  <si>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</si>
  <si>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</si>
  <si>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</si>
  <si>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</si>
  <si>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</si>
  <si>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</si>
  <si>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</si>
  <si>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</si>
  <si>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</si>
  <si>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</si>
  <si>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</si>
  <si>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</si>
  <si>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</si>
  <si>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</si>
  <si>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</si>
  <si>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</si>
  <si>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</si>
  <si>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</si>
  <si>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</si>
  <si>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</si>
  <si>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</si>
  <si>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</si>
  <si>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</si>
  <si>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</si>
  <si>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</si>
  <si>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</si>
  <si>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</si>
  <si>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</si>
  <si>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</si>
  <si>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</si>
  <si>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</si>
  <si>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</si>
  <si>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</si>
  <si>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</si>
  <si>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</si>
  <si>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</si>
  <si>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</si>
  <si>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</si>
  <si>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</si>
  <si>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</si>
  <si>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</si>
  <si>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</si>
  <si>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</si>
  <si>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</si>
  <si>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</si>
  <si>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</si>
  <si>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</si>
  <si>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</si>
  <si>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</si>
  <si>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</si>
  <si>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</si>
  <si>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</si>
  <si>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</si>
  <si>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</si>
  <si>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</si>
  <si>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</si>
  <si>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</si>
  <si>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</si>
  <si>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</si>
  <si>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</si>
  <si>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</si>
  <si>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</si>
  <si>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</si>
  <si>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</si>
  <si>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</si>
  <si>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</si>
  <si>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</si>
  <si>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</si>
  <si>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</si>
  <si>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</si>
  <si>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</si>
  <si>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</si>
  <si>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</si>
  <si>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</si>
  <si>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</si>
  <si>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</si>
  <si>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</si>
  <si>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</si>
  <si>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</si>
  <si>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</si>
  <si>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</si>
  <si>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</si>
  <si>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</si>
  <si>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</si>
  <si>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</si>
  <si>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</si>
  <si>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</si>
  <si>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</si>
  <si>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</si>
  <si>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</si>
  <si>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</si>
  <si>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</si>
  <si>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</si>
  <si>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</si>
  <si>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</si>
  <si>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</si>
  <si>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</si>
  <si>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</si>
  <si>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</si>
  <si>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</si>
  <si>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</si>
  <si>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</si>
  <si>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</si>
  <si>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</si>
  <si>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</si>
  <si>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</si>
  <si>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</si>
  <si>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</si>
  <si>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</si>
  <si>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</si>
  <si>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</si>
  <si>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</si>
  <si>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</si>
  <si>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</si>
  <si>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</si>
  <si>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</si>
  <si>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</si>
  <si>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</si>
  <si>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</si>
  <si>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</si>
  <si>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</si>
  <si>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</si>
  <si>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</si>
  <si>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</si>
  <si>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</si>
  <si>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</si>
  <si>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</si>
  <si>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</si>
  <si>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</si>
  <si>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</si>
  <si>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</si>
  <si>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</si>
  <si>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</si>
  <si>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</si>
  <si>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</si>
  <si>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</si>
  <si>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</si>
  <si>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</si>
  <si>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</si>
  <si>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</si>
  <si>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</si>
  <si>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</si>
  <si>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</si>
  <si>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</si>
  <si>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</si>
  <si>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</si>
  <si>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</si>
  <si>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</si>
  <si>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</si>
  <si>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</si>
  <si>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</si>
  <si>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</si>
  <si>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</si>
  <si>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</si>
  <si>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</si>
  <si>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</si>
  <si>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</si>
  <si>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</si>
  <si>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</si>
  <si>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</si>
  <si>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</si>
  <si>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</si>
  <si>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</si>
  <si>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</si>
  <si>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</si>
  <si>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</si>
  <si>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</si>
  <si>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</si>
  <si>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</si>
  <si>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</si>
  <si>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</si>
  <si>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</si>
  <si>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</si>
  <si>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</si>
  <si>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</si>
  <si>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</si>
  <si>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</si>
  <si>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</si>
  <si>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</si>
  <si>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</si>
  <si>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</si>
  <si>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</si>
  <si>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</si>
  <si>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</si>
  <si>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</si>
  <si>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</si>
  <si>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</si>
  <si>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</si>
  <si>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</si>
  <si>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</si>
  <si>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</si>
  <si>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</si>
  <si>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</si>
  <si>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</si>
  <si>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</si>
  <si>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</si>
  <si>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</si>
  <si>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</si>
  <si>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</si>
  <si>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</si>
  <si>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</si>
  <si>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</si>
  <si>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</si>
  <si>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</si>
  <si>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</si>
  <si>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</si>
  <si>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</si>
  <si>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</si>
  <si>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</si>
  <si>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</si>
  <si>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</si>
  <si>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</si>
  <si>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</si>
  <si>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</si>
  <si>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</si>
  <si>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</si>
  <si>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</si>
  <si>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</si>
  <si>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</si>
  <si>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</si>
  <si>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</si>
  <si>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</si>
  <si>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</si>
  <si>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</si>
  <si>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</si>
  <si>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</si>
  <si>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</si>
  <si>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</si>
  <si>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</si>
  <si>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</si>
  <si>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</si>
  <si>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</si>
  <si>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</si>
  <si>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</si>
  <si>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</si>
  <si>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</si>
  <si>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</si>
  <si>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</si>
  <si>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</si>
  <si>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</si>
  <si>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</si>
  <si>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</si>
  <si>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</si>
  <si>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</si>
  <si>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</si>
  <si>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</si>
  <si>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</si>
  <si>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</si>
  <si>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</si>
  <si>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</si>
  <si>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</si>
  <si>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</si>
  <si>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</si>
  <si>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</si>
  <si>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</si>
  <si>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</si>
  <si>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</si>
  <si>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</si>
  <si>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</si>
  <si>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</si>
  <si>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</si>
  <si>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</si>
  <si>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</si>
  <si>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</si>
  <si>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</si>
  <si>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</si>
  <si>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</si>
  <si>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</si>
  <si>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</si>
  <si>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</si>
  <si>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</si>
  <si>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</si>
  <si>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</si>
  <si>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</si>
  <si>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</si>
  <si>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</si>
  <si>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</si>
  <si>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</si>
  <si>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</si>
  <si>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</si>
  <si>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</si>
  <si>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</si>
  <si>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</si>
  <si>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</si>
  <si>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</si>
  <si>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</si>
  <si>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</si>
  <si>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</si>
  <si>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</si>
  <si>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</si>
  <si>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</si>
  <si>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</si>
  <si>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</si>
  <si>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</si>
  <si>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</si>
  <si>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</si>
  <si>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</si>
  <si>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</si>
  <si>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</si>
  <si>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</si>
  <si>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</si>
  <si>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</si>
  <si>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</si>
  <si>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</si>
  <si>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</si>
  <si>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</si>
  <si>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</si>
  <si>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</si>
  <si>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</si>
  <si>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</si>
  <si>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</si>
  <si>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</si>
  <si>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</si>
  <si>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</si>
  <si>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</si>
  <si>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</si>
  <si>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</si>
  <si>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</si>
  <si>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</si>
  <si>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</si>
  <si>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</si>
  <si>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</si>
  <si>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</si>
  <si>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</si>
  <si>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</si>
  <si>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</si>
  <si>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</si>
  <si>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</si>
  <si>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</si>
  <si>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</si>
  <si>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</si>
  <si>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</si>
  <si>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</si>
  <si>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</si>
  <si>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</si>
  <si>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</si>
  <si>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</si>
  <si>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</si>
  <si>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</si>
  <si>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</si>
  <si>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</si>
  <si>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</si>
  <si>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</si>
  <si>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</si>
  <si>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</si>
  <si>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</si>
  <si>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</si>
  <si>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</si>
  <si>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</si>
  <si>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</si>
  <si>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</si>
  <si>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</si>
  <si>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</si>
  <si>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</si>
  <si>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</si>
  <si>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</si>
  <si>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</si>
  <si>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</si>
  <si>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</si>
  <si>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</si>
  <si>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</si>
  <si>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</si>
  <si>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</si>
  <si>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</si>
  <si>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</si>
  <si>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</si>
  <si>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</si>
  <si>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</si>
  <si>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</si>
  <si>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</si>
  <si>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</si>
  <si>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</si>
  <si>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</si>
  <si>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</si>
  <si>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</si>
  <si>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</si>
  <si>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</si>
  <si>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</si>
  <si>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</si>
  <si>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</si>
  <si>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</si>
  <si>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</si>
  <si>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</si>
  <si>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</si>
  <si>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</si>
  <si>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</si>
  <si>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</si>
  <si>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</si>
  <si>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</si>
  <si>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</si>
  <si>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</si>
  <si>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</si>
  <si>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</si>
  <si>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</si>
  <si>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</si>
  <si>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</si>
  <si>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</si>
  <si>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</si>
  <si>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</si>
  <si>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</si>
  <si>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</si>
  <si>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</si>
  <si>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</si>
  <si>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</si>
  <si>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</si>
  <si>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</si>
  <si>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</si>
  <si>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</si>
  <si>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</si>
  <si>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</si>
  <si>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</si>
  <si>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</si>
  <si>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</si>
  <si>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</si>
  <si>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</si>
  <si>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</si>
  <si>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</si>
  <si>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</si>
  <si>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</si>
  <si>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</si>
  <si>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</si>
  <si>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</si>
  <si>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</si>
  <si>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</si>
  <si>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</si>
  <si>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</si>
  <si>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</si>
  <si>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</si>
  <si>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</si>
  <si>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</si>
  <si>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</si>
  <si>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</si>
  <si>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</si>
  <si>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</si>
  <si>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</si>
  <si>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</si>
  <si>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</si>
  <si>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</si>
  <si>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</si>
  <si>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</si>
  <si>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</si>
  <si>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</si>
  <si>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</si>
  <si>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</si>
  <si>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</si>
  <si>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</si>
  <si>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</si>
  <si>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</si>
  <si>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</si>
  <si>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</si>
  <si>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</si>
  <si>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</si>
  <si>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</si>
  <si>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</si>
  <si>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</si>
  <si>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</si>
  <si>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</si>
  <si>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</si>
  <si>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</si>
  <si>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</si>
  <si>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</si>
  <si>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</si>
  <si>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</si>
  <si>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</si>
  <si>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</si>
  <si>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</si>
  <si>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</si>
  <si>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</si>
  <si>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</si>
  <si>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</si>
  <si>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</si>
  <si>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</si>
  <si>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</si>
  <si>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</si>
  <si>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</si>
  <si>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</si>
  <si>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</si>
  <si>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</si>
  <si>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</si>
  <si>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</si>
  <si>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</si>
  <si>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</si>
  <si>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</si>
  <si>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</si>
  <si>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</si>
  <si>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</si>
  <si>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</si>
  <si>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</si>
  <si>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</si>
  <si>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</si>
  <si>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</si>
  <si>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</si>
  <si>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</si>
  <si>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</si>
  <si>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</si>
  <si>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</si>
  <si>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</si>
  <si>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</si>
  <si>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</si>
  <si>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</si>
  <si>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</si>
  <si>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</si>
  <si>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</si>
  <si>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</si>
  <si>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</si>
  <si>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</si>
  <si>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</si>
  <si>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</si>
  <si>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</si>
  <si>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</si>
  <si>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</si>
  <si>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</si>
  <si>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</si>
  <si>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</si>
  <si>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</si>
  <si>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</si>
  <si>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</si>
  <si>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</si>
  <si>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</si>
  <si>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</si>
  <si>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</si>
  <si>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</si>
  <si>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</si>
  <si>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</si>
  <si>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</si>
  <si>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</si>
  <si>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</si>
  <si>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</si>
  <si>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</si>
  <si>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</si>
  <si>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</si>
  <si>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</si>
  <si>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</si>
  <si>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</si>
  <si>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</si>
  <si>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</si>
  <si>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</si>
  <si>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</si>
  <si>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</si>
  <si>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</si>
  <si>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</si>
  <si>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</si>
  <si>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</si>
  <si>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</si>
  <si>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</si>
  <si>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</si>
  <si>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</si>
  <si>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</si>
  <si>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</si>
  <si>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</si>
  <si>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</si>
  <si>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</si>
  <si>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</si>
  <si>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</si>
  <si>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</si>
  <si>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</si>
  <si>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</si>
  <si>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</si>
  <si>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</si>
  <si>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</si>
  <si>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</si>
  <si>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</si>
  <si>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</si>
  <si>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</si>
  <si>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</si>
  <si>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</si>
  <si>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</si>
  <si>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</si>
  <si>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</si>
  <si>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</si>
  <si>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</si>
  <si>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</si>
  <si>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</si>
  <si>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</si>
  <si>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</si>
  <si>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</si>
  <si>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</si>
  <si>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</si>
  <si>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</si>
  <si>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</si>
  <si>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</si>
  <si>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</si>
  <si>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</si>
  <si>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</si>
  <si>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</si>
  <si>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</si>
  <si>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</si>
  <si>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</si>
  <si>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</si>
  <si>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</si>
  <si>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</si>
  <si>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</si>
  <si>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</si>
  <si>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</si>
  <si>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</si>
  <si>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</si>
  <si>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</si>
  <si>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</si>
  <si>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</si>
  <si>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</si>
  <si>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</si>
  <si>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</si>
  <si>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</si>
  <si>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</si>
  <si>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</si>
  <si>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</si>
  <si>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</si>
  <si>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</si>
  <si>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</si>
  <si>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</si>
  <si>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</si>
  <si>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</si>
  <si>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</si>
  <si>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</si>
  <si>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</si>
  <si>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</si>
  <si>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</si>
  <si>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</si>
  <si>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</si>
  <si>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</si>
  <si>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</si>
  <si>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</si>
  <si>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</si>
  <si>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</si>
  <si>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</si>
  <si>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</si>
  <si>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</si>
  <si>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</si>
  <si>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</si>
  <si>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</si>
  <si>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</si>
  <si>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</si>
  <si>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</si>
  <si>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</si>
  <si>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</si>
  <si>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</si>
  <si>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</si>
  <si>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</si>
  <si>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</si>
  <si>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</si>
  <si>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</si>
  <si>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</si>
  <si>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</si>
  <si>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</si>
  <si>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</si>
  <si>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</si>
  <si>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</si>
  <si>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</si>
  <si>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</si>
  <si>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</si>
  <si>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</si>
  <si>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</si>
  <si>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</si>
  <si>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</si>
  <si>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</si>
  <si>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</si>
  <si>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</si>
  <si>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</si>
  <si>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</si>
  <si>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</si>
  <si>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</si>
  <si>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</si>
  <si>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</si>
  <si>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</si>
  <si>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</si>
  <si>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</si>
  <si>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</si>
  <si>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</si>
  <si>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</si>
  <si>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</si>
  <si>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</si>
  <si>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</si>
  <si>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</si>
  <si>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</si>
  <si>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</si>
  <si>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</si>
  <si>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</si>
  <si>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</si>
  <si>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</si>
  <si>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</si>
  <si>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</si>
  <si>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</si>
  <si>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</si>
  <si>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</si>
  <si>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</si>
  <si>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</si>
  <si>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</si>
  <si>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</si>
  <si>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</si>
  <si>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</si>
  <si>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</si>
  <si>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</si>
  <si>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</si>
  <si>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</si>
  <si>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</si>
  <si>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</si>
  <si>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TSO001127051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</si>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</sst>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921</v>
      </c>
      <c r="I5" s="661"/>
      <c r="J5" s="661"/>
      <c r="K5" s="661"/>
      <c r="L5" s="661"/>
      <c r="M5" s="661"/>
      <c r="N5" s="72"/>
      <c r="P5" s="27" t="s">
        <v>4</v>
      </c>
      <c r="Q5" s="663">
        <v>46294</v>
      </c>
      <c r="R5" s="663"/>
      <c r="T5" s="664" t="s">
        <v>3</v>
      </c>
      <c r="U5" s="665"/>
      <c r="V5" s="666" t="s">
        <v>878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897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68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7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0.5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69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922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70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71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72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73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74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74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75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76</v>
      </c>
      <c r="B22" s="63" t="s">
        <v>77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80</v>
      </c>
      <c r="L22" s="37" t="s">
        <v>46</v>
      </c>
      <c r="M22" s="38" t="s">
        <v>79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78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81</v>
      </c>
      <c r="B23" s="63" t="s">
        <v>82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80</v>
      </c>
      <c r="L23" s="37" t="s">
        <v>46</v>
      </c>
      <c r="M23" s="38" t="s">
        <v>79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83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84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85</v>
      </c>
      <c r="B27" s="63" t="s">
        <v>86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89</v>
      </c>
      <c r="L27" s="37" t="s">
        <v>46</v>
      </c>
      <c r="M27" s="38" t="s">
        <v>88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87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89</v>
      </c>
      <c r="L28" s="37" t="s">
        <v>46</v>
      </c>
      <c r="M28" s="38" t="s">
        <v>88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87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92</v>
      </c>
      <c r="B29" s="63" t="s">
        <v>93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46</v>
      </c>
      <c r="M29" s="38" t="s">
        <v>95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94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96</v>
      </c>
      <c r="B30" s="63" t="s">
        <v>97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89</v>
      </c>
      <c r="L30" s="37" t="s">
        <v>46</v>
      </c>
      <c r="M30" s="38" t="s">
        <v>95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98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99</v>
      </c>
      <c r="B31" s="63" t="s">
        <v>100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89</v>
      </c>
      <c r="L31" s="37" t="s">
        <v>46</v>
      </c>
      <c r="M31" s="38" t="s">
        <v>88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101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102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84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103</v>
      </c>
      <c r="B37" s="63" t="s">
        <v>104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89</v>
      </c>
      <c r="L37" s="37" t="s">
        <v>46</v>
      </c>
      <c r="M37" s="38" t="s">
        <v>95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105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106</v>
      </c>
      <c r="B38" s="63" t="s">
        <v>107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89</v>
      </c>
      <c r="L38" s="37" t="s">
        <v>46</v>
      </c>
      <c r="M38" s="38" t="s">
        <v>88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108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109</v>
      </c>
      <c r="B39" s="63" t="s">
        <v>110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89</v>
      </c>
      <c r="L39" s="37" t="s">
        <v>46</v>
      </c>
      <c r="M39" s="38" t="s">
        <v>88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111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112</v>
      </c>
      <c r="B40" s="63" t="s">
        <v>113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89</v>
      </c>
      <c r="L40" s="37" t="s">
        <v>46</v>
      </c>
      <c r="M40" s="38" t="s">
        <v>88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114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89</v>
      </c>
      <c r="L41" s="37" t="s">
        <v>46</v>
      </c>
      <c r="M41" s="38" t="s">
        <v>88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118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119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120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121</v>
      </c>
      <c r="B47" s="63" t="s">
        <v>122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125</v>
      </c>
      <c r="L47" s="37" t="s">
        <v>46</v>
      </c>
      <c r="M47" s="38" t="s">
        <v>124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123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129</v>
      </c>
      <c r="L48" s="37" t="s">
        <v>46</v>
      </c>
      <c r="M48" s="38" t="s">
        <v>79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130</v>
      </c>
      <c r="B49" s="63" t="s">
        <v>131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132</v>
      </c>
      <c r="L49" s="37" t="s">
        <v>46</v>
      </c>
      <c r="M49" s="38" t="s">
        <v>88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123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132</v>
      </c>
      <c r="L50" s="37" t="s">
        <v>46</v>
      </c>
      <c r="M50" s="38" t="s">
        <v>88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123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135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120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136</v>
      </c>
      <c r="B55" s="63" t="s">
        <v>137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125</v>
      </c>
      <c r="L55" s="37" t="s">
        <v>46</v>
      </c>
      <c r="M55" s="38" t="s">
        <v>124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138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125</v>
      </c>
      <c r="L56" s="37" t="s">
        <v>46</v>
      </c>
      <c r="M56" s="38" t="s">
        <v>124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139</v>
      </c>
      <c r="B57" s="63" t="s">
        <v>142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125</v>
      </c>
      <c r="L57" s="37" t="s">
        <v>46</v>
      </c>
      <c r="M57" s="38" t="s">
        <v>124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143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144</v>
      </c>
      <c r="B58" s="63" t="s">
        <v>145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132</v>
      </c>
      <c r="L58" s="37" t="s">
        <v>46</v>
      </c>
      <c r="M58" s="38" t="s">
        <v>124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146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148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132</v>
      </c>
      <c r="L59" s="37" t="s">
        <v>46</v>
      </c>
      <c r="M59" s="38" t="s">
        <v>124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147</v>
      </c>
      <c r="B60" s="63" t="s">
        <v>150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132</v>
      </c>
      <c r="L60" s="37" t="s">
        <v>46</v>
      </c>
      <c r="M60" s="38" t="s">
        <v>124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151</v>
      </c>
      <c r="B61" s="63" t="s">
        <v>152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89</v>
      </c>
      <c r="L61" s="37" t="s">
        <v>46</v>
      </c>
      <c r="M61" s="38" t="s">
        <v>124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138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153</v>
      </c>
      <c r="B62" s="63" t="s">
        <v>154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132</v>
      </c>
      <c r="L62" s="37" t="s">
        <v>46</v>
      </c>
      <c r="M62" s="38" t="s">
        <v>124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155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156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132</v>
      </c>
      <c r="L63" s="37" t="s">
        <v>46</v>
      </c>
      <c r="M63" s="38" t="s">
        <v>124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143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157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158</v>
      </c>
      <c r="B67" s="63" t="s">
        <v>159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125</v>
      </c>
      <c r="L67" s="37" t="s">
        <v>46</v>
      </c>
      <c r="M67" s="38" t="s">
        <v>124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158</v>
      </c>
      <c r="B68" s="63" t="s">
        <v>161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125</v>
      </c>
      <c r="L68" s="37" t="s">
        <v>46</v>
      </c>
      <c r="M68" s="38" t="s">
        <v>124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162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163</v>
      </c>
      <c r="B69" s="63" t="s">
        <v>164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89</v>
      </c>
      <c r="L69" s="37" t="s">
        <v>46</v>
      </c>
      <c r="M69" s="38" t="s">
        <v>88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165</v>
      </c>
      <c r="B70" s="63" t="s">
        <v>166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129</v>
      </c>
      <c r="L70" s="37" t="s">
        <v>46</v>
      </c>
      <c r="M70" s="38" t="s">
        <v>79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167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168</v>
      </c>
      <c r="B71" s="63" t="s">
        <v>169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89</v>
      </c>
      <c r="L71" s="37" t="s">
        <v>46</v>
      </c>
      <c r="M71" s="38" t="s">
        <v>124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84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170</v>
      </c>
      <c r="B75" s="63" t="s">
        <v>171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89</v>
      </c>
      <c r="L75" s="37" t="s">
        <v>46</v>
      </c>
      <c r="M75" s="38" t="s">
        <v>88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172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173</v>
      </c>
      <c r="B76" s="63" t="s">
        <v>174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46</v>
      </c>
      <c r="M76" s="38" t="s">
        <v>88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176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177</v>
      </c>
      <c r="B80" s="63" t="s">
        <v>178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125</v>
      </c>
      <c r="L80" s="37" t="s">
        <v>46</v>
      </c>
      <c r="M80" s="38" t="s">
        <v>95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180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125</v>
      </c>
      <c r="L81" s="37" t="s">
        <v>46</v>
      </c>
      <c r="M81" s="38" t="s">
        <v>95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179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181</v>
      </c>
      <c r="B82" s="63" t="s">
        <v>182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132</v>
      </c>
      <c r="L82" s="37" t="s">
        <v>46</v>
      </c>
      <c r="M82" s="38" t="s">
        <v>88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183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184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120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185</v>
      </c>
      <c r="B87" s="63" t="s">
        <v>186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125</v>
      </c>
      <c r="L87" s="37" t="s">
        <v>46</v>
      </c>
      <c r="M87" s="38" t="s">
        <v>95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188</v>
      </c>
      <c r="B88" s="63" t="s">
        <v>189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129</v>
      </c>
      <c r="L88" s="37" t="s">
        <v>46</v>
      </c>
      <c r="M88" s="38" t="s">
        <v>79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132</v>
      </c>
      <c r="L89" s="37" t="s">
        <v>46</v>
      </c>
      <c r="M89" s="38" t="s">
        <v>88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187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191</v>
      </c>
      <c r="B90" s="63" t="s">
        <v>193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132</v>
      </c>
      <c r="L90" s="37" t="s">
        <v>46</v>
      </c>
      <c r="M90" s="38" t="s">
        <v>124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187</v>
      </c>
      <c r="AG90" s="78"/>
      <c r="AJ90" s="84" t="s">
        <v>46</v>
      </c>
      <c r="AK90" s="84">
        <v>0</v>
      </c>
      <c r="BB90" s="163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132</v>
      </c>
      <c r="L91" s="37" t="s">
        <v>46</v>
      </c>
      <c r="M91" s="38" t="s">
        <v>124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187</v>
      </c>
      <c r="AG91" s="78"/>
      <c r="AJ91" s="84" t="s">
        <v>46</v>
      </c>
      <c r="AK91" s="84">
        <v>0</v>
      </c>
      <c r="BB91" s="165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84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196</v>
      </c>
      <c r="B95" s="63" t="s">
        <v>197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125</v>
      </c>
      <c r="L95" s="37" t="s">
        <v>46</v>
      </c>
      <c r="M95" s="38" t="s">
        <v>95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198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199</v>
      </c>
      <c r="B96" s="63" t="s">
        <v>200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89</v>
      </c>
      <c r="L96" s="37" t="s">
        <v>46</v>
      </c>
      <c r="M96" s="38" t="s">
        <v>88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89</v>
      </c>
      <c r="L97" s="37" t="s">
        <v>46</v>
      </c>
      <c r="M97" s="38" t="s">
        <v>95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198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204</v>
      </c>
      <c r="B98" s="63" t="s">
        <v>205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89</v>
      </c>
      <c r="L98" s="37" t="s">
        <v>46</v>
      </c>
      <c r="M98" s="38" t="s">
        <v>88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206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207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120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208</v>
      </c>
      <c r="B103" s="63" t="s">
        <v>209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125</v>
      </c>
      <c r="L103" s="37" t="s">
        <v>46</v>
      </c>
      <c r="M103" s="38" t="s">
        <v>124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210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208</v>
      </c>
      <c r="B104" s="63" t="s">
        <v>211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125</v>
      </c>
      <c r="L104" s="37" t="s">
        <v>46</v>
      </c>
      <c r="M104" s="38" t="s">
        <v>124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214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129</v>
      </c>
      <c r="L105" s="37" t="s">
        <v>46</v>
      </c>
      <c r="M105" s="38" t="s">
        <v>79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132</v>
      </c>
      <c r="L106" s="37" t="s">
        <v>46</v>
      </c>
      <c r="M106" s="38" t="s">
        <v>88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216</v>
      </c>
      <c r="B107" s="63" t="s">
        <v>218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132</v>
      </c>
      <c r="L107" s="37" t="s">
        <v>46</v>
      </c>
      <c r="M107" s="38" t="s">
        <v>124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219</v>
      </c>
      <c r="B108" s="63" t="s">
        <v>220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132</v>
      </c>
      <c r="L108" s="37" t="s">
        <v>46</v>
      </c>
      <c r="M108" s="38" t="s">
        <v>124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221</v>
      </c>
      <c r="B109" s="63" t="s">
        <v>222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132</v>
      </c>
      <c r="L109" s="37" t="s">
        <v>46</v>
      </c>
      <c r="M109" s="38" t="s">
        <v>88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210</v>
      </c>
      <c r="AG109" s="78"/>
      <c r="AJ109" s="84" t="s">
        <v>46</v>
      </c>
      <c r="AK109" s="84">
        <v>0</v>
      </c>
      <c r="BB109" s="187" t="s">
        <v>66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221</v>
      </c>
      <c r="B110" s="63" t="s">
        <v>223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132</v>
      </c>
      <c r="L110" s="37" t="s">
        <v>46</v>
      </c>
      <c r="M110" s="38" t="s">
        <v>124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89</v>
      </c>
      <c r="L111" s="37" t="s">
        <v>46</v>
      </c>
      <c r="M111" s="38" t="s">
        <v>124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226</v>
      </c>
      <c r="AG111" s="78"/>
      <c r="AJ111" s="84" t="s">
        <v>46</v>
      </c>
      <c r="AK111" s="84">
        <v>0</v>
      </c>
      <c r="BB111" s="191" t="s">
        <v>66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157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227</v>
      </c>
      <c r="B115" s="63" t="s">
        <v>228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125</v>
      </c>
      <c r="L115" s="37" t="s">
        <v>46</v>
      </c>
      <c r="M115" s="38" t="s">
        <v>124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229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231</v>
      </c>
      <c r="B116" s="63" t="s">
        <v>232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234</v>
      </c>
      <c r="L116" s="37" t="s">
        <v>46</v>
      </c>
      <c r="M116" s="38" t="s">
        <v>79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230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233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235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234</v>
      </c>
      <c r="L117" s="37" t="s">
        <v>46</v>
      </c>
      <c r="M117" s="38" t="s">
        <v>79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230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233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80</v>
      </c>
      <c r="L118" s="37" t="s">
        <v>46</v>
      </c>
      <c r="M118" s="38" t="s">
        <v>124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238</v>
      </c>
      <c r="B119" s="63" t="s">
        <v>239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89</v>
      </c>
      <c r="L119" s="37" t="s">
        <v>46</v>
      </c>
      <c r="M119" s="38" t="s">
        <v>124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229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84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240</v>
      </c>
      <c r="B123" s="63" t="s">
        <v>241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125</v>
      </c>
      <c r="L123" s="37" t="s">
        <v>46</v>
      </c>
      <c r="M123" s="38" t="s">
        <v>88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242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89</v>
      </c>
      <c r="L124" s="37" t="s">
        <v>46</v>
      </c>
      <c r="M124" s="38" t="s">
        <v>88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242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89</v>
      </c>
      <c r="L125" s="37" t="s">
        <v>46</v>
      </c>
      <c r="M125" s="38" t="s">
        <v>88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242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247</v>
      </c>
      <c r="B126" s="63" t="s">
        <v>248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89</v>
      </c>
      <c r="L126" s="37" t="s">
        <v>46</v>
      </c>
      <c r="M126" s="38" t="s">
        <v>88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249</v>
      </c>
      <c r="AG126" s="78"/>
      <c r="AJ126" s="84" t="s">
        <v>46</v>
      </c>
      <c r="AK126" s="84">
        <v>0</v>
      </c>
      <c r="BB126" s="209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176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250</v>
      </c>
      <c r="B130" s="63" t="s">
        <v>251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89</v>
      </c>
      <c r="L130" s="37" t="s">
        <v>46</v>
      </c>
      <c r="M130" s="38" t="s">
        <v>88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252</v>
      </c>
      <c r="AG130" s="78"/>
      <c r="AJ130" s="84" t="s">
        <v>46</v>
      </c>
      <c r="AK130" s="84">
        <v>0</v>
      </c>
      <c r="BB130" s="211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253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120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254</v>
      </c>
      <c r="B135" s="63" t="s">
        <v>255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89</v>
      </c>
      <c r="L135" s="37" t="s">
        <v>46</v>
      </c>
      <c r="M135" s="38" t="s">
        <v>257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256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258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89</v>
      </c>
      <c r="L136" s="37" t="s">
        <v>46</v>
      </c>
      <c r="M136" s="38" t="s">
        <v>257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256</v>
      </c>
      <c r="AG136" s="78"/>
      <c r="AJ136" s="84" t="s">
        <v>46</v>
      </c>
      <c r="AK136" s="84">
        <v>0</v>
      </c>
      <c r="BB136" s="21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75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259</v>
      </c>
      <c r="B140" s="63" t="s">
        <v>260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89</v>
      </c>
      <c r="L140" s="37" t="s">
        <v>46</v>
      </c>
      <c r="M140" s="38" t="s">
        <v>257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261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259</v>
      </c>
      <c r="B141" s="63" t="s">
        <v>262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89</v>
      </c>
      <c r="L141" s="37" t="s">
        <v>46</v>
      </c>
      <c r="M141" s="38" t="s">
        <v>257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261</v>
      </c>
      <c r="AG141" s="78"/>
      <c r="AJ141" s="84" t="s">
        <v>46</v>
      </c>
      <c r="AK141" s="84">
        <v>0</v>
      </c>
      <c r="BB141" s="219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84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263</v>
      </c>
      <c r="B145" s="63" t="s">
        <v>264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89</v>
      </c>
      <c r="L145" s="37" t="s">
        <v>46</v>
      </c>
      <c r="M145" s="38" t="s">
        <v>257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256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263</v>
      </c>
      <c r="B146" s="63" t="s">
        <v>265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89</v>
      </c>
      <c r="L146" s="37" t="s">
        <v>46</v>
      </c>
      <c r="M146" s="38" t="s">
        <v>257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256</v>
      </c>
      <c r="AG146" s="78"/>
      <c r="AJ146" s="84" t="s">
        <v>46</v>
      </c>
      <c r="AK146" s="84">
        <v>0</v>
      </c>
      <c r="BB146" s="223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266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84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267</v>
      </c>
      <c r="B151" s="63" t="s">
        <v>268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89</v>
      </c>
      <c r="L151" s="37" t="s">
        <v>46</v>
      </c>
      <c r="M151" s="38" t="s">
        <v>95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66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89</v>
      </c>
      <c r="L152" s="37" t="s">
        <v>46</v>
      </c>
      <c r="M152" s="38" t="s">
        <v>95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270</v>
      </c>
      <c r="B153" s="63" t="s">
        <v>273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89</v>
      </c>
      <c r="L153" s="37" t="s">
        <v>46</v>
      </c>
      <c r="M153" s="38" t="s">
        <v>95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89</v>
      </c>
      <c r="L154" s="37" t="s">
        <v>46</v>
      </c>
      <c r="M154" s="38" t="s">
        <v>95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89</v>
      </c>
      <c r="L155" s="37" t="s">
        <v>46</v>
      </c>
      <c r="M155" s="38" t="s">
        <v>95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89</v>
      </c>
      <c r="L156" s="37" t="s">
        <v>46</v>
      </c>
      <c r="M156" s="38" t="s">
        <v>95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66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281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282</v>
      </c>
      <c r="B160" s="63" t="s">
        <v>283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287</v>
      </c>
      <c r="L160" s="37" t="s">
        <v>46</v>
      </c>
      <c r="M160" s="38" t="s">
        <v>286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284</v>
      </c>
      <c r="AG160" s="78"/>
      <c r="AJ160" s="84" t="s">
        <v>46</v>
      </c>
      <c r="AK160" s="84">
        <v>0</v>
      </c>
      <c r="BB160" s="237" t="s">
        <v>285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118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120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288</v>
      </c>
      <c r="B165" s="63" t="s">
        <v>289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125</v>
      </c>
      <c r="L165" s="37" t="s">
        <v>46</v>
      </c>
      <c r="M165" s="38" t="s">
        <v>124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292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132</v>
      </c>
      <c r="L166" s="37" t="s">
        <v>46</v>
      </c>
      <c r="M166" s="38" t="s">
        <v>124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291</v>
      </c>
      <c r="B167" s="63" t="s">
        <v>294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132</v>
      </c>
      <c r="L167" s="37" t="s">
        <v>46</v>
      </c>
      <c r="M167" s="38" t="s">
        <v>124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295</v>
      </c>
      <c r="B168" s="63" t="s">
        <v>296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89</v>
      </c>
      <c r="L168" s="37" t="s">
        <v>46</v>
      </c>
      <c r="M168" s="38" t="s">
        <v>88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297</v>
      </c>
      <c r="AG168" s="78"/>
      <c r="AJ168" s="84" t="s">
        <v>46</v>
      </c>
      <c r="AK168" s="84">
        <v>0</v>
      </c>
      <c r="BB168" s="245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157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298</v>
      </c>
      <c r="B172" s="63" t="s">
        <v>299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80</v>
      </c>
      <c r="L172" s="37" t="s">
        <v>46</v>
      </c>
      <c r="M172" s="38" t="s">
        <v>79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301</v>
      </c>
      <c r="B173" s="63" t="s">
        <v>302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80</v>
      </c>
      <c r="L173" s="37" t="s">
        <v>46</v>
      </c>
      <c r="M173" s="38" t="s">
        <v>124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303</v>
      </c>
      <c r="AG173" s="78"/>
      <c r="AJ173" s="84" t="s">
        <v>46</v>
      </c>
      <c r="AK173" s="84">
        <v>0</v>
      </c>
      <c r="BB173" s="249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75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304</v>
      </c>
      <c r="B177" s="63" t="s">
        <v>305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132</v>
      </c>
      <c r="L177" s="37" t="s">
        <v>46</v>
      </c>
      <c r="M177" s="38" t="s">
        <v>79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66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132</v>
      </c>
      <c r="L178" s="37" t="s">
        <v>46</v>
      </c>
      <c r="M178" s="38" t="s">
        <v>79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132</v>
      </c>
      <c r="L179" s="37" t="s">
        <v>46</v>
      </c>
      <c r="M179" s="38" t="s">
        <v>79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313</v>
      </c>
      <c r="B180" s="63" t="s">
        <v>314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132</v>
      </c>
      <c r="L180" s="37" t="s">
        <v>46</v>
      </c>
      <c r="M180" s="38" t="s">
        <v>79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316</v>
      </c>
      <c r="B181" s="63" t="s">
        <v>317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129</v>
      </c>
      <c r="L181" s="37" t="s">
        <v>46</v>
      </c>
      <c r="M181" s="38" t="s">
        <v>79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318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316</v>
      </c>
      <c r="B182" s="63" t="s">
        <v>319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129</v>
      </c>
      <c r="L182" s="37" t="s">
        <v>46</v>
      </c>
      <c r="M182" s="38" t="s">
        <v>79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80</v>
      </c>
      <c r="L183" s="37" t="s">
        <v>46</v>
      </c>
      <c r="M183" s="38" t="s">
        <v>79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129</v>
      </c>
      <c r="L184" s="37" t="s">
        <v>46</v>
      </c>
      <c r="M184" s="38" t="s">
        <v>79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325</v>
      </c>
      <c r="B185" s="63" t="s">
        <v>326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80</v>
      </c>
      <c r="L185" s="37" t="s">
        <v>46</v>
      </c>
      <c r="M185" s="38" t="s">
        <v>79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312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129</v>
      </c>
      <c r="L186" s="37" t="s">
        <v>46</v>
      </c>
      <c r="M186" s="38" t="s">
        <v>79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80</v>
      </c>
      <c r="L187" s="37" t="s">
        <v>46</v>
      </c>
      <c r="M187" s="38" t="s">
        <v>79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315</v>
      </c>
      <c r="AG187" s="78"/>
      <c r="AJ187" s="84" t="s">
        <v>46</v>
      </c>
      <c r="AK187" s="84">
        <v>0</v>
      </c>
      <c r="BB187" s="271" t="s">
        <v>66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84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332</v>
      </c>
      <c r="B191" s="63" t="s">
        <v>333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89</v>
      </c>
      <c r="L191" s="37" t="s">
        <v>46</v>
      </c>
      <c r="M191" s="38" t="s">
        <v>95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335</v>
      </c>
      <c r="B192" s="63" t="s">
        <v>336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89</v>
      </c>
      <c r="L192" s="37" t="s">
        <v>46</v>
      </c>
      <c r="M192" s="38" t="s">
        <v>95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338</v>
      </c>
      <c r="B193" s="63" t="s">
        <v>339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89</v>
      </c>
      <c r="L193" s="37" t="s">
        <v>46</v>
      </c>
      <c r="M193" s="38" t="s">
        <v>88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340</v>
      </c>
      <c r="AG193" s="78"/>
      <c r="AJ193" s="84" t="s">
        <v>46</v>
      </c>
      <c r="AK193" s="84">
        <v>0</v>
      </c>
      <c r="BB193" s="277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281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342</v>
      </c>
      <c r="B197" s="63" t="s">
        <v>343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345</v>
      </c>
      <c r="L197" s="37" t="s">
        <v>46</v>
      </c>
      <c r="M197" s="38" t="s">
        <v>286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341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344</v>
      </c>
      <c r="AG197" s="78"/>
      <c r="AJ197" s="84" t="s">
        <v>46</v>
      </c>
      <c r="AK197" s="84">
        <v>0</v>
      </c>
      <c r="BB197" s="279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346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347</v>
      </c>
      <c r="B201" s="63" t="s">
        <v>348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345</v>
      </c>
      <c r="L201" s="37" t="s">
        <v>46</v>
      </c>
      <c r="M201" s="38" t="s">
        <v>286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341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349</v>
      </c>
      <c r="AG201" s="78"/>
      <c r="AJ201" s="84" t="s">
        <v>46</v>
      </c>
      <c r="AK201" s="84">
        <v>0</v>
      </c>
      <c r="BB201" s="281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350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351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120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352</v>
      </c>
      <c r="B207" s="63" t="s">
        <v>353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125</v>
      </c>
      <c r="L207" s="37" t="s">
        <v>46</v>
      </c>
      <c r="M207" s="38" t="s">
        <v>88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123</v>
      </c>
      <c r="AG207" s="78"/>
      <c r="AJ207" s="84" t="s">
        <v>46</v>
      </c>
      <c r="AK207" s="84">
        <v>0</v>
      </c>
      <c r="BB207" s="283" t="s">
        <v>66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354</v>
      </c>
      <c r="B208" s="63" t="s">
        <v>355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125</v>
      </c>
      <c r="L208" s="37" t="s">
        <v>46</v>
      </c>
      <c r="M208" s="38" t="s">
        <v>88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356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357</v>
      </c>
      <c r="B209" s="63" t="s">
        <v>358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125</v>
      </c>
      <c r="L209" s="37" t="s">
        <v>46</v>
      </c>
      <c r="M209" s="38" t="s">
        <v>88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359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360</v>
      </c>
      <c r="B210" s="63" t="s">
        <v>361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125</v>
      </c>
      <c r="L210" s="37" t="s">
        <v>46</v>
      </c>
      <c r="M210" s="38" t="s">
        <v>88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362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363</v>
      </c>
      <c r="B211" s="63" t="s">
        <v>364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125</v>
      </c>
      <c r="L211" s="37" t="s">
        <v>46</v>
      </c>
      <c r="M211" s="38" t="s">
        <v>88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365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366</v>
      </c>
      <c r="B212" s="63" t="s">
        <v>367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125</v>
      </c>
      <c r="L212" s="37" t="s">
        <v>46</v>
      </c>
      <c r="M212" s="38" t="s">
        <v>88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368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369</v>
      </c>
      <c r="B213" s="63" t="s">
        <v>370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125</v>
      </c>
      <c r="L213" s="37" t="s">
        <v>46</v>
      </c>
      <c r="M213" s="38" t="s">
        <v>88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371</v>
      </c>
      <c r="AG213" s="78"/>
      <c r="AJ213" s="84" t="s">
        <v>46</v>
      </c>
      <c r="AK213" s="84">
        <v>0</v>
      </c>
      <c r="BB213" s="295" t="s">
        <v>66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372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157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373</v>
      </c>
      <c r="B218" s="63" t="s">
        <v>374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80</v>
      </c>
      <c r="L218" s="37" t="s">
        <v>46</v>
      </c>
      <c r="M218" s="38" t="s">
        <v>79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375</v>
      </c>
      <c r="AG218" s="78"/>
      <c r="AJ218" s="84" t="s">
        <v>46</v>
      </c>
      <c r="AK218" s="84">
        <v>0</v>
      </c>
      <c r="BB218" s="297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75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376</v>
      </c>
      <c r="B222" s="63" t="s">
        <v>377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132</v>
      </c>
      <c r="L222" s="37" t="s">
        <v>46</v>
      </c>
      <c r="M222" s="38" t="s">
        <v>79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378</v>
      </c>
      <c r="AG222" s="78"/>
      <c r="AJ222" s="84" t="s">
        <v>46</v>
      </c>
      <c r="AK222" s="84">
        <v>0</v>
      </c>
      <c r="BB222" s="299" t="s">
        <v>66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132</v>
      </c>
      <c r="L223" s="37" t="s">
        <v>46</v>
      </c>
      <c r="M223" s="38" t="s">
        <v>79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381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132</v>
      </c>
      <c r="L224" s="37" t="s">
        <v>46</v>
      </c>
      <c r="M224" s="38" t="s">
        <v>79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384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385</v>
      </c>
      <c r="B225" s="63" t="s">
        <v>386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80</v>
      </c>
      <c r="L225" s="37" t="s">
        <v>46</v>
      </c>
      <c r="M225" s="38" t="s">
        <v>79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80</v>
      </c>
      <c r="L226" s="37" t="s">
        <v>46</v>
      </c>
      <c r="M226" s="38" t="s">
        <v>79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378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80</v>
      </c>
      <c r="L227" s="37" t="s">
        <v>46</v>
      </c>
      <c r="M227" s="38" t="s">
        <v>79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80</v>
      </c>
      <c r="L228" s="37" t="s">
        <v>46</v>
      </c>
      <c r="M228" s="38" t="s">
        <v>79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381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395</v>
      </c>
      <c r="B229" s="63" t="s">
        <v>396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80</v>
      </c>
      <c r="L229" s="37" t="s">
        <v>46</v>
      </c>
      <c r="M229" s="38" t="s">
        <v>79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80</v>
      </c>
      <c r="L230" s="37" t="s">
        <v>46</v>
      </c>
      <c r="M230" s="38" t="s">
        <v>79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400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80</v>
      </c>
      <c r="L231" s="37" t="s">
        <v>46</v>
      </c>
      <c r="M231" s="38" t="s">
        <v>79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403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129</v>
      </c>
      <c r="L232" s="37" t="s">
        <v>46</v>
      </c>
      <c r="M232" s="38" t="s">
        <v>79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407</v>
      </c>
      <c r="B233" s="63" t="s">
        <v>408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80</v>
      </c>
      <c r="L233" s="37" t="s">
        <v>46</v>
      </c>
      <c r="M233" s="38" t="s">
        <v>79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384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409</v>
      </c>
      <c r="B234" s="63" t="s">
        <v>410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89</v>
      </c>
      <c r="L234" s="37" t="s">
        <v>46</v>
      </c>
      <c r="M234" s="38" t="s">
        <v>79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384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409</v>
      </c>
      <c r="B235" s="63" t="s">
        <v>411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89</v>
      </c>
      <c r="L235" s="37" t="s">
        <v>46</v>
      </c>
      <c r="M235" s="38" t="s">
        <v>79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384</v>
      </c>
      <c r="AG235" s="78"/>
      <c r="AJ235" s="84" t="s">
        <v>46</v>
      </c>
      <c r="AK235" s="84">
        <v>0</v>
      </c>
      <c r="BB235" s="325" t="s">
        <v>66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80</v>
      </c>
      <c r="L236" s="37" t="s">
        <v>46</v>
      </c>
      <c r="M236" s="38" t="s">
        <v>79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414</v>
      </c>
      <c r="AG236" s="78"/>
      <c r="AJ236" s="84" t="s">
        <v>46</v>
      </c>
      <c r="AK236" s="84">
        <v>0</v>
      </c>
      <c r="BB236" s="32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84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415</v>
      </c>
      <c r="B240" s="63" t="s">
        <v>416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125</v>
      </c>
      <c r="L240" s="37" t="s">
        <v>46</v>
      </c>
      <c r="M240" s="38" t="s">
        <v>95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66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415</v>
      </c>
      <c r="B241" s="63" t="s">
        <v>418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125</v>
      </c>
      <c r="L241" s="37" t="s">
        <v>46</v>
      </c>
      <c r="M241" s="38" t="s">
        <v>95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125</v>
      </c>
      <c r="L242" s="37" t="s">
        <v>46</v>
      </c>
      <c r="M242" s="38" t="s">
        <v>95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66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125</v>
      </c>
      <c r="L243" s="37" t="s">
        <v>46</v>
      </c>
      <c r="M243" s="38" t="s">
        <v>95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424</v>
      </c>
      <c r="AG243" s="78"/>
      <c r="AJ243" s="84" t="s">
        <v>46</v>
      </c>
      <c r="AK243" s="84">
        <v>0</v>
      </c>
      <c r="BB243" s="335" t="s">
        <v>66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425</v>
      </c>
      <c r="B244" s="63" t="s">
        <v>426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132</v>
      </c>
      <c r="L244" s="37" t="s">
        <v>46</v>
      </c>
      <c r="M244" s="38" t="s">
        <v>95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427</v>
      </c>
      <c r="AG244" s="78"/>
      <c r="AJ244" s="84" t="s">
        <v>46</v>
      </c>
      <c r="AK244" s="84">
        <v>0</v>
      </c>
      <c r="BB244" s="337" t="s">
        <v>66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425</v>
      </c>
      <c r="B245" s="63" t="s">
        <v>428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132</v>
      </c>
      <c r="L245" s="37" t="s">
        <v>46</v>
      </c>
      <c r="M245" s="38" t="s">
        <v>95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419</v>
      </c>
      <c r="AG245" s="78"/>
      <c r="AJ245" s="84" t="s">
        <v>46</v>
      </c>
      <c r="AK245" s="84">
        <v>0</v>
      </c>
      <c r="BB245" s="339" t="s">
        <v>66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429</v>
      </c>
      <c r="B246" s="63" t="s">
        <v>430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132</v>
      </c>
      <c r="L246" s="37" t="s">
        <v>46</v>
      </c>
      <c r="M246" s="38" t="s">
        <v>95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431</v>
      </c>
      <c r="AG246" s="78"/>
      <c r="AJ246" s="84" t="s">
        <v>46</v>
      </c>
      <c r="AK246" s="84">
        <v>0</v>
      </c>
      <c r="BB246" s="341" t="s">
        <v>66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432</v>
      </c>
      <c r="B247" s="63" t="s">
        <v>433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132</v>
      </c>
      <c r="L247" s="37" t="s">
        <v>46</v>
      </c>
      <c r="M247" s="38" t="s">
        <v>95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422</v>
      </c>
      <c r="AG247" s="78"/>
      <c r="AJ247" s="84" t="s">
        <v>46</v>
      </c>
      <c r="AK247" s="84">
        <v>0</v>
      </c>
      <c r="BB247" s="343" t="s">
        <v>66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432</v>
      </c>
      <c r="B248" s="63" t="s">
        <v>434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132</v>
      </c>
      <c r="L248" s="37" t="s">
        <v>46</v>
      </c>
      <c r="M248" s="38" t="s">
        <v>95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424</v>
      </c>
      <c r="AG248" s="78"/>
      <c r="AJ248" s="84" t="s">
        <v>46</v>
      </c>
      <c r="AK248" s="84">
        <v>0</v>
      </c>
      <c r="BB248" s="345" t="s">
        <v>66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281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435</v>
      </c>
      <c r="B252" s="63" t="s">
        <v>436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286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437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438</v>
      </c>
      <c r="B253" s="63" t="s">
        <v>439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345</v>
      </c>
      <c r="L253" s="37" t="s">
        <v>46</v>
      </c>
      <c r="M253" s="38" t="s">
        <v>286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440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441</v>
      </c>
      <c r="B254" s="63" t="s">
        <v>442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345</v>
      </c>
      <c r="L254" s="37" t="s">
        <v>46</v>
      </c>
      <c r="M254" s="38" t="s">
        <v>286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440</v>
      </c>
      <c r="AG254" s="78"/>
      <c r="AJ254" s="84" t="s">
        <v>46</v>
      </c>
      <c r="AK254" s="84">
        <v>0</v>
      </c>
      <c r="BB254" s="35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443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444</v>
      </c>
      <c r="B258" s="63" t="s">
        <v>445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345</v>
      </c>
      <c r="L258" s="37" t="s">
        <v>46</v>
      </c>
      <c r="M258" s="38" t="s">
        <v>286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440</v>
      </c>
      <c r="AG258" s="78"/>
      <c r="AJ258" s="84" t="s">
        <v>46</v>
      </c>
      <c r="AK258" s="84">
        <v>0</v>
      </c>
      <c r="BB258" s="35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446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120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447</v>
      </c>
      <c r="B263" s="63" t="s">
        <v>448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125</v>
      </c>
      <c r="L263" s="37" t="s">
        <v>46</v>
      </c>
      <c r="M263" s="38" t="s">
        <v>124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449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89</v>
      </c>
      <c r="L264" s="37" t="s">
        <v>46</v>
      </c>
      <c r="M264" s="38" t="s">
        <v>124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449</v>
      </c>
      <c r="AG264" s="78"/>
      <c r="AJ264" s="84" t="s">
        <v>46</v>
      </c>
      <c r="AK264" s="84">
        <v>0</v>
      </c>
      <c r="BB264" s="35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157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452</v>
      </c>
      <c r="B268" s="63" t="s">
        <v>453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125</v>
      </c>
      <c r="L268" s="37" t="s">
        <v>46</v>
      </c>
      <c r="M268" s="38" t="s">
        <v>124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454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455</v>
      </c>
      <c r="B269" s="63" t="s">
        <v>456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89</v>
      </c>
      <c r="L269" s="37" t="s">
        <v>46</v>
      </c>
      <c r="M269" s="38" t="s">
        <v>124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454</v>
      </c>
      <c r="AG269" s="78"/>
      <c r="AJ269" s="84" t="s">
        <v>46</v>
      </c>
      <c r="AK269" s="84">
        <v>0</v>
      </c>
      <c r="BB269" s="361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75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457</v>
      </c>
      <c r="B273" s="63" t="s">
        <v>458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132</v>
      </c>
      <c r="L273" s="37" t="s">
        <v>46</v>
      </c>
      <c r="M273" s="38" t="s">
        <v>79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459</v>
      </c>
      <c r="AG273" s="78"/>
      <c r="AJ273" s="84" t="s">
        <v>46</v>
      </c>
      <c r="AK273" s="84">
        <v>0</v>
      </c>
      <c r="BB273" s="363" t="s">
        <v>66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460</v>
      </c>
      <c r="B274" s="63" t="s">
        <v>461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132</v>
      </c>
      <c r="L274" s="37" t="s">
        <v>46</v>
      </c>
      <c r="M274" s="38" t="s">
        <v>79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462</v>
      </c>
      <c r="AG274" s="78"/>
      <c r="AJ274" s="84" t="s">
        <v>46</v>
      </c>
      <c r="AK274" s="84">
        <v>0</v>
      </c>
      <c r="BB274" s="365" t="s">
        <v>66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463</v>
      </c>
      <c r="B275" s="63" t="s">
        <v>464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132</v>
      </c>
      <c r="L275" s="37" t="s">
        <v>46</v>
      </c>
      <c r="M275" s="38" t="s">
        <v>79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465</v>
      </c>
      <c r="AG275" s="78"/>
      <c r="AJ275" s="84" t="s">
        <v>46</v>
      </c>
      <c r="AK275" s="84">
        <v>0</v>
      </c>
      <c r="BB275" s="367" t="s">
        <v>66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132</v>
      </c>
      <c r="L276" s="37" t="s">
        <v>46</v>
      </c>
      <c r="M276" s="38" t="s">
        <v>79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468</v>
      </c>
      <c r="AG276" s="78"/>
      <c r="AJ276" s="84" t="s">
        <v>46</v>
      </c>
      <c r="AK276" s="84">
        <v>0</v>
      </c>
      <c r="BB276" s="369" t="s">
        <v>66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469</v>
      </c>
      <c r="B277" s="63" t="s">
        <v>470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80</v>
      </c>
      <c r="L277" s="37" t="s">
        <v>46</v>
      </c>
      <c r="M277" s="38" t="s">
        <v>79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459</v>
      </c>
      <c r="AG277" s="78"/>
      <c r="AJ277" s="84" t="s">
        <v>46</v>
      </c>
      <c r="AK277" s="84">
        <v>0</v>
      </c>
      <c r="BB277" s="371" t="s">
        <v>66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80</v>
      </c>
      <c r="L278" s="37" t="s">
        <v>46</v>
      </c>
      <c r="M278" s="38" t="s">
        <v>79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462</v>
      </c>
      <c r="AG278" s="78"/>
      <c r="AJ278" s="84" t="s">
        <v>46</v>
      </c>
      <c r="AK278" s="84">
        <v>0</v>
      </c>
      <c r="BB278" s="373" t="s">
        <v>66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473</v>
      </c>
      <c r="B279" s="63" t="s">
        <v>474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80</v>
      </c>
      <c r="L279" s="37" t="s">
        <v>46</v>
      </c>
      <c r="M279" s="38" t="s">
        <v>79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465</v>
      </c>
      <c r="AG279" s="78"/>
      <c r="AJ279" s="84" t="s">
        <v>46</v>
      </c>
      <c r="AK279" s="84">
        <v>0</v>
      </c>
      <c r="BB279" s="375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475</v>
      </c>
      <c r="B280" s="63" t="s">
        <v>476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80</v>
      </c>
      <c r="L280" s="37" t="s">
        <v>46</v>
      </c>
      <c r="M280" s="38" t="s">
        <v>79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468</v>
      </c>
      <c r="AG280" s="78"/>
      <c r="AJ280" s="84" t="s">
        <v>46</v>
      </c>
      <c r="AK280" s="84">
        <v>0</v>
      </c>
      <c r="BB280" s="377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84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477</v>
      </c>
      <c r="B284" s="63" t="s">
        <v>478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125</v>
      </c>
      <c r="L284" s="37" t="s">
        <v>46</v>
      </c>
      <c r="M284" s="38" t="s">
        <v>88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66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480</v>
      </c>
      <c r="B285" s="63" t="s">
        <v>481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125</v>
      </c>
      <c r="L285" s="37" t="s">
        <v>46</v>
      </c>
      <c r="M285" s="38" t="s">
        <v>88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482</v>
      </c>
      <c r="AG285" s="78"/>
      <c r="AJ285" s="84" t="s">
        <v>46</v>
      </c>
      <c r="AK285" s="84">
        <v>0</v>
      </c>
      <c r="BB285" s="381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125</v>
      </c>
      <c r="L286" s="37" t="s">
        <v>46</v>
      </c>
      <c r="M286" s="38" t="s">
        <v>88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485</v>
      </c>
      <c r="AG286" s="78"/>
      <c r="AJ286" s="84" t="s">
        <v>46</v>
      </c>
      <c r="AK286" s="84">
        <v>0</v>
      </c>
      <c r="BB286" s="383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486</v>
      </c>
      <c r="B287" s="63" t="s">
        <v>487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89</v>
      </c>
      <c r="L287" s="37" t="s">
        <v>46</v>
      </c>
      <c r="M287" s="38" t="s">
        <v>88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479</v>
      </c>
      <c r="AG287" s="78"/>
      <c r="AJ287" s="84" t="s">
        <v>46</v>
      </c>
      <c r="AK287" s="84">
        <v>0</v>
      </c>
      <c r="BB287" s="385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89</v>
      </c>
      <c r="L288" s="37" t="s">
        <v>46</v>
      </c>
      <c r="M288" s="38" t="s">
        <v>95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485</v>
      </c>
      <c r="AG288" s="78"/>
      <c r="AJ288" s="84" t="s">
        <v>46</v>
      </c>
      <c r="AK288" s="84">
        <v>0</v>
      </c>
      <c r="BB288" s="387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132</v>
      </c>
      <c r="L289" s="37" t="s">
        <v>46</v>
      </c>
      <c r="M289" s="38" t="s">
        <v>88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492</v>
      </c>
      <c r="AG289" s="78"/>
      <c r="AJ289" s="84" t="s">
        <v>46</v>
      </c>
      <c r="AK289" s="84">
        <v>0</v>
      </c>
      <c r="BB289" s="389" t="s">
        <v>66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493</v>
      </c>
      <c r="B290" s="63" t="s">
        <v>494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89</v>
      </c>
      <c r="L290" s="37" t="s">
        <v>46</v>
      </c>
      <c r="M290" s="38" t="s">
        <v>88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485</v>
      </c>
      <c r="AG290" s="78"/>
      <c r="AJ290" s="84" t="s">
        <v>46</v>
      </c>
      <c r="AK290" s="84">
        <v>0</v>
      </c>
      <c r="BB290" s="391" t="s">
        <v>66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495</v>
      </c>
      <c r="B291" s="63" t="s">
        <v>496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125</v>
      </c>
      <c r="L291" s="37" t="s">
        <v>46</v>
      </c>
      <c r="M291" s="38" t="s">
        <v>88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492</v>
      </c>
      <c r="AG291" s="78"/>
      <c r="AJ291" s="84" t="s">
        <v>46</v>
      </c>
      <c r="AK291" s="84">
        <v>0</v>
      </c>
      <c r="BB291" s="393" t="s">
        <v>66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89</v>
      </c>
      <c r="L292" s="37" t="s">
        <v>46</v>
      </c>
      <c r="M292" s="38" t="s">
        <v>88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485</v>
      </c>
      <c r="AG292" s="78"/>
      <c r="AJ292" s="84" t="s">
        <v>46</v>
      </c>
      <c r="AK292" s="84">
        <v>0</v>
      </c>
      <c r="BB292" s="395" t="s">
        <v>66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499</v>
      </c>
      <c r="B293" s="63" t="s">
        <v>500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89</v>
      </c>
      <c r="L293" s="37" t="s">
        <v>46</v>
      </c>
      <c r="M293" s="38" t="s">
        <v>95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501</v>
      </c>
      <c r="AG293" s="78"/>
      <c r="AJ293" s="84" t="s">
        <v>46</v>
      </c>
      <c r="AK293" s="84">
        <v>0</v>
      </c>
      <c r="BB293" s="397" t="s">
        <v>66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89</v>
      </c>
      <c r="L294" s="37" t="s">
        <v>46</v>
      </c>
      <c r="M294" s="38" t="s">
        <v>88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89</v>
      </c>
      <c r="L295" s="37" t="s">
        <v>46</v>
      </c>
      <c r="M295" s="38" t="s">
        <v>88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507</v>
      </c>
      <c r="AG295" s="78"/>
      <c r="AJ295" s="84" t="s">
        <v>46</v>
      </c>
      <c r="AK295" s="84">
        <v>0</v>
      </c>
      <c r="BB295" s="401" t="s">
        <v>66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176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508</v>
      </c>
      <c r="B299" s="63" t="s">
        <v>509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89</v>
      </c>
      <c r="L299" s="37" t="s">
        <v>46</v>
      </c>
      <c r="M299" s="38" t="s">
        <v>95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510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89</v>
      </c>
      <c r="L300" s="37" t="s">
        <v>46</v>
      </c>
      <c r="M300" s="38" t="s">
        <v>88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513</v>
      </c>
      <c r="AG300" s="78"/>
      <c r="AJ300" s="84" t="s">
        <v>46</v>
      </c>
      <c r="AK300" s="84">
        <v>0</v>
      </c>
      <c r="BB300" s="405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514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120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515</v>
      </c>
      <c r="B305" s="63" t="s">
        <v>516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125</v>
      </c>
      <c r="L305" s="37" t="s">
        <v>46</v>
      </c>
      <c r="M305" s="38" t="s">
        <v>124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517</v>
      </c>
      <c r="AG305" s="78"/>
      <c r="AJ305" s="84" t="s">
        <v>46</v>
      </c>
      <c r="AK305" s="84">
        <v>0</v>
      </c>
      <c r="BB305" s="407" t="s">
        <v>66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125</v>
      </c>
      <c r="L306" s="37" t="s">
        <v>46</v>
      </c>
      <c r="M306" s="38" t="s">
        <v>124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520</v>
      </c>
      <c r="AG306" s="78"/>
      <c r="AJ306" s="84" t="s">
        <v>46</v>
      </c>
      <c r="AK306" s="84">
        <v>0</v>
      </c>
      <c r="BB306" s="409" t="s">
        <v>66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521</v>
      </c>
      <c r="B307" s="63" t="s">
        <v>522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125</v>
      </c>
      <c r="L307" s="37" t="s">
        <v>46</v>
      </c>
      <c r="M307" s="38" t="s">
        <v>124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368</v>
      </c>
      <c r="AG307" s="78"/>
      <c r="AJ307" s="84" t="s">
        <v>46</v>
      </c>
      <c r="AK307" s="84">
        <v>0</v>
      </c>
      <c r="BB307" s="411" t="s">
        <v>66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132</v>
      </c>
      <c r="L308" s="37" t="s">
        <v>46</v>
      </c>
      <c r="M308" s="38" t="s">
        <v>124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517</v>
      </c>
      <c r="AG308" s="78"/>
      <c r="AJ308" s="84" t="s">
        <v>46</v>
      </c>
      <c r="AK308" s="84">
        <v>0</v>
      </c>
      <c r="BB308" s="413" t="s">
        <v>66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525</v>
      </c>
      <c r="B309" s="63" t="s">
        <v>526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132</v>
      </c>
      <c r="L309" s="37" t="s">
        <v>46</v>
      </c>
      <c r="M309" s="38" t="s">
        <v>124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527</v>
      </c>
      <c r="AG309" s="78"/>
      <c r="AJ309" s="84" t="s">
        <v>46</v>
      </c>
      <c r="AK309" s="84">
        <v>0</v>
      </c>
      <c r="BB309" s="415" t="s">
        <v>66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528</v>
      </c>
      <c r="B310" s="63" t="s">
        <v>529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89</v>
      </c>
      <c r="L310" s="37" t="s">
        <v>46</v>
      </c>
      <c r="M310" s="38" t="s">
        <v>124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530</v>
      </c>
      <c r="AG310" s="78"/>
      <c r="AJ310" s="84" t="s">
        <v>46</v>
      </c>
      <c r="AK310" s="84">
        <v>0</v>
      </c>
      <c r="BB310" s="417" t="s">
        <v>66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531</v>
      </c>
      <c r="B311" s="63" t="s">
        <v>532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132</v>
      </c>
      <c r="L311" s="37" t="s">
        <v>46</v>
      </c>
      <c r="M311" s="38" t="s">
        <v>124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368</v>
      </c>
      <c r="AG311" s="78"/>
      <c r="AJ311" s="84" t="s">
        <v>46</v>
      </c>
      <c r="AK311" s="84">
        <v>0</v>
      </c>
      <c r="BB311" s="419" t="s">
        <v>66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157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533</v>
      </c>
      <c r="B315" s="63" t="s">
        <v>534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80</v>
      </c>
      <c r="L315" s="37" t="s">
        <v>46</v>
      </c>
      <c r="M315" s="38" t="s">
        <v>88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535</v>
      </c>
      <c r="AG315" s="78"/>
      <c r="AJ315" s="84" t="s">
        <v>46</v>
      </c>
      <c r="AK315" s="84">
        <v>0</v>
      </c>
      <c r="BB315" s="421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536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537</v>
      </c>
      <c r="B319" s="63" t="s">
        <v>538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345</v>
      </c>
      <c r="L319" s="37" t="s">
        <v>46</v>
      </c>
      <c r="M319" s="38" t="s">
        <v>286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539</v>
      </c>
      <c r="AG319" s="78"/>
      <c r="AJ319" s="84" t="s">
        <v>46</v>
      </c>
      <c r="AK319" s="84">
        <v>0</v>
      </c>
      <c r="BB319" s="423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346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540</v>
      </c>
      <c r="B323" s="63" t="s">
        <v>541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345</v>
      </c>
      <c r="L323" s="37" t="s">
        <v>46</v>
      </c>
      <c r="M323" s="38" t="s">
        <v>286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542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543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120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544</v>
      </c>
      <c r="B328" s="63" t="s">
        <v>545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125</v>
      </c>
      <c r="L328" s="37" t="s">
        <v>46</v>
      </c>
      <c r="M328" s="38" t="s">
        <v>124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547</v>
      </c>
      <c r="AC328" s="426" t="s">
        <v>546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548</v>
      </c>
      <c r="B329" s="63" t="s">
        <v>549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125</v>
      </c>
      <c r="L329" s="37" t="s">
        <v>46</v>
      </c>
      <c r="M329" s="38" t="s">
        <v>124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550</v>
      </c>
      <c r="AG329" s="78"/>
      <c r="AJ329" s="84" t="s">
        <v>46</v>
      </c>
      <c r="AK329" s="84">
        <v>0</v>
      </c>
      <c r="BB329" s="429" t="s">
        <v>66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551</v>
      </c>
      <c r="B330" s="63" t="s">
        <v>552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125</v>
      </c>
      <c r="L330" s="37" t="s">
        <v>46</v>
      </c>
      <c r="M330" s="38" t="s">
        <v>124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553</v>
      </c>
      <c r="AG330" s="78"/>
      <c r="AJ330" s="84" t="s">
        <v>46</v>
      </c>
      <c r="AK330" s="84">
        <v>0</v>
      </c>
      <c r="BB330" s="431" t="s">
        <v>66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554</v>
      </c>
      <c r="B331" s="63" t="s">
        <v>555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125</v>
      </c>
      <c r="L331" s="37" t="s">
        <v>46</v>
      </c>
      <c r="M331" s="38" t="s">
        <v>124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556</v>
      </c>
      <c r="AG331" s="78"/>
      <c r="AJ331" s="84" t="s">
        <v>46</v>
      </c>
      <c r="AK331" s="84">
        <v>0</v>
      </c>
      <c r="BB331" s="433" t="s">
        <v>66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557</v>
      </c>
      <c r="B332" s="63" t="s">
        <v>558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132</v>
      </c>
      <c r="L332" s="37" t="s">
        <v>46</v>
      </c>
      <c r="M332" s="38" t="s">
        <v>124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559</v>
      </c>
      <c r="AG332" s="78"/>
      <c r="AJ332" s="84" t="s">
        <v>46</v>
      </c>
      <c r="AK332" s="84">
        <v>0</v>
      </c>
      <c r="BB332" s="435" t="s">
        <v>66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560</v>
      </c>
      <c r="B333" s="63" t="s">
        <v>561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132</v>
      </c>
      <c r="L333" s="37" t="s">
        <v>46</v>
      </c>
      <c r="M333" s="38" t="s">
        <v>124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563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84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89</v>
      </c>
      <c r="L338" s="37" t="s">
        <v>46</v>
      </c>
      <c r="M338" s="38" t="s">
        <v>88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566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89</v>
      </c>
      <c r="L339" s="37" t="s">
        <v>46</v>
      </c>
      <c r="M339" s="38" t="s">
        <v>95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569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89</v>
      </c>
      <c r="L340" s="37" t="s">
        <v>46</v>
      </c>
      <c r="M340" s="38" t="s">
        <v>88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566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572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75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573</v>
      </c>
      <c r="B345" s="63" t="s">
        <v>574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80</v>
      </c>
      <c r="L345" s="37" t="s">
        <v>46</v>
      </c>
      <c r="M345" s="38" t="s">
        <v>79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400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575</v>
      </c>
      <c r="B346" s="63" t="s">
        <v>576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80</v>
      </c>
      <c r="L346" s="37" t="s">
        <v>46</v>
      </c>
      <c r="M346" s="38" t="s">
        <v>79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577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578</v>
      </c>
      <c r="B347" s="63" t="s">
        <v>579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80</v>
      </c>
      <c r="L347" s="37" t="s">
        <v>46</v>
      </c>
      <c r="M347" s="38" t="s">
        <v>79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580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581</v>
      </c>
      <c r="B348" s="63" t="s">
        <v>582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89</v>
      </c>
      <c r="L348" s="37" t="s">
        <v>46</v>
      </c>
      <c r="M348" s="38" t="s">
        <v>79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583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80</v>
      </c>
      <c r="L349" s="37" t="s">
        <v>46</v>
      </c>
      <c r="M349" s="38" t="s">
        <v>79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586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84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587</v>
      </c>
      <c r="B353" s="63" t="s">
        <v>588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132</v>
      </c>
      <c r="L353" s="37" t="s">
        <v>46</v>
      </c>
      <c r="M353" s="38" t="s">
        <v>88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589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590</v>
      </c>
      <c r="B354" s="63" t="s">
        <v>591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132</v>
      </c>
      <c r="L354" s="37" t="s">
        <v>46</v>
      </c>
      <c r="M354" s="38" t="s">
        <v>88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592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593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120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125</v>
      </c>
      <c r="L359" s="37" t="s">
        <v>46</v>
      </c>
      <c r="M359" s="38" t="s">
        <v>88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359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125</v>
      </c>
      <c r="L360" s="37" t="s">
        <v>46</v>
      </c>
      <c r="M360" s="38" t="s">
        <v>88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598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599</v>
      </c>
      <c r="B361" s="63" t="s">
        <v>600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125</v>
      </c>
      <c r="L361" s="37" t="s">
        <v>46</v>
      </c>
      <c r="M361" s="38" t="s">
        <v>88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601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602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120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603</v>
      </c>
      <c r="B366" s="63" t="s">
        <v>604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125</v>
      </c>
      <c r="L366" s="37" t="s">
        <v>46</v>
      </c>
      <c r="M366" s="38" t="s">
        <v>124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547</v>
      </c>
      <c r="AC366" s="464" t="s">
        <v>527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605</v>
      </c>
      <c r="B367" s="63" t="s">
        <v>606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125</v>
      </c>
      <c r="L367" s="37" t="s">
        <v>46</v>
      </c>
      <c r="M367" s="38" t="s">
        <v>124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607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608</v>
      </c>
      <c r="B368" s="63" t="s">
        <v>609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125</v>
      </c>
      <c r="L368" s="37" t="s">
        <v>46</v>
      </c>
      <c r="M368" s="38" t="s">
        <v>124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610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611</v>
      </c>
      <c r="B369" s="63" t="s">
        <v>612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125</v>
      </c>
      <c r="L369" s="37" t="s">
        <v>46</v>
      </c>
      <c r="M369" s="38" t="s">
        <v>124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613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125</v>
      </c>
      <c r="L370" s="37" t="s">
        <v>46</v>
      </c>
      <c r="M370" s="38" t="s">
        <v>88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617</v>
      </c>
      <c r="B371" s="63" t="s">
        <v>618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132</v>
      </c>
      <c r="L371" s="37" t="s">
        <v>46</v>
      </c>
      <c r="M371" s="38" t="s">
        <v>124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610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619</v>
      </c>
      <c r="B372" s="63" t="s">
        <v>620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132</v>
      </c>
      <c r="L372" s="37" t="s">
        <v>46</v>
      </c>
      <c r="M372" s="38" t="s">
        <v>124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621</v>
      </c>
      <c r="AG372" s="78"/>
      <c r="AJ372" s="84" t="s">
        <v>46</v>
      </c>
      <c r="AK372" s="84">
        <v>0</v>
      </c>
      <c r="BB372" s="477" t="s">
        <v>66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75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622</v>
      </c>
      <c r="B376" s="63" t="s">
        <v>623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132</v>
      </c>
      <c r="L376" s="37" t="s">
        <v>46</v>
      </c>
      <c r="M376" s="38" t="s">
        <v>79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624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625</v>
      </c>
      <c r="B377" s="63" t="s">
        <v>626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132</v>
      </c>
      <c r="L377" s="37" t="s">
        <v>46</v>
      </c>
      <c r="M377" s="38" t="s">
        <v>79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627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132</v>
      </c>
      <c r="L378" s="37" t="s">
        <v>46</v>
      </c>
      <c r="M378" s="38" t="s">
        <v>79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80</v>
      </c>
      <c r="L379" s="37" t="s">
        <v>46</v>
      </c>
      <c r="M379" s="38" t="s">
        <v>79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80</v>
      </c>
      <c r="L380" s="37" t="s">
        <v>46</v>
      </c>
      <c r="M380" s="38" t="s">
        <v>79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636</v>
      </c>
      <c r="B381" s="63" t="s">
        <v>637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132</v>
      </c>
      <c r="L381" s="37" t="s">
        <v>46</v>
      </c>
      <c r="M381" s="38" t="s">
        <v>79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638</v>
      </c>
      <c r="B382" s="63" t="s">
        <v>639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89</v>
      </c>
      <c r="L382" s="37" t="s">
        <v>46</v>
      </c>
      <c r="M382" s="38" t="s">
        <v>79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640</v>
      </c>
      <c r="AG382" s="78"/>
      <c r="AJ382" s="84" t="s">
        <v>46</v>
      </c>
      <c r="AK382" s="84">
        <v>0</v>
      </c>
      <c r="BB382" s="491" t="s">
        <v>66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84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641</v>
      </c>
      <c r="B386" s="63" t="s">
        <v>642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125</v>
      </c>
      <c r="L386" s="37" t="s">
        <v>46</v>
      </c>
      <c r="M386" s="38" t="s">
        <v>88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643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125</v>
      </c>
      <c r="L387" s="37" t="s">
        <v>46</v>
      </c>
      <c r="M387" s="38" t="s">
        <v>88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646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125</v>
      </c>
      <c r="L388" s="37" t="s">
        <v>46</v>
      </c>
      <c r="M388" s="38" t="s">
        <v>88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649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89</v>
      </c>
      <c r="L389" s="37" t="s">
        <v>46</v>
      </c>
      <c r="M389" s="38" t="s">
        <v>88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176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652</v>
      </c>
      <c r="B393" s="63" t="s">
        <v>653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125</v>
      </c>
      <c r="L393" s="37" t="s">
        <v>46</v>
      </c>
      <c r="M393" s="38" t="s">
        <v>88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654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125</v>
      </c>
      <c r="L394" s="37" t="s">
        <v>46</v>
      </c>
      <c r="M394" s="38" t="s">
        <v>88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657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125</v>
      </c>
      <c r="L395" s="37" t="s">
        <v>46</v>
      </c>
      <c r="M395" s="38" t="s">
        <v>95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660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281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661</v>
      </c>
      <c r="B399" s="63" t="s">
        <v>662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132</v>
      </c>
      <c r="L399" s="37" t="s">
        <v>46</v>
      </c>
      <c r="M399" s="38" t="s">
        <v>257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132</v>
      </c>
      <c r="L400" s="37" t="s">
        <v>46</v>
      </c>
      <c r="M400" s="38" t="s">
        <v>257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666</v>
      </c>
      <c r="B401" s="63" t="s">
        <v>667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89</v>
      </c>
      <c r="L401" s="37" t="s">
        <v>46</v>
      </c>
      <c r="M401" s="38" t="s">
        <v>257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668</v>
      </c>
      <c r="B402" s="63" t="s">
        <v>669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89</v>
      </c>
      <c r="L402" s="37" t="s">
        <v>46</v>
      </c>
      <c r="M402" s="38" t="s">
        <v>257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663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670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671</v>
      </c>
      <c r="B406" s="63" t="s">
        <v>672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89</v>
      </c>
      <c r="L406" s="37" t="s">
        <v>46</v>
      </c>
      <c r="M406" s="38" t="s">
        <v>674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675</v>
      </c>
      <c r="B407" s="63" t="s">
        <v>676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89</v>
      </c>
      <c r="L407" s="37" t="s">
        <v>46</v>
      </c>
      <c r="M407" s="38" t="s">
        <v>674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677</v>
      </c>
      <c r="B408" s="63" t="s">
        <v>678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89</v>
      </c>
      <c r="L408" s="37" t="s">
        <v>46</v>
      </c>
      <c r="M408" s="38" t="s">
        <v>674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673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679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680</v>
      </c>
      <c r="B412" s="63" t="s">
        <v>681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89</v>
      </c>
      <c r="L412" s="37" t="s">
        <v>46</v>
      </c>
      <c r="M412" s="38" t="s">
        <v>674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682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683</v>
      </c>
      <c r="B413" s="63" t="s">
        <v>684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132</v>
      </c>
      <c r="L413" s="37" t="s">
        <v>46</v>
      </c>
      <c r="M413" s="38" t="s">
        <v>674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685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686</v>
      </c>
      <c r="B414" s="63" t="s">
        <v>687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89</v>
      </c>
      <c r="L414" s="37" t="s">
        <v>46</v>
      </c>
      <c r="M414" s="38" t="s">
        <v>674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682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688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84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689</v>
      </c>
      <c r="B419" s="63" t="s">
        <v>690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125</v>
      </c>
      <c r="L419" s="37" t="s">
        <v>46</v>
      </c>
      <c r="M419" s="38" t="s">
        <v>88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691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692</v>
      </c>
      <c r="B420" s="63" t="s">
        <v>693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125</v>
      </c>
      <c r="L420" s="37" t="s">
        <v>46</v>
      </c>
      <c r="M420" s="38" t="s">
        <v>88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694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695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84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696</v>
      </c>
      <c r="B425" s="63" t="s">
        <v>697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125</v>
      </c>
      <c r="L425" s="37" t="s">
        <v>46</v>
      </c>
      <c r="M425" s="38" t="s">
        <v>95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698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699</v>
      </c>
      <c r="B426" s="63" t="s">
        <v>700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89</v>
      </c>
      <c r="L426" s="37" t="s">
        <v>46</v>
      </c>
      <c r="M426" s="38" t="s">
        <v>88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701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702</v>
      </c>
      <c r="B427" s="63" t="s">
        <v>703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89</v>
      </c>
      <c r="L427" s="37" t="s">
        <v>46</v>
      </c>
      <c r="M427" s="38" t="s">
        <v>95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704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705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706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120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707</v>
      </c>
      <c r="B433" s="63" t="s">
        <v>708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125</v>
      </c>
      <c r="L433" s="37" t="s">
        <v>46</v>
      </c>
      <c r="M433" s="38" t="s">
        <v>95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709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hidden="1" customHeight="1" x14ac:dyDescent="0.25">
      <c r="A434" s="63" t="s">
        <v>710</v>
      </c>
      <c r="B434" s="63" t="s">
        <v>711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125</v>
      </c>
      <c r="L434" s="37" t="s">
        <v>46</v>
      </c>
      <c r="M434" s="38" t="s">
        <v>79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712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713</v>
      </c>
      <c r="B435" s="63" t="s">
        <v>714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125</v>
      </c>
      <c r="L435" s="37" t="s">
        <v>46</v>
      </c>
      <c r="M435" s="38" t="s">
        <v>124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715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716</v>
      </c>
      <c r="B436" s="63" t="s">
        <v>717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125</v>
      </c>
      <c r="L436" s="37" t="s">
        <v>46</v>
      </c>
      <c r="M436" s="38" t="s">
        <v>79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718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719</v>
      </c>
      <c r="B437" s="63" t="s">
        <v>720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125</v>
      </c>
      <c r="L437" s="37" t="s">
        <v>46</v>
      </c>
      <c r="M437" s="38" t="s">
        <v>95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721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132</v>
      </c>
      <c r="L438" s="37" t="s">
        <v>46</v>
      </c>
      <c r="M438" s="38" t="s">
        <v>124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724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132</v>
      </c>
      <c r="L439" s="37" t="s">
        <v>46</v>
      </c>
      <c r="M439" s="38" t="s">
        <v>79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727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728</v>
      </c>
      <c r="B440" s="63" t="s">
        <v>729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132</v>
      </c>
      <c r="L440" s="37" t="s">
        <v>46</v>
      </c>
      <c r="M440" s="38" t="s">
        <v>79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730</v>
      </c>
      <c r="AG440" s="78"/>
      <c r="AJ440" s="84" t="s">
        <v>46</v>
      </c>
      <c r="AK440" s="84">
        <v>0</v>
      </c>
      <c r="BB440" s="551" t="s">
        <v>66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hidden="1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26" t="s">
        <v>157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731</v>
      </c>
      <c r="B444" s="63" t="s">
        <v>732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125</v>
      </c>
      <c r="L444" s="37" t="s">
        <v>46</v>
      </c>
      <c r="M444" s="38" t="s">
        <v>124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800</v>
      </c>
      <c r="Y444" s="55">
        <f>IFERROR(IF(X444="",0,CEILING((X444/$H444),1)*$H444),"")</f>
        <v>810</v>
      </c>
      <c r="Z444" s="41">
        <f>IFERROR(IF(Y444=0,"",ROUNDUP(Y444/H444,0)*0.02175),"")</f>
        <v>1.1744999999999999</v>
      </c>
      <c r="AA444" s="68" t="s">
        <v>46</v>
      </c>
      <c r="AB444" s="69" t="s">
        <v>46</v>
      </c>
      <c r="AC444" s="552" t="s">
        <v>733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825.06666666666672</v>
      </c>
      <c r="BN444" s="78">
        <f>IFERROR(Y444*I444/H444,"0")</f>
        <v>835.38</v>
      </c>
      <c r="BO444" s="78">
        <f>IFERROR(1/J444*(X444/H444),"0")</f>
        <v>1.1111111111111112</v>
      </c>
      <c r="BP444" s="78">
        <f>IFERROR(1/J444*(Y444/H444),"0")</f>
        <v>1.125</v>
      </c>
    </row>
    <row r="445" spans="1:68" ht="27" hidden="1" customHeight="1" x14ac:dyDescent="0.25">
      <c r="A445" s="63" t="s">
        <v>734</v>
      </c>
      <c r="B445" s="63" t="s">
        <v>735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125</v>
      </c>
      <c r="L445" s="37" t="s">
        <v>46</v>
      </c>
      <c r="M445" s="38" t="s">
        <v>124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736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737</v>
      </c>
      <c r="B446" s="63" t="s">
        <v>738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132</v>
      </c>
      <c r="L446" s="37" t="s">
        <v>46</v>
      </c>
      <c r="M446" s="38" t="s">
        <v>124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739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53.333333333333336</v>
      </c>
      <c r="Y447" s="43">
        <f>IFERROR(Y444/H444,"0")+IFERROR(Y445/H445,"0")+IFERROR(Y446/H446,"0")</f>
        <v>54</v>
      </c>
      <c r="Z447" s="43">
        <f>IFERROR(IF(Z444="",0,Z444),"0")+IFERROR(IF(Z445="",0,Z445),"0")+IFERROR(IF(Z446="",0,Z446),"0")</f>
        <v>1.1744999999999999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800</v>
      </c>
      <c r="Y448" s="43">
        <f>IFERROR(SUM(Y444:Y446),"0")</f>
        <v>810</v>
      </c>
      <c r="Z448" s="42"/>
      <c r="AA448" s="67"/>
      <c r="AB448" s="67"/>
      <c r="AC448" s="67"/>
    </row>
    <row r="449" spans="1:68" ht="14.25" hidden="1" customHeight="1" x14ac:dyDescent="0.25">
      <c r="A449" s="726" t="s">
        <v>84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740</v>
      </c>
      <c r="B450" s="63" t="s">
        <v>741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125</v>
      </c>
      <c r="L450" s="37" t="s">
        <v>46</v>
      </c>
      <c r="M450" s="38" t="s">
        <v>88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742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743</v>
      </c>
      <c r="B451" s="63" t="s">
        <v>744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125</v>
      </c>
      <c r="L451" s="37" t="s">
        <v>46</v>
      </c>
      <c r="M451" s="38" t="s">
        <v>88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745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746</v>
      </c>
      <c r="B452" s="63" t="s">
        <v>747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125</v>
      </c>
      <c r="L452" s="37" t="s">
        <v>46</v>
      </c>
      <c r="M452" s="38" t="s">
        <v>88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748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176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125</v>
      </c>
      <c r="L456" s="37" t="s">
        <v>46</v>
      </c>
      <c r="M456" s="38" t="s">
        <v>88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751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752</v>
      </c>
      <c r="B457" s="63" t="s">
        <v>753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125</v>
      </c>
      <c r="L457" s="37" t="s">
        <v>46</v>
      </c>
      <c r="M457" s="38" t="s">
        <v>88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754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755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120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756</v>
      </c>
      <c r="B462" s="63" t="s">
        <v>757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125</v>
      </c>
      <c r="L462" s="37" t="s">
        <v>46</v>
      </c>
      <c r="M462" s="38" t="s">
        <v>79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759</v>
      </c>
      <c r="B463" s="63" t="s">
        <v>760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132</v>
      </c>
      <c r="L463" s="37" t="s">
        <v>46</v>
      </c>
      <c r="M463" s="38" t="s">
        <v>79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758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75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761</v>
      </c>
      <c r="B467" s="63" t="s">
        <v>762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132</v>
      </c>
      <c r="L467" s="37" t="s">
        <v>46</v>
      </c>
      <c r="M467" s="38" t="s">
        <v>79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763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84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764</v>
      </c>
      <c r="B471" s="63" t="s">
        <v>765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125</v>
      </c>
      <c r="L471" s="37" t="s">
        <v>46</v>
      </c>
      <c r="M471" s="38" t="s">
        <v>88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768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89</v>
      </c>
      <c r="L472" s="37" t="s">
        <v>46</v>
      </c>
      <c r="M472" s="38" t="s">
        <v>88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767</v>
      </c>
      <c r="B473" s="63" t="s">
        <v>769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89</v>
      </c>
      <c r="L473" s="37" t="s">
        <v>46</v>
      </c>
      <c r="M473" s="38" t="s">
        <v>88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770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771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772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75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773</v>
      </c>
      <c r="B479" s="63" t="s">
        <v>774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132</v>
      </c>
      <c r="L479" s="37" t="s">
        <v>46</v>
      </c>
      <c r="M479" s="38" t="s">
        <v>79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775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132</v>
      </c>
      <c r="L480" s="37" t="s">
        <v>46</v>
      </c>
      <c r="M480" s="38" t="s">
        <v>79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80</v>
      </c>
      <c r="L481" s="37" t="s">
        <v>46</v>
      </c>
      <c r="M481" s="38" t="s">
        <v>79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775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781</v>
      </c>
      <c r="B482" s="63" t="s">
        <v>782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80</v>
      </c>
      <c r="L482" s="37" t="s">
        <v>46</v>
      </c>
      <c r="M482" s="38" t="s">
        <v>79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783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784</v>
      </c>
      <c r="B483" s="63" t="s">
        <v>785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80</v>
      </c>
      <c r="L483" s="37" t="s">
        <v>46</v>
      </c>
      <c r="M483" s="38" t="s">
        <v>79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786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787</v>
      </c>
      <c r="B484" s="63" t="s">
        <v>788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80</v>
      </c>
      <c r="L484" s="37" t="s">
        <v>46</v>
      </c>
      <c r="M484" s="38" t="s">
        <v>79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783</v>
      </c>
      <c r="AG484" s="78"/>
      <c r="AJ484" s="84" t="s">
        <v>46</v>
      </c>
      <c r="AK484" s="84">
        <v>0</v>
      </c>
      <c r="BB484" s="591" t="s">
        <v>66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84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789</v>
      </c>
      <c r="B488" s="63" t="s">
        <v>790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132</v>
      </c>
      <c r="L488" s="37" t="s">
        <v>46</v>
      </c>
      <c r="M488" s="38" t="s">
        <v>88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791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792</v>
      </c>
      <c r="B489" s="63" t="s">
        <v>793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89</v>
      </c>
      <c r="L489" s="37" t="s">
        <v>46</v>
      </c>
      <c r="M489" s="38" t="s">
        <v>88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794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795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157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796</v>
      </c>
      <c r="B494" s="63" t="s">
        <v>797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89</v>
      </c>
      <c r="L494" s="37" t="s">
        <v>46</v>
      </c>
      <c r="M494" s="38" t="s">
        <v>79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798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75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799</v>
      </c>
      <c r="B498" s="63" t="s">
        <v>800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132</v>
      </c>
      <c r="L498" s="37" t="s">
        <v>46</v>
      </c>
      <c r="M498" s="38" t="s">
        <v>79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80</v>
      </c>
      <c r="L499" s="37" t="s">
        <v>46</v>
      </c>
      <c r="M499" s="38" t="s">
        <v>79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80</v>
      </c>
      <c r="L500" s="37" t="s">
        <v>46</v>
      </c>
      <c r="M500" s="38" t="s">
        <v>79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804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807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807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120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808</v>
      </c>
      <c r="B506" s="63" t="s">
        <v>809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125</v>
      </c>
      <c r="L506" s="37" t="s">
        <v>46</v>
      </c>
      <c r="M506" s="38" t="s">
        <v>88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123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810</v>
      </c>
      <c r="B507" s="63" t="s">
        <v>811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125</v>
      </c>
      <c r="L507" s="37" t="s">
        <v>46</v>
      </c>
      <c r="M507" s="38" t="s">
        <v>124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812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813</v>
      </c>
      <c r="B508" s="63" t="s">
        <v>814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125</v>
      </c>
      <c r="L508" s="37" t="s">
        <v>46</v>
      </c>
      <c r="M508" s="38" t="s">
        <v>124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815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816</v>
      </c>
      <c r="B509" s="63" t="s">
        <v>817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125</v>
      </c>
      <c r="L509" s="37" t="s">
        <v>46</v>
      </c>
      <c r="M509" s="38" t="s">
        <v>124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818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819</v>
      </c>
      <c r="B510" s="63" t="s">
        <v>820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125</v>
      </c>
      <c r="L510" s="37" t="s">
        <v>46</v>
      </c>
      <c r="M510" s="38" t="s">
        <v>88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821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125</v>
      </c>
      <c r="L511" s="37" t="s">
        <v>46</v>
      </c>
      <c r="M511" s="38" t="s">
        <v>124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825</v>
      </c>
      <c r="B512" s="63" t="s">
        <v>826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89</v>
      </c>
      <c r="L512" s="37" t="s">
        <v>46</v>
      </c>
      <c r="M512" s="38" t="s">
        <v>88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123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827</v>
      </c>
      <c r="B513" s="63" t="s">
        <v>828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132</v>
      </c>
      <c r="L513" s="37" t="s">
        <v>46</v>
      </c>
      <c r="M513" s="38" t="s">
        <v>88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123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132</v>
      </c>
      <c r="L514" s="37" t="s">
        <v>46</v>
      </c>
      <c r="M514" s="38" t="s">
        <v>124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824</v>
      </c>
      <c r="AG514" s="78"/>
      <c r="AJ514" s="84" t="s">
        <v>46</v>
      </c>
      <c r="AK514" s="84">
        <v>0</v>
      </c>
      <c r="BB514" s="621" t="s">
        <v>66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157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831</v>
      </c>
      <c r="B518" s="63" t="s">
        <v>832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125</v>
      </c>
      <c r="L518" s="37" t="s">
        <v>46</v>
      </c>
      <c r="M518" s="38" t="s">
        <v>88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834</v>
      </c>
      <c r="B519" s="63" t="s">
        <v>835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89</v>
      </c>
      <c r="L519" s="37" t="s">
        <v>46</v>
      </c>
      <c r="M519" s="38" t="s">
        <v>124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836</v>
      </c>
      <c r="B520" s="63" t="s">
        <v>837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132</v>
      </c>
      <c r="L520" s="37" t="s">
        <v>46</v>
      </c>
      <c r="M520" s="38" t="s">
        <v>124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833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75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838</v>
      </c>
      <c r="B524" s="63" t="s">
        <v>839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125</v>
      </c>
      <c r="L524" s="37" t="s">
        <v>46</v>
      </c>
      <c r="M524" s="38" t="s">
        <v>124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840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841</v>
      </c>
      <c r="B525" s="63" t="s">
        <v>842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125</v>
      </c>
      <c r="L525" s="37" t="s">
        <v>46</v>
      </c>
      <c r="M525" s="38" t="s">
        <v>79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843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125</v>
      </c>
      <c r="L526" s="37" t="s">
        <v>46</v>
      </c>
      <c r="M526" s="38" t="s">
        <v>79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846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847</v>
      </c>
      <c r="B527" s="63" t="s">
        <v>848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132</v>
      </c>
      <c r="L527" s="37" t="s">
        <v>46</v>
      </c>
      <c r="M527" s="38" t="s">
        <v>124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132</v>
      </c>
      <c r="L528" s="37" t="s">
        <v>46</v>
      </c>
      <c r="M528" s="38" t="s">
        <v>79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849</v>
      </c>
      <c r="B529" s="63" t="s">
        <v>851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132</v>
      </c>
      <c r="L529" s="37" t="s">
        <v>46</v>
      </c>
      <c r="M529" s="38" t="s">
        <v>79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843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852</v>
      </c>
      <c r="B530" s="63" t="s">
        <v>853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132</v>
      </c>
      <c r="L530" s="37" t="s">
        <v>46</v>
      </c>
      <c r="M530" s="38" t="s">
        <v>79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846</v>
      </c>
      <c r="AG530" s="78"/>
      <c r="AJ530" s="84" t="s">
        <v>46</v>
      </c>
      <c r="AK530" s="84">
        <v>0</v>
      </c>
      <c r="BB530" s="641" t="s">
        <v>66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854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854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120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855</v>
      </c>
      <c r="B536" s="63" t="s">
        <v>856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125</v>
      </c>
      <c r="L536" s="37" t="s">
        <v>46</v>
      </c>
      <c r="M536" s="38" t="s">
        <v>124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857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157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858</v>
      </c>
      <c r="B540" s="63" t="s">
        <v>859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125</v>
      </c>
      <c r="L540" s="37" t="s">
        <v>46</v>
      </c>
      <c r="M540" s="38" t="s">
        <v>88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733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75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860</v>
      </c>
      <c r="B544" s="63" t="s">
        <v>861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132</v>
      </c>
      <c r="L544" s="37" t="s">
        <v>46</v>
      </c>
      <c r="M544" s="38" t="s">
        <v>79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862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84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863</v>
      </c>
      <c r="B548" s="63" t="s">
        <v>864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125</v>
      </c>
      <c r="L548" s="37" t="s">
        <v>46</v>
      </c>
      <c r="M548" s="38" t="s">
        <v>88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176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866</v>
      </c>
      <c r="B552" s="63" t="s">
        <v>867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125</v>
      </c>
      <c r="L552" s="37" t="s">
        <v>46</v>
      </c>
      <c r="M552" s="38" t="s">
        <v>88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868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869</v>
      </c>
      <c r="B553" s="63" t="s">
        <v>870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125</v>
      </c>
      <c r="L553" s="37" t="s">
        <v>46</v>
      </c>
      <c r="M553" s="38" t="s">
        <v>88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871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872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157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873</v>
      </c>
      <c r="B558" s="63" t="s">
        <v>874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125</v>
      </c>
      <c r="L558" s="37" t="s">
        <v>46</v>
      </c>
      <c r="M558" s="38" t="s">
        <v>124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875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800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810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825.06666666666672</v>
      </c>
      <c r="Y562" s="43">
        <f>IFERROR(SUM(BN22:BN558),"0")</f>
        <v>835.38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2</v>
      </c>
      <c r="Y563" s="44">
        <f>ROUNDUP(SUM(BP22:BP558),0)</f>
        <v>2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875.06666666666672</v>
      </c>
      <c r="Y564" s="43">
        <f>GrossWeightTotalR+PalletQtyTotalR*25</f>
        <v>885.38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53.333333333333336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54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1.1744999999999999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74</v>
      </c>
      <c r="C568" s="85" t="s">
        <v>45</v>
      </c>
      <c r="D568" s="1016" t="s">
        <v>118</v>
      </c>
      <c r="E568" s="1016" t="s">
        <v>118</v>
      </c>
      <c r="F568" s="1016" t="s">
        <v>118</v>
      </c>
      <c r="G568" s="1016" t="s">
        <v>118</v>
      </c>
      <c r="H568" s="1016" t="s">
        <v>118</v>
      </c>
      <c r="I568" s="1016" t="s">
        <v>118</v>
      </c>
      <c r="J568" s="1016" t="s">
        <v>118</v>
      </c>
      <c r="K568" s="1016" t="s">
        <v>350</v>
      </c>
      <c r="L568" s="1016" t="s">
        <v>350</v>
      </c>
      <c r="M568" s="1016" t="s">
        <v>350</v>
      </c>
      <c r="N568" s="1025"/>
      <c r="O568" s="1016" t="s">
        <v>350</v>
      </c>
      <c r="P568" s="1016" t="s">
        <v>350</v>
      </c>
      <c r="Q568" s="1016" t="s">
        <v>350</v>
      </c>
      <c r="R568" s="1016" t="s">
        <v>350</v>
      </c>
      <c r="S568" s="1016" t="s">
        <v>350</v>
      </c>
      <c r="T568" s="1016" t="s">
        <v>350</v>
      </c>
      <c r="U568" s="1016" t="s">
        <v>350</v>
      </c>
      <c r="V568" s="1016" t="s">
        <v>350</v>
      </c>
      <c r="W568" s="1016" t="s">
        <v>705</v>
      </c>
      <c r="X568" s="1016" t="s">
        <v>705</v>
      </c>
      <c r="Y568" s="1016" t="s">
        <v>771</v>
      </c>
      <c r="Z568" s="1016" t="s">
        <v>771</v>
      </c>
      <c r="AA568" s="85" t="s">
        <v>807</v>
      </c>
      <c r="AB568" s="1016" t="s">
        <v>854</v>
      </c>
      <c r="AC568" s="1016" t="s">
        <v>854</v>
      </c>
      <c r="AF568" s="1"/>
    </row>
    <row r="569" spans="1:32" ht="14.25" customHeight="1" thickTop="1" x14ac:dyDescent="0.2">
      <c r="A569" s="1026" t="s">
        <v>10</v>
      </c>
      <c r="B569" s="1016" t="s">
        <v>74</v>
      </c>
      <c r="C569" s="1016" t="s">
        <v>102</v>
      </c>
      <c r="D569" s="1016" t="s">
        <v>119</v>
      </c>
      <c r="E569" s="1016" t="s">
        <v>135</v>
      </c>
      <c r="F569" s="1016" t="s">
        <v>184</v>
      </c>
      <c r="G569" s="1016" t="s">
        <v>207</v>
      </c>
      <c r="H569" s="1016" t="s">
        <v>253</v>
      </c>
      <c r="I569" s="1016" t="s">
        <v>266</v>
      </c>
      <c r="J569" s="1016" t="s">
        <v>118</v>
      </c>
      <c r="K569" s="1016" t="s">
        <v>351</v>
      </c>
      <c r="L569" s="1016" t="s">
        <v>372</v>
      </c>
      <c r="M569" s="1016" t="s">
        <v>446</v>
      </c>
      <c r="N569" s="1"/>
      <c r="O569" s="1016" t="s">
        <v>514</v>
      </c>
      <c r="P569" s="1016" t="s">
        <v>543</v>
      </c>
      <c r="Q569" s="1016" t="s">
        <v>563</v>
      </c>
      <c r="R569" s="1016" t="s">
        <v>572</v>
      </c>
      <c r="S569" s="1016" t="s">
        <v>593</v>
      </c>
      <c r="T569" s="1016" t="s">
        <v>602</v>
      </c>
      <c r="U569" s="1016" t="s">
        <v>688</v>
      </c>
      <c r="V569" s="1016" t="s">
        <v>695</v>
      </c>
      <c r="W569" s="1016" t="s">
        <v>706</v>
      </c>
      <c r="X569" s="1016" t="s">
        <v>755</v>
      </c>
      <c r="Y569" s="1016" t="s">
        <v>772</v>
      </c>
      <c r="Z569" s="1016" t="s">
        <v>795</v>
      </c>
      <c r="AA569" s="1016" t="s">
        <v>807</v>
      </c>
      <c r="AB569" s="1016" t="s">
        <v>854</v>
      </c>
      <c r="AC569" s="1016" t="s">
        <v>872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810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3,33"/>
        <filter val="800,00"/>
        <filter val="825,07"/>
        <filter val="875,07"/>
      </filters>
    </filterColumn>
    <filterColumn colId="29" showButton="0"/>
    <filterColumn colId="30" showButton="0"/>
  </autoFilter>
  <dataConsolidate/>
  <mergeCells count="1007"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2" spans="2:8" x14ac:dyDescent="0.2">
      <c r="B12" s="53" t="s">
        <v>897</v>
      </c>
      <c r="C12" s="53" t="s">
        <v>898</v>
      </c>
      <c r="D12" s="53" t="s">
        <v>899</v>
      </c>
      <c r="E12" s="53" t="s">
        <v>46</v>
      </c>
    </row>
    <row r="13" spans="2:8" x14ac:dyDescent="0.2">
      <c r="B13" s="53" t="s">
        <v>900</v>
      </c>
      <c r="C13" s="53" t="s">
        <v>901</v>
      </c>
      <c r="D13" s="53" t="s">
        <v>125</v>
      </c>
      <c r="E13" s="53" t="s">
        <v>46</v>
      </c>
    </row>
    <row r="15" spans="2:8" x14ac:dyDescent="0.2">
      <c r="B15" s="53" t="s">
        <v>902</v>
      </c>
      <c r="C15" s="53" t="s">
        <v>880</v>
      </c>
      <c r="D15" s="53" t="s">
        <v>46</v>
      </c>
      <c r="E15" s="53" t="s">
        <v>46</v>
      </c>
    </row>
    <row r="17" spans="2:5" x14ac:dyDescent="0.2">
      <c r="B17" s="53" t="s">
        <v>903</v>
      </c>
      <c r="C17" s="53" t="s">
        <v>883</v>
      </c>
      <c r="D17" s="53" t="s">
        <v>46</v>
      </c>
      <c r="E17" s="53" t="s">
        <v>46</v>
      </c>
    </row>
    <row r="19" spans="2:5" x14ac:dyDescent="0.2">
      <c r="B19" s="53" t="s">
        <v>904</v>
      </c>
      <c r="C19" s="53" t="s">
        <v>886</v>
      </c>
      <c r="D19" s="53" t="s">
        <v>46</v>
      </c>
      <c r="E19" s="53" t="s">
        <v>46</v>
      </c>
    </row>
    <row r="21" spans="2:5" x14ac:dyDescent="0.2">
      <c r="B21" s="53" t="s">
        <v>905</v>
      </c>
      <c r="C21" s="53" t="s">
        <v>889</v>
      </c>
      <c r="D21" s="53" t="s">
        <v>46</v>
      </c>
      <c r="E21" s="53" t="s">
        <v>46</v>
      </c>
    </row>
    <row r="23" spans="2:5" x14ac:dyDescent="0.2">
      <c r="B23" s="53" t="s">
        <v>906</v>
      </c>
      <c r="C23" s="53" t="s">
        <v>892</v>
      </c>
      <c r="D23" s="53" t="s">
        <v>46</v>
      </c>
      <c r="E23" s="53" t="s">
        <v>46</v>
      </c>
    </row>
    <row r="25" spans="2:5" x14ac:dyDescent="0.2">
      <c r="B25" s="53" t="s">
        <v>907</v>
      </c>
      <c r="C25" s="53" t="s">
        <v>895</v>
      </c>
      <c r="D25" s="53" t="s">
        <v>46</v>
      </c>
      <c r="E25" s="53" t="s">
        <v>46</v>
      </c>
    </row>
    <row r="27" spans="2:5" x14ac:dyDescent="0.2">
      <c r="B27" s="53" t="s">
        <v>908</v>
      </c>
      <c r="C27" s="53" t="s">
        <v>898</v>
      </c>
      <c r="D27" s="53" t="s">
        <v>46</v>
      </c>
      <c r="E27" s="53" t="s">
        <v>46</v>
      </c>
    </row>
    <row r="29" spans="2:5" x14ac:dyDescent="0.2">
      <c r="B29" s="53" t="s">
        <v>909</v>
      </c>
      <c r="C29" s="53" t="s">
        <v>901</v>
      </c>
      <c r="D29" s="53" t="s">
        <v>46</v>
      </c>
      <c r="E29" s="53" t="s">
        <v>46</v>
      </c>
    </row>
    <row r="31" spans="2:5" x14ac:dyDescent="0.2">
      <c r="B31" s="53" t="s">
        <v>910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917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918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919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920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2026-09-29T08:03:05Z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