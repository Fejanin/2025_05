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C51E63-8492-402D-8FDA-9D8F091665F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385" i="2" l="1"/>
  <c r="BN80" i="2"/>
  <c r="BN277" i="2"/>
  <c r="BN393" i="2"/>
  <c r="BN60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<sst xmlns="http://schemas.openxmlformats.org/spreadsheetml/2006/main" count="4310" uniqueCount="900">
  <si>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</si>
  <si>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</si>
  <si>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</si>
  <si>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</si>
  <si>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</si>
  <si>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</si>
  <si>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</si>
  <si>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</si>
  <si>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</si>
  <si>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</si>
  <si>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</si>
  <si>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</si>
  <si>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</si>
  <si>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</si>
  <si>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</si>
  <si>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</si>
  <si>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</si>
  <si>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</si>
  <si>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</si>
  <si>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</si>
  <si>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</si>
  <si>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</si>
  <si>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</si>
  <si>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</si>
  <si>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</si>
  <si>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</si>
  <si>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</si>
  <si>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</si>
  <si>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</si>
  <si>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</si>
  <si>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</si>
  <si>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</si>
  <si>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</si>
  <si>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</si>
  <si>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</si>
  <si>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</si>
  <si>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</si>
  <si>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</si>
  <si>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</si>
  <si>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</si>
  <si>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</si>
  <si>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</si>
  <si>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</si>
  <si>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</si>
  <si>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</si>
  <si>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</si>
  <si>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</si>
  <si>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</si>
  <si>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</si>
  <si>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</si>
  <si>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</si>
  <si>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</si>
  <si>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</si>
  <si>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</si>
  <si>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</si>
  <si>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</si>
  <si>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</si>
  <si>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</si>
  <si>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</si>
  <si>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</si>
  <si>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</si>
  <si>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</si>
  <si>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</si>
  <si>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</si>
  <si>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</si>
  <si>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</si>
  <si>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</si>
  <si>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</si>
  <si>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</si>
  <si>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</si>
  <si>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</si>
  <si>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</si>
  <si>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</si>
  <si>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</si>
  <si>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</si>
  <si>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</si>
  <si>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</si>
  <si>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</si>
  <si>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</si>
  <si>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</si>
  <si>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</si>
  <si>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</si>
  <si>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</si>
  <si>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</si>
  <si>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</si>
  <si>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</si>
  <si>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</si>
  <si>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</si>
  <si>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</si>
  <si>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</si>
  <si>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</si>
  <si>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</si>
  <si>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</si>
  <si>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</si>
  <si>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</si>
  <si>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</si>
  <si>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</si>
  <si>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</si>
  <si>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</si>
  <si>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</si>
  <si>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</si>
  <si>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</si>
  <si>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</si>
  <si>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</si>
  <si>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</si>
  <si>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</si>
  <si>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</si>
  <si>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</si>
  <si>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</si>
  <si>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</si>
  <si>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</si>
  <si>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</si>
  <si>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</si>
  <si>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</si>
  <si>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</si>
  <si>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</si>
  <si>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</si>
  <si>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</si>
  <si>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</si>
  <si>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</si>
  <si>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</si>
  <si>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</si>
  <si>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</si>
  <si>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</si>
  <si>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</si>
  <si>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</si>
  <si>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</si>
  <si>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</si>
  <si>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</si>
  <si>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</si>
  <si>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</si>
  <si>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</si>
  <si>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</si>
  <si>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</si>
  <si>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</si>
  <si>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</si>
  <si>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</si>
  <si>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</si>
  <si>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</si>
  <si>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</si>
  <si>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</si>
  <si>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</si>
  <si>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</si>
  <si>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</si>
  <si>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</si>
  <si>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</si>
  <si>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</si>
  <si>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</si>
  <si>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</si>
  <si>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</si>
  <si>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</si>
  <si>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</si>
  <si>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</si>
  <si>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</si>
  <si>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</si>
  <si>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</si>
  <si>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</si>
  <si>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</si>
  <si>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</si>
  <si>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</si>
  <si>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</si>
  <si>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</si>
  <si>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</si>
  <si>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</si>
  <si>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</si>
  <si>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</si>
  <si>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</si>
  <si>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</si>
  <si>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</si>
  <si>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</si>
  <si>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</si>
  <si>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</si>
  <si>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</si>
  <si>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</si>
  <si>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</si>
  <si>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</si>
  <si>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</si>
  <si>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</si>
  <si>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</si>
  <si>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</si>
  <si>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</si>
  <si>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</si>
  <si>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</si>
  <si>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</si>
  <si>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</si>
  <si>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</si>
  <si>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</si>
  <si>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</si>
  <si>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</si>
  <si>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</si>
  <si>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</si>
  <si>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</si>
  <si>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</si>
  <si>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</si>
  <si>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</si>
  <si>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</si>
  <si>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</si>
  <si>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</si>
  <si>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</si>
  <si>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</si>
  <si>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</si>
  <si>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</si>
  <si>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</si>
  <si>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</si>
  <si>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</si>
  <si>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</si>
  <si>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</si>
  <si>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</si>
  <si>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</si>
  <si>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</si>
  <si>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</si>
  <si>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</si>
  <si>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</si>
  <si>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</si>
  <si>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</si>
  <si>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</si>
  <si>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</si>
  <si>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</si>
  <si>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</si>
  <si>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</si>
  <si>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</si>
  <si>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</si>
  <si>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</si>
  <si>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</si>
  <si>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</si>
  <si>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</si>
  <si>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</si>
  <si>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</si>
  <si>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</si>
  <si>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</si>
  <si>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</si>
  <si>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</si>
  <si>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</si>
  <si>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</si>
  <si>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</si>
  <si>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</si>
  <si>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</si>
  <si>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</si>
  <si>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</si>
  <si>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</si>
  <si>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</si>
  <si>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</si>
  <si>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</si>
  <si>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</si>
  <si>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</si>
  <si>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</si>
  <si>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</si>
  <si>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</si>
  <si>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</si>
  <si>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</si>
  <si>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</si>
  <si>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</si>
  <si>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</si>
  <si>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</si>
  <si>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</si>
  <si>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</si>
  <si>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</si>
  <si>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</si>
  <si>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</si>
  <si>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</si>
  <si>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</si>
  <si>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</si>
  <si>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</si>
  <si>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</si>
  <si>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</si>
  <si>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</si>
  <si>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</si>
  <si>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</si>
  <si>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</si>
  <si>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</si>
  <si>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</si>
  <si>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</si>
  <si>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</si>
  <si>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</si>
  <si>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</si>
  <si>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</si>
  <si>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</si>
  <si>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</si>
  <si>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</si>
  <si>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</si>
  <si>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</si>
  <si>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</si>
  <si>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</si>
  <si>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</si>
  <si>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</si>
  <si>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</si>
  <si>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</si>
  <si>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</si>
  <si>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</si>
  <si>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</si>
  <si>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</si>
  <si>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</si>
  <si>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</si>
  <si>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</si>
  <si>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</si>
  <si>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</si>
  <si>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</si>
  <si>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</si>
  <si>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</si>
  <si>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</si>
  <si>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</si>
  <si>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</si>
  <si>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</si>
  <si>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</si>
  <si>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</si>
  <si>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</si>
  <si>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</si>
  <si>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</si>
  <si>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</si>
  <si>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</si>
  <si>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</si>
  <si>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</si>
  <si>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</si>
  <si>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</si>
  <si>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</si>
  <si>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</si>
  <si>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</si>
  <si>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</si>
  <si>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</si>
  <si>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</si>
  <si>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</si>
  <si>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</si>
  <si>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</si>
  <si>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</si>
  <si>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</si>
  <si>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</si>
  <si>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</si>
  <si>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</si>
  <si>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</si>
  <si>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</si>
  <si>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</si>
  <si>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</si>
  <si>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</si>
  <si>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</si>
  <si>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</si>
  <si>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</si>
  <si>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</si>
  <si>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</si>
  <si>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</si>
  <si>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</si>
  <si>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</si>
  <si>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</si>
  <si>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</si>
  <si>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</si>
  <si>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</si>
  <si>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</si>
  <si>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</si>
  <si>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</si>
  <si>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</si>
  <si>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</si>
  <si>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</si>
  <si>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</si>
  <si>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</si>
  <si>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</si>
  <si>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</si>
  <si>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</si>
  <si>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</si>
  <si>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</si>
  <si>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</si>
  <si>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</si>
  <si>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</si>
  <si>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</si>
  <si>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</si>
  <si>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</si>
  <si>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</si>
  <si>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</si>
  <si>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</si>
  <si>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</si>
  <si>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</si>
  <si>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</si>
  <si>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</si>
  <si>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</si>
  <si>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</si>
  <si>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</si>
  <si>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</si>
  <si>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</si>
  <si>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</si>
  <si>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</si>
  <si>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</si>
  <si>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</si>
  <si>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</si>
  <si>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</si>
  <si>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</si>
  <si>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</si>
  <si>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</si>
  <si>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</si>
  <si>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</si>
  <si>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</si>
  <si>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</si>
  <si>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</si>
  <si>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</si>
  <si>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</si>
  <si>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</si>
  <si>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</si>
  <si>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</si>
  <si>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</si>
  <si>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</si>
  <si>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</si>
  <si>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</si>
  <si>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</si>
  <si>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</si>
  <si>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</si>
  <si>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</si>
  <si>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</si>
  <si>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</si>
  <si>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</si>
  <si>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</si>
  <si>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</si>
  <si>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</si>
  <si>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</si>
  <si>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</si>
  <si>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</si>
  <si>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</si>
  <si>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</si>
  <si>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</si>
  <si>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</si>
  <si>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</si>
  <si>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</si>
  <si>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</si>
  <si>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</si>
  <si>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</si>
  <si>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</si>
  <si>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</si>
  <si>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</si>
  <si>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</si>
  <si>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</si>
  <si>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</si>
  <si>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</si>
  <si>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</si>
  <si>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</si>
  <si>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</si>
  <si>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</si>
  <si>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</si>
  <si>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</si>
  <si>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</si>
  <si>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</si>
  <si>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</si>
  <si>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</si>
  <si>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</si>
  <si>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</si>
  <si>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</si>
  <si>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</si>
  <si>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</si>
  <si>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</si>
  <si>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</si>
  <si>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</si>
  <si>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</si>
  <si>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</si>
  <si>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</si>
  <si>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</si>
  <si>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</si>
  <si>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</si>
  <si>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</si>
  <si>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</si>
  <si>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</si>
  <si>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</si>
  <si>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</si>
  <si>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</si>
  <si>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</si>
  <si>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</si>
  <si>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</si>
  <si>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</si>
  <si>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</si>
  <si>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</si>
  <si>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</si>
  <si>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</si>
  <si>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</si>
  <si>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</si>
  <si>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</si>
  <si>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</si>
  <si>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</si>
  <si>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</si>
  <si>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</si>
  <si>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</si>
  <si>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</si>
  <si>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</si>
  <si>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</si>
  <si>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</si>
  <si>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</si>
  <si>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</si>
  <si>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</si>
  <si>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</si>
  <si>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</si>
  <si>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</si>
  <si>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</si>
  <si>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</si>
  <si>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</si>
  <si>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</si>
  <si>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</si>
  <si>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</si>
  <si>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</si>
  <si>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</si>
  <si>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</si>
  <si>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</si>
  <si>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</si>
  <si>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</si>
  <si>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</si>
  <si>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</si>
  <si>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</si>
  <si>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</si>
  <si>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</si>
  <si>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</si>
  <si>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</si>
  <si>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</si>
  <si>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</si>
  <si>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</si>
  <si>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</si>
  <si>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</si>
  <si>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</si>
  <si>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</si>
  <si>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</si>
  <si>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</si>
  <si>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</si>
  <si>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</si>
  <si>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</si>
  <si>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</si>
  <si>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</si>
  <si>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</si>
  <si>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</si>
  <si>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</si>
  <si>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</si>
  <si>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</si>
  <si>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</si>
  <si>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</si>
  <si>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</si>
  <si>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</si>
  <si>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</si>
  <si>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</si>
  <si>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</si>
  <si>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</si>
  <si>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</si>
  <si>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</si>
  <si>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</si>
  <si>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</si>
  <si>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</si>
  <si>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</si>
  <si>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</si>
  <si>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</si>
  <si>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</si>
  <si>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</si>
  <si>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</si>
  <si>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</si>
  <si>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</si>
  <si>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</si>
  <si>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</si>
  <si>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</si>
  <si>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</si>
  <si>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</si>
  <si>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</si>
  <si>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</si>
  <si>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</si>
  <si>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</si>
  <si>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</si>
  <si>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</si>
  <si>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</si>
  <si>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</si>
  <si>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</si>
  <si>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</si>
  <si>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</si>
  <si>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</si>
  <si>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</si>
  <si>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</si>
  <si>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</si>
  <si>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</si>
  <si>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</si>
  <si>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</si>
  <si>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</si>
  <si>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</si>
  <si>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</si>
  <si>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</si>
  <si>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</si>
  <si>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</si>
  <si>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</si>
  <si>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</si>
  <si>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</si>
  <si>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</si>
  <si>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</si>
  <si>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</si>
  <si>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</si>
  <si>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</si>
  <si>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</si>
  <si>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</si>
  <si>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</si>
  <si>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</si>
  <si>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</si>
  <si>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</si>
  <si>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</si>
  <si>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</si>
  <si>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</si>
  <si>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</si>
  <si>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</si>
  <si>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</si>
  <si>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</si>
  <si>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</si>
  <si>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</si>
  <si>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</si>
  <si>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</si>
  <si>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</si>
  <si>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</si>
  <si>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</si>
  <si>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</si>
  <si>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</si>
  <si>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</si>
  <si>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</si>
  <si>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</si>
  <si>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</si>
  <si>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</si>
  <si>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</si>
  <si>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</si>
  <si>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</si>
  <si>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</si>
  <si>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</si>
  <si>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</si>
  <si>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</si>
  <si>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</si>
  <si>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</si>
  <si>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</si>
  <si>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</si>
  <si>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</si>
  <si>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</si>
  <si>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</si>
  <si>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</si>
  <si>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</si>
  <si>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</si>
  <si>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</si>
  <si>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</si>
  <si>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</si>
  <si>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</si>
  <si>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</si>
  <si>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</si>
  <si>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</si>
  <si>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</si>
  <si>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</si>
  <si>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</si>
  <si>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</si>
  <si>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</si>
  <si>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</si>
  <si>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</si>
  <si>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</si>
  <si>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</si>
  <si>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</si>
  <si>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</si>
  <si>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</si>
  <si>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</si>
  <si>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</si>
  <si>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</si>
  <si>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</si>
  <si>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</si>
  <si>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</si>
  <si>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</si>
  <si>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</si>
  <si>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</si>
  <si>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</si>
  <si>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</si>
  <si>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</si>
  <si>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</si>
  <si>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</si>
  <si>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</si>
  <si>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</si>
  <si>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</si>
  <si>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</si>
  <si>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</si>
  <si>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</si>
  <si>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</si>
  <si>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</si>
  <si>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</si>
  <si>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</si>
  <si>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</si>
  <si>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</si>
  <si>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</si>
  <si>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</si>
  <si>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</si>
  <si>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</si>
  <si>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</si>
  <si>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</si>
  <si>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</si>
  <si>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</si>
  <si>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</si>
  <si>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</si>
  <si>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</si>
  <si>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</si>
  <si>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</si>
  <si>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</si>
  <si>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</si>
  <si>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</si>
  <si>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</si>
  <si>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</si>
  <si>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</si>
  <si>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</si>
  <si>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</si>
  <si>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</si>
  <si>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</si>
  <si>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</si>
  <si>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</si>
  <si>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</si>
  <si>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</si>
  <si>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</si>
  <si>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</si>
  <si>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</si>
  <si>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</si>
  <si>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</si>
  <si>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</si>
  <si>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</si>
  <si>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</si>
  <si>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</si>
  <si>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</si>
  <si>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</si>
  <si>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</si>
  <si>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</si>
  <si>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</si>
  <si>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</si>
  <si>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</si>
  <si>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</si>
  <si>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</si>
  <si>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</si>
  <si>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</si>
  <si>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</si>
  <si>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</si>
  <si>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</si>
  <si>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</si>
  <si>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</si>
  <si>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</si>
  <si>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</si>
  <si>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</si>
  <si>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</si>
  <si>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</si>
  <si>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</si>
  <si>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</si>
  <si>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</si>
  <si>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</si>
  <si>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</si>
  <si>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</si>
  <si>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</si>
  <si>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</si>
  <si>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</si>
  <si>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</si>
  <si>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</si>
  <si>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</si>
  <si>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</si>
  <si>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</si>
  <si>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</si>
  <si>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</si>
  <si>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</si>
  <si>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</si>
  <si>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</si>
  <si>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</si>
  <si>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</si>
  <si>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</si>
  <si>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</si>
  <si>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</si>
  <si>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</si>
  <si>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</si>
  <si>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</si>
  <si>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</si>
  <si>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</si>
  <si>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</si>
  <si>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</si>
  <si>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</si>
  <si>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</si>
  <si>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</si>
  <si>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</si>
  <si>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</si>
  <si>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</si>
  <si>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</si>
  <si>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</si>
  <si>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</si>
  <si>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</si>
  <si>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</si>
  <si>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</si>
  <si>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</si>
  <si>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</si>
  <si>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</si>
  <si>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</si>
  <si>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</si>
  <si>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</si>
  <si>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</si>
  <si>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</si>
  <si>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</si>
  <si>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</si>
  <si>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</si>
  <si>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</si>
  <si>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</si>
  <si>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</si>
  <si>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</si>
  <si>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</si>
  <si>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</si>
  <si>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</si>
  <si>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</si>
  <si>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</si>
  <si>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</si>
  <si>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</si>
  <si>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</si>
  <si>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</si>
  <si>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</si>
  <si>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</si>
  <si>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</si>
  <si>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</si>
  <si>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</si>
  <si>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</si>
  <si>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</si>
  <si>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</si>
  <si>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</si>
  <si>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</si>
  <si>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</si>
  <si>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</si>
  <si>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</si>
  <si>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</si>
  <si>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</si>
  <si>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</si>
  <si>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</si>
  <si>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</si>
  <si>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</si>
  <si>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</si>
  <si>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</si>
  <si>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</si>
  <si>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</si>
  <si>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</si>
  <si>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</si>
  <si>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</si>
  <si>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</si>
  <si>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</si>
  <si>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</si>
  <si>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</si>
  <si>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</si>
  <si>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</si>
  <si>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</si>
  <si>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</si>
  <si>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</si>
  <si>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</si>
  <si>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</si>
  <si>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</si>
  <si>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</si>
  <si>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</si>
  <si>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</si>
  <si>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</si>
  <si>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</si>
  <si>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</si>
  <si>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</si>
  <si>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</si>
  <si>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</si>
  <si>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</si>
  <si>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</si>
  <si>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</si>
  <si>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</si>
  <si>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</si>
  <si>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</si>
  <si>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</si>
  <si>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</si>
  <si>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</si>
  <si>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</si>
  <si>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</si>
  <si>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</si>
  <si>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</si>
  <si>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</si>
  <si>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</si>
  <si>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</si>
  <si>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</si>
  <si>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</si>
  <si>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</si>
  <si>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</si>
  <si>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</si>
  <si>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</si>
  <si>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</si>
  <si>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</si>
  <si>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</si>
  <si>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</si>
  <si>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</si>
  <si>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</si>
  <si>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</si>
  <si>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</si>
  <si>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</si>
  <si>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</si>
  <si>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</si>
  <si>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</si>
  <si>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</si>
  <si>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</si>
  <si>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</si>
  <si>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</si>
  <si>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</si>
  <si>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</si>
  <si>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</si>
  <si>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</si>
  <si>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</si>
  <si>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</si>
  <si>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</si>
  <si>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</si>
  <si>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</si>
  <si>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</si>
  <si>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</si>
  <si>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</si>
  <si>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</si>
  <si>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</si>
  <si>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</si>
  <si>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</si>
  <si>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</si>
  <si>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</si>
  <si>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</si>
  <si>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</si>
  <si>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</si>
  <si>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1, заказ№1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</si>
</sst>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46292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Воскресенье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0.375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68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515.66666666666663</v>
      </c>
      <c r="BN434" s="78">
        <f t="shared" si="70"/>
        <v>525.98</v>
      </c>
      <c r="BO434" s="78">
        <f t="shared" si="71"/>
        <v>0.69444444444444442</v>
      </c>
      <c r="BP434" s="78">
        <f t="shared" si="72"/>
        <v>0.70833333333333326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600</v>
      </c>
      <c r="Y435" s="55">
        <f t="shared" si="68"/>
        <v>600</v>
      </c>
      <c r="Z435" s="41">
        <f>IFERROR(IF(Y435=0,"",ROUNDUP(Y435/H435,0)*0.02175),"")</f>
        <v>0.86999999999999988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618.79999999999995</v>
      </c>
      <c r="BN435" s="78">
        <f t="shared" si="70"/>
        <v>618.79999999999995</v>
      </c>
      <c r="BO435" s="78">
        <f t="shared" si="71"/>
        <v>0.83333333333333326</v>
      </c>
      <c r="BP435" s="78">
        <f t="shared" si="72"/>
        <v>0.83333333333333326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si="68"/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309.39999999999998</v>
      </c>
      <c r="BN436" s="78">
        <f t="shared" si="70"/>
        <v>309.39999999999998</v>
      </c>
      <c r="BO436" s="78">
        <f t="shared" si="71"/>
        <v>0.41666666666666663</v>
      </c>
      <c r="BP436" s="78">
        <f t="shared" si="72"/>
        <v>0.41666666666666663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133.33333333333334</v>
      </c>
      <c r="Y440" s="43">
        <f>IFERROR(Y432/H432,"0")+IFERROR(Y433/H433,"0")+IFERROR(Y434/H434,"0")+IFERROR(Y435/H435,"0")+IFERROR(Y436/H436,"0")+IFERROR(Y437/H437,"0")+IFERROR(Y438/H438,"0")+IFERROR(Y439/H439,"0")</f>
        <v>134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2.9144999999999999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2000</v>
      </c>
      <c r="Y441" s="43">
        <f>IFERROR(SUM(Y432:Y439),"0")</f>
        <v>2010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500</v>
      </c>
      <c r="Y443" s="55">
        <f>IFERROR(IF(X443="",0,CEILING((X443/$H443),1)*$H443),"")</f>
        <v>510</v>
      </c>
      <c r="Z443" s="41">
        <f>IFERROR(IF(Y443=0,"",ROUNDUP(Y443/H443,0)*0.02175),"")</f>
        <v>0.73949999999999994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515.66666666666663</v>
      </c>
      <c r="BN443" s="78">
        <f>IFERROR(Y443*I443/H443,"0")</f>
        <v>525.98</v>
      </c>
      <c r="BO443" s="78">
        <f>IFERROR(1/J443*(X443/H443),"0")</f>
        <v>0.69444444444444442</v>
      </c>
      <c r="BP443" s="78">
        <f>IFERROR(1/J443*(Y443/H443),"0")</f>
        <v>0.70833333333333326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0.73949999999999994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500</v>
      </c>
      <c r="Y447" s="43">
        <f>IFERROR(SUM(Y443:Y445),"0")</f>
        <v>510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2500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2520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2578.333333333333</v>
      </c>
      <c r="Y561" s="43">
        <f>IFERROR(SUM(BN22:BN557),"0")</f>
        <v>2598.96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2678.333333333333</v>
      </c>
      <c r="Y563" s="43">
        <f>GrossWeightTotalR+PalletQtyTotalR*25</f>
        <v>2698.96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166.66666666666669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168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3.6539999999999999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2520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3,33"/>
        <filter val="166,67"/>
        <filter val="2 000,00"/>
        <filter val="2 500,00"/>
        <filter val="2 578,33"/>
        <filter val="2 678,33"/>
        <filter val="300,00"/>
        <filter val="33,33"/>
        <filter val="4"/>
        <filter val="500,00"/>
        <filter val="6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2026-09-28T06:27:43Z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