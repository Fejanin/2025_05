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88CCDA0-A4E5-4610-9E69-FC1717AFA13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5" i="1" l="1"/>
  <c r="X554" i="1"/>
  <c r="BP553" i="1"/>
  <c r="BO553" i="1"/>
  <c r="BM553" i="1"/>
  <c r="Z553" i="1"/>
  <c r="Z554" i="1" s="1"/>
  <c r="Y553" i="1"/>
  <c r="AC566" i="1" s="1"/>
  <c r="P553" i="1"/>
  <c r="X550" i="1"/>
  <c r="X549" i="1"/>
  <c r="BO548" i="1"/>
  <c r="BM548" i="1"/>
  <c r="Y548" i="1"/>
  <c r="P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O528" i="1"/>
  <c r="BN528" i="1"/>
  <c r="BM528" i="1"/>
  <c r="Y528" i="1"/>
  <c r="BP528" i="1" s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O478" i="1"/>
  <c r="BM478" i="1"/>
  <c r="Y478" i="1"/>
  <c r="BN478" i="1" s="1"/>
  <c r="P478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BN462" i="1" s="1"/>
  <c r="P462" i="1"/>
  <c r="BO461" i="1"/>
  <c r="BM461" i="1"/>
  <c r="Y461" i="1"/>
  <c r="P461" i="1"/>
  <c r="X458" i="1"/>
  <c r="X457" i="1"/>
  <c r="BO456" i="1"/>
  <c r="BM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N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BN443" i="1" s="1"/>
  <c r="P443" i="1"/>
  <c r="X441" i="1"/>
  <c r="X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Y419" i="1"/>
  <c r="P419" i="1"/>
  <c r="BO418" i="1"/>
  <c r="BN418" i="1"/>
  <c r="BM418" i="1"/>
  <c r="Y418" i="1"/>
  <c r="BP418" i="1" s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BN411" i="1" s="1"/>
  <c r="P411" i="1"/>
  <c r="X409" i="1"/>
  <c r="Y408" i="1"/>
  <c r="X408" i="1"/>
  <c r="BO407" i="1"/>
  <c r="BN407" i="1"/>
  <c r="BM407" i="1"/>
  <c r="Y407" i="1"/>
  <c r="BP407" i="1" s="1"/>
  <c r="P407" i="1"/>
  <c r="BO406" i="1"/>
  <c r="BM406" i="1"/>
  <c r="Y406" i="1"/>
  <c r="P406" i="1"/>
  <c r="BO405" i="1"/>
  <c r="BM405" i="1"/>
  <c r="Y405" i="1"/>
  <c r="P405" i="1"/>
  <c r="X403" i="1"/>
  <c r="X402" i="1"/>
  <c r="BO401" i="1"/>
  <c r="BN401" i="1"/>
  <c r="BM401" i="1"/>
  <c r="Y401" i="1"/>
  <c r="BP401" i="1" s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BN393" i="1" s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P385" i="1"/>
  <c r="BO385" i="1"/>
  <c r="BM385" i="1"/>
  <c r="Z385" i="1"/>
  <c r="Y385" i="1"/>
  <c r="BN385" i="1" s="1"/>
  <c r="P385" i="1"/>
  <c r="X383" i="1"/>
  <c r="X382" i="1"/>
  <c r="BO381" i="1"/>
  <c r="BM381" i="1"/>
  <c r="Y381" i="1"/>
  <c r="P381" i="1"/>
  <c r="BO380" i="1"/>
  <c r="BM380" i="1"/>
  <c r="Y380" i="1"/>
  <c r="P380" i="1"/>
  <c r="BO379" i="1"/>
  <c r="BN379" i="1"/>
  <c r="BM379" i="1"/>
  <c r="Y379" i="1"/>
  <c r="BP379" i="1" s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X362" i="1"/>
  <c r="X361" i="1"/>
  <c r="BO360" i="1"/>
  <c r="BM360" i="1"/>
  <c r="Y360" i="1"/>
  <c r="P360" i="1"/>
  <c r="BO359" i="1"/>
  <c r="BM359" i="1"/>
  <c r="Y359" i="1"/>
  <c r="P359" i="1"/>
  <c r="BO358" i="1"/>
  <c r="BN358" i="1"/>
  <c r="BM358" i="1"/>
  <c r="Y358" i="1"/>
  <c r="BP358" i="1" s="1"/>
  <c r="P358" i="1"/>
  <c r="X355" i="1"/>
  <c r="X354" i="1"/>
  <c r="BO353" i="1"/>
  <c r="BM353" i="1"/>
  <c r="Y353" i="1"/>
  <c r="BN353" i="1" s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M345" i="1"/>
  <c r="Z345" i="1"/>
  <c r="Y345" i="1"/>
  <c r="BN345" i="1" s="1"/>
  <c r="P345" i="1"/>
  <c r="BO344" i="1"/>
  <c r="BM344" i="1"/>
  <c r="Y344" i="1"/>
  <c r="P344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Y332" i="1"/>
  <c r="Z332" i="1" s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N305" i="1" s="1"/>
  <c r="P305" i="1"/>
  <c r="BO304" i="1"/>
  <c r="BM304" i="1"/>
  <c r="Y304" i="1"/>
  <c r="P304" i="1"/>
  <c r="X301" i="1"/>
  <c r="X300" i="1"/>
  <c r="BO299" i="1"/>
  <c r="BM299" i="1"/>
  <c r="Y299" i="1"/>
  <c r="P299" i="1"/>
  <c r="BO298" i="1"/>
  <c r="BM298" i="1"/>
  <c r="Y298" i="1"/>
  <c r="BP298" i="1" s="1"/>
  <c r="P298" i="1"/>
  <c r="X296" i="1"/>
  <c r="X295" i="1"/>
  <c r="BO294" i="1"/>
  <c r="BN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N290" i="1"/>
  <c r="BM290" i="1"/>
  <c r="Y290" i="1"/>
  <c r="BP290" i="1" s="1"/>
  <c r="P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N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70" i="1"/>
  <c r="X269" i="1"/>
  <c r="BO268" i="1"/>
  <c r="BN268" i="1"/>
  <c r="BM268" i="1"/>
  <c r="Y268" i="1"/>
  <c r="BP268" i="1" s="1"/>
  <c r="P268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Y259" i="1" s="1"/>
  <c r="P257" i="1"/>
  <c r="X255" i="1"/>
  <c r="X254" i="1"/>
  <c r="BO253" i="1"/>
  <c r="BM253" i="1"/>
  <c r="Y253" i="1"/>
  <c r="BP253" i="1" s="1"/>
  <c r="P253" i="1"/>
  <c r="BO252" i="1"/>
  <c r="BM252" i="1"/>
  <c r="Y252" i="1"/>
  <c r="P252" i="1"/>
  <c r="BO251" i="1"/>
  <c r="BN251" i="1"/>
  <c r="BM251" i="1"/>
  <c r="Y251" i="1"/>
  <c r="BP251" i="1" s="1"/>
  <c r="P251" i="1"/>
  <c r="X249" i="1"/>
  <c r="X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BN245" i="1" s="1"/>
  <c r="P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O241" i="1"/>
  <c r="BN241" i="1"/>
  <c r="BM241" i="1"/>
  <c r="Y241" i="1"/>
  <c r="BP241" i="1" s="1"/>
  <c r="P241" i="1"/>
  <c r="BO240" i="1"/>
  <c r="BM240" i="1"/>
  <c r="Y240" i="1"/>
  <c r="P240" i="1"/>
  <c r="BO239" i="1"/>
  <c r="BM239" i="1"/>
  <c r="Y239" i="1"/>
  <c r="P239" i="1"/>
  <c r="X237" i="1"/>
  <c r="X236" i="1"/>
  <c r="BO235" i="1"/>
  <c r="BM235" i="1"/>
  <c r="Y235" i="1"/>
  <c r="BN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N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N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X219" i="1"/>
  <c r="X218" i="1"/>
  <c r="BO217" i="1"/>
  <c r="BM217" i="1"/>
  <c r="Y217" i="1"/>
  <c r="Y218" i="1" s="1"/>
  <c r="P217" i="1"/>
  <c r="X214" i="1"/>
  <c r="X213" i="1"/>
  <c r="BO212" i="1"/>
  <c r="BM212" i="1"/>
  <c r="Y212" i="1"/>
  <c r="BN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N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X194" i="1"/>
  <c r="X193" i="1"/>
  <c r="BO192" i="1"/>
  <c r="BM192" i="1"/>
  <c r="Y192" i="1"/>
  <c r="BN192" i="1" s="1"/>
  <c r="P192" i="1"/>
  <c r="BO191" i="1"/>
  <c r="BM191" i="1"/>
  <c r="Y191" i="1"/>
  <c r="P191" i="1"/>
  <c r="BO190" i="1"/>
  <c r="BM190" i="1"/>
  <c r="Y190" i="1"/>
  <c r="BP190" i="1" s="1"/>
  <c r="P190" i="1"/>
  <c r="X188" i="1"/>
  <c r="X187" i="1"/>
  <c r="BP186" i="1"/>
  <c r="BO186" i="1"/>
  <c r="BM186" i="1"/>
  <c r="Z186" i="1"/>
  <c r="Y186" i="1"/>
  <c r="BN186" i="1" s="1"/>
  <c r="P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O178" i="1"/>
  <c r="BN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X174" i="1"/>
  <c r="X173" i="1"/>
  <c r="BO172" i="1"/>
  <c r="BM172" i="1"/>
  <c r="Y172" i="1"/>
  <c r="BN172" i="1" s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P164" i="1"/>
  <c r="BO164" i="1"/>
  <c r="BM164" i="1"/>
  <c r="Z164" i="1"/>
  <c r="Y164" i="1"/>
  <c r="BN164" i="1" s="1"/>
  <c r="P164" i="1"/>
  <c r="X161" i="1"/>
  <c r="Y160" i="1"/>
  <c r="X160" i="1"/>
  <c r="BO159" i="1"/>
  <c r="BN159" i="1"/>
  <c r="BM159" i="1"/>
  <c r="Y159" i="1"/>
  <c r="Y161" i="1" s="1"/>
  <c r="P159" i="1"/>
  <c r="X157" i="1"/>
  <c r="X156" i="1"/>
  <c r="BO155" i="1"/>
  <c r="BM155" i="1"/>
  <c r="Y155" i="1"/>
  <c r="BP155" i="1" s="1"/>
  <c r="P155" i="1"/>
  <c r="BO154" i="1"/>
  <c r="BM154" i="1"/>
  <c r="Y154" i="1"/>
  <c r="P154" i="1"/>
  <c r="BO153" i="1"/>
  <c r="BM153" i="1"/>
  <c r="Y153" i="1"/>
  <c r="BN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M144" i="1"/>
  <c r="Z144" i="1"/>
  <c r="Y144" i="1"/>
  <c r="BN144" i="1" s="1"/>
  <c r="P144" i="1"/>
  <c r="X142" i="1"/>
  <c r="Y141" i="1"/>
  <c r="X141" i="1"/>
  <c r="BO140" i="1"/>
  <c r="BN140" i="1"/>
  <c r="BM140" i="1"/>
  <c r="Y140" i="1"/>
  <c r="BP140" i="1" s="1"/>
  <c r="P140" i="1"/>
  <c r="BO139" i="1"/>
  <c r="BM139" i="1"/>
  <c r="Y139" i="1"/>
  <c r="P139" i="1"/>
  <c r="X137" i="1"/>
  <c r="X136" i="1"/>
  <c r="BO135" i="1"/>
  <c r="BM135" i="1"/>
  <c r="Y135" i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N125" i="1" s="1"/>
  <c r="P125" i="1"/>
  <c r="BO124" i="1"/>
  <c r="BM124" i="1"/>
  <c r="Y124" i="1"/>
  <c r="P124" i="1"/>
  <c r="BO123" i="1"/>
  <c r="BM123" i="1"/>
  <c r="Y123" i="1"/>
  <c r="BP123" i="1" s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M117" i="1"/>
  <c r="Z117" i="1"/>
  <c r="Y117" i="1"/>
  <c r="BN117" i="1" s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O109" i="1"/>
  <c r="BN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X101" i="1"/>
  <c r="X100" i="1"/>
  <c r="BO99" i="1"/>
  <c r="BM99" i="1"/>
  <c r="Y99" i="1"/>
  <c r="P99" i="1"/>
  <c r="BO98" i="1"/>
  <c r="BM98" i="1"/>
  <c r="Y98" i="1"/>
  <c r="BP98" i="1" s="1"/>
  <c r="P98" i="1"/>
  <c r="BO97" i="1"/>
  <c r="BM97" i="1"/>
  <c r="Y97" i="1"/>
  <c r="P97" i="1"/>
  <c r="BO96" i="1"/>
  <c r="BN96" i="1"/>
  <c r="BM96" i="1"/>
  <c r="Y96" i="1"/>
  <c r="BP96" i="1" s="1"/>
  <c r="P96" i="1"/>
  <c r="X94" i="1"/>
  <c r="X93" i="1"/>
  <c r="BO92" i="1"/>
  <c r="BM92" i="1"/>
  <c r="Y92" i="1"/>
  <c r="BP92" i="1" s="1"/>
  <c r="P92" i="1"/>
  <c r="BO91" i="1"/>
  <c r="BM91" i="1"/>
  <c r="Y91" i="1"/>
  <c r="P91" i="1"/>
  <c r="BO90" i="1"/>
  <c r="BN90" i="1"/>
  <c r="BM90" i="1"/>
  <c r="Y90" i="1"/>
  <c r="BP90" i="1" s="1"/>
  <c r="P90" i="1"/>
  <c r="BO89" i="1"/>
  <c r="BM89" i="1"/>
  <c r="Y89" i="1"/>
  <c r="P89" i="1"/>
  <c r="BO88" i="1"/>
  <c r="BM88" i="1"/>
  <c r="Y88" i="1"/>
  <c r="BP88" i="1" s="1"/>
  <c r="P88" i="1"/>
  <c r="X85" i="1"/>
  <c r="X84" i="1"/>
  <c r="BO83" i="1"/>
  <c r="BM83" i="1"/>
  <c r="Y83" i="1"/>
  <c r="BN83" i="1" s="1"/>
  <c r="P83" i="1"/>
  <c r="BO82" i="1"/>
  <c r="BM82" i="1"/>
  <c r="Y82" i="1"/>
  <c r="P82" i="1"/>
  <c r="BO81" i="1"/>
  <c r="BM81" i="1"/>
  <c r="Y81" i="1"/>
  <c r="BP81" i="1" s="1"/>
  <c r="P81" i="1"/>
  <c r="X79" i="1"/>
  <c r="X78" i="1"/>
  <c r="BO77" i="1"/>
  <c r="BM77" i="1"/>
  <c r="Y77" i="1"/>
  <c r="BP77" i="1" s="1"/>
  <c r="P77" i="1"/>
  <c r="BO76" i="1"/>
  <c r="BM76" i="1"/>
  <c r="Y76" i="1"/>
  <c r="Y78" i="1" s="1"/>
  <c r="P76" i="1"/>
  <c r="X74" i="1"/>
  <c r="X73" i="1"/>
  <c r="BO72" i="1"/>
  <c r="BM72" i="1"/>
  <c r="Y72" i="1"/>
  <c r="P72" i="1"/>
  <c r="BO71" i="1"/>
  <c r="BN71" i="1"/>
  <c r="BM71" i="1"/>
  <c r="Y71" i="1"/>
  <c r="BP71" i="1" s="1"/>
  <c r="P71" i="1"/>
  <c r="BO70" i="1"/>
  <c r="BM70" i="1"/>
  <c r="Y70" i="1"/>
  <c r="P70" i="1"/>
  <c r="BO69" i="1"/>
  <c r="BM69" i="1"/>
  <c r="Y69" i="1"/>
  <c r="BP69" i="1" s="1"/>
  <c r="P69" i="1"/>
  <c r="BO68" i="1"/>
  <c r="BM68" i="1"/>
  <c r="Y68" i="1"/>
  <c r="P68" i="1"/>
  <c r="BO67" i="1"/>
  <c r="BN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N61" i="1"/>
  <c r="BM61" i="1"/>
  <c r="Y61" i="1"/>
  <c r="BP61" i="1" s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P55" i="1"/>
  <c r="X52" i="1"/>
  <c r="X51" i="1"/>
  <c r="BO50" i="1"/>
  <c r="BN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6" i="1" s="1"/>
  <c r="P37" i="1"/>
  <c r="X33" i="1"/>
  <c r="X32" i="1"/>
  <c r="BO31" i="1"/>
  <c r="BM31" i="1"/>
  <c r="Y31" i="1"/>
  <c r="BP31" i="1" s="1"/>
  <c r="P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83" i="1" l="1"/>
  <c r="Z125" i="1"/>
  <c r="BP125" i="1"/>
  <c r="Z153" i="1"/>
  <c r="BP153" i="1"/>
  <c r="Z172" i="1"/>
  <c r="BP172" i="1"/>
  <c r="Y188" i="1"/>
  <c r="Z182" i="1"/>
  <c r="BP182" i="1"/>
  <c r="Z192" i="1"/>
  <c r="BP192" i="1"/>
  <c r="Z212" i="1"/>
  <c r="BP212" i="1"/>
  <c r="Z235" i="1"/>
  <c r="BP235" i="1"/>
  <c r="Y249" i="1"/>
  <c r="Z245" i="1"/>
  <c r="BP245" i="1"/>
  <c r="Z305" i="1"/>
  <c r="BP305" i="1"/>
  <c r="Z353" i="1"/>
  <c r="BP353" i="1"/>
  <c r="Z393" i="1"/>
  <c r="BP393" i="1"/>
  <c r="Z411" i="1"/>
  <c r="BP411" i="1"/>
  <c r="Z433" i="1"/>
  <c r="BP433" i="1"/>
  <c r="Z443" i="1"/>
  <c r="BP443" i="1"/>
  <c r="Z462" i="1"/>
  <c r="BP462" i="1"/>
  <c r="Z478" i="1"/>
  <c r="BP478" i="1"/>
  <c r="Z498" i="1"/>
  <c r="BP498" i="1"/>
  <c r="Z512" i="1"/>
  <c r="BP512" i="1"/>
  <c r="BP40" i="1"/>
  <c r="Z83" i="1"/>
  <c r="Z50" i="1"/>
  <c r="Y65" i="1"/>
  <c r="Z61" i="1"/>
  <c r="Z71" i="1"/>
  <c r="Z90" i="1"/>
  <c r="Z140" i="1"/>
  <c r="Z159" i="1"/>
  <c r="Z160" i="1" s="1"/>
  <c r="BP159" i="1"/>
  <c r="Z178" i="1"/>
  <c r="Z208" i="1"/>
  <c r="Z231" i="1"/>
  <c r="Z241" i="1"/>
  <c r="Z251" i="1"/>
  <c r="Z294" i="1"/>
  <c r="Z401" i="1"/>
  <c r="Z418" i="1"/>
  <c r="Z449" i="1"/>
  <c r="Z508" i="1"/>
  <c r="BN553" i="1"/>
  <c r="Y554" i="1"/>
  <c r="Z40" i="1"/>
  <c r="Z67" i="1"/>
  <c r="Z96" i="1"/>
  <c r="Z109" i="1"/>
  <c r="Z227" i="1"/>
  <c r="Z268" i="1"/>
  <c r="Y280" i="1"/>
  <c r="Z278" i="1"/>
  <c r="Z290" i="1"/>
  <c r="Z358" i="1"/>
  <c r="Z369" i="1"/>
  <c r="Z379" i="1"/>
  <c r="Z407" i="1"/>
  <c r="Z528" i="1"/>
  <c r="BP338" i="1"/>
  <c r="BN338" i="1"/>
  <c r="Z338" i="1"/>
  <c r="BP360" i="1"/>
  <c r="BN360" i="1"/>
  <c r="Z360" i="1"/>
  <c r="BP371" i="1"/>
  <c r="BN371" i="1"/>
  <c r="Z371" i="1"/>
  <c r="BP381" i="1"/>
  <c r="BN381" i="1"/>
  <c r="Z381" i="1"/>
  <c r="BP399" i="1"/>
  <c r="BN399" i="1"/>
  <c r="Z399" i="1"/>
  <c r="BP413" i="1"/>
  <c r="BN413" i="1"/>
  <c r="Z413" i="1"/>
  <c r="BP435" i="1"/>
  <c r="BN435" i="1"/>
  <c r="Z435" i="1"/>
  <c r="BP445" i="1"/>
  <c r="BN445" i="1"/>
  <c r="Z445" i="1"/>
  <c r="Y468" i="1"/>
  <c r="Y467" i="1"/>
  <c r="BP466" i="1"/>
  <c r="BN466" i="1"/>
  <c r="Z466" i="1"/>
  <c r="Z467" i="1" s="1"/>
  <c r="Y474" i="1"/>
  <c r="BP470" i="1"/>
  <c r="BN470" i="1"/>
  <c r="Z470" i="1"/>
  <c r="Z473" i="1" s="1"/>
  <c r="BP488" i="1"/>
  <c r="BN488" i="1"/>
  <c r="Z488" i="1"/>
  <c r="BP510" i="1"/>
  <c r="BN510" i="1"/>
  <c r="Z510" i="1"/>
  <c r="BP526" i="1"/>
  <c r="BN526" i="1"/>
  <c r="Z526" i="1"/>
  <c r="X560" i="1"/>
  <c r="Z28" i="1"/>
  <c r="BN28" i="1"/>
  <c r="Z38" i="1"/>
  <c r="BN38" i="1"/>
  <c r="Z48" i="1"/>
  <c r="BN48" i="1"/>
  <c r="Z55" i="1"/>
  <c r="BN55" i="1"/>
  <c r="BP55" i="1"/>
  <c r="Z59" i="1"/>
  <c r="BN59" i="1"/>
  <c r="Z63" i="1"/>
  <c r="BN63" i="1"/>
  <c r="Y73" i="1"/>
  <c r="Z69" i="1"/>
  <c r="BN69" i="1"/>
  <c r="Z77" i="1"/>
  <c r="BN77" i="1"/>
  <c r="Z81" i="1"/>
  <c r="BN81" i="1"/>
  <c r="Z88" i="1"/>
  <c r="BN88" i="1"/>
  <c r="Z92" i="1"/>
  <c r="BN92" i="1"/>
  <c r="Y100" i="1"/>
  <c r="Z98" i="1"/>
  <c r="BN98" i="1"/>
  <c r="Z107" i="1"/>
  <c r="BN107" i="1"/>
  <c r="Z111" i="1"/>
  <c r="BN111" i="1"/>
  <c r="Z123" i="1"/>
  <c r="BN123" i="1"/>
  <c r="Z129" i="1"/>
  <c r="Z130" i="1" s="1"/>
  <c r="BN129" i="1"/>
  <c r="BP129" i="1"/>
  <c r="Y130" i="1"/>
  <c r="Z134" i="1"/>
  <c r="BN134" i="1"/>
  <c r="Z151" i="1"/>
  <c r="BN151" i="1"/>
  <c r="Z155" i="1"/>
  <c r="BN155" i="1"/>
  <c r="Z166" i="1"/>
  <c r="BN166" i="1"/>
  <c r="Z176" i="1"/>
  <c r="BN176" i="1"/>
  <c r="BP176" i="1"/>
  <c r="Z180" i="1"/>
  <c r="BN180" i="1"/>
  <c r="Z184" i="1"/>
  <c r="BN184" i="1"/>
  <c r="Z190" i="1"/>
  <c r="BN190" i="1"/>
  <c r="Z196" i="1"/>
  <c r="Z197" i="1" s="1"/>
  <c r="BN196" i="1"/>
  <c r="BP196" i="1"/>
  <c r="Y197" i="1"/>
  <c r="Z200" i="1"/>
  <c r="Z201" i="1" s="1"/>
  <c r="BN200" i="1"/>
  <c r="BP200" i="1"/>
  <c r="Y201" i="1"/>
  <c r="Z206" i="1"/>
  <c r="BN206" i="1"/>
  <c r="Z210" i="1"/>
  <c r="BN210" i="1"/>
  <c r="Z217" i="1"/>
  <c r="Z218" i="1" s="1"/>
  <c r="BN217" i="1"/>
  <c r="BP217" i="1"/>
  <c r="Z221" i="1"/>
  <c r="BN221" i="1"/>
  <c r="Z225" i="1"/>
  <c r="BN225" i="1"/>
  <c r="Z229" i="1"/>
  <c r="BN229" i="1"/>
  <c r="Z233" i="1"/>
  <c r="BN233" i="1"/>
  <c r="Z239" i="1"/>
  <c r="BN239" i="1"/>
  <c r="BP239" i="1"/>
  <c r="Z243" i="1"/>
  <c r="BN243" i="1"/>
  <c r="Z247" i="1"/>
  <c r="BN247" i="1"/>
  <c r="Y255" i="1"/>
  <c r="Z253" i="1"/>
  <c r="BN253" i="1"/>
  <c r="Y254" i="1"/>
  <c r="Z257" i="1"/>
  <c r="Z258" i="1" s="1"/>
  <c r="BN257" i="1"/>
  <c r="BP257" i="1"/>
  <c r="Y258" i="1"/>
  <c r="Z262" i="1"/>
  <c r="BN262" i="1"/>
  <c r="Z272" i="1"/>
  <c r="BN272" i="1"/>
  <c r="BP272" i="1"/>
  <c r="Z276" i="1"/>
  <c r="BN276" i="1"/>
  <c r="Z284" i="1"/>
  <c r="BN284" i="1"/>
  <c r="Z288" i="1"/>
  <c r="BN288" i="1"/>
  <c r="Z292" i="1"/>
  <c r="BN292" i="1"/>
  <c r="Z298" i="1"/>
  <c r="BN298" i="1"/>
  <c r="Z307" i="1"/>
  <c r="BN307" i="1"/>
  <c r="Z328" i="1"/>
  <c r="BN328" i="1"/>
  <c r="BP330" i="1"/>
  <c r="BN330" i="1"/>
  <c r="Z330" i="1"/>
  <c r="BP347" i="1"/>
  <c r="BN347" i="1"/>
  <c r="Z347" i="1"/>
  <c r="BP367" i="1"/>
  <c r="BN367" i="1"/>
  <c r="Z367" i="1"/>
  <c r="BP377" i="1"/>
  <c r="BN377" i="1"/>
  <c r="Z377" i="1"/>
  <c r="BP387" i="1"/>
  <c r="BN387" i="1"/>
  <c r="Z387" i="1"/>
  <c r="Y409" i="1"/>
  <c r="BP405" i="1"/>
  <c r="BN405" i="1"/>
  <c r="Z405" i="1"/>
  <c r="BP425" i="1"/>
  <c r="BN425" i="1"/>
  <c r="Z425" i="1"/>
  <c r="BP439" i="1"/>
  <c r="BN439" i="1"/>
  <c r="Z439" i="1"/>
  <c r="BP451" i="1"/>
  <c r="BN451" i="1"/>
  <c r="Z451" i="1"/>
  <c r="BP455" i="1"/>
  <c r="BN455" i="1"/>
  <c r="Z455" i="1"/>
  <c r="Y473" i="1"/>
  <c r="BP480" i="1"/>
  <c r="BN480" i="1"/>
  <c r="Z480" i="1"/>
  <c r="BP506" i="1"/>
  <c r="BN506" i="1"/>
  <c r="Z506" i="1"/>
  <c r="BP518" i="1"/>
  <c r="BN518" i="1"/>
  <c r="Z518" i="1"/>
  <c r="BP548" i="1"/>
  <c r="BN548" i="1"/>
  <c r="Z548" i="1"/>
  <c r="Y389" i="1"/>
  <c r="Y453" i="1"/>
  <c r="Y452" i="1"/>
  <c r="F9" i="1"/>
  <c r="J9" i="1"/>
  <c r="F10" i="1"/>
  <c r="Y25" i="1"/>
  <c r="Y33" i="1"/>
  <c r="Y43" i="1"/>
  <c r="D566" i="1"/>
  <c r="Y52" i="1"/>
  <c r="BP58" i="1"/>
  <c r="BN58" i="1"/>
  <c r="Z58" i="1"/>
  <c r="BP62" i="1"/>
  <c r="BN62" i="1"/>
  <c r="Z62" i="1"/>
  <c r="BP70" i="1"/>
  <c r="BN70" i="1"/>
  <c r="Z70" i="1"/>
  <c r="BP82" i="1"/>
  <c r="BN82" i="1"/>
  <c r="Z82" i="1"/>
  <c r="BP91" i="1"/>
  <c r="BN91" i="1"/>
  <c r="Z91" i="1"/>
  <c r="BP99" i="1"/>
  <c r="BN99" i="1"/>
  <c r="Z99" i="1"/>
  <c r="Y101" i="1"/>
  <c r="G566" i="1"/>
  <c r="Y113" i="1"/>
  <c r="BP104" i="1"/>
  <c r="BN104" i="1"/>
  <c r="Z104" i="1"/>
  <c r="BP108" i="1"/>
  <c r="BN108" i="1"/>
  <c r="Z108" i="1"/>
  <c r="BP112" i="1"/>
  <c r="BN112" i="1"/>
  <c r="Z112" i="1"/>
  <c r="Y114" i="1"/>
  <c r="Y119" i="1"/>
  <c r="BP116" i="1"/>
  <c r="BN116" i="1"/>
  <c r="Z116" i="1"/>
  <c r="BP124" i="1"/>
  <c r="BN124" i="1"/>
  <c r="Z124" i="1"/>
  <c r="BP145" i="1"/>
  <c r="BN145" i="1"/>
  <c r="Z145" i="1"/>
  <c r="Z146" i="1" s="1"/>
  <c r="Y147" i="1"/>
  <c r="I566" i="1"/>
  <c r="Y157" i="1"/>
  <c r="BP150" i="1"/>
  <c r="BN150" i="1"/>
  <c r="Z150" i="1"/>
  <c r="BP154" i="1"/>
  <c r="BN154" i="1"/>
  <c r="Z154" i="1"/>
  <c r="BP167" i="1"/>
  <c r="BN167" i="1"/>
  <c r="Z167" i="1"/>
  <c r="Y169" i="1"/>
  <c r="Y174" i="1"/>
  <c r="BP171" i="1"/>
  <c r="BN171" i="1"/>
  <c r="Z171" i="1"/>
  <c r="Z173" i="1" s="1"/>
  <c r="BP179" i="1"/>
  <c r="BN179" i="1"/>
  <c r="Z179" i="1"/>
  <c r="BP183" i="1"/>
  <c r="BN183" i="1"/>
  <c r="Z183" i="1"/>
  <c r="Y187" i="1"/>
  <c r="BP191" i="1"/>
  <c r="BN191" i="1"/>
  <c r="Z191" i="1"/>
  <c r="BP209" i="1"/>
  <c r="BN209" i="1"/>
  <c r="Z209" i="1"/>
  <c r="Y213" i="1"/>
  <c r="BP222" i="1"/>
  <c r="BN222" i="1"/>
  <c r="Z222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46" i="1"/>
  <c r="BN246" i="1"/>
  <c r="Z246" i="1"/>
  <c r="BP263" i="1"/>
  <c r="BN263" i="1"/>
  <c r="Z263" i="1"/>
  <c r="Y265" i="1"/>
  <c r="Y270" i="1"/>
  <c r="BP267" i="1"/>
  <c r="BN267" i="1"/>
  <c r="Z267" i="1"/>
  <c r="BP275" i="1"/>
  <c r="BN275" i="1"/>
  <c r="Z275" i="1"/>
  <c r="BP279" i="1"/>
  <c r="BN279" i="1"/>
  <c r="Z279" i="1"/>
  <c r="Y281" i="1"/>
  <c r="Y296" i="1"/>
  <c r="BP283" i="1"/>
  <c r="BN283" i="1"/>
  <c r="Z283" i="1"/>
  <c r="BP287" i="1"/>
  <c r="BN287" i="1"/>
  <c r="Z287" i="1"/>
  <c r="BP291" i="1"/>
  <c r="BN291" i="1"/>
  <c r="Z291" i="1"/>
  <c r="Y295" i="1"/>
  <c r="BP299" i="1"/>
  <c r="BN299" i="1"/>
  <c r="Z299" i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Y334" i="1"/>
  <c r="Q566" i="1"/>
  <c r="Y340" i="1"/>
  <c r="BP337" i="1"/>
  <c r="BN337" i="1"/>
  <c r="Z337" i="1"/>
  <c r="Y341" i="1"/>
  <c r="BP346" i="1"/>
  <c r="BN346" i="1"/>
  <c r="Z346" i="1"/>
  <c r="BP359" i="1"/>
  <c r="BN359" i="1"/>
  <c r="Z359" i="1"/>
  <c r="Z361" i="1" s="1"/>
  <c r="Y361" i="1"/>
  <c r="BP388" i="1"/>
  <c r="BN388" i="1"/>
  <c r="Z388" i="1"/>
  <c r="Y390" i="1"/>
  <c r="Y395" i="1"/>
  <c r="BP392" i="1"/>
  <c r="BN392" i="1"/>
  <c r="Z392" i="1"/>
  <c r="Y396" i="1"/>
  <c r="BP400" i="1"/>
  <c r="BN400" i="1"/>
  <c r="Z400" i="1"/>
  <c r="BP426" i="1"/>
  <c r="BN426" i="1"/>
  <c r="Z426" i="1"/>
  <c r="Y428" i="1"/>
  <c r="W566" i="1"/>
  <c r="Y441" i="1"/>
  <c r="BP432" i="1"/>
  <c r="BN432" i="1"/>
  <c r="Z432" i="1"/>
  <c r="BP436" i="1"/>
  <c r="BN436" i="1"/>
  <c r="Z436" i="1"/>
  <c r="Y440" i="1"/>
  <c r="BP444" i="1"/>
  <c r="BN444" i="1"/>
  <c r="Z444" i="1"/>
  <c r="Y446" i="1"/>
  <c r="BP479" i="1"/>
  <c r="BN479" i="1"/>
  <c r="Z479" i="1"/>
  <c r="BP483" i="1"/>
  <c r="BN483" i="1"/>
  <c r="Z483" i="1"/>
  <c r="Y485" i="1"/>
  <c r="Y490" i="1"/>
  <c r="BP487" i="1"/>
  <c r="BN487" i="1"/>
  <c r="Z487" i="1"/>
  <c r="Y489" i="1"/>
  <c r="M566" i="1"/>
  <c r="H9" i="1"/>
  <c r="B566" i="1"/>
  <c r="X557" i="1"/>
  <c r="X558" i="1"/>
  <c r="Z23" i="1"/>
  <c r="Z24" i="1" s="1"/>
  <c r="BN23" i="1"/>
  <c r="Y24" i="1"/>
  <c r="X556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1" i="1"/>
  <c r="BP56" i="1"/>
  <c r="BN56" i="1"/>
  <c r="Z56" i="1"/>
  <c r="BP60" i="1"/>
  <c r="BN60" i="1"/>
  <c r="Z60" i="1"/>
  <c r="Y64" i="1"/>
  <c r="BP68" i="1"/>
  <c r="BN68" i="1"/>
  <c r="Z68" i="1"/>
  <c r="BP72" i="1"/>
  <c r="BN72" i="1"/>
  <c r="Z72" i="1"/>
  <c r="Y74" i="1"/>
  <c r="Y79" i="1"/>
  <c r="BP76" i="1"/>
  <c r="BN76" i="1"/>
  <c r="Z76" i="1"/>
  <c r="Y85" i="1"/>
  <c r="Y84" i="1"/>
  <c r="BP89" i="1"/>
  <c r="BN89" i="1"/>
  <c r="Z89" i="1"/>
  <c r="Y93" i="1"/>
  <c r="BP97" i="1"/>
  <c r="BN97" i="1"/>
  <c r="Z97" i="1"/>
  <c r="BP106" i="1"/>
  <c r="BN106" i="1"/>
  <c r="Z106" i="1"/>
  <c r="BP110" i="1"/>
  <c r="BN110" i="1"/>
  <c r="Z110" i="1"/>
  <c r="BP118" i="1"/>
  <c r="BN118" i="1"/>
  <c r="Z118" i="1"/>
  <c r="Y120" i="1"/>
  <c r="Y127" i="1"/>
  <c r="BP122" i="1"/>
  <c r="BN122" i="1"/>
  <c r="Z122" i="1"/>
  <c r="Z126" i="1" s="1"/>
  <c r="Y126" i="1"/>
  <c r="BP135" i="1"/>
  <c r="BN135" i="1"/>
  <c r="Z135" i="1"/>
  <c r="Y137" i="1"/>
  <c r="Y142" i="1"/>
  <c r="BP139" i="1"/>
  <c r="BN139" i="1"/>
  <c r="Z139" i="1"/>
  <c r="Y146" i="1"/>
  <c r="BP152" i="1"/>
  <c r="BN152" i="1"/>
  <c r="Z152" i="1"/>
  <c r="Y156" i="1"/>
  <c r="BP165" i="1"/>
  <c r="BN165" i="1"/>
  <c r="Z165" i="1"/>
  <c r="Z168" i="1" s="1"/>
  <c r="Y173" i="1"/>
  <c r="BP177" i="1"/>
  <c r="BN177" i="1"/>
  <c r="Z177" i="1"/>
  <c r="BP181" i="1"/>
  <c r="BN181" i="1"/>
  <c r="Z181" i="1"/>
  <c r="BP185" i="1"/>
  <c r="BN185" i="1"/>
  <c r="Z185" i="1"/>
  <c r="Y194" i="1"/>
  <c r="Y193" i="1"/>
  <c r="BP207" i="1"/>
  <c r="BN207" i="1"/>
  <c r="Z207" i="1"/>
  <c r="BP211" i="1"/>
  <c r="BN211" i="1"/>
  <c r="Z211" i="1"/>
  <c r="Y237" i="1"/>
  <c r="BP224" i="1"/>
  <c r="BN224" i="1"/>
  <c r="Z224" i="1"/>
  <c r="BP228" i="1"/>
  <c r="BN228" i="1"/>
  <c r="Z228" i="1"/>
  <c r="BP232" i="1"/>
  <c r="BN232" i="1"/>
  <c r="Z232" i="1"/>
  <c r="Y236" i="1"/>
  <c r="BP240" i="1"/>
  <c r="BN240" i="1"/>
  <c r="Z240" i="1"/>
  <c r="BP244" i="1"/>
  <c r="BN244" i="1"/>
  <c r="Z244" i="1"/>
  <c r="Y248" i="1"/>
  <c r="BP252" i="1"/>
  <c r="BN252" i="1"/>
  <c r="Z252" i="1"/>
  <c r="Y264" i="1"/>
  <c r="Y269" i="1"/>
  <c r="BP273" i="1"/>
  <c r="BN273" i="1"/>
  <c r="Z273" i="1"/>
  <c r="BP277" i="1"/>
  <c r="BN277" i="1"/>
  <c r="Z277" i="1"/>
  <c r="BP285" i="1"/>
  <c r="BN285" i="1"/>
  <c r="Z285" i="1"/>
  <c r="BP289" i="1"/>
  <c r="BN289" i="1"/>
  <c r="Z289" i="1"/>
  <c r="BP293" i="1"/>
  <c r="BN293" i="1"/>
  <c r="Z293" i="1"/>
  <c r="Y300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P566" i="1"/>
  <c r="Y333" i="1"/>
  <c r="BP327" i="1"/>
  <c r="BN327" i="1"/>
  <c r="Z327" i="1"/>
  <c r="BP331" i="1"/>
  <c r="BN331" i="1"/>
  <c r="Z331" i="1"/>
  <c r="T566" i="1"/>
  <c r="BP368" i="1"/>
  <c r="BN368" i="1"/>
  <c r="Z368" i="1"/>
  <c r="Y372" i="1"/>
  <c r="BP376" i="1"/>
  <c r="BN376" i="1"/>
  <c r="Z376" i="1"/>
  <c r="Y382" i="1"/>
  <c r="BP380" i="1"/>
  <c r="BN380" i="1"/>
  <c r="Z380" i="1"/>
  <c r="Z414" i="1"/>
  <c r="BP412" i="1"/>
  <c r="BN412" i="1"/>
  <c r="Z412" i="1"/>
  <c r="Y414" i="1"/>
  <c r="BP456" i="1"/>
  <c r="BN456" i="1"/>
  <c r="Z456" i="1"/>
  <c r="Y458" i="1"/>
  <c r="X566" i="1"/>
  <c r="Y464" i="1"/>
  <c r="BP461" i="1"/>
  <c r="BN461" i="1"/>
  <c r="Z461" i="1"/>
  <c r="Y463" i="1"/>
  <c r="E566" i="1"/>
  <c r="V566" i="1"/>
  <c r="F566" i="1"/>
  <c r="Y94" i="1"/>
  <c r="H566" i="1"/>
  <c r="Y136" i="1"/>
  <c r="J566" i="1"/>
  <c r="Y168" i="1"/>
  <c r="K566" i="1"/>
  <c r="Y214" i="1"/>
  <c r="L566" i="1"/>
  <c r="Y219" i="1"/>
  <c r="BP332" i="1"/>
  <c r="BN332" i="1"/>
  <c r="BP339" i="1"/>
  <c r="BN339" i="1"/>
  <c r="Z339" i="1"/>
  <c r="Y349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66" i="1"/>
  <c r="BN366" i="1"/>
  <c r="Z366" i="1"/>
  <c r="Z372" i="1" s="1"/>
  <c r="BP370" i="1"/>
  <c r="BN370" i="1"/>
  <c r="Z370" i="1"/>
  <c r="Y383" i="1"/>
  <c r="BP378" i="1"/>
  <c r="BN378" i="1"/>
  <c r="Z378" i="1"/>
  <c r="BP386" i="1"/>
  <c r="BN386" i="1"/>
  <c r="Z386" i="1"/>
  <c r="BP394" i="1"/>
  <c r="BN394" i="1"/>
  <c r="Z394" i="1"/>
  <c r="Y403" i="1"/>
  <c r="BP398" i="1"/>
  <c r="BN398" i="1"/>
  <c r="Z398" i="1"/>
  <c r="Y402" i="1"/>
  <c r="BP406" i="1"/>
  <c r="BN406" i="1"/>
  <c r="Z406" i="1"/>
  <c r="Y415" i="1"/>
  <c r="BP419" i="1"/>
  <c r="BN419" i="1"/>
  <c r="Z419" i="1"/>
  <c r="Z420" i="1" s="1"/>
  <c r="Y421" i="1"/>
  <c r="Y427" i="1"/>
  <c r="BP424" i="1"/>
  <c r="BN424" i="1"/>
  <c r="Z424" i="1"/>
  <c r="BP434" i="1"/>
  <c r="BN434" i="1"/>
  <c r="Z434" i="1"/>
  <c r="BP438" i="1"/>
  <c r="BN438" i="1"/>
  <c r="Z438" i="1"/>
  <c r="Y447" i="1"/>
  <c r="BP450" i="1"/>
  <c r="BN450" i="1"/>
  <c r="Z450" i="1"/>
  <c r="Z452" i="1" s="1"/>
  <c r="Y457" i="1"/>
  <c r="BP471" i="1"/>
  <c r="BN471" i="1"/>
  <c r="Z471" i="1"/>
  <c r="BP481" i="1"/>
  <c r="BN481" i="1"/>
  <c r="Z481" i="1"/>
  <c r="BP499" i="1"/>
  <c r="BN499" i="1"/>
  <c r="Z499" i="1"/>
  <c r="Y501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Y521" i="1"/>
  <c r="BP525" i="1"/>
  <c r="BN525" i="1"/>
  <c r="Z525" i="1"/>
  <c r="BP529" i="1"/>
  <c r="BN529" i="1"/>
  <c r="Z529" i="1"/>
  <c r="Y531" i="1"/>
  <c r="Y536" i="1"/>
  <c r="BP535" i="1"/>
  <c r="BN535" i="1"/>
  <c r="Z535" i="1"/>
  <c r="Z536" i="1" s="1"/>
  <c r="AB566" i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49" i="1"/>
  <c r="R566" i="1"/>
  <c r="Z566" i="1"/>
  <c r="S566" i="1"/>
  <c r="Y362" i="1"/>
  <c r="Y373" i="1"/>
  <c r="U566" i="1"/>
  <c r="Y420" i="1"/>
  <c r="Y566" i="1"/>
  <c r="Y484" i="1"/>
  <c r="Y494" i="1"/>
  <c r="BP493" i="1"/>
  <c r="BN493" i="1"/>
  <c r="Z493" i="1"/>
  <c r="Z494" i="1" s="1"/>
  <c r="Y495" i="1"/>
  <c r="Y500" i="1"/>
  <c r="BP497" i="1"/>
  <c r="BN497" i="1"/>
  <c r="Z497" i="1"/>
  <c r="BP507" i="1"/>
  <c r="BN507" i="1"/>
  <c r="Z507" i="1"/>
  <c r="BP511" i="1"/>
  <c r="BN511" i="1"/>
  <c r="Z511" i="1"/>
  <c r="BP519" i="1"/>
  <c r="BN519" i="1"/>
  <c r="Z519" i="1"/>
  <c r="Y530" i="1"/>
  <c r="BP523" i="1"/>
  <c r="BN523" i="1"/>
  <c r="Z523" i="1"/>
  <c r="Z530" i="1" s="1"/>
  <c r="BP527" i="1"/>
  <c r="BN527" i="1"/>
  <c r="Z527" i="1"/>
  <c r="Y555" i="1"/>
  <c r="Z300" i="1" l="1"/>
  <c r="Z389" i="1"/>
  <c r="Z248" i="1"/>
  <c r="Z141" i="1"/>
  <c r="Z78" i="1"/>
  <c r="Z73" i="1"/>
  <c r="Z64" i="1"/>
  <c r="Z269" i="1"/>
  <c r="Z500" i="1"/>
  <c r="Z463" i="1"/>
  <c r="Z100" i="1"/>
  <c r="Z193" i="1"/>
  <c r="Z427" i="1"/>
  <c r="Z408" i="1"/>
  <c r="Z402" i="1"/>
  <c r="Z457" i="1"/>
  <c r="Z254" i="1"/>
  <c r="Z136" i="1"/>
  <c r="Z236" i="1"/>
  <c r="Z187" i="1"/>
  <c r="Y558" i="1"/>
  <c r="Z382" i="1"/>
  <c r="Z349" i="1"/>
  <c r="Z213" i="1"/>
  <c r="Z93" i="1"/>
  <c r="Z51" i="1"/>
  <c r="Z42" i="1"/>
  <c r="Y557" i="1"/>
  <c r="Y559" i="1" s="1"/>
  <c r="Z489" i="1"/>
  <c r="Z484" i="1"/>
  <c r="Z446" i="1"/>
  <c r="Z264" i="1"/>
  <c r="Z84" i="1"/>
  <c r="Z520" i="1"/>
  <c r="Z440" i="1"/>
  <c r="Z340" i="1"/>
  <c r="Z311" i="1"/>
  <c r="Z295" i="1"/>
  <c r="Z156" i="1"/>
  <c r="Z119" i="1"/>
  <c r="Y556" i="1"/>
  <c r="Z514" i="1"/>
  <c r="Z333" i="1"/>
  <c r="Z280" i="1"/>
  <c r="Z32" i="1"/>
  <c r="Y560" i="1"/>
  <c r="X559" i="1"/>
  <c r="Z395" i="1"/>
  <c r="Z113" i="1"/>
  <c r="Z561" i="1" l="1"/>
</calcChain>
</file>

<file path=xl/sharedStrings.xml><?xml version="1.0" encoding="utf-8"?>
<sst xmlns="http://schemas.openxmlformats.org/spreadsheetml/2006/main" count="2545" uniqueCount="912">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</sst>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12" sqref="AA12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7" t="s">
        <v>0</v>
      </c>
      <c r="E1" s="680"/>
      <c r="F1" s="680"/>
      <c r="G1" s="12" t="s">
        <v>1</v>
      </c>
      <c r="H1" s="727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91" t="s">
        <v>8</v>
      </c>
      <c r="B5" s="672"/>
      <c r="C5" s="673"/>
      <c r="D5" s="737"/>
      <c r="E5" s="738"/>
      <c r="F5" s="969" t="s">
        <v>9</v>
      </c>
      <c r="G5" s="673"/>
      <c r="H5" s="737" t="s">
        <v>911</v>
      </c>
      <c r="I5" s="912"/>
      <c r="J5" s="912"/>
      <c r="K5" s="912"/>
      <c r="L5" s="912"/>
      <c r="M5" s="738"/>
      <c r="N5" s="58"/>
      <c r="P5" s="24" t="s">
        <v>10</v>
      </c>
      <c r="Q5" s="987">
        <v>46292</v>
      </c>
      <c r="R5" s="790"/>
      <c r="T5" s="823" t="s">
        <v>11</v>
      </c>
      <c r="U5" s="824"/>
      <c r="V5" s="826" t="s">
        <v>12</v>
      </c>
      <c r="W5" s="790"/>
      <c r="AB5" s="51"/>
      <c r="AC5" s="51"/>
      <c r="AD5" s="51"/>
      <c r="AE5" s="51"/>
    </row>
    <row r="6" spans="1:32" s="637" customFormat="1" ht="24" customHeight="1" x14ac:dyDescent="0.2">
      <c r="A6" s="791" t="s">
        <v>13</v>
      </c>
      <c r="B6" s="672"/>
      <c r="C6" s="673"/>
      <c r="D6" s="915" t="s">
        <v>884</v>
      </c>
      <c r="E6" s="916"/>
      <c r="F6" s="916"/>
      <c r="G6" s="916"/>
      <c r="H6" s="916"/>
      <c r="I6" s="916"/>
      <c r="J6" s="916"/>
      <c r="K6" s="916"/>
      <c r="L6" s="916"/>
      <c r="M6" s="790"/>
      <c r="N6" s="59"/>
      <c r="P6" s="24" t="s">
        <v>14</v>
      </c>
      <c r="Q6" s="996" t="str">
        <f>IF(Q5=0," ",CHOOSE(WEEKDAY(Q5,2),"Понедельник","Вторник","Среда","Четверг","Пятница","Суббота","Воскресенье"))</f>
        <v>Воскресенье</v>
      </c>
      <c r="R6" s="648"/>
      <c r="T6" s="832" t="s">
        <v>15</v>
      </c>
      <c r="U6" s="824"/>
      <c r="V6" s="898" t="s">
        <v>16</v>
      </c>
      <c r="W6" s="730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15" t="str">
        <f>IFERROR(VLOOKUP(DeliveryAddress,Table,3,0),1)</f>
        <v>5</v>
      </c>
      <c r="E7" s="716"/>
      <c r="F7" s="716"/>
      <c r="G7" s="716"/>
      <c r="H7" s="716"/>
      <c r="I7" s="716"/>
      <c r="J7" s="716"/>
      <c r="K7" s="716"/>
      <c r="L7" s="716"/>
      <c r="M7" s="717"/>
      <c r="N7" s="60"/>
      <c r="P7" s="24"/>
      <c r="Q7" s="42"/>
      <c r="R7" s="42"/>
      <c r="T7" s="658"/>
      <c r="U7" s="824"/>
      <c r="V7" s="899"/>
      <c r="W7" s="900"/>
      <c r="AB7" s="51"/>
      <c r="AC7" s="51"/>
      <c r="AD7" s="51"/>
      <c r="AE7" s="51"/>
    </row>
    <row r="8" spans="1:32" s="637" customFormat="1" ht="25.5" customHeight="1" x14ac:dyDescent="0.2">
      <c r="A8" s="1011" t="s">
        <v>17</v>
      </c>
      <c r="B8" s="650"/>
      <c r="C8" s="651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99">
        <v>0.5</v>
      </c>
      <c r="R8" s="717"/>
      <c r="T8" s="658"/>
      <c r="U8" s="824"/>
      <c r="V8" s="899"/>
      <c r="W8" s="900"/>
      <c r="AB8" s="51"/>
      <c r="AC8" s="51"/>
      <c r="AD8" s="51"/>
      <c r="AE8" s="51"/>
    </row>
    <row r="9" spans="1:32" s="637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06"/>
      <c r="E9" s="668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86"/>
      <c r="R9" s="787"/>
      <c r="T9" s="658"/>
      <c r="U9" s="824"/>
      <c r="V9" s="901"/>
      <c r="W9" s="90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06"/>
      <c r="E10" s="668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5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3"/>
      <c r="R10" s="834"/>
      <c r="U10" s="24" t="s">
        <v>21</v>
      </c>
      <c r="V10" s="729" t="s">
        <v>22</v>
      </c>
      <c r="W10" s="730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9"/>
      <c r="R11" s="790"/>
      <c r="U11" s="24" t="s">
        <v>25</v>
      </c>
      <c r="V11" s="933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48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28</v>
      </c>
      <c r="Q12" s="799"/>
      <c r="R12" s="717"/>
      <c r="S12" s="23"/>
      <c r="U12" s="24"/>
      <c r="V12" s="680"/>
      <c r="W12" s="658"/>
      <c r="AB12" s="51"/>
      <c r="AC12" s="51"/>
      <c r="AD12" s="51"/>
      <c r="AE12" s="51"/>
    </row>
    <row r="13" spans="1:32" s="637" customFormat="1" ht="23.25" customHeight="1" x14ac:dyDescent="0.2">
      <c r="A13" s="848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30</v>
      </c>
      <c r="Q13" s="933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48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9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811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4" t="s">
        <v>36</v>
      </c>
      <c r="D17" s="692" t="s">
        <v>37</v>
      </c>
      <c r="E17" s="766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65"/>
      <c r="R17" s="765"/>
      <c r="S17" s="765"/>
      <c r="T17" s="766"/>
      <c r="U17" s="1009" t="s">
        <v>49</v>
      </c>
      <c r="V17" s="673"/>
      <c r="W17" s="692" t="s">
        <v>50</v>
      </c>
      <c r="X17" s="692" t="s">
        <v>51</v>
      </c>
      <c r="Y17" s="1007" t="s">
        <v>52</v>
      </c>
      <c r="Z17" s="896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67"/>
      <c r="E18" s="769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7"/>
      <c r="Q18" s="768"/>
      <c r="R18" s="768"/>
      <c r="S18" s="768"/>
      <c r="T18" s="769"/>
      <c r="U18" s="67" t="s">
        <v>59</v>
      </c>
      <c r="V18" s="67" t="s">
        <v>60</v>
      </c>
      <c r="W18" s="693"/>
      <c r="X18" s="693"/>
      <c r="Y18" s="1008"/>
      <c r="Z18" s="897"/>
      <c r="AA18" s="884"/>
      <c r="AB18" s="884"/>
      <c r="AC18" s="884"/>
      <c r="AD18" s="962"/>
      <c r="AE18" s="963"/>
      <c r="AF18" s="964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76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3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76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3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76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3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482</v>
      </c>
      <c r="Y47" s="644">
        <f>IFERROR(IF(X47="",0,CEILING((X47/$H47),1)*$H47),"")</f>
        <v>486.00000000000006</v>
      </c>
      <c r="Z47" s="36">
        <f>IFERROR(IF(Y47=0,"",ROUNDUP(Y47/H47,0)*0.01898),"")</f>
        <v>0.85409999999999997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500.29814814814813</v>
      </c>
      <c r="BN47" s="64">
        <f>IFERROR(Y47*I47/H47,"0")</f>
        <v>504.4500000000001</v>
      </c>
      <c r="BO47" s="64">
        <f>IFERROR(1/J47*(X47/H47),"0")</f>
        <v>0.69733796296296291</v>
      </c>
      <c r="BP47" s="64">
        <f>IFERROR(1/J47*(Y47/H47),"0")</f>
        <v>0.703125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44.629629629629626</v>
      </c>
      <c r="Y51" s="645">
        <f>IFERROR(Y47/H47,"0")+IFERROR(Y48/H48,"0")+IFERROR(Y49/H49,"0")+IFERROR(Y50/H50,"0")</f>
        <v>45</v>
      </c>
      <c r="Z51" s="645">
        <f>IFERROR(IF(Z47="",0,Z47),"0")+IFERROR(IF(Z48="",0,Z48),"0")+IFERROR(IF(Z49="",0,Z49),"0")+IFERROR(IF(Z50="",0,Z50),"0")</f>
        <v>0.85409999999999997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482</v>
      </c>
      <c r="Y52" s="645">
        <f>IFERROR(SUM(Y47:Y50),"0")</f>
        <v>486.00000000000006</v>
      </c>
      <c r="Z52" s="37"/>
      <c r="AA52" s="646"/>
      <c r="AB52" s="646"/>
      <c r="AC52" s="646"/>
    </row>
    <row r="53" spans="1:68" ht="16.5" hidden="1" customHeight="1" x14ac:dyDescent="0.25">
      <c r="A53" s="676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3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930</v>
      </c>
      <c r="Y56" s="644">
        <f t="shared" si="0"/>
        <v>939.6</v>
      </c>
      <c r="Z56" s="36">
        <f>IFERROR(IF(Y56=0,"",ROUNDUP(Y56/H56,0)*0.01898),"")</f>
        <v>1.65126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965.30555555555554</v>
      </c>
      <c r="BN56" s="64">
        <f t="shared" si="2"/>
        <v>975.27</v>
      </c>
      <c r="BO56" s="64">
        <f t="shared" si="3"/>
        <v>1.3454861111111109</v>
      </c>
      <c r="BP56" s="64">
        <f t="shared" si="4"/>
        <v>1.359375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87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86.1111111111111</v>
      </c>
      <c r="Y64" s="645">
        <f>IFERROR(Y55/H55,"0")+IFERROR(Y56/H56,"0")+IFERROR(Y57/H57,"0")+IFERROR(Y58/H58,"0")+IFERROR(Y59/H59,"0")+IFERROR(Y60/H60,"0")+IFERROR(Y61/H61,"0")+IFERROR(Y62/H62,"0")+IFERROR(Y63/H63,"0")</f>
        <v>87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1.65126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930</v>
      </c>
      <c r="Y65" s="645">
        <f>IFERROR(SUM(Y55:Y63),"0")</f>
        <v>939.6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0</v>
      </c>
      <c r="Y67" s="644">
        <f t="shared" ref="Y67:Y72" si="5"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0</v>
      </c>
      <c r="BN67" s="64">
        <f t="shared" ref="BN67:BN72" si="7">IFERROR(Y67*I67/H67,"0")</f>
        <v>0</v>
      </c>
      <c r="BO67" s="64">
        <f t="shared" ref="BO67:BO72" si="8">IFERROR(1/J67*(X67/H67),"0")</f>
        <v>0</v>
      </c>
      <c r="BP67" s="64">
        <f t="shared" ref="BP67:BP72" si="9"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7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idden="1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0</v>
      </c>
      <c r="Y73" s="645">
        <f>IFERROR(Y67/H67,"0")+IFERROR(Y68/H68,"0")+IFERROR(Y69/H69,"0")+IFERROR(Y70/H70,"0")+IFERROR(Y71/H71,"0")+IFERROR(Y72/H72,"0")</f>
        <v>0</v>
      </c>
      <c r="Z73" s="645">
        <f>IFERROR(IF(Z67="",0,Z67),"0")+IFERROR(IF(Z68="",0,Z68),"0")+IFERROR(IF(Z69="",0,Z69),"0")+IFERROR(IF(Z70="",0,Z70),"0")+IFERROR(IF(Z71="",0,Z71),"0")+IFERROR(IF(Z72="",0,Z72),"0")</f>
        <v>0</v>
      </c>
      <c r="AA73" s="646"/>
      <c r="AB73" s="646"/>
      <c r="AC73" s="646"/>
    </row>
    <row r="74" spans="1:68" hidden="1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0</v>
      </c>
      <c r="Y74" s="645">
        <f>IFERROR(SUM(Y67:Y72),"0")</f>
        <v>0</v>
      </c>
      <c r="Z74" s="37"/>
      <c r="AA74" s="646"/>
      <c r="AB74" s="646"/>
      <c r="AC74" s="646"/>
    </row>
    <row r="75" spans="1:68" ht="14.25" hidden="1" customHeight="1" x14ac:dyDescent="0.25">
      <c r="A75" s="663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3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hidden="1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0</v>
      </c>
      <c r="Y84" s="645">
        <f>IFERROR(Y81/H81,"0")+IFERROR(Y82/H82,"0")+IFERROR(Y83/H83,"0")</f>
        <v>0</v>
      </c>
      <c r="Z84" s="645">
        <f>IFERROR(IF(Z81="",0,Z81),"0")+IFERROR(IF(Z82="",0,Z82),"0")+IFERROR(IF(Z83="",0,Z83),"0")</f>
        <v>0</v>
      </c>
      <c r="AA84" s="646"/>
      <c r="AB84" s="646"/>
      <c r="AC84" s="646"/>
    </row>
    <row r="85" spans="1:68" hidden="1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0</v>
      </c>
      <c r="Y85" s="645">
        <f>IFERROR(SUM(Y81:Y83),"0")</f>
        <v>0</v>
      </c>
      <c r="Z85" s="37"/>
      <c r="AA85" s="646"/>
      <c r="AB85" s="646"/>
      <c r="AC85" s="646"/>
    </row>
    <row r="86" spans="1:68" ht="16.5" hidden="1" customHeight="1" x14ac:dyDescent="0.25">
      <c r="A86" s="676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3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8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218</v>
      </c>
      <c r="Y92" s="644">
        <f>IFERROR(IF(X92="",0,CEILING((X92/$H92),1)*$H92),"")</f>
        <v>220.5</v>
      </c>
      <c r="Z92" s="36">
        <f>IFERROR(IF(Y92=0,"",ROUNDUP(Y92/H92,0)*0.00902),"")</f>
        <v>0.44198000000000004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227.20444444444445</v>
      </c>
      <c r="BN92" s="64">
        <f>IFERROR(Y92*I92/H92,"0")</f>
        <v>229.81</v>
      </c>
      <c r="BO92" s="64">
        <f>IFERROR(1/J92*(X92/H92),"0")</f>
        <v>0.367003367003367</v>
      </c>
      <c r="BP92" s="64">
        <f>IFERROR(1/J92*(Y92/H92),"0")</f>
        <v>0.37121212121212122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48.444444444444443</v>
      </c>
      <c r="Y93" s="645">
        <f>IFERROR(Y88/H88,"0")+IFERROR(Y89/H89,"0")+IFERROR(Y90/H90,"0")+IFERROR(Y91/H91,"0")+IFERROR(Y92/H92,"0")</f>
        <v>49</v>
      </c>
      <c r="Z93" s="645">
        <f>IFERROR(IF(Z88="",0,Z88),"0")+IFERROR(IF(Z89="",0,Z89),"0")+IFERROR(IF(Z90="",0,Z90),"0")+IFERROR(IF(Z91="",0,Z91),"0")+IFERROR(IF(Z92="",0,Z92),"0")</f>
        <v>0.44198000000000004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218</v>
      </c>
      <c r="Y94" s="645">
        <f>IFERROR(SUM(Y88:Y92),"0")</f>
        <v>220.5</v>
      </c>
      <c r="Z94" s="37"/>
      <c r="AA94" s="646"/>
      <c r="AB94" s="646"/>
      <c r="AC94" s="646"/>
    </row>
    <row r="95" spans="1:68" ht="14.25" hidden="1" customHeight="1" x14ac:dyDescent="0.25">
      <c r="A95" s="663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hidden="1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10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720</v>
      </c>
      <c r="Y98" s="644">
        <f>IFERROR(IF(X98="",0,CEILING((X98/$H98),1)*$H98),"")</f>
        <v>720.90000000000009</v>
      </c>
      <c r="Z98" s="36">
        <f>IFERROR(IF(Y98=0,"",ROUNDUP(Y98/H98,0)*0.00651),"")</f>
        <v>1.73817</v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787.19999999999993</v>
      </c>
      <c r="BN98" s="64">
        <f>IFERROR(Y98*I98/H98,"0")</f>
        <v>788.18400000000008</v>
      </c>
      <c r="BO98" s="64">
        <f>IFERROR(1/J98*(X98/H98),"0")</f>
        <v>1.4652014652014651</v>
      </c>
      <c r="BP98" s="64">
        <f>IFERROR(1/J98*(Y98/H98),"0")</f>
        <v>1.4670329670329672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266.66666666666663</v>
      </c>
      <c r="Y100" s="645">
        <f>IFERROR(Y96/H96,"0")+IFERROR(Y97/H97,"0")+IFERROR(Y98/H98,"0")+IFERROR(Y99/H99,"0")</f>
        <v>267</v>
      </c>
      <c r="Z100" s="645">
        <f>IFERROR(IF(Z96="",0,Z96),"0")+IFERROR(IF(Z97="",0,Z97),"0")+IFERROR(IF(Z98="",0,Z98),"0")+IFERROR(IF(Z99="",0,Z99),"0")</f>
        <v>1.73817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720</v>
      </c>
      <c r="Y101" s="645">
        <f>IFERROR(SUM(Y96:Y99),"0")</f>
        <v>720.90000000000009</v>
      </c>
      <c r="Z101" s="37"/>
      <c r="AA101" s="646"/>
      <c r="AB101" s="646"/>
      <c r="AC101" s="646"/>
    </row>
    <row r="102" spans="1:68" ht="16.5" hidden="1" customHeight="1" x14ac:dyDescent="0.25">
      <c r="A102" s="676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3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240</v>
      </c>
      <c r="Y104" s="644">
        <f t="shared" ref="Y104:Y112" si="10">IFERROR(IF(X104="",0,CEILING((X104/$H104),1)*$H104),"")</f>
        <v>248.4</v>
      </c>
      <c r="Z104" s="36">
        <f>IFERROR(IF(Y104=0,"",ROUNDUP(Y104/H104,0)*0.01898),"")</f>
        <v>0.43653999999999998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249.11111111111111</v>
      </c>
      <c r="BN104" s="64">
        <f t="shared" ref="BN104:BN112" si="12">IFERROR(Y104*I104/H104,"0")</f>
        <v>257.83</v>
      </c>
      <c r="BO104" s="64">
        <f t="shared" ref="BO104:BO112" si="13">IFERROR(1/J104*(X104/H104),"0")</f>
        <v>0.34722222222222221</v>
      </c>
      <c r="BP104" s="64">
        <f t="shared" ref="BP104:BP112" si="14">IFERROR(1/J104*(Y104/H104),"0")</f>
        <v>0.359375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9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128</v>
      </c>
      <c r="Y109" s="644">
        <f t="shared" si="10"/>
        <v>130.5</v>
      </c>
      <c r="Z109" s="36">
        <f>IFERROR(IF(Y109=0,"",ROUNDUP(Y109/H109,0)*0.00902),"")</f>
        <v>0.26158000000000003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133.40444444444447</v>
      </c>
      <c r="BN109" s="64">
        <f t="shared" si="12"/>
        <v>136.01000000000002</v>
      </c>
      <c r="BO109" s="64">
        <f t="shared" si="13"/>
        <v>0.21548821548821548</v>
      </c>
      <c r="BP109" s="64">
        <f t="shared" si="14"/>
        <v>0.2196969696969697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3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50.666666666666664</v>
      </c>
      <c r="Y113" s="645">
        <f>IFERROR(Y104/H104,"0")+IFERROR(Y105/H105,"0")+IFERROR(Y106/H106,"0")+IFERROR(Y107/H107,"0")+IFERROR(Y108/H108,"0")+IFERROR(Y109/H109,"0")+IFERROR(Y110/H110,"0")+IFERROR(Y111/H111,"0")+IFERROR(Y112/H112,"0")</f>
        <v>52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0.69812000000000007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368</v>
      </c>
      <c r="Y114" s="645">
        <f>IFERROR(SUM(Y104:Y112),"0")</f>
        <v>378.9</v>
      </c>
      <c r="Z114" s="37"/>
      <c r="AA114" s="646"/>
      <c r="AB114" s="646"/>
      <c r="AC114" s="646"/>
    </row>
    <row r="115" spans="1:68" ht="14.25" hidden="1" customHeight="1" x14ac:dyDescent="0.25">
      <c r="A115" s="663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48</v>
      </c>
      <c r="Y118" s="644">
        <f>IFERROR(IF(X118="",0,CEILING((X118/$H118),1)*$H118),"")</f>
        <v>48</v>
      </c>
      <c r="Z118" s="36">
        <f>IFERROR(IF(Y118=0,"",ROUNDUP(Y118/H118,0)*0.00651),"")</f>
        <v>0.13020000000000001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51.6</v>
      </c>
      <c r="BN118" s="64">
        <f>IFERROR(Y118*I118/H118,"0")</f>
        <v>51.6</v>
      </c>
      <c r="BO118" s="64">
        <f>IFERROR(1/J118*(X118/H118),"0")</f>
        <v>0.1098901098901099</v>
      </c>
      <c r="BP118" s="64">
        <f>IFERROR(1/J118*(Y118/H118),"0")</f>
        <v>0.1098901098901099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20</v>
      </c>
      <c r="Y119" s="645">
        <f>IFERROR(Y116/H116,"0")+IFERROR(Y117/H117,"0")+IFERROR(Y118/H118,"0")</f>
        <v>20</v>
      </c>
      <c r="Z119" s="645">
        <f>IFERROR(IF(Z116="",0,Z116),"0")+IFERROR(IF(Z117="",0,Z117),"0")+IFERROR(IF(Z118="",0,Z118),"0")</f>
        <v>0.13020000000000001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48</v>
      </c>
      <c r="Y120" s="645">
        <f>IFERROR(SUM(Y116:Y118),"0")</f>
        <v>48</v>
      </c>
      <c r="Z120" s="37"/>
      <c r="AA120" s="646"/>
      <c r="AB120" s="646"/>
      <c r="AC120" s="646"/>
    </row>
    <row r="121" spans="1:68" ht="14.25" hidden="1" customHeight="1" x14ac:dyDescent="0.25">
      <c r="A121" s="663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hidden="1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75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407</v>
      </c>
      <c r="Y124" s="644">
        <f>IFERROR(IF(X124="",0,CEILING((X124/$H124),1)*$H124),"")</f>
        <v>407.70000000000005</v>
      </c>
      <c r="Z124" s="36">
        <f>IFERROR(IF(Y124=0,"",ROUNDUP(Y124/H124,0)*0.00651),"")</f>
        <v>0.98301000000000005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444.98666666666662</v>
      </c>
      <c r="BN124" s="64">
        <f>IFERROR(Y124*I124/H124,"0")</f>
        <v>445.75200000000001</v>
      </c>
      <c r="BO124" s="64">
        <f>IFERROR(1/J124*(X124/H124),"0")</f>
        <v>0.82824582824582826</v>
      </c>
      <c r="BP124" s="64">
        <f>IFERROR(1/J124*(Y124/H124),"0")</f>
        <v>0.82967032967032972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3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150.74074074074073</v>
      </c>
      <c r="Y126" s="645">
        <f>IFERROR(Y122/H122,"0")+IFERROR(Y123/H123,"0")+IFERROR(Y124/H124,"0")+IFERROR(Y125/H125,"0")</f>
        <v>151</v>
      </c>
      <c r="Z126" s="645">
        <f>IFERROR(IF(Z122="",0,Z122),"0")+IFERROR(IF(Z123="",0,Z123),"0")+IFERROR(IF(Z124="",0,Z124),"0")+IFERROR(IF(Z125="",0,Z125),"0")</f>
        <v>0.98301000000000005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407</v>
      </c>
      <c r="Y127" s="645">
        <f>IFERROR(SUM(Y122:Y125),"0")</f>
        <v>407.70000000000005</v>
      </c>
      <c r="Z127" s="37"/>
      <c r="AA127" s="646"/>
      <c r="AB127" s="646"/>
      <c r="AC127" s="646"/>
    </row>
    <row r="128" spans="1:68" ht="14.25" hidden="1" customHeight="1" x14ac:dyDescent="0.25">
      <c r="A128" s="663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7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40</v>
      </c>
      <c r="Y129" s="644">
        <f>IFERROR(IF(X129="",0,CEILING((X129/$H129),1)*$H129),"")</f>
        <v>41.58</v>
      </c>
      <c r="Z129" s="36">
        <f>IFERROR(IF(Y129=0,"",ROUNDUP(Y129/H129,0)*0.00651),"")</f>
        <v>0.13671</v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45.212121212121211</v>
      </c>
      <c r="BN129" s="64">
        <f>IFERROR(Y129*I129/H129,"0")</f>
        <v>46.997999999999998</v>
      </c>
      <c r="BO129" s="64">
        <f>IFERROR(1/J129*(X129/H129),"0")</f>
        <v>0.11100011100011101</v>
      </c>
      <c r="BP129" s="64">
        <f>IFERROR(1/J129*(Y129/H129),"0")</f>
        <v>0.11538461538461539</v>
      </c>
    </row>
    <row r="130" spans="1:68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20.202020202020201</v>
      </c>
      <c r="Y130" s="645">
        <f>IFERROR(Y129/H129,"0")</f>
        <v>21</v>
      </c>
      <c r="Z130" s="645">
        <f>IFERROR(IF(Z129="",0,Z129),"0")</f>
        <v>0.13671</v>
      </c>
      <c r="AA130" s="646"/>
      <c r="AB130" s="646"/>
      <c r="AC130" s="646"/>
    </row>
    <row r="131" spans="1:68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40</v>
      </c>
      <c r="Y131" s="645">
        <f>IFERROR(SUM(Y129:Y129),"0")</f>
        <v>41.58</v>
      </c>
      <c r="Z131" s="37"/>
      <c r="AA131" s="646"/>
      <c r="AB131" s="646"/>
      <c r="AC131" s="646"/>
    </row>
    <row r="132" spans="1:68" ht="16.5" hidden="1" customHeight="1" x14ac:dyDescent="0.25">
      <c r="A132" s="676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3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38</v>
      </c>
      <c r="Y134" s="644">
        <f>IFERROR(IF(X134="",0,CEILING((X134/$H134),1)*$H134),"")</f>
        <v>38.400000000000006</v>
      </c>
      <c r="Z134" s="36">
        <f>IFERROR(IF(Y134=0,"",ROUNDUP(Y134/H134,0)*0.00651),"")</f>
        <v>7.8119999999999995E-2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40.137499999999996</v>
      </c>
      <c r="BN134" s="64">
        <f>IFERROR(Y134*I134/H134,"0")</f>
        <v>40.559999999999995</v>
      </c>
      <c r="BO134" s="64">
        <f>IFERROR(1/J134*(X134/H134),"0")</f>
        <v>6.5247252747252751E-2</v>
      </c>
      <c r="BP134" s="64">
        <f>IFERROR(1/J134*(Y134/H134),"0")</f>
        <v>6.593406593406595E-2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11.875</v>
      </c>
      <c r="Y136" s="645">
        <f>IFERROR(Y134/H134,"0")+IFERROR(Y135/H135,"0")</f>
        <v>12.000000000000002</v>
      </c>
      <c r="Z136" s="645">
        <f>IFERROR(IF(Z134="",0,Z134),"0")+IFERROR(IF(Z135="",0,Z135),"0")</f>
        <v>7.8119999999999995E-2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38</v>
      </c>
      <c r="Y137" s="645">
        <f>IFERROR(SUM(Y134:Y135),"0")</f>
        <v>38.400000000000006</v>
      </c>
      <c r="Z137" s="37"/>
      <c r="AA137" s="646"/>
      <c r="AB137" s="646"/>
      <c r="AC137" s="646"/>
    </row>
    <row r="138" spans="1:68" ht="14.25" hidden="1" customHeight="1" x14ac:dyDescent="0.25">
      <c r="A138" s="663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hidden="1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0</v>
      </c>
      <c r="Y141" s="645">
        <f>IFERROR(Y139/H139,"0")+IFERROR(Y140/H140,"0")</f>
        <v>0</v>
      </c>
      <c r="Z141" s="645">
        <f>IFERROR(IF(Z139="",0,Z139),"0")+IFERROR(IF(Z140="",0,Z140),"0")</f>
        <v>0</v>
      </c>
      <c r="AA141" s="646"/>
      <c r="AB141" s="646"/>
      <c r="AC141" s="646"/>
    </row>
    <row r="142" spans="1:68" hidden="1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0</v>
      </c>
      <c r="Y142" s="645">
        <f>IFERROR(SUM(Y139:Y140),"0")</f>
        <v>0</v>
      </c>
      <c r="Z142" s="37"/>
      <c r="AA142" s="646"/>
      <c r="AB142" s="646"/>
      <c r="AC142" s="646"/>
    </row>
    <row r="143" spans="1:68" ht="14.25" hidden="1" customHeight="1" x14ac:dyDescent="0.25">
      <c r="A143" s="663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hidden="1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0</v>
      </c>
      <c r="Y146" s="645">
        <f>IFERROR(Y144/H144,"0")+IFERROR(Y145/H145,"0")</f>
        <v>0</v>
      </c>
      <c r="Z146" s="645">
        <f>IFERROR(IF(Z144="",0,Z144),"0")+IFERROR(IF(Z145="",0,Z145),"0")</f>
        <v>0</v>
      </c>
      <c r="AA146" s="646"/>
      <c r="AB146" s="646"/>
      <c r="AC146" s="646"/>
    </row>
    <row r="147" spans="1:68" hidden="1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0</v>
      </c>
      <c r="Y147" s="645">
        <f>IFERROR(SUM(Y144:Y145),"0")</f>
        <v>0</v>
      </c>
      <c r="Z147" s="37"/>
      <c r="AA147" s="646"/>
      <c r="AB147" s="646"/>
      <c r="AC147" s="646"/>
    </row>
    <row r="148" spans="1:68" ht="16.5" hidden="1" customHeight="1" x14ac:dyDescent="0.25">
      <c r="A148" s="676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3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3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10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6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3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9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3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3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3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hidden="1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0</v>
      </c>
      <c r="Y176" s="644">
        <f t="shared" ref="Y176:Y186" si="21">IFERROR(IF(X176="",0,CEILING((X176/$H176),1)*$H176),"")</f>
        <v>0</v>
      </c>
      <c r="Z176" s="36" t="str">
        <f>IFERROR(IF(Y176=0,"",ROUNDUP(Y176/H176,0)*0.00902),"")</f>
        <v/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0</v>
      </c>
      <c r="BN176" s="64">
        <f t="shared" ref="BN176:BN186" si="23">IFERROR(Y176*I176/H176,"0")</f>
        <v>0</v>
      </c>
      <c r="BO176" s="64">
        <f t="shared" ref="BO176:BO186" si="24">IFERROR(1/J176*(X176/H176),"0")</f>
        <v>0</v>
      </c>
      <c r="BP176" s="64">
        <f t="shared" ref="BP176:BP186" si="25">IFERROR(1/J176*(Y176/H176),"0")</f>
        <v>0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2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0</v>
      </c>
      <c r="Y178" s="644">
        <f t="shared" si="21"/>
        <v>0</v>
      </c>
      <c r="Z178" s="36" t="str">
        <f>IFERROR(IF(Y178=0,"",ROUNDUP(Y178/H178,0)*0.00902),"")</f>
        <v/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163</v>
      </c>
      <c r="Y179" s="644">
        <f t="shared" si="21"/>
        <v>164.5</v>
      </c>
      <c r="Z179" s="36">
        <f>IFERROR(IF(Y179=0,"",ROUNDUP(Y179/H179,0)*0.00902),"")</f>
        <v>0.42393999999999998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171.84857142857143</v>
      </c>
      <c r="BN179" s="64">
        <f t="shared" si="23"/>
        <v>173.43</v>
      </c>
      <c r="BO179" s="64">
        <f t="shared" si="24"/>
        <v>0.3528138528138528</v>
      </c>
      <c r="BP179" s="64">
        <f t="shared" si="25"/>
        <v>0.35606060606060608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69</v>
      </c>
      <c r="Y182" s="644">
        <f t="shared" si="21"/>
        <v>70.56</v>
      </c>
      <c r="Z182" s="36">
        <f>IFERROR(IF(Y182=0,"",ROUNDUP(Y182/H182,0)*0.00502),"")</f>
        <v>0.21084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73.107142857142861</v>
      </c>
      <c r="BN182" s="64">
        <f t="shared" si="23"/>
        <v>74.760000000000005</v>
      </c>
      <c r="BO182" s="64">
        <f t="shared" si="24"/>
        <v>0.17551892551892553</v>
      </c>
      <c r="BP182" s="64">
        <f t="shared" si="25"/>
        <v>0.17948717948717952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7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55</v>
      </c>
      <c r="Y186" s="644">
        <f t="shared" si="21"/>
        <v>55.44</v>
      </c>
      <c r="Z186" s="36">
        <f>IFERROR(IF(Y186=0,"",ROUNDUP(Y186/H186,0)*0.00502),"")</f>
        <v>0.16566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58.273809523809533</v>
      </c>
      <c r="BN186" s="64">
        <f t="shared" si="23"/>
        <v>58.74</v>
      </c>
      <c r="BO186" s="64">
        <f t="shared" si="24"/>
        <v>0.13990638990638993</v>
      </c>
      <c r="BP186" s="64">
        <f t="shared" si="25"/>
        <v>0.14102564102564105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120.38095238095238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122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0.80044000000000004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287</v>
      </c>
      <c r="Y188" s="645">
        <f>IFERROR(SUM(Y176:Y186),"0")</f>
        <v>290.5</v>
      </c>
      <c r="Z188" s="37"/>
      <c r="AA188" s="646"/>
      <c r="AB188" s="646"/>
      <c r="AC188" s="646"/>
    </row>
    <row r="189" spans="1:68" ht="14.25" hidden="1" customHeight="1" x14ac:dyDescent="0.25">
      <c r="A189" s="663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8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3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3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4" t="s">
        <v>335</v>
      </c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48"/>
      <c r="AB203" s="48"/>
      <c r="AC203" s="48"/>
    </row>
    <row r="204" spans="1:68" ht="16.5" hidden="1" customHeight="1" x14ac:dyDescent="0.25">
      <c r="A204" s="676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3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70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5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7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8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6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3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3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hidden="1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0</v>
      </c>
      <c r="Y221" s="644">
        <f t="shared" ref="Y221:Y235" si="32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0</v>
      </c>
      <c r="BN221" s="64">
        <f t="shared" ref="BN221:BN235" si="34">IFERROR(Y221*I221/H221,"0")</f>
        <v>0</v>
      </c>
      <c r="BO221" s="64">
        <f t="shared" ref="BO221:BO235" si="35">IFERROR(1/J221*(X221/H221),"0")</f>
        <v>0</v>
      </c>
      <c r="BP221" s="64">
        <f t="shared" ref="BP221:BP235" si="36">IFERROR(1/J221*(Y221/H221),"0")</f>
        <v>0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0</v>
      </c>
      <c r="Y223" s="644">
        <f t="shared" si="32"/>
        <v>0</v>
      </c>
      <c r="Z223" s="36" t="str">
        <f>IFERROR(IF(Y223=0,"",ROUNDUP(Y223/H223,0)*0.00902),"")</f>
        <v/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0</v>
      </c>
      <c r="Y225" s="644">
        <f t="shared" si="32"/>
        <v>0</v>
      </c>
      <c r="Z225" s="36" t="str">
        <f t="shared" ref="Z225:Z230" si="37">IFERROR(IF(Y225=0,"",ROUNDUP(Y225/H225,0)*0.00502),"")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82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0</v>
      </c>
      <c r="Y230" s="644">
        <f t="shared" si="32"/>
        <v>0</v>
      </c>
      <c r="Z230" s="36" t="str">
        <f t="shared" si="37"/>
        <v/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hidden="1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0</v>
      </c>
      <c r="Y232" s="644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1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hidden="1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46"/>
      <c r="AB236" s="646"/>
      <c r="AC236" s="646"/>
    </row>
    <row r="237" spans="1:68" hidden="1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0</v>
      </c>
      <c r="Y237" s="645">
        <f>IFERROR(SUM(Y221:Y235),"0")</f>
        <v>0</v>
      </c>
      <c r="Z237" s="37"/>
      <c r="AA237" s="646"/>
      <c r="AB237" s="646"/>
      <c r="AC237" s="646"/>
    </row>
    <row r="238" spans="1:68" ht="14.25" hidden="1" customHeight="1" x14ac:dyDescent="0.25">
      <c r="A238" s="663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4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7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3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idden="1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hidden="1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hidden="1" customHeight="1" x14ac:dyDescent="0.25">
      <c r="A256" s="663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hidden="1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76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3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3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3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0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195</v>
      </c>
      <c r="Y274" s="644">
        <f t="shared" si="43"/>
        <v>199.8</v>
      </c>
      <c r="Z274" s="36">
        <f>IFERROR(IF(Y274=0,"",ROUNDUP(Y274/H274,0)*0.00902),"")</f>
        <v>0.33374000000000004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201.86111111111109</v>
      </c>
      <c r="BN274" s="64">
        <f t="shared" si="45"/>
        <v>206.82999999999998</v>
      </c>
      <c r="BO274" s="64">
        <f t="shared" si="46"/>
        <v>0.27356902356902357</v>
      </c>
      <c r="BP274" s="64">
        <f t="shared" si="47"/>
        <v>0.28030303030303033</v>
      </c>
    </row>
    <row r="275" spans="1:68" ht="27" hidden="1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36.111111111111107</v>
      </c>
      <c r="Y280" s="645">
        <f>IFERROR(Y272/H272,"0")+IFERROR(Y273/H273,"0")+IFERROR(Y274/H274,"0")+IFERROR(Y275/H275,"0")+IFERROR(Y276/H276,"0")+IFERROR(Y277/H277,"0")+IFERROR(Y278/H278,"0")+IFERROR(Y279/H279,"0")</f>
        <v>37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0.33374000000000004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195</v>
      </c>
      <c r="Y281" s="645">
        <f>IFERROR(SUM(Y272:Y279),"0")</f>
        <v>199.8</v>
      </c>
      <c r="Z281" s="37"/>
      <c r="AA281" s="646"/>
      <c r="AB281" s="646"/>
      <c r="AC281" s="646"/>
    </row>
    <row r="282" spans="1:68" ht="14.25" hidden="1" customHeight="1" x14ac:dyDescent="0.25">
      <c r="A282" s="663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hidden="1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hidden="1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920</v>
      </c>
      <c r="Y289" s="644">
        <f t="shared" si="48"/>
        <v>921.59999999999991</v>
      </c>
      <c r="Z289" s="36">
        <f>IFERROR(IF(Y289=0,"",ROUNDUP(Y289/H289,0)*0.00651),"")</f>
        <v>2.4998399999999998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1016.6000000000001</v>
      </c>
      <c r="BN289" s="64">
        <f t="shared" si="50"/>
        <v>1018.3680000000001</v>
      </c>
      <c r="BO289" s="64">
        <f t="shared" si="51"/>
        <v>2.1062271062271067</v>
      </c>
      <c r="BP289" s="64">
        <f t="shared" si="52"/>
        <v>2.1098901098901099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83</v>
      </c>
      <c r="Y293" s="644">
        <f t="shared" si="48"/>
        <v>84</v>
      </c>
      <c r="Z293" s="36">
        <f>IFERROR(IF(Y293=0,"",ROUNDUP(Y293/H293,0)*0.00651),"")</f>
        <v>0.22785</v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91.922499999999999</v>
      </c>
      <c r="BN293" s="64">
        <f t="shared" si="50"/>
        <v>93.03</v>
      </c>
      <c r="BO293" s="64">
        <f t="shared" si="51"/>
        <v>0.19001831501831504</v>
      </c>
      <c r="BP293" s="64">
        <f t="shared" si="52"/>
        <v>0.19230769230769232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417.91666666666669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419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2.7276899999999999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1003</v>
      </c>
      <c r="Y296" s="645">
        <f>IFERROR(SUM(Y283:Y294),"0")</f>
        <v>1005.5999999999999</v>
      </c>
      <c r="Z296" s="37"/>
      <c r="AA296" s="646"/>
      <c r="AB296" s="646"/>
      <c r="AC296" s="646"/>
    </row>
    <row r="297" spans="1:68" ht="14.25" hidden="1" customHeight="1" x14ac:dyDescent="0.25">
      <c r="A297" s="663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hidden="1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76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3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7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63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9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3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hidden="1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63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6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3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2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6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3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78</v>
      </c>
      <c r="Y338" s="644">
        <f>IFERROR(IF(X338="",0,CEILING((X338/$H338),1)*$H338),"")</f>
        <v>79.2</v>
      </c>
      <c r="Z338" s="36">
        <f>IFERROR(IF(Y338=0,"",ROUNDUP(Y338/H338,0)*0.00651),"")</f>
        <v>0.21482999999999999</v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86.190000000000012</v>
      </c>
      <c r="BN338" s="64">
        <f>IFERROR(Y338*I338/H338,"0")</f>
        <v>87.51600000000002</v>
      </c>
      <c r="BO338" s="64">
        <f>IFERROR(1/J338*(X338/H338),"0")</f>
        <v>0.17857142857142858</v>
      </c>
      <c r="BP338" s="64">
        <f>IFERROR(1/J338*(Y338/H338),"0")</f>
        <v>0.18131868131868134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8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105</v>
      </c>
      <c r="Y339" s="644">
        <f>IFERROR(IF(X339="",0,CEILING((X339/$H339),1)*$H339),"")</f>
        <v>105.6</v>
      </c>
      <c r="Z339" s="36">
        <f>IFERROR(IF(Y339=0,"",ROUNDUP(Y339/H339,0)*0.00651),"")</f>
        <v>0.28644000000000003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112.87500000000001</v>
      </c>
      <c r="BN339" s="64">
        <f>IFERROR(Y339*I339/H339,"0")</f>
        <v>113.52</v>
      </c>
      <c r="BO339" s="64">
        <f>IFERROR(1/J339*(X339/H339),"0")</f>
        <v>0.24038461538461539</v>
      </c>
      <c r="BP339" s="64">
        <f>IFERROR(1/J339*(Y339/H339),"0")</f>
        <v>0.24175824175824179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76.25</v>
      </c>
      <c r="Y340" s="645">
        <f>IFERROR(Y337/H337,"0")+IFERROR(Y338/H338,"0")+IFERROR(Y339/H339,"0")</f>
        <v>77</v>
      </c>
      <c r="Z340" s="645">
        <f>IFERROR(IF(Z337="",0,Z337),"0")+IFERROR(IF(Z338="",0,Z338),"0")+IFERROR(IF(Z339="",0,Z339),"0")</f>
        <v>0.50126999999999999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183</v>
      </c>
      <c r="Y341" s="645">
        <f>IFERROR(SUM(Y337:Y339),"0")</f>
        <v>184.8</v>
      </c>
      <c r="Z341" s="37"/>
      <c r="AA341" s="646"/>
      <c r="AB341" s="646"/>
      <c r="AC341" s="646"/>
    </row>
    <row r="342" spans="1:68" ht="16.5" hidden="1" customHeight="1" x14ac:dyDescent="0.25">
      <c r="A342" s="676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3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6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3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hidden="1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407</v>
      </c>
      <c r="Y359" s="644">
        <f>IFERROR(IF(X359="",0,CEILING((X359/$H359),1)*$H359),"")</f>
        <v>413.4</v>
      </c>
      <c r="Z359" s="36">
        <f>IFERROR(IF(Y359=0,"",ROUNDUP(Y359/H359,0)*0.01898),"")</f>
        <v>1.0059400000000001</v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428.39358974358981</v>
      </c>
      <c r="BN359" s="64">
        <f>IFERROR(Y359*I359/H359,"0")</f>
        <v>435.13000000000005</v>
      </c>
      <c r="BO359" s="64">
        <f>IFERROR(1/J359*(X359/H359),"0")</f>
        <v>0.81530448717948723</v>
      </c>
      <c r="BP359" s="64">
        <f>IFERROR(1/J359*(Y359/H359),"0")</f>
        <v>0.828125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52.179487179487182</v>
      </c>
      <c r="Y361" s="645">
        <f>IFERROR(Y358/H358,"0")+IFERROR(Y359/H359,"0")+IFERROR(Y360/H360,"0")</f>
        <v>53</v>
      </c>
      <c r="Z361" s="645">
        <f>IFERROR(IF(Z358="",0,Z358),"0")+IFERROR(IF(Z359="",0,Z359),"0")+IFERROR(IF(Z360="",0,Z360),"0")</f>
        <v>1.0059400000000001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407</v>
      </c>
      <c r="Y362" s="645">
        <f>IFERROR(SUM(Y358:Y360),"0")</f>
        <v>413.4</v>
      </c>
      <c r="Z362" s="37"/>
      <c r="AA362" s="646"/>
      <c r="AB362" s="646"/>
      <c r="AC362" s="646"/>
    </row>
    <row r="363" spans="1:68" ht="16.5" hidden="1" customHeight="1" x14ac:dyDescent="0.25">
      <c r="A363" s="676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3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8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3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0</v>
      </c>
      <c r="Y376" s="644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0</v>
      </c>
      <c r="Y381" s="644">
        <f t="shared" si="68"/>
        <v>0</v>
      </c>
      <c r="Z381" s="36" t="str">
        <f>IFERROR(IF(Y381=0,"",ROUNDUP(Y381/H381,0)*0.00651),"")</f>
        <v/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0</v>
      </c>
      <c r="BN381" s="64">
        <f t="shared" si="70"/>
        <v>0</v>
      </c>
      <c r="BO381" s="64">
        <f t="shared" si="71"/>
        <v>0</v>
      </c>
      <c r="BP381" s="64">
        <f t="shared" si="72"/>
        <v>0</v>
      </c>
    </row>
    <row r="382" spans="1:68" hidden="1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0</v>
      </c>
      <c r="Y382" s="645">
        <f>IFERROR(Y375/H375,"0")+IFERROR(Y376/H376,"0")+IFERROR(Y377/H377,"0")+IFERROR(Y378/H378,"0")+IFERROR(Y379/H379,"0")+IFERROR(Y380/H380,"0")+IFERROR(Y381/H381,"0")</f>
        <v>0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6"/>
      <c r="AB382" s="646"/>
      <c r="AC382" s="646"/>
    </row>
    <row r="383" spans="1:68" hidden="1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0</v>
      </c>
      <c r="Y383" s="645">
        <f>IFERROR(SUM(Y375:Y381),"0")</f>
        <v>0</v>
      </c>
      <c r="Z383" s="37"/>
      <c r="AA383" s="646"/>
      <c r="AB383" s="646"/>
      <c r="AC383" s="646"/>
    </row>
    <row r="384" spans="1:68" ht="14.25" hidden="1" customHeight="1" x14ac:dyDescent="0.25">
      <c r="A384" s="663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6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3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hidden="1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0</v>
      </c>
      <c r="Y394" s="64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0</v>
      </c>
      <c r="Y395" s="645">
        <f>IFERROR(Y392/H392,"0")+IFERROR(Y393/H393,"0")+IFERROR(Y394/H394,"0")</f>
        <v>0</v>
      </c>
      <c r="Z395" s="645">
        <f>IFERROR(IF(Z392="",0,Z392),"0")+IFERROR(IF(Z393="",0,Z393),"0")+IFERROR(IF(Z394="",0,Z394),"0")</f>
        <v>0</v>
      </c>
      <c r="AA395" s="646"/>
      <c r="AB395" s="646"/>
      <c r="AC395" s="646"/>
    </row>
    <row r="396" spans="1:68" hidden="1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0</v>
      </c>
      <c r="Y396" s="645">
        <f>IFERROR(SUM(Y392:Y394),"0")</f>
        <v>0</v>
      </c>
      <c r="Z396" s="37"/>
      <c r="AA396" s="646"/>
      <c r="AB396" s="646"/>
      <c r="AC396" s="646"/>
    </row>
    <row r="397" spans="1:68" ht="14.25" hidden="1" customHeight="1" x14ac:dyDescent="0.25">
      <c r="A397" s="663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8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3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3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80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6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3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7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6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3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80</v>
      </c>
      <c r="Y425" s="644">
        <f>IFERROR(IF(X425="",0,CEILING((X425/$H425),1)*$H425),"")</f>
        <v>81.900000000000006</v>
      </c>
      <c r="Z425" s="36">
        <f>IFERROR(IF(Y425=0,"",ROUNDUP(Y425/H425,0)*0.00651),"")</f>
        <v>0.25389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89.6</v>
      </c>
      <c r="BN425" s="64">
        <f>IFERROR(Y425*I425/H425,"0")</f>
        <v>91.728000000000009</v>
      </c>
      <c r="BO425" s="64">
        <f>IFERROR(1/J425*(X425/H425),"0")</f>
        <v>0.20931449502878074</v>
      </c>
      <c r="BP425" s="64">
        <f>IFERROR(1/J425*(Y425/H425),"0")</f>
        <v>0.2142857142857143</v>
      </c>
    </row>
    <row r="426" spans="1:68" ht="27" hidden="1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0</v>
      </c>
      <c r="Y426" s="644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38.095238095238095</v>
      </c>
      <c r="Y427" s="645">
        <f>IFERROR(Y424/H424,"0")+IFERROR(Y425/H425,"0")+IFERROR(Y426/H426,"0")</f>
        <v>39</v>
      </c>
      <c r="Z427" s="645">
        <f>IFERROR(IF(Z424="",0,Z424),"0")+IFERROR(IF(Z425="",0,Z425),"0")+IFERROR(IF(Z426="",0,Z426),"0")</f>
        <v>0.25389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80</v>
      </c>
      <c r="Y428" s="645">
        <f>IFERROR(SUM(Y424:Y426),"0")</f>
        <v>81.900000000000006</v>
      </c>
      <c r="Z428" s="37"/>
      <c r="AA428" s="646"/>
      <c r="AB428" s="646"/>
      <c r="AC428" s="646"/>
    </row>
    <row r="429" spans="1:68" ht="27.75" hidden="1" customHeight="1" x14ac:dyDescent="0.2">
      <c r="A429" s="664" t="s">
        <v>690</v>
      </c>
      <c r="B429" s="665"/>
      <c r="C429" s="665"/>
      <c r="D429" s="665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48"/>
      <c r="AB429" s="48"/>
      <c r="AC429" s="48"/>
    </row>
    <row r="430" spans="1:68" ht="16.5" hidden="1" customHeight="1" x14ac:dyDescent="0.25">
      <c r="A430" s="676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3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1760</v>
      </c>
      <c r="Y433" s="644">
        <f t="shared" si="73"/>
        <v>1770</v>
      </c>
      <c r="Z433" s="36">
        <f>IFERROR(IF(Y433=0,"",ROUNDUP(Y433/H433,0)*0.02175),"")</f>
        <v>2.5665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1815.1466666666668</v>
      </c>
      <c r="BN433" s="64">
        <f t="shared" si="75"/>
        <v>1825.46</v>
      </c>
      <c r="BO433" s="64">
        <f t="shared" si="76"/>
        <v>2.4444444444444442</v>
      </c>
      <c r="BP433" s="64">
        <f t="shared" si="77"/>
        <v>2.458333333333333</v>
      </c>
    </row>
    <row r="434" spans="1:68" ht="27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800</v>
      </c>
      <c r="Y434" s="644">
        <f t="shared" si="73"/>
        <v>810</v>
      </c>
      <c r="Z434" s="36">
        <f>IFERROR(IF(Y434=0,"",ROUNDUP(Y434/H434,0)*0.02175),"")</f>
        <v>1.1744999999999999</v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825.06666666666672</v>
      </c>
      <c r="BN434" s="64">
        <f t="shared" si="75"/>
        <v>835.38</v>
      </c>
      <c r="BO434" s="64">
        <f t="shared" si="76"/>
        <v>1.1111111111111112</v>
      </c>
      <c r="BP434" s="64">
        <f t="shared" si="77"/>
        <v>1.125</v>
      </c>
    </row>
    <row r="435" spans="1:68" ht="27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1680</v>
      </c>
      <c r="Y435" s="644">
        <f t="shared" si="73"/>
        <v>1680</v>
      </c>
      <c r="Z435" s="36">
        <f>IFERROR(IF(Y435=0,"",ROUNDUP(Y435/H435,0)*0.02175),"")</f>
        <v>2.4359999999999999</v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1732.64</v>
      </c>
      <c r="BN435" s="64">
        <f t="shared" si="75"/>
        <v>1732.64</v>
      </c>
      <c r="BO435" s="64">
        <f t="shared" si="76"/>
        <v>2.333333333333333</v>
      </c>
      <c r="BP435" s="64">
        <f t="shared" si="77"/>
        <v>2.333333333333333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100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1040</v>
      </c>
      <c r="Y436" s="644">
        <f t="shared" si="73"/>
        <v>1050</v>
      </c>
      <c r="Z436" s="36">
        <f>IFERROR(IF(Y436=0,"",ROUNDUP(Y436/H436,0)*0.02175),"")</f>
        <v>1.5225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1072.5866666666668</v>
      </c>
      <c r="BN436" s="64">
        <f t="shared" si="75"/>
        <v>1082.9000000000001</v>
      </c>
      <c r="BO436" s="64">
        <f t="shared" si="76"/>
        <v>1.4444444444444442</v>
      </c>
      <c r="BP436" s="64">
        <f t="shared" si="77"/>
        <v>1.4583333333333333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8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351.99999999999994</v>
      </c>
      <c r="Y440" s="645">
        <f>IFERROR(Y432/H432,"0")+IFERROR(Y433/H433,"0")+IFERROR(Y434/H434,"0")+IFERROR(Y435/H435,"0")+IFERROR(Y436/H436,"0")+IFERROR(Y437/H437,"0")+IFERROR(Y438/H438,"0")+IFERROR(Y439/H439,"0")</f>
        <v>354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7.6994999999999996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5280</v>
      </c>
      <c r="Y441" s="645">
        <f>IFERROR(SUM(Y432:Y439),"0")</f>
        <v>5310</v>
      </c>
      <c r="Z441" s="37"/>
      <c r="AA441" s="646"/>
      <c r="AB441" s="646"/>
      <c r="AC441" s="646"/>
    </row>
    <row r="442" spans="1:68" ht="14.25" hidden="1" customHeight="1" x14ac:dyDescent="0.25">
      <c r="A442" s="663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480</v>
      </c>
      <c r="Y443" s="644">
        <f>IFERROR(IF(X443="",0,CEILING((X443/$H443),1)*$H443),"")</f>
        <v>480</v>
      </c>
      <c r="Z443" s="36">
        <f>IFERROR(IF(Y443=0,"",ROUNDUP(Y443/H443,0)*0.02175),"")</f>
        <v>0.69599999999999995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495.04</v>
      </c>
      <c r="BN443" s="64">
        <f>IFERROR(Y443*I443/H443,"0")</f>
        <v>495.04</v>
      </c>
      <c r="BO443" s="64">
        <f>IFERROR(1/J443*(X443/H443),"0")</f>
        <v>0.66666666666666663</v>
      </c>
      <c r="BP443" s="64">
        <f>IFERROR(1/J443*(Y443/H443),"0")</f>
        <v>0.66666666666666663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32</v>
      </c>
      <c r="Y446" s="645">
        <f>IFERROR(Y443/H443,"0")+IFERROR(Y444/H444,"0")+IFERROR(Y445/H445,"0")</f>
        <v>32</v>
      </c>
      <c r="Z446" s="645">
        <f>IFERROR(IF(Z443="",0,Z443),"0")+IFERROR(IF(Z444="",0,Z444),"0")+IFERROR(IF(Z445="",0,Z445),"0")</f>
        <v>0.69599999999999995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480</v>
      </c>
      <c r="Y447" s="645">
        <f>IFERROR(SUM(Y443:Y445),"0")</f>
        <v>480</v>
      </c>
      <c r="Z447" s="37"/>
      <c r="AA447" s="646"/>
      <c r="AB447" s="646"/>
      <c r="AC447" s="646"/>
    </row>
    <row r="448" spans="1:68" ht="14.25" hidden="1" customHeight="1" x14ac:dyDescent="0.25">
      <c r="A448" s="663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3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hidden="1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0</v>
      </c>
      <c r="Y456" s="64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0</v>
      </c>
      <c r="Y457" s="645">
        <f>IFERROR(Y455/H455,"0")+IFERROR(Y456/H456,"0")</f>
        <v>0</v>
      </c>
      <c r="Z457" s="645">
        <f>IFERROR(IF(Z455="",0,Z455),"0")+IFERROR(IF(Z456="",0,Z456),"0")</f>
        <v>0</v>
      </c>
      <c r="AA457" s="646"/>
      <c r="AB457" s="646"/>
      <c r="AC457" s="646"/>
    </row>
    <row r="458" spans="1:68" hidden="1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0</v>
      </c>
      <c r="Y458" s="645">
        <f>IFERROR(SUM(Y455:Y456),"0")</f>
        <v>0</v>
      </c>
      <c r="Z458" s="37"/>
      <c r="AA458" s="646"/>
      <c r="AB458" s="646"/>
      <c r="AC458" s="646"/>
    </row>
    <row r="459" spans="1:68" ht="16.5" hidden="1" customHeight="1" x14ac:dyDescent="0.25">
      <c r="A459" s="676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3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3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8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3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3505</v>
      </c>
      <c r="Y470" s="644">
        <f>IFERROR(IF(X470="",0,CEILING((X470/$H470),1)*$H470),"")</f>
        <v>3510</v>
      </c>
      <c r="Z470" s="36">
        <f>IFERROR(IF(Y470=0,"",ROUNDUP(Y470/H470,0)*0.01898),"")</f>
        <v>7.4022000000000006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3697.3855555555556</v>
      </c>
      <c r="BN470" s="64">
        <f>IFERROR(Y470*I470/H470,"0")</f>
        <v>3702.6600000000003</v>
      </c>
      <c r="BO470" s="64">
        <f>IFERROR(1/J470*(X470/H470),"0")</f>
        <v>6.0850694444444446</v>
      </c>
      <c r="BP470" s="64">
        <f>IFERROR(1/J470*(Y470/H470),"0")</f>
        <v>6.09375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389.44444444444446</v>
      </c>
      <c r="Y473" s="645">
        <f>IFERROR(Y470/H470,"0")+IFERROR(Y471/H471,"0")+IFERROR(Y472/H472,"0")</f>
        <v>390</v>
      </c>
      <c r="Z473" s="645">
        <f>IFERROR(IF(Z470="",0,Z470),"0")+IFERROR(IF(Z471="",0,Z471),"0")+IFERROR(IF(Z472="",0,Z472),"0")</f>
        <v>7.4022000000000006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3505</v>
      </c>
      <c r="Y474" s="645">
        <f>IFERROR(SUM(Y470:Y472),"0")</f>
        <v>3510</v>
      </c>
      <c r="Z474" s="37"/>
      <c r="AA474" s="646"/>
      <c r="AB474" s="646"/>
      <c r="AC474" s="646"/>
    </row>
    <row r="475" spans="1:68" ht="27.75" hidden="1" customHeight="1" x14ac:dyDescent="0.2">
      <c r="A475" s="664" t="s">
        <v>756</v>
      </c>
      <c r="B475" s="665"/>
      <c r="C475" s="665"/>
      <c r="D475" s="665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48"/>
      <c r="AB475" s="48"/>
      <c r="AC475" s="48"/>
    </row>
    <row r="476" spans="1:68" ht="16.5" hidden="1" customHeight="1" x14ac:dyDescent="0.25">
      <c r="A476" s="676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3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8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3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8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6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3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80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3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4" t="s">
        <v>792</v>
      </c>
      <c r="B502" s="665"/>
      <c r="C502" s="665"/>
      <c r="D502" s="665"/>
      <c r="E502" s="66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48"/>
      <c r="AB502" s="48"/>
      <c r="AC502" s="48"/>
    </row>
    <row r="503" spans="1:68" ht="16.5" hidden="1" customHeight="1" x14ac:dyDescent="0.25">
      <c r="A503" s="676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3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20</v>
      </c>
      <c r="Y505" s="644">
        <f t="shared" ref="Y505:Y513" si="83">IFERROR(IF(X505="",0,CEILING((X505/$H505),1)*$H505),"")</f>
        <v>21.12</v>
      </c>
      <c r="Z505" s="36">
        <f t="shared" ref="Z505:Z510" si="84">IFERROR(IF(Y505=0,"",ROUNDUP(Y505/H505,0)*0.01196),"")</f>
        <v>4.7840000000000001E-2</v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21.325757575757574</v>
      </c>
      <c r="BN505" s="64">
        <f t="shared" ref="BN505:BN513" si="86">IFERROR(Y505*I505/H505,"0")</f>
        <v>22.52</v>
      </c>
      <c r="BO505" s="64">
        <f t="shared" ref="BO505:BO513" si="87">IFERROR(1/J505*(X505/H505),"0")</f>
        <v>3.6421911421911424E-2</v>
      </c>
      <c r="BP505" s="64">
        <f t="shared" ref="BP505:BP513" si="88">IFERROR(1/J505*(Y505/H505),"0")</f>
        <v>3.8461538461538464E-2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0</v>
      </c>
      <c r="Y507" s="644">
        <f t="shared" si="83"/>
        <v>0</v>
      </c>
      <c r="Z507" s="36" t="str">
        <f t="shared" si="84"/>
        <v/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960</v>
      </c>
      <c r="Y508" s="644">
        <f t="shared" si="83"/>
        <v>960.96</v>
      </c>
      <c r="Z508" s="36">
        <f t="shared" si="84"/>
        <v>2.17672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1023.6363636363636</v>
      </c>
      <c r="BN508" s="64">
        <f t="shared" si="86"/>
        <v>1024.6600000000001</v>
      </c>
      <c r="BO508" s="64">
        <f t="shared" si="87"/>
        <v>1.7482517482517483</v>
      </c>
      <c r="BP508" s="64">
        <f t="shared" si="88"/>
        <v>1.75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9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1534</v>
      </c>
      <c r="Y510" s="644">
        <f t="shared" si="83"/>
        <v>1536.48</v>
      </c>
      <c r="Z510" s="36">
        <f t="shared" si="84"/>
        <v>3.4803600000000001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1635.685606060606</v>
      </c>
      <c r="BN510" s="64">
        <f t="shared" si="86"/>
        <v>1638.33</v>
      </c>
      <c r="BO510" s="64">
        <f t="shared" si="87"/>
        <v>2.793560606060606</v>
      </c>
      <c r="BP510" s="64">
        <f t="shared" si="88"/>
        <v>2.7980769230769234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476.13636363636363</v>
      </c>
      <c r="Y514" s="645">
        <f>IFERROR(Y505/H505,"0")+IFERROR(Y506/H506,"0")+IFERROR(Y507/H507,"0")+IFERROR(Y508/H508,"0")+IFERROR(Y509/H509,"0")+IFERROR(Y510/H510,"0")+IFERROR(Y511/H511,"0")+IFERROR(Y512/H512,"0")+IFERROR(Y513/H513,"0")</f>
        <v>477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5.7049199999999995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2514</v>
      </c>
      <c r="Y515" s="645">
        <f>IFERROR(SUM(Y505:Y513),"0")</f>
        <v>2518.56</v>
      </c>
      <c r="Z515" s="37"/>
      <c r="AA515" s="646"/>
      <c r="AB515" s="646"/>
      <c r="AC515" s="646"/>
    </row>
    <row r="516" spans="1:68" ht="14.25" hidden="1" customHeight="1" x14ac:dyDescent="0.25">
      <c r="A516" s="663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hidden="1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7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120</v>
      </c>
      <c r="Y519" s="644">
        <f>IFERROR(IF(X519="",0,CEILING((X519/$H519),1)*$H519),"")</f>
        <v>120</v>
      </c>
      <c r="Z519" s="36">
        <f>IFERROR(IF(Y519=0,"",ROUNDUP(Y519/H519,0)*0.00902),"")</f>
        <v>0.22550000000000001</v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172.75000000000003</v>
      </c>
      <c r="BN519" s="64">
        <f>IFERROR(Y519*I519/H519,"0")</f>
        <v>172.75000000000003</v>
      </c>
      <c r="BO519" s="64">
        <f>IFERROR(1/J519*(X519/H519),"0")</f>
        <v>0.18939393939393939</v>
      </c>
      <c r="BP519" s="64">
        <f>IFERROR(1/J519*(Y519/H519),"0")</f>
        <v>0.18939393939393939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25</v>
      </c>
      <c r="Y520" s="645">
        <f>IFERROR(Y517/H517,"0")+IFERROR(Y518/H518,"0")+IFERROR(Y519/H519,"0")</f>
        <v>25</v>
      </c>
      <c r="Z520" s="645">
        <f>IFERROR(IF(Z517="",0,Z517),"0")+IFERROR(IF(Z518="",0,Z518),"0")+IFERROR(IF(Z519="",0,Z519),"0")</f>
        <v>0.22550000000000001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120</v>
      </c>
      <c r="Y521" s="645">
        <f>IFERROR(SUM(Y517:Y519),"0")</f>
        <v>120</v>
      </c>
      <c r="Z521" s="37"/>
      <c r="AA521" s="646"/>
      <c r="AB521" s="646"/>
      <c r="AC521" s="646"/>
    </row>
    <row r="522" spans="1:68" ht="14.25" hidden="1" customHeight="1" x14ac:dyDescent="0.25">
      <c r="A522" s="663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200</v>
      </c>
      <c r="Y523" s="644">
        <f t="shared" ref="Y523:Y529" si="89">IFERROR(IF(X523="",0,CEILING((X523/$H523),1)*$H523),"")</f>
        <v>200.64000000000001</v>
      </c>
      <c r="Z523" s="36">
        <f>IFERROR(IF(Y523=0,"",ROUNDUP(Y523/H523,0)*0.01196),"")</f>
        <v>0.45448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213.25757575757575</v>
      </c>
      <c r="BN523" s="64">
        <f t="shared" ref="BN523:BN529" si="91">IFERROR(Y523*I523/H523,"0")</f>
        <v>213.94</v>
      </c>
      <c r="BO523" s="64">
        <f t="shared" ref="BO523:BO529" si="92">IFERROR(1/J523*(X523/H523),"0")</f>
        <v>0.36421911421911418</v>
      </c>
      <c r="BP523" s="64">
        <f t="shared" ref="BP523:BP529" si="93">IFERROR(1/J523*(Y523/H523),"0")</f>
        <v>0.36538461538461542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hidden="1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8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0</v>
      </c>
      <c r="Y525" s="644">
        <f t="shared" si="89"/>
        <v>0</v>
      </c>
      <c r="Z525" s="36" t="str">
        <f>IFERROR(IF(Y525=0,"",ROUNDUP(Y525/H525,0)*0.01196),"")</f>
        <v/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0</v>
      </c>
      <c r="BN525" s="64">
        <f t="shared" si="91"/>
        <v>0</v>
      </c>
      <c r="BO525" s="64">
        <f t="shared" si="92"/>
        <v>0</v>
      </c>
      <c r="BP525" s="64">
        <f t="shared" si="93"/>
        <v>0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8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8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37.878787878787875</v>
      </c>
      <c r="Y530" s="645">
        <f>IFERROR(Y523/H523,"0")+IFERROR(Y524/H524,"0")+IFERROR(Y525/H525,"0")+IFERROR(Y526/H526,"0")+IFERROR(Y527/H527,"0")+IFERROR(Y528/H528,"0")+IFERROR(Y529/H529,"0")</f>
        <v>38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0.45448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200</v>
      </c>
      <c r="Y531" s="645">
        <f>IFERROR(SUM(Y523:Y529),"0")</f>
        <v>200.64000000000001</v>
      </c>
      <c r="Z531" s="37"/>
      <c r="AA531" s="646"/>
      <c r="AB531" s="646"/>
      <c r="AC531" s="646"/>
    </row>
    <row r="532" spans="1:68" ht="27.75" hidden="1" customHeight="1" x14ac:dyDescent="0.2">
      <c r="A532" s="664" t="s">
        <v>839</v>
      </c>
      <c r="B532" s="665"/>
      <c r="C532" s="665"/>
      <c r="D532" s="665"/>
      <c r="E532" s="66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48"/>
      <c r="AB532" s="48"/>
      <c r="AC532" s="48"/>
    </row>
    <row r="533" spans="1:68" ht="16.5" hidden="1" customHeight="1" x14ac:dyDescent="0.25">
      <c r="A533" s="676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3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3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3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3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6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3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29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4"/>
      <c r="P556" s="671" t="s">
        <v>859</v>
      </c>
      <c r="Q556" s="672"/>
      <c r="R556" s="672"/>
      <c r="S556" s="672"/>
      <c r="T556" s="672"/>
      <c r="U556" s="672"/>
      <c r="V556" s="673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17505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17596.78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4"/>
      <c r="P557" s="671" t="s">
        <v>860</v>
      </c>
      <c r="Q557" s="672"/>
      <c r="R557" s="672"/>
      <c r="S557" s="672"/>
      <c r="T557" s="672"/>
      <c r="U557" s="672"/>
      <c r="V557" s="673"/>
      <c r="W557" s="37" t="s">
        <v>67</v>
      </c>
      <c r="X557" s="645">
        <f>IFERROR(SUM(BM22:BM553),"0")</f>
        <v>18479.652574832573</v>
      </c>
      <c r="Y557" s="645">
        <f>IFERROR(SUM(BN22:BN553),"0")</f>
        <v>18575.795999999998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4"/>
      <c r="P558" s="671" t="s">
        <v>861</v>
      </c>
      <c r="Q558" s="672"/>
      <c r="R558" s="672"/>
      <c r="S558" s="672"/>
      <c r="T558" s="672"/>
      <c r="U558" s="672"/>
      <c r="V558" s="673"/>
      <c r="W558" s="37" t="s">
        <v>862</v>
      </c>
      <c r="X558" s="38">
        <f>ROUNDUP(SUM(BO22:BO553),0)</f>
        <v>30</v>
      </c>
      <c r="Y558" s="38">
        <f>ROUNDUP(SUM(BP22:BP553),0)</f>
        <v>30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4"/>
      <c r="P559" s="671" t="s">
        <v>863</v>
      </c>
      <c r="Q559" s="672"/>
      <c r="R559" s="672"/>
      <c r="S559" s="672"/>
      <c r="T559" s="672"/>
      <c r="U559" s="672"/>
      <c r="V559" s="673"/>
      <c r="W559" s="37" t="s">
        <v>67</v>
      </c>
      <c r="X559" s="645">
        <f>GrossWeightTotal+PalletQtyTotal*25</f>
        <v>19229.652574832573</v>
      </c>
      <c r="Y559" s="645">
        <f>GrossWeightTotalR+PalletQtyTotalR*25</f>
        <v>19325.795999999998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4"/>
      <c r="P560" s="671" t="s">
        <v>864</v>
      </c>
      <c r="Q560" s="672"/>
      <c r="R560" s="672"/>
      <c r="S560" s="672"/>
      <c r="T560" s="672"/>
      <c r="U560" s="672"/>
      <c r="V560" s="673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2752.7293308543308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2767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4"/>
      <c r="P561" s="671" t="s">
        <v>865</v>
      </c>
      <c r="Q561" s="672"/>
      <c r="R561" s="672"/>
      <c r="S561" s="672"/>
      <c r="T561" s="672"/>
      <c r="U561" s="672"/>
      <c r="V561" s="673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34.517239999999994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13"/>
      <c r="F563" s="713"/>
      <c r="G563" s="713"/>
      <c r="H563" s="713"/>
      <c r="I563" s="713"/>
      <c r="J563" s="704"/>
      <c r="K563" s="703" t="s">
        <v>335</v>
      </c>
      <c r="L563" s="713"/>
      <c r="M563" s="713"/>
      <c r="N563" s="713"/>
      <c r="O563" s="713"/>
      <c r="P563" s="713"/>
      <c r="Q563" s="713"/>
      <c r="R563" s="713"/>
      <c r="S563" s="713"/>
      <c r="T563" s="713"/>
      <c r="U563" s="713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9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70"/>
      <c r="B565" s="710"/>
      <c r="C565" s="710"/>
      <c r="D565" s="710"/>
      <c r="E565" s="710"/>
      <c r="F565" s="710"/>
      <c r="G565" s="710"/>
      <c r="H565" s="710"/>
      <c r="I565" s="710"/>
      <c r="J565" s="710"/>
      <c r="K565" s="710"/>
      <c r="L565" s="710"/>
      <c r="M565" s="710"/>
      <c r="N565" s="641"/>
      <c r="O565" s="710"/>
      <c r="P565" s="710"/>
      <c r="Q565" s="710"/>
      <c r="R565" s="710"/>
      <c r="S565" s="710"/>
      <c r="T565" s="710"/>
      <c r="U565" s="710"/>
      <c r="V565" s="710"/>
      <c r="W565" s="710"/>
      <c r="X565" s="710"/>
      <c r="Y565" s="710"/>
      <c r="Z565" s="710"/>
      <c r="AA565" s="710"/>
      <c r="AB565" s="710"/>
      <c r="AC565" s="710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0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486.00000000000006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939.6</v>
      </c>
      <c r="F566" s="46">
        <f>IFERROR(Y88*1,"0")+IFERROR(Y89*1,"0")+IFERROR(Y90*1,"0")+IFERROR(Y91*1,"0")+IFERROR(Y92*1,"0")+IFERROR(Y96*1,"0")+IFERROR(Y97*1,"0")+IFERROR(Y98*1,"0")+IFERROR(Y99*1,"0")</f>
        <v>941.40000000000009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876.18000000000006</v>
      </c>
      <c r="H566" s="46">
        <f>IFERROR(Y134*1,"0")+IFERROR(Y135*1,"0")+IFERROR(Y139*1,"0")+IFERROR(Y140*1,"0")+IFERROR(Y144*1,"0")+IFERROR(Y145*1,"0")</f>
        <v>38.400000000000006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290.5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1205.3999999999999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0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184.8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413.4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46">
        <f>IFERROR(Y418*1,"0")+IFERROR(Y419*1,"0")</f>
        <v>0</v>
      </c>
      <c r="V566" s="46">
        <f>IFERROR(Y424*1,"0")+IFERROR(Y425*1,"0")+IFERROR(Y426*1,"0")</f>
        <v>81.900000000000006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5790</v>
      </c>
      <c r="X566" s="46">
        <f>IFERROR(Y461*1,"0")+IFERROR(Y462*1,"0")+IFERROR(Y466*1,"0")+IFERROR(Y470*1,"0")+IFERROR(Y471*1,"0")+IFERROR(Y472*1,"0")</f>
        <v>3510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2839.2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3,00"/>
        <filter val="1 040,00"/>
        <filter val="1 534,00"/>
        <filter val="1 680,00"/>
        <filter val="1 760,00"/>
        <filter val="105,00"/>
        <filter val="11,88"/>
        <filter val="120,00"/>
        <filter val="120,38"/>
        <filter val="128,00"/>
        <filter val="150,74"/>
        <filter val="163,00"/>
        <filter val="17 505,00"/>
        <filter val="18 479,65"/>
        <filter val="183,00"/>
        <filter val="19 229,65"/>
        <filter val="195,00"/>
        <filter val="2 514,00"/>
        <filter val="2 752,73"/>
        <filter val="20,00"/>
        <filter val="20,20"/>
        <filter val="200,00"/>
        <filter val="218,00"/>
        <filter val="240,00"/>
        <filter val="25,00"/>
        <filter val="266,67"/>
        <filter val="287,00"/>
        <filter val="3 505,00"/>
        <filter val="30"/>
        <filter val="32,00"/>
        <filter val="352,00"/>
        <filter val="36,11"/>
        <filter val="368,00"/>
        <filter val="37,88"/>
        <filter val="38,00"/>
        <filter val="38,10"/>
        <filter val="389,44"/>
        <filter val="40,00"/>
        <filter val="407,00"/>
        <filter val="417,92"/>
        <filter val="44,63"/>
        <filter val="476,14"/>
        <filter val="48,00"/>
        <filter val="48,44"/>
        <filter val="480,00"/>
        <filter val="482,00"/>
        <filter val="5 280,00"/>
        <filter val="50,67"/>
        <filter val="52,18"/>
        <filter val="55,00"/>
        <filter val="69,00"/>
        <filter val="720,00"/>
        <filter val="76,25"/>
        <filter val="78,00"/>
        <filter val="80,00"/>
        <filter val="800,00"/>
        <filter val="83,00"/>
        <filter val="86,11"/>
        <filter val="920,00"/>
        <filter val="930,00"/>
        <filter val="960,00"/>
      </filters>
    </filterColumn>
    <filterColumn colId="29" showButton="0"/>
    <filterColumn colId="30" showButton="0"/>
  </autoFilter>
  <mergeCells count="999">
    <mergeCell ref="C564:C565"/>
    <mergeCell ref="D286:E286"/>
    <mergeCell ref="D563:J563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I564:I565"/>
    <mergeCell ref="P444:T444"/>
    <mergeCell ref="D50:E50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D359:E359"/>
    <mergeCell ref="D347:E347"/>
    <mergeCell ref="P157:V157"/>
    <mergeCell ref="P159:T159"/>
    <mergeCell ref="D140:E140"/>
    <mergeCell ref="A138:Z138"/>
    <mergeCell ref="A12:M12"/>
    <mergeCell ref="P130:V130"/>
    <mergeCell ref="P97:T97"/>
    <mergeCell ref="Y17:Y18"/>
    <mergeCell ref="U17:V17"/>
    <mergeCell ref="D293:E293"/>
    <mergeCell ref="P58:T58"/>
    <mergeCell ref="D110:E110"/>
    <mergeCell ref="X17:X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P307:T307"/>
    <mergeCell ref="D483:E483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P71:T71"/>
    <mergeCell ref="D123:E123"/>
    <mergeCell ref="P160:V160"/>
    <mergeCell ref="P83:T83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P131:V131"/>
    <mergeCell ref="P187:V187"/>
    <mergeCell ref="P258:V258"/>
    <mergeCell ref="P439:T439"/>
    <mergeCell ref="P433:T433"/>
    <mergeCell ref="D276:E276"/>
    <mergeCell ref="P37:T37"/>
    <mergeCell ref="A78:O79"/>
    <mergeCell ref="A42:O43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A546:Z546"/>
    <mergeCell ref="P373:V373"/>
    <mergeCell ref="P202:V202"/>
    <mergeCell ref="P380:T380"/>
    <mergeCell ref="P500:V500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355:V355"/>
    <mergeCell ref="D487:E487"/>
    <mergeCell ref="A14:M14"/>
    <mergeCell ref="I17:I18"/>
    <mergeCell ref="D211:E211"/>
    <mergeCell ref="P466:T466"/>
    <mergeCell ref="A486:Z486"/>
    <mergeCell ref="P531:V531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9:Z19"/>
    <mergeCell ref="P310:T310"/>
    <mergeCell ref="D182:E182"/>
    <mergeCell ref="A489:O490"/>
    <mergeCell ref="D480:E480"/>
    <mergeCell ref="A160:O161"/>
    <mergeCell ref="D109:E109"/>
    <mergeCell ref="P424:T424"/>
    <mergeCell ref="D345:E345"/>
    <mergeCell ref="A280:O281"/>
    <mergeCell ref="P254:V254"/>
    <mergeCell ref="A349:O350"/>
    <mergeCell ref="P447:V447"/>
    <mergeCell ref="P389:V389"/>
    <mergeCell ref="D348:E348"/>
    <mergeCell ref="D62:E62"/>
    <mergeCell ref="D72:E72"/>
    <mergeCell ref="A95:Z95"/>
    <mergeCell ref="A26:Z26"/>
    <mergeCell ref="P230:T230"/>
    <mergeCell ref="A325:Z325"/>
    <mergeCell ref="P96:T96"/>
    <mergeCell ref="P90:T90"/>
    <mergeCell ref="A469:Z469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235:E235"/>
    <mergeCell ref="P214:V214"/>
    <mergeCell ref="P270:V270"/>
    <mergeCell ref="D517:E517"/>
    <mergeCell ref="P401:T401"/>
    <mergeCell ref="P268:T268"/>
    <mergeCell ref="P339:T339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D47:E47"/>
    <mergeCell ref="P136:V136"/>
    <mergeCell ref="P65:V65"/>
    <mergeCell ref="A53:Z53"/>
    <mergeCell ref="D124:E124"/>
    <mergeCell ref="P81:T81"/>
    <mergeCell ref="P56:T56"/>
    <mergeCell ref="D56:E56"/>
    <mergeCell ref="A416:Z416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D251:E251"/>
    <mergeCell ref="A549:O550"/>
    <mergeCell ref="P554:V554"/>
    <mergeCell ref="D543:E543"/>
    <mergeCell ref="D518:E518"/>
    <mergeCell ref="P252:T252"/>
    <mergeCell ref="P379:T379"/>
    <mergeCell ref="A313:Z313"/>
    <mergeCell ref="A538:Z538"/>
    <mergeCell ref="A514:O515"/>
    <mergeCell ref="D519:E519"/>
    <mergeCell ref="A496:Z496"/>
    <mergeCell ref="D513:E513"/>
    <mergeCell ref="P560:V560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P377:T377"/>
    <mergeCell ref="P206:T206"/>
    <mergeCell ref="P233:T233"/>
    <mergeCell ref="A473:O474"/>
    <mergeCell ref="D411:E411"/>
    <mergeCell ref="D482:E482"/>
    <mergeCell ref="D289:E289"/>
    <mergeCell ref="A149:Z149"/>
    <mergeCell ref="P395:V395"/>
    <mergeCell ref="P209:T209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