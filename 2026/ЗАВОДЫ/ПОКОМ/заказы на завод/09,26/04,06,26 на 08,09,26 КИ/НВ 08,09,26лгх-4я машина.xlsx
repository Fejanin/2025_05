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21C37C-9F24-479E-B296-DAB3C69C18C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62" i="1" l="1"/>
  <c r="X561" i="1"/>
  <c r="BO560" i="1"/>
  <c r="BM560" i="1"/>
  <c r="Y560" i="1"/>
  <c r="AC573" i="1" s="1"/>
  <c r="P560" i="1"/>
  <c r="X557" i="1"/>
  <c r="X556" i="1"/>
  <c r="BO555" i="1"/>
  <c r="BM555" i="1"/>
  <c r="Y555" i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M531" i="1"/>
  <c r="Y531" i="1"/>
  <c r="BN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M527" i="1"/>
  <c r="Z527" i="1"/>
  <c r="Y527" i="1"/>
  <c r="BN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BP509" i="1" s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M490" i="1"/>
  <c r="Y490" i="1"/>
  <c r="BP490" i="1" s="1"/>
  <c r="P490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P482" i="1"/>
  <c r="BO482" i="1"/>
  <c r="BM482" i="1"/>
  <c r="Z482" i="1"/>
  <c r="Y482" i="1"/>
  <c r="BN482" i="1" s="1"/>
  <c r="P482" i="1"/>
  <c r="BO481" i="1"/>
  <c r="BM481" i="1"/>
  <c r="Y481" i="1"/>
  <c r="P481" i="1"/>
  <c r="X477" i="1"/>
  <c r="X476" i="1"/>
  <c r="BO475" i="1"/>
  <c r="BM475" i="1"/>
  <c r="Y475" i="1"/>
  <c r="P475" i="1"/>
  <c r="BO474" i="1"/>
  <c r="BN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Y464" i="1"/>
  <c r="Z464" i="1" s="1"/>
  <c r="P464" i="1"/>
  <c r="X461" i="1"/>
  <c r="X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P440" i="1"/>
  <c r="BO439" i="1"/>
  <c r="BM439" i="1"/>
  <c r="Z439" i="1"/>
  <c r="Y439" i="1"/>
  <c r="BP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X431" i="1"/>
  <c r="X430" i="1"/>
  <c r="BO429" i="1"/>
  <c r="BM429" i="1"/>
  <c r="Y429" i="1"/>
  <c r="P429" i="1"/>
  <c r="BO428" i="1"/>
  <c r="BM428" i="1"/>
  <c r="Y428" i="1"/>
  <c r="P428" i="1"/>
  <c r="BO427" i="1"/>
  <c r="BN427" i="1"/>
  <c r="BM427" i="1"/>
  <c r="Y427" i="1"/>
  <c r="BP427" i="1" s="1"/>
  <c r="P427" i="1"/>
  <c r="X424" i="1"/>
  <c r="X423" i="1"/>
  <c r="BO422" i="1"/>
  <c r="BN422" i="1"/>
  <c r="BM422" i="1"/>
  <c r="Z422" i="1"/>
  <c r="Y422" i="1"/>
  <c r="Y423" i="1" s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BP415" i="1" s="1"/>
  <c r="P415" i="1"/>
  <c r="BO414" i="1"/>
  <c r="BM414" i="1"/>
  <c r="Y414" i="1"/>
  <c r="P414" i="1"/>
  <c r="X412" i="1"/>
  <c r="X411" i="1"/>
  <c r="BO410" i="1"/>
  <c r="BM410" i="1"/>
  <c r="Y410" i="1"/>
  <c r="P410" i="1"/>
  <c r="BO409" i="1"/>
  <c r="BN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P403" i="1"/>
  <c r="BO402" i="1"/>
  <c r="BM402" i="1"/>
  <c r="Y402" i="1"/>
  <c r="Y406" i="1" s="1"/>
  <c r="P402" i="1"/>
  <c r="BO401" i="1"/>
  <c r="BN401" i="1"/>
  <c r="BM401" i="1"/>
  <c r="Y401" i="1"/>
  <c r="BP401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Y383" i="1"/>
  <c r="Z383" i="1" s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P370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M357" i="1"/>
  <c r="Z357" i="1"/>
  <c r="Y357" i="1"/>
  <c r="BN357" i="1" s="1"/>
  <c r="P357" i="1"/>
  <c r="X355" i="1"/>
  <c r="X354" i="1"/>
  <c r="BO353" i="1"/>
  <c r="BN353" i="1"/>
  <c r="BM353" i="1"/>
  <c r="Y353" i="1"/>
  <c r="BP353" i="1" s="1"/>
  <c r="P353" i="1"/>
  <c r="BO352" i="1"/>
  <c r="BM352" i="1"/>
  <c r="Y352" i="1"/>
  <c r="P352" i="1"/>
  <c r="BP351" i="1"/>
  <c r="BO351" i="1"/>
  <c r="BN351" i="1"/>
  <c r="BM351" i="1"/>
  <c r="Y351" i="1"/>
  <c r="Z351" i="1" s="1"/>
  <c r="P351" i="1"/>
  <c r="BO350" i="1"/>
  <c r="BM350" i="1"/>
  <c r="Y350" i="1"/>
  <c r="P350" i="1"/>
  <c r="BO349" i="1"/>
  <c r="BM349" i="1"/>
  <c r="Y349" i="1"/>
  <c r="P349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Z337" i="1"/>
  <c r="Y337" i="1"/>
  <c r="BP337" i="1" s="1"/>
  <c r="P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X330" i="1"/>
  <c r="X329" i="1"/>
  <c r="BP328" i="1"/>
  <c r="BO328" i="1"/>
  <c r="BN328" i="1"/>
  <c r="BM328" i="1"/>
  <c r="Y328" i="1"/>
  <c r="Z328" i="1" s="1"/>
  <c r="P328" i="1"/>
  <c r="BO327" i="1"/>
  <c r="BM327" i="1"/>
  <c r="Y327" i="1"/>
  <c r="P327" i="1"/>
  <c r="BO326" i="1"/>
  <c r="BM326" i="1"/>
  <c r="Y326" i="1"/>
  <c r="P326" i="1"/>
  <c r="X324" i="1"/>
  <c r="Y323" i="1"/>
  <c r="X323" i="1"/>
  <c r="BO322" i="1"/>
  <c r="BN322" i="1"/>
  <c r="BM322" i="1"/>
  <c r="Y322" i="1"/>
  <c r="Y324" i="1" s="1"/>
  <c r="P322" i="1"/>
  <c r="X320" i="1"/>
  <c r="X319" i="1"/>
  <c r="BO318" i="1"/>
  <c r="BM318" i="1"/>
  <c r="Y318" i="1"/>
  <c r="P318" i="1"/>
  <c r="X316" i="1"/>
  <c r="X315" i="1"/>
  <c r="BP314" i="1"/>
  <c r="BO314" i="1"/>
  <c r="BN314" i="1"/>
  <c r="BM314" i="1"/>
  <c r="Y314" i="1"/>
  <c r="Z314" i="1" s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5" i="1"/>
  <c r="X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N297" i="1" s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M289" i="1"/>
  <c r="Z289" i="1"/>
  <c r="Y289" i="1"/>
  <c r="BN289" i="1" s="1"/>
  <c r="P289" i="1"/>
  <c r="BO288" i="1"/>
  <c r="BM288" i="1"/>
  <c r="Y288" i="1"/>
  <c r="P288" i="1"/>
  <c r="BO287" i="1"/>
  <c r="BM287" i="1"/>
  <c r="Y287" i="1"/>
  <c r="P287" i="1"/>
  <c r="X285" i="1"/>
  <c r="X284" i="1"/>
  <c r="BO283" i="1"/>
  <c r="BM283" i="1"/>
  <c r="Y283" i="1"/>
  <c r="BP283" i="1" s="1"/>
  <c r="P283" i="1"/>
  <c r="BP282" i="1"/>
  <c r="BO282" i="1"/>
  <c r="BM282" i="1"/>
  <c r="Z282" i="1"/>
  <c r="Y282" i="1"/>
  <c r="BN282" i="1" s="1"/>
  <c r="P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N278" i="1"/>
  <c r="BM278" i="1"/>
  <c r="Y278" i="1"/>
  <c r="BP278" i="1" s="1"/>
  <c r="P278" i="1"/>
  <c r="BO277" i="1"/>
  <c r="BM277" i="1"/>
  <c r="Y277" i="1"/>
  <c r="BP277" i="1" s="1"/>
  <c r="P277" i="1"/>
  <c r="BO276" i="1"/>
  <c r="BN276" i="1"/>
  <c r="BM276" i="1"/>
  <c r="Z276" i="1"/>
  <c r="Y276" i="1"/>
  <c r="BP276" i="1" s="1"/>
  <c r="P276" i="1"/>
  <c r="X274" i="1"/>
  <c r="X273" i="1"/>
  <c r="BO272" i="1"/>
  <c r="BM272" i="1"/>
  <c r="Y272" i="1"/>
  <c r="BP272" i="1" s="1"/>
  <c r="P272" i="1"/>
  <c r="BO271" i="1"/>
  <c r="BM271" i="1"/>
  <c r="Y271" i="1"/>
  <c r="Y273" i="1" s="1"/>
  <c r="P271" i="1"/>
  <c r="X269" i="1"/>
  <c r="X268" i="1"/>
  <c r="BO267" i="1"/>
  <c r="BM267" i="1"/>
  <c r="Y267" i="1"/>
  <c r="P267" i="1"/>
  <c r="BO266" i="1"/>
  <c r="BM266" i="1"/>
  <c r="Y266" i="1"/>
  <c r="P266" i="1"/>
  <c r="X263" i="1"/>
  <c r="X262" i="1"/>
  <c r="BP261" i="1"/>
  <c r="BO261" i="1"/>
  <c r="BM261" i="1"/>
  <c r="Y261" i="1"/>
  <c r="Y263" i="1" s="1"/>
  <c r="P261" i="1"/>
  <c r="X259" i="1"/>
  <c r="X258" i="1"/>
  <c r="BO257" i="1"/>
  <c r="BN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3" i="1"/>
  <c r="X252" i="1"/>
  <c r="BO251" i="1"/>
  <c r="BN251" i="1"/>
  <c r="BM251" i="1"/>
  <c r="Y251" i="1"/>
  <c r="BP251" i="1" s="1"/>
  <c r="P251" i="1"/>
  <c r="BO250" i="1"/>
  <c r="BM250" i="1"/>
  <c r="Y250" i="1"/>
  <c r="P250" i="1"/>
  <c r="BO249" i="1"/>
  <c r="BM249" i="1"/>
  <c r="Z249" i="1"/>
  <c r="Y249" i="1"/>
  <c r="BP249" i="1" s="1"/>
  <c r="P249" i="1"/>
  <c r="BO248" i="1"/>
  <c r="BM248" i="1"/>
  <c r="Y248" i="1"/>
  <c r="P248" i="1"/>
  <c r="BO247" i="1"/>
  <c r="BM247" i="1"/>
  <c r="Y247" i="1"/>
  <c r="BN247" i="1" s="1"/>
  <c r="P247" i="1"/>
  <c r="X245" i="1"/>
  <c r="X244" i="1"/>
  <c r="BP243" i="1"/>
  <c r="BO243" i="1"/>
  <c r="BM243" i="1"/>
  <c r="Y243" i="1"/>
  <c r="BN243" i="1" s="1"/>
  <c r="P243" i="1"/>
  <c r="BO242" i="1"/>
  <c r="BM242" i="1"/>
  <c r="Y242" i="1"/>
  <c r="P242" i="1"/>
  <c r="BO241" i="1"/>
  <c r="BM241" i="1"/>
  <c r="Y241" i="1"/>
  <c r="BN241" i="1" s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N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Y235" i="1"/>
  <c r="Z235" i="1" s="1"/>
  <c r="P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P221" i="1"/>
  <c r="BO220" i="1"/>
  <c r="BN220" i="1"/>
  <c r="BM220" i="1"/>
  <c r="Y220" i="1"/>
  <c r="BP220" i="1" s="1"/>
  <c r="P220" i="1"/>
  <c r="BO219" i="1"/>
  <c r="BM219" i="1"/>
  <c r="Y219" i="1"/>
  <c r="P219" i="1"/>
  <c r="BO218" i="1"/>
  <c r="BN218" i="1"/>
  <c r="BM218" i="1"/>
  <c r="Y218" i="1"/>
  <c r="BP218" i="1" s="1"/>
  <c r="P218" i="1"/>
  <c r="BO217" i="1"/>
  <c r="BM217" i="1"/>
  <c r="Y217" i="1"/>
  <c r="P217" i="1"/>
  <c r="BO216" i="1"/>
  <c r="BM216" i="1"/>
  <c r="Y216" i="1"/>
  <c r="BN216" i="1" s="1"/>
  <c r="P216" i="1"/>
  <c r="BO215" i="1"/>
  <c r="BM215" i="1"/>
  <c r="Y215" i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Y200" i="1"/>
  <c r="Z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N194" i="1"/>
  <c r="BM194" i="1"/>
  <c r="Y194" i="1"/>
  <c r="BP194" i="1" s="1"/>
  <c r="P194" i="1"/>
  <c r="BO193" i="1"/>
  <c r="BM193" i="1"/>
  <c r="Y193" i="1"/>
  <c r="BO192" i="1"/>
  <c r="BM192" i="1"/>
  <c r="Y192" i="1"/>
  <c r="P192" i="1"/>
  <c r="BO191" i="1"/>
  <c r="BM191" i="1"/>
  <c r="Y191" i="1"/>
  <c r="BN191" i="1" s="1"/>
  <c r="P191" i="1"/>
  <c r="BO190" i="1"/>
  <c r="BM190" i="1"/>
  <c r="Y190" i="1"/>
  <c r="P190" i="1"/>
  <c r="BO189" i="1"/>
  <c r="BM189" i="1"/>
  <c r="Y189" i="1"/>
  <c r="BP188" i="1"/>
  <c r="BO188" i="1"/>
  <c r="BM188" i="1"/>
  <c r="Z188" i="1"/>
  <c r="Y188" i="1"/>
  <c r="BN188" i="1" s="1"/>
  <c r="P188" i="1"/>
  <c r="BO187" i="1"/>
  <c r="BM187" i="1"/>
  <c r="Y187" i="1"/>
  <c r="BO186" i="1"/>
  <c r="BM186" i="1"/>
  <c r="Y186" i="1"/>
  <c r="P186" i="1"/>
  <c r="BO185" i="1"/>
  <c r="BM185" i="1"/>
  <c r="Y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M182" i="1"/>
  <c r="Z182" i="1"/>
  <c r="Y182" i="1"/>
  <c r="BN182" i="1" s="1"/>
  <c r="P182" i="1"/>
  <c r="X180" i="1"/>
  <c r="X179" i="1"/>
  <c r="BP178" i="1"/>
  <c r="BO178" i="1"/>
  <c r="BM178" i="1"/>
  <c r="Y178" i="1"/>
  <c r="BN178" i="1" s="1"/>
  <c r="P178" i="1"/>
  <c r="BO177" i="1"/>
  <c r="BM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X168" i="1"/>
  <c r="X167" i="1"/>
  <c r="BO166" i="1"/>
  <c r="BM166" i="1"/>
  <c r="Y166" i="1"/>
  <c r="Y168" i="1" s="1"/>
  <c r="P166" i="1"/>
  <c r="X164" i="1"/>
  <c r="X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BO160" i="1"/>
  <c r="BM160" i="1"/>
  <c r="Y160" i="1"/>
  <c r="BP160" i="1" s="1"/>
  <c r="P160" i="1"/>
  <c r="BO159" i="1"/>
  <c r="BM159" i="1"/>
  <c r="Y159" i="1"/>
  <c r="BN159" i="1" s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I573" i="1" s="1"/>
  <c r="P156" i="1"/>
  <c r="X153" i="1"/>
  <c r="X152" i="1"/>
  <c r="BO151" i="1"/>
  <c r="BM151" i="1"/>
  <c r="Y151" i="1"/>
  <c r="P151" i="1"/>
  <c r="BP150" i="1"/>
  <c r="BO150" i="1"/>
  <c r="BM150" i="1"/>
  <c r="Z150" i="1"/>
  <c r="Y150" i="1"/>
  <c r="P150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7" i="1"/>
  <c r="X136" i="1"/>
  <c r="BP135" i="1"/>
  <c r="BO135" i="1"/>
  <c r="BM135" i="1"/>
  <c r="Z135" i="1"/>
  <c r="Y135" i="1"/>
  <c r="BN135" i="1" s="1"/>
  <c r="BO134" i="1"/>
  <c r="BM134" i="1"/>
  <c r="Y134" i="1"/>
  <c r="BN134" i="1" s="1"/>
  <c r="P134" i="1"/>
  <c r="X132" i="1"/>
  <c r="X131" i="1"/>
  <c r="BO130" i="1"/>
  <c r="BM130" i="1"/>
  <c r="Y130" i="1"/>
  <c r="BP129" i="1"/>
  <c r="BO129" i="1"/>
  <c r="BM129" i="1"/>
  <c r="Y129" i="1"/>
  <c r="BN129" i="1" s="1"/>
  <c r="P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O125" i="1"/>
  <c r="BM125" i="1"/>
  <c r="Y125" i="1"/>
  <c r="BN125" i="1" s="1"/>
  <c r="P125" i="1"/>
  <c r="BO124" i="1"/>
  <c r="BM124" i="1"/>
  <c r="Y124" i="1"/>
  <c r="BP124" i="1" s="1"/>
  <c r="BO123" i="1"/>
  <c r="BM123" i="1"/>
  <c r="Y123" i="1"/>
  <c r="P123" i="1"/>
  <c r="X121" i="1"/>
  <c r="X120" i="1"/>
  <c r="BO119" i="1"/>
  <c r="BM119" i="1"/>
  <c r="Y119" i="1"/>
  <c r="BP119" i="1" s="1"/>
  <c r="P119" i="1"/>
  <c r="BP118" i="1"/>
  <c r="BO118" i="1"/>
  <c r="BM118" i="1"/>
  <c r="Z118" i="1"/>
  <c r="Y118" i="1"/>
  <c r="BN118" i="1" s="1"/>
  <c r="P118" i="1"/>
  <c r="BO117" i="1"/>
  <c r="BM117" i="1"/>
  <c r="Y117" i="1"/>
  <c r="BP117" i="1" s="1"/>
  <c r="P117" i="1"/>
  <c r="BP116" i="1"/>
  <c r="BO116" i="1"/>
  <c r="BM116" i="1"/>
  <c r="Z116" i="1"/>
  <c r="Y116" i="1"/>
  <c r="BN116" i="1" s="1"/>
  <c r="P116" i="1"/>
  <c r="BO115" i="1"/>
  <c r="BM115" i="1"/>
  <c r="Y115" i="1"/>
  <c r="Y121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P109" i="1"/>
  <c r="BO108" i="1"/>
  <c r="BM108" i="1"/>
  <c r="Y108" i="1"/>
  <c r="BP108" i="1" s="1"/>
  <c r="P108" i="1"/>
  <c r="BO107" i="1"/>
  <c r="BN107" i="1"/>
  <c r="BM107" i="1"/>
  <c r="Z107" i="1"/>
  <c r="Y107" i="1"/>
  <c r="BP107" i="1" s="1"/>
  <c r="P107" i="1"/>
  <c r="BO106" i="1"/>
  <c r="BM106" i="1"/>
  <c r="Y106" i="1"/>
  <c r="BP106" i="1" s="1"/>
  <c r="P106" i="1"/>
  <c r="BP105" i="1"/>
  <c r="BO105" i="1"/>
  <c r="BM105" i="1"/>
  <c r="Z105" i="1"/>
  <c r="Y105" i="1"/>
  <c r="BN105" i="1" s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BP97" i="1"/>
  <c r="BO97" i="1"/>
  <c r="BM97" i="1"/>
  <c r="Z97" i="1"/>
  <c r="Y97" i="1"/>
  <c r="BN97" i="1" s="1"/>
  <c r="P97" i="1"/>
  <c r="BO96" i="1"/>
  <c r="BM96" i="1"/>
  <c r="Y96" i="1"/>
  <c r="BP96" i="1" s="1"/>
  <c r="BO95" i="1"/>
  <c r="BM95" i="1"/>
  <c r="Y95" i="1"/>
  <c r="Y101" i="1" s="1"/>
  <c r="P95" i="1"/>
  <c r="BO94" i="1"/>
  <c r="BM94" i="1"/>
  <c r="Y94" i="1"/>
  <c r="BP94" i="1" s="1"/>
  <c r="BO93" i="1"/>
  <c r="BM93" i="1"/>
  <c r="Z93" i="1"/>
  <c r="Y93" i="1"/>
  <c r="BN93" i="1" s="1"/>
  <c r="P93" i="1"/>
  <c r="X91" i="1"/>
  <c r="X90" i="1"/>
  <c r="BO89" i="1"/>
  <c r="BM89" i="1"/>
  <c r="Y89" i="1"/>
  <c r="BN89" i="1" s="1"/>
  <c r="P89" i="1"/>
  <c r="BO88" i="1"/>
  <c r="BM88" i="1"/>
  <c r="Y88" i="1"/>
  <c r="BP88" i="1" s="1"/>
  <c r="P88" i="1"/>
  <c r="BO87" i="1"/>
  <c r="BM87" i="1"/>
  <c r="Z87" i="1"/>
  <c r="Y87" i="1"/>
  <c r="BN87" i="1" s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N79" i="1" s="1"/>
  <c r="P79" i="1"/>
  <c r="BO78" i="1"/>
  <c r="BM78" i="1"/>
  <c r="Y78" i="1"/>
  <c r="P78" i="1"/>
  <c r="BO77" i="1"/>
  <c r="BM77" i="1"/>
  <c r="Y77" i="1"/>
  <c r="BN77" i="1" s="1"/>
  <c r="P77" i="1"/>
  <c r="X75" i="1"/>
  <c r="X74" i="1"/>
  <c r="BO73" i="1"/>
  <c r="BM73" i="1"/>
  <c r="Y73" i="1"/>
  <c r="BN73" i="1" s="1"/>
  <c r="P73" i="1"/>
  <c r="BO72" i="1"/>
  <c r="BM72" i="1"/>
  <c r="Y72" i="1"/>
  <c r="P72" i="1"/>
  <c r="BO71" i="1"/>
  <c r="BM71" i="1"/>
  <c r="Y71" i="1"/>
  <c r="Y75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N65" i="1" s="1"/>
  <c r="P65" i="1"/>
  <c r="BO64" i="1"/>
  <c r="BM64" i="1"/>
  <c r="Y64" i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P56" i="1"/>
  <c r="BO55" i="1"/>
  <c r="BM55" i="1"/>
  <c r="Y55" i="1"/>
  <c r="BP55" i="1" s="1"/>
  <c r="P55" i="1"/>
  <c r="X52" i="1"/>
  <c r="X51" i="1"/>
  <c r="BO50" i="1"/>
  <c r="BM50" i="1"/>
  <c r="Y50" i="1"/>
  <c r="BN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N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Z55" i="1" l="1"/>
  <c r="Z191" i="1"/>
  <c r="BP216" i="1"/>
  <c r="AB573" i="1"/>
  <c r="BN310" i="1"/>
  <c r="BN379" i="1"/>
  <c r="BN459" i="1"/>
  <c r="BN55" i="1"/>
  <c r="Z159" i="1"/>
  <c r="Z391" i="1"/>
  <c r="BP191" i="1"/>
  <c r="Z67" i="1"/>
  <c r="Z89" i="1"/>
  <c r="Z247" i="1"/>
  <c r="BN391" i="1"/>
  <c r="Y460" i="1"/>
  <c r="BP159" i="1"/>
  <c r="Y179" i="1"/>
  <c r="Z241" i="1"/>
  <c r="BP422" i="1"/>
  <c r="BN439" i="1"/>
  <c r="Z486" i="1"/>
  <c r="BN67" i="1"/>
  <c r="Y62" i="1"/>
  <c r="BP89" i="1"/>
  <c r="Z218" i="1"/>
  <c r="Z233" i="1"/>
  <c r="BP247" i="1"/>
  <c r="Z297" i="1"/>
  <c r="BN415" i="1"/>
  <c r="BN435" i="1"/>
  <c r="BN486" i="1"/>
  <c r="BP241" i="1"/>
  <c r="Z531" i="1"/>
  <c r="Z178" i="1"/>
  <c r="BP233" i="1"/>
  <c r="Z261" i="1"/>
  <c r="Z262" i="1" s="1"/>
  <c r="BP297" i="1"/>
  <c r="Y68" i="1"/>
  <c r="BN86" i="1"/>
  <c r="Z129" i="1"/>
  <c r="BN293" i="1"/>
  <c r="Z344" i="1"/>
  <c r="BN261" i="1"/>
  <c r="Z28" i="1"/>
  <c r="BN344" i="1"/>
  <c r="Z501" i="1"/>
  <c r="BN28" i="1"/>
  <c r="BP93" i="1"/>
  <c r="BN98" i="1"/>
  <c r="Z125" i="1"/>
  <c r="BN140" i="1"/>
  <c r="Z243" i="1"/>
  <c r="BN272" i="1"/>
  <c r="Y430" i="1"/>
  <c r="BN441" i="1"/>
  <c r="BN172" i="1"/>
  <c r="BN249" i="1"/>
  <c r="Y262" i="1"/>
  <c r="BN337" i="1"/>
  <c r="BN501" i="1"/>
  <c r="BP87" i="1"/>
  <c r="Y152" i="1"/>
  <c r="Z216" i="1"/>
  <c r="BN94" i="1"/>
  <c r="BP125" i="1"/>
  <c r="Y143" i="1"/>
  <c r="Y304" i="1"/>
  <c r="BN333" i="1"/>
  <c r="BN371" i="1"/>
  <c r="BN126" i="1"/>
  <c r="BP126" i="1"/>
  <c r="Z126" i="1"/>
  <c r="BN130" i="1"/>
  <c r="BP130" i="1"/>
  <c r="Z130" i="1"/>
  <c r="BN189" i="1"/>
  <c r="BP189" i="1"/>
  <c r="Z189" i="1"/>
  <c r="BN266" i="1"/>
  <c r="BP266" i="1"/>
  <c r="Z266" i="1"/>
  <c r="Y330" i="1"/>
  <c r="BN326" i="1"/>
  <c r="Y329" i="1"/>
  <c r="BP326" i="1"/>
  <c r="Z326" i="1"/>
  <c r="BN349" i="1"/>
  <c r="BP349" i="1"/>
  <c r="Z349" i="1"/>
  <c r="BN429" i="1"/>
  <c r="BP429" i="1"/>
  <c r="Z429" i="1"/>
  <c r="BN529" i="1"/>
  <c r="BP529" i="1"/>
  <c r="Z529" i="1"/>
  <c r="J9" i="1"/>
  <c r="F10" i="1"/>
  <c r="Z22" i="1"/>
  <c r="BP22" i="1"/>
  <c r="Y32" i="1"/>
  <c r="Z30" i="1"/>
  <c r="BP30" i="1"/>
  <c r="C573" i="1"/>
  <c r="Z40" i="1"/>
  <c r="BP40" i="1"/>
  <c r="D573" i="1"/>
  <c r="Z50" i="1"/>
  <c r="BP50" i="1"/>
  <c r="Z57" i="1"/>
  <c r="BP57" i="1"/>
  <c r="Z65" i="1"/>
  <c r="BP65" i="1"/>
  <c r="Z71" i="1"/>
  <c r="BP71" i="1"/>
  <c r="BN109" i="1"/>
  <c r="BP109" i="1"/>
  <c r="Z109" i="1"/>
  <c r="BN239" i="1"/>
  <c r="BP239" i="1"/>
  <c r="Z239" i="1"/>
  <c r="BN280" i="1"/>
  <c r="BP280" i="1"/>
  <c r="Z280" i="1"/>
  <c r="BN287" i="1"/>
  <c r="BP287" i="1"/>
  <c r="Z287" i="1"/>
  <c r="BN312" i="1"/>
  <c r="BP312" i="1"/>
  <c r="Z312" i="1"/>
  <c r="BN381" i="1"/>
  <c r="BP381" i="1"/>
  <c r="Z381" i="1"/>
  <c r="BN403" i="1"/>
  <c r="BP403" i="1"/>
  <c r="Z403" i="1"/>
  <c r="BN555" i="1"/>
  <c r="BP555" i="1"/>
  <c r="Z555" i="1"/>
  <c r="X567" i="1"/>
  <c r="BN157" i="1"/>
  <c r="BP157" i="1"/>
  <c r="Z157" i="1"/>
  <c r="Y320" i="1"/>
  <c r="Y319" i="1"/>
  <c r="BN318" i="1"/>
  <c r="BP318" i="1"/>
  <c r="Z318" i="1"/>
  <c r="Z319" i="1" s="1"/>
  <c r="BN335" i="1"/>
  <c r="BP335" i="1"/>
  <c r="Z335" i="1"/>
  <c r="BN373" i="1"/>
  <c r="BP373" i="1"/>
  <c r="Z373" i="1"/>
  <c r="BN389" i="1"/>
  <c r="BP389" i="1"/>
  <c r="Z389" i="1"/>
  <c r="BN453" i="1"/>
  <c r="BP453" i="1"/>
  <c r="Z453" i="1"/>
  <c r="BN513" i="1"/>
  <c r="BP513" i="1"/>
  <c r="Z513" i="1"/>
  <c r="F9" i="1"/>
  <c r="BN71" i="1"/>
  <c r="Y74" i="1"/>
  <c r="BP73" i="1"/>
  <c r="Z73" i="1"/>
  <c r="Y82" i="1"/>
  <c r="BP79" i="1"/>
  <c r="Z79" i="1"/>
  <c r="BN185" i="1"/>
  <c r="BP185" i="1"/>
  <c r="Z185" i="1"/>
  <c r="BN231" i="1"/>
  <c r="BP231" i="1"/>
  <c r="Z231" i="1"/>
  <c r="BN295" i="1"/>
  <c r="BP295" i="1"/>
  <c r="Z295" i="1"/>
  <c r="BN303" i="1"/>
  <c r="BP303" i="1"/>
  <c r="Z303" i="1"/>
  <c r="BN342" i="1"/>
  <c r="BP342" i="1"/>
  <c r="Z342" i="1"/>
  <c r="BN364" i="1"/>
  <c r="BP364" i="1"/>
  <c r="Z364" i="1"/>
  <c r="Y399" i="1"/>
  <c r="BN395" i="1"/>
  <c r="Y398" i="1"/>
  <c r="BP395" i="1"/>
  <c r="Z395" i="1"/>
  <c r="BN437" i="1"/>
  <c r="BP437" i="1"/>
  <c r="Z437" i="1"/>
  <c r="BN521" i="1"/>
  <c r="BP521" i="1"/>
  <c r="Z521" i="1"/>
  <c r="Y81" i="1"/>
  <c r="F573" i="1"/>
  <c r="BN110" i="1"/>
  <c r="Y137" i="1"/>
  <c r="J573" i="1"/>
  <c r="Y315" i="1"/>
  <c r="Y386" i="1"/>
  <c r="BN484" i="1"/>
  <c r="BN490" i="1"/>
  <c r="BN509" i="1"/>
  <c r="BN560" i="1"/>
  <c r="Y561" i="1"/>
  <c r="Z77" i="1"/>
  <c r="BP77" i="1"/>
  <c r="Z86" i="1"/>
  <c r="Z94" i="1"/>
  <c r="Z98" i="1"/>
  <c r="G573" i="1"/>
  <c r="Z134" i="1"/>
  <c r="Z136" i="1" s="1"/>
  <c r="BP134" i="1"/>
  <c r="Y136" i="1"/>
  <c r="Z140" i="1"/>
  <c r="BN150" i="1"/>
  <c r="Y153" i="1"/>
  <c r="Z172" i="1"/>
  <c r="Z194" i="1"/>
  <c r="Z220" i="1"/>
  <c r="Z237" i="1"/>
  <c r="Z251" i="1"/>
  <c r="Z257" i="1"/>
  <c r="Z272" i="1"/>
  <c r="Z278" i="1"/>
  <c r="Z293" i="1"/>
  <c r="Z310" i="1"/>
  <c r="Z333" i="1"/>
  <c r="Z371" i="1"/>
  <c r="Z379" i="1"/>
  <c r="Z401" i="1"/>
  <c r="Z409" i="1"/>
  <c r="Y418" i="1"/>
  <c r="Z427" i="1"/>
  <c r="Z435" i="1"/>
  <c r="Z459" i="1"/>
  <c r="Y100" i="1"/>
  <c r="Z110" i="1"/>
  <c r="Y131" i="1"/>
  <c r="Y196" i="1"/>
  <c r="Y223" i="1"/>
  <c r="Y269" i="1"/>
  <c r="Y300" i="1"/>
  <c r="Z322" i="1"/>
  <c r="Z323" i="1" s="1"/>
  <c r="BP322" i="1"/>
  <c r="Y345" i="1"/>
  <c r="Z353" i="1"/>
  <c r="Y359" i="1"/>
  <c r="Z415" i="1"/>
  <c r="Z441" i="1"/>
  <c r="Z474" i="1"/>
  <c r="Z484" i="1"/>
  <c r="Z490" i="1"/>
  <c r="Z509" i="1"/>
  <c r="Z560" i="1"/>
  <c r="Z561" i="1" s="1"/>
  <c r="BP560" i="1"/>
  <c r="Y25" i="1"/>
  <c r="Y33" i="1"/>
  <c r="Y43" i="1"/>
  <c r="H9" i="1"/>
  <c r="B573" i="1"/>
  <c r="X564" i="1"/>
  <c r="X565" i="1"/>
  <c r="Z23" i="1"/>
  <c r="BN23" i="1"/>
  <c r="Y24" i="1"/>
  <c r="X563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73" i="1"/>
  <c r="Z56" i="1"/>
  <c r="BN56" i="1"/>
  <c r="BP56" i="1"/>
  <c r="Z58" i="1"/>
  <c r="BN58" i="1"/>
  <c r="Z60" i="1"/>
  <c r="BN60" i="1"/>
  <c r="Y61" i="1"/>
  <c r="Z64" i="1"/>
  <c r="BN64" i="1"/>
  <c r="BP64" i="1"/>
  <c r="Z66" i="1"/>
  <c r="BN66" i="1"/>
  <c r="Y69" i="1"/>
  <c r="Z72" i="1"/>
  <c r="Z74" i="1" s="1"/>
  <c r="BN72" i="1"/>
  <c r="BP72" i="1"/>
  <c r="Z78" i="1"/>
  <c r="BN78" i="1"/>
  <c r="BP78" i="1"/>
  <c r="Z80" i="1"/>
  <c r="BN80" i="1"/>
  <c r="Z85" i="1"/>
  <c r="BN85" i="1"/>
  <c r="BP85" i="1"/>
  <c r="Z88" i="1"/>
  <c r="BN88" i="1"/>
  <c r="Y91" i="1"/>
  <c r="Z95" i="1"/>
  <c r="BN95" i="1"/>
  <c r="BP95" i="1"/>
  <c r="Z96" i="1"/>
  <c r="BN96" i="1"/>
  <c r="Z99" i="1"/>
  <c r="BN99" i="1"/>
  <c r="Z104" i="1"/>
  <c r="BN104" i="1"/>
  <c r="BP104" i="1"/>
  <c r="Z106" i="1"/>
  <c r="BN106" i="1"/>
  <c r="Z108" i="1"/>
  <c r="BN108" i="1"/>
  <c r="Z111" i="1"/>
  <c r="BN111" i="1"/>
  <c r="Y112" i="1"/>
  <c r="Z115" i="1"/>
  <c r="BN115" i="1"/>
  <c r="BP115" i="1"/>
  <c r="Z117" i="1"/>
  <c r="BN117" i="1"/>
  <c r="Z119" i="1"/>
  <c r="BN119" i="1"/>
  <c r="Y120" i="1"/>
  <c r="Z123" i="1"/>
  <c r="Z131" i="1" s="1"/>
  <c r="BN123" i="1"/>
  <c r="BP123" i="1"/>
  <c r="Z124" i="1"/>
  <c r="BN124" i="1"/>
  <c r="Z127" i="1"/>
  <c r="BN127" i="1"/>
  <c r="Z128" i="1"/>
  <c r="BN128" i="1"/>
  <c r="Y132" i="1"/>
  <c r="H573" i="1"/>
  <c r="Z141" i="1"/>
  <c r="Z142" i="1" s="1"/>
  <c r="BN141" i="1"/>
  <c r="BP141" i="1"/>
  <c r="Y142" i="1"/>
  <c r="Z145" i="1"/>
  <c r="Z147" i="1" s="1"/>
  <c r="BN145" i="1"/>
  <c r="BP145" i="1"/>
  <c r="Y148" i="1"/>
  <c r="Z151" i="1"/>
  <c r="Z152" i="1" s="1"/>
  <c r="BN151" i="1"/>
  <c r="BP151" i="1"/>
  <c r="Z156" i="1"/>
  <c r="BN156" i="1"/>
  <c r="BP156" i="1"/>
  <c r="Z158" i="1"/>
  <c r="BN158" i="1"/>
  <c r="Z160" i="1"/>
  <c r="BN160" i="1"/>
  <c r="Z162" i="1"/>
  <c r="BN162" i="1"/>
  <c r="Y163" i="1"/>
  <c r="Z166" i="1"/>
  <c r="Z167" i="1" s="1"/>
  <c r="BN166" i="1"/>
  <c r="BP166" i="1"/>
  <c r="Y167" i="1"/>
  <c r="Z171" i="1"/>
  <c r="BN171" i="1"/>
  <c r="BP171" i="1"/>
  <c r="Z173" i="1"/>
  <c r="BN173" i="1"/>
  <c r="Y174" i="1"/>
  <c r="BP183" i="1"/>
  <c r="BN183" i="1"/>
  <c r="Z183" i="1"/>
  <c r="BP187" i="1"/>
  <c r="BN187" i="1"/>
  <c r="Z187" i="1"/>
  <c r="BP192" i="1"/>
  <c r="BN192" i="1"/>
  <c r="Z192" i="1"/>
  <c r="BP195" i="1"/>
  <c r="BN195" i="1"/>
  <c r="Z195" i="1"/>
  <c r="Y197" i="1"/>
  <c r="Y202" i="1"/>
  <c r="BP199" i="1"/>
  <c r="BN199" i="1"/>
  <c r="Z199" i="1"/>
  <c r="BP217" i="1"/>
  <c r="BN217" i="1"/>
  <c r="Z217" i="1"/>
  <c r="BP221" i="1"/>
  <c r="BN221" i="1"/>
  <c r="Z221" i="1"/>
  <c r="L573" i="1"/>
  <c r="Y227" i="1"/>
  <c r="BP226" i="1"/>
  <c r="BN226" i="1"/>
  <c r="Z226" i="1"/>
  <c r="Z227" i="1" s="1"/>
  <c r="Y228" i="1"/>
  <c r="Y245" i="1"/>
  <c r="BP230" i="1"/>
  <c r="BN230" i="1"/>
  <c r="Z230" i="1"/>
  <c r="BP234" i="1"/>
  <c r="BN234" i="1"/>
  <c r="Z234" i="1"/>
  <c r="BP238" i="1"/>
  <c r="BN238" i="1"/>
  <c r="Z238" i="1"/>
  <c r="BP242" i="1"/>
  <c r="BN242" i="1"/>
  <c r="Z242" i="1"/>
  <c r="Y253" i="1"/>
  <c r="BP250" i="1"/>
  <c r="BN250" i="1"/>
  <c r="Z250" i="1"/>
  <c r="Y259" i="1"/>
  <c r="Y51" i="1"/>
  <c r="Y90" i="1"/>
  <c r="Y113" i="1"/>
  <c r="Y164" i="1"/>
  <c r="Y175" i="1"/>
  <c r="Y180" i="1"/>
  <c r="BP177" i="1"/>
  <c r="BN177" i="1"/>
  <c r="Z177" i="1"/>
  <c r="Z179" i="1" s="1"/>
  <c r="BP186" i="1"/>
  <c r="BN186" i="1"/>
  <c r="Z186" i="1"/>
  <c r="BP190" i="1"/>
  <c r="BN190" i="1"/>
  <c r="Z190" i="1"/>
  <c r="BP193" i="1"/>
  <c r="BN193" i="1"/>
  <c r="Z193" i="1"/>
  <c r="BP201" i="1"/>
  <c r="BN201" i="1"/>
  <c r="Z201" i="1"/>
  <c r="Y203" i="1"/>
  <c r="Y206" i="1"/>
  <c r="BP205" i="1"/>
  <c r="BN205" i="1"/>
  <c r="Z205" i="1"/>
  <c r="Z206" i="1" s="1"/>
  <c r="Y207" i="1"/>
  <c r="Y210" i="1"/>
  <c r="BP209" i="1"/>
  <c r="BN209" i="1"/>
  <c r="Z209" i="1"/>
  <c r="Z210" i="1" s="1"/>
  <c r="Y211" i="1"/>
  <c r="K573" i="1"/>
  <c r="Y222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BP240" i="1"/>
  <c r="BN240" i="1"/>
  <c r="Z240" i="1"/>
  <c r="Y244" i="1"/>
  <c r="Z252" i="1"/>
  <c r="BP248" i="1"/>
  <c r="BN248" i="1"/>
  <c r="Z248" i="1"/>
  <c r="Y252" i="1"/>
  <c r="Y258" i="1"/>
  <c r="BP256" i="1"/>
  <c r="BN256" i="1"/>
  <c r="Z256" i="1"/>
  <c r="Z258" i="1" s="1"/>
  <c r="M573" i="1"/>
  <c r="Z267" i="1"/>
  <c r="Z268" i="1" s="1"/>
  <c r="BN267" i="1"/>
  <c r="BP267" i="1"/>
  <c r="Y268" i="1"/>
  <c r="Z271" i="1"/>
  <c r="BN271" i="1"/>
  <c r="BP271" i="1"/>
  <c r="Y274" i="1"/>
  <c r="Y285" i="1"/>
  <c r="Z277" i="1"/>
  <c r="BN277" i="1"/>
  <c r="Z279" i="1"/>
  <c r="BN279" i="1"/>
  <c r="Z281" i="1"/>
  <c r="BN281" i="1"/>
  <c r="Z283" i="1"/>
  <c r="BN283" i="1"/>
  <c r="Y284" i="1"/>
  <c r="Y299" i="1"/>
  <c r="BP290" i="1"/>
  <c r="BN290" i="1"/>
  <c r="Z290" i="1"/>
  <c r="BP294" i="1"/>
  <c r="BN294" i="1"/>
  <c r="Z294" i="1"/>
  <c r="BP298" i="1"/>
  <c r="BN298" i="1"/>
  <c r="Z298" i="1"/>
  <c r="Y305" i="1"/>
  <c r="BP302" i="1"/>
  <c r="BN302" i="1"/>
  <c r="Z302" i="1"/>
  <c r="Z304" i="1" s="1"/>
  <c r="BP311" i="1"/>
  <c r="BN311" i="1"/>
  <c r="Z311" i="1"/>
  <c r="BP327" i="1"/>
  <c r="BN327" i="1"/>
  <c r="Z327" i="1"/>
  <c r="Z329" i="1" s="1"/>
  <c r="Y339" i="1"/>
  <c r="BP336" i="1"/>
  <c r="BN336" i="1"/>
  <c r="Z336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93" i="1"/>
  <c r="BP388" i="1"/>
  <c r="BN388" i="1"/>
  <c r="Z388" i="1"/>
  <c r="Z392" i="1" s="1"/>
  <c r="Y392" i="1"/>
  <c r="Z398" i="1"/>
  <c r="BP396" i="1"/>
  <c r="BN396" i="1"/>
  <c r="Z396" i="1"/>
  <c r="Y405" i="1"/>
  <c r="BP404" i="1"/>
  <c r="BN404" i="1"/>
  <c r="Z404" i="1"/>
  <c r="Y411" i="1"/>
  <c r="BP408" i="1"/>
  <c r="BN408" i="1"/>
  <c r="Z408" i="1"/>
  <c r="BP416" i="1"/>
  <c r="BN416" i="1"/>
  <c r="Z416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X573" i="1"/>
  <c r="BP288" i="1"/>
  <c r="BN288" i="1"/>
  <c r="Z288" i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Z338" i="1"/>
  <c r="BP334" i="1"/>
  <c r="BN334" i="1"/>
  <c r="Z334" i="1"/>
  <c r="Y338" i="1"/>
  <c r="BP343" i="1"/>
  <c r="BN343" i="1"/>
  <c r="Z343" i="1"/>
  <c r="Z345" i="1" s="1"/>
  <c r="BP352" i="1"/>
  <c r="BN352" i="1"/>
  <c r="Z352" i="1"/>
  <c r="Z354" i="1" s="1"/>
  <c r="BP365" i="1"/>
  <c r="BN365" i="1"/>
  <c r="Z365" i="1"/>
  <c r="Y367" i="1"/>
  <c r="T573" i="1"/>
  <c r="Y375" i="1"/>
  <c r="BP370" i="1"/>
  <c r="BN370" i="1"/>
  <c r="Z370" i="1"/>
  <c r="Z375" i="1" s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BP402" i="1"/>
  <c r="BN402" i="1"/>
  <c r="Z402" i="1"/>
  <c r="BP410" i="1"/>
  <c r="BN410" i="1"/>
  <c r="Z410" i="1"/>
  <c r="Y412" i="1"/>
  <c r="Y417" i="1"/>
  <c r="BP414" i="1"/>
  <c r="BN414" i="1"/>
  <c r="Z414" i="1"/>
  <c r="BP428" i="1"/>
  <c r="BN428" i="1"/>
  <c r="Z428" i="1"/>
  <c r="Z430" i="1" s="1"/>
  <c r="BP438" i="1"/>
  <c r="BN438" i="1"/>
  <c r="Z438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Y562" i="1"/>
  <c r="Z81" i="1" l="1"/>
  <c r="Z299" i="1"/>
  <c r="Z523" i="1"/>
  <c r="Z24" i="1"/>
  <c r="Z385" i="1"/>
  <c r="Z315" i="1"/>
  <c r="Z174" i="1"/>
  <c r="Z556" i="1"/>
  <c r="Z492" i="1"/>
  <c r="Z273" i="1"/>
  <c r="Z405" i="1"/>
  <c r="Z120" i="1"/>
  <c r="Z42" i="1"/>
  <c r="Z443" i="1"/>
  <c r="Z222" i="1"/>
  <c r="Z163" i="1"/>
  <c r="Z112" i="1"/>
  <c r="Y564" i="1"/>
  <c r="Y566" i="1" s="1"/>
  <c r="Z284" i="1"/>
  <c r="Z196" i="1"/>
  <c r="Z100" i="1"/>
  <c r="Z61" i="1"/>
  <c r="Y565" i="1"/>
  <c r="Z244" i="1"/>
  <c r="Z202" i="1"/>
  <c r="Y563" i="1"/>
  <c r="Z517" i="1"/>
  <c r="Z487" i="1"/>
  <c r="Z417" i="1"/>
  <c r="Z503" i="1"/>
  <c r="Z411" i="1"/>
  <c r="Z366" i="1"/>
  <c r="Z90" i="1"/>
  <c r="Z68" i="1"/>
  <c r="Z32" i="1"/>
  <c r="Y567" i="1"/>
  <c r="X566" i="1"/>
  <c r="Z533" i="1"/>
  <c r="Z476" i="1"/>
  <c r="Z455" i="1"/>
  <c r="Z568" i="1" l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<sst xmlns="http://schemas.openxmlformats.org/spreadsheetml/2006/main" count="2590" uniqueCount="927">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</sst>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46273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902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Вторник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6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0.5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18</v>
      </c>
      <c r="Y29" s="652">
        <f>IFERROR(IF(X29="",0,CEILING((X29/$H29),1)*$H29),"")</f>
        <v>18</v>
      </c>
      <c r="Z29" s="36">
        <f>IFERROR(IF(Y29=0,"",ROUNDUP(Y29/H29,0)*0.00651),"")</f>
        <v>6.5100000000000005E-2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31.8</v>
      </c>
      <c r="BN29" s="64">
        <f>IFERROR(Y29*I29/H29,"0")</f>
        <v>31.8</v>
      </c>
      <c r="BO29" s="64">
        <f>IFERROR(1/J29*(X29/H29),"0")</f>
        <v>5.4945054945054951E-2</v>
      </c>
      <c r="BP29" s="64">
        <f>IFERROR(1/J29*(Y29/H29),"0")</f>
        <v>5.4945054945054951E-2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10</v>
      </c>
      <c r="Y32" s="653">
        <f>IFERROR(Y27/H27,"0")+IFERROR(Y28/H28,"0")+IFERROR(Y29/H29,"0")+IFERROR(Y30/H30,"0")+IFERROR(Y31/H31,"0")</f>
        <v>10</v>
      </c>
      <c r="Z32" s="653">
        <f>IFERROR(IF(Z27="",0,Z27),"0")+IFERROR(IF(Z28="",0,Z28),"0")+IFERROR(IF(Z29="",0,Z29),"0")+IFERROR(IF(Z30="",0,Z30),"0")+IFERROR(IF(Z31="",0,Z31),"0")</f>
        <v>6.5100000000000005E-2</v>
      </c>
      <c r="AA32" s="654"/>
      <c r="AB32" s="654"/>
      <c r="AC32" s="654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18</v>
      </c>
      <c r="Y33" s="653">
        <f>IFERROR(SUM(Y27:Y31),"0")</f>
        <v>18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938</v>
      </c>
      <c r="Y47" s="652">
        <f>IFERROR(IF(X47="",0,CEILING((X47/$H47),1)*$H47),"")</f>
        <v>939.6</v>
      </c>
      <c r="Z47" s="36">
        <f>IFERROR(IF(Y47=0,"",ROUNDUP(Y47/H47,0)*0.01898),"")</f>
        <v>1.65126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973.60925925925937</v>
      </c>
      <c r="BN47" s="64">
        <f>IFERROR(Y47*I47/H47,"0")</f>
        <v>975.27</v>
      </c>
      <c r="BO47" s="64">
        <f>IFERROR(1/J47*(X47/H47),"0")</f>
        <v>1.3570601851851851</v>
      </c>
      <c r="BP47" s="64">
        <f>IFERROR(1/J47*(Y47/H47),"0")</f>
        <v>1.359375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85</v>
      </c>
      <c r="Y50" s="652">
        <f>IFERROR(IF(X50="",0,CEILING((X50/$H50),1)*$H50),"")</f>
        <v>85.100000000000009</v>
      </c>
      <c r="Z50" s="36">
        <f>IFERROR(IF(Y50=0,"",ROUNDUP(Y50/H50,0)*0.00902),"")</f>
        <v>0.20746000000000001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89.36486486486487</v>
      </c>
      <c r="BN50" s="64">
        <f>IFERROR(Y50*I50/H50,"0")</f>
        <v>89.470000000000013</v>
      </c>
      <c r="BO50" s="64">
        <f>IFERROR(1/J50*(X50/H50),"0")</f>
        <v>0.17403767403767403</v>
      </c>
      <c r="BP50" s="64">
        <f>IFERROR(1/J50*(Y50/H50),"0")</f>
        <v>0.17424242424242425</v>
      </c>
    </row>
    <row r="51" spans="1:68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109.82482482482482</v>
      </c>
      <c r="Y51" s="653">
        <f>IFERROR(Y47/H47,"0")+IFERROR(Y48/H48,"0")+IFERROR(Y49/H49,"0")+IFERROR(Y50/H50,"0")</f>
        <v>110</v>
      </c>
      <c r="Z51" s="653">
        <f>IFERROR(IF(Z47="",0,Z47),"0")+IFERROR(IF(Z48="",0,Z48),"0")+IFERROR(IF(Z49="",0,Z49),"0")+IFERROR(IF(Z50="",0,Z50),"0")</f>
        <v>1.8587199999999999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1023</v>
      </c>
      <c r="Y52" s="653">
        <f>IFERROR(SUM(Y47:Y50),"0")</f>
        <v>1024.7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115</v>
      </c>
      <c r="Y55" s="652">
        <f t="shared" ref="Y55:Y60" si="0">IFERROR(IF(X55="",0,CEILING((X55/$H55),1)*$H55),"")</f>
        <v>123.19999999999999</v>
      </c>
      <c r="Z55" s="36">
        <f>IFERROR(IF(Y55=0,"",ROUNDUP(Y55/H55,0)*0.01898),"")</f>
        <v>0.20877999999999999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119.20982142857143</v>
      </c>
      <c r="BN55" s="64">
        <f t="shared" ref="BN55:BN60" si="2">IFERROR(Y55*I55/H55,"0")</f>
        <v>127.71</v>
      </c>
      <c r="BO55" s="64">
        <f t="shared" ref="BO55:BO60" si="3">IFERROR(1/J55*(X55/H55),"0")</f>
        <v>0.16043526785714288</v>
      </c>
      <c r="BP55" s="64">
        <f t="shared" ref="BP55:BP60" si="4">IFERROR(1/J55*(Y55/H55),"0")</f>
        <v>0.171875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309</v>
      </c>
      <c r="Y56" s="652">
        <f t="shared" si="0"/>
        <v>313.20000000000005</v>
      </c>
      <c r="Z56" s="36">
        <f>IFERROR(IF(Y56=0,"",ROUNDUP(Y56/H56,0)*0.01898),"")</f>
        <v>0.55042000000000002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320.73055555555555</v>
      </c>
      <c r="BN56" s="64">
        <f t="shared" si="2"/>
        <v>325.09000000000003</v>
      </c>
      <c r="BO56" s="64">
        <f t="shared" si="3"/>
        <v>0.4470486111111111</v>
      </c>
      <c r="BP56" s="64">
        <f t="shared" si="4"/>
        <v>0.45312500000000006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54</v>
      </c>
      <c r="Y60" s="652">
        <f t="shared" si="0"/>
        <v>54</v>
      </c>
      <c r="Z60" s="36">
        <f>IFERROR(IF(Y60=0,"",ROUNDUP(Y60/H60,0)*0.00902),"")</f>
        <v>0.10824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56.28</v>
      </c>
      <c r="BN60" s="64">
        <f t="shared" si="2"/>
        <v>56.28</v>
      </c>
      <c r="BO60" s="64">
        <f t="shared" si="3"/>
        <v>9.0909090909090912E-2</v>
      </c>
      <c r="BP60" s="64">
        <f t="shared" si="4"/>
        <v>9.0909090909090912E-2</v>
      </c>
    </row>
    <row r="61" spans="1:68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50.878968253968253</v>
      </c>
      <c r="Y61" s="653">
        <f>IFERROR(Y55/H55,"0")+IFERROR(Y56/H56,"0")+IFERROR(Y57/H57,"0")+IFERROR(Y58/H58,"0")+IFERROR(Y59/H59,"0")+IFERROR(Y60/H60,"0")</f>
        <v>52</v>
      </c>
      <c r="Z61" s="653">
        <f>IFERROR(IF(Z55="",0,Z55),"0")+IFERROR(IF(Z56="",0,Z56),"0")+IFERROR(IF(Z57="",0,Z57),"0")+IFERROR(IF(Z58="",0,Z58),"0")+IFERROR(IF(Z59="",0,Z59),"0")+IFERROR(IF(Z60="",0,Z60),"0")</f>
        <v>0.86743999999999999</v>
      </c>
      <c r="AA61" s="654"/>
      <c r="AB61" s="654"/>
      <c r="AC61" s="654"/>
    </row>
    <row r="62" spans="1:68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478</v>
      </c>
      <c r="Y62" s="653">
        <f>IFERROR(SUM(Y55:Y60),"0")</f>
        <v>490.40000000000003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hidden="1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hidden="1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267</v>
      </c>
      <c r="Y85" s="652">
        <f>IFERROR(IF(X85="",0,CEILING((X85/$H85),1)*$H85),"")</f>
        <v>270</v>
      </c>
      <c r="Z85" s="36">
        <f>IFERROR(IF(Y85=0,"",ROUNDUP(Y85/H85,0)*0.01898),"")</f>
        <v>0.47450000000000003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277.13611111111112</v>
      </c>
      <c r="BN85" s="64">
        <f>IFERROR(Y85*I85/H85,"0")</f>
        <v>280.25</v>
      </c>
      <c r="BO85" s="64">
        <f>IFERROR(1/J85*(X85/H85),"0")</f>
        <v>0.38628472222222221</v>
      </c>
      <c r="BP85" s="64">
        <f>IFERROR(1/J85*(Y85/H85),"0")</f>
        <v>0.390625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181</v>
      </c>
      <c r="Y89" s="652">
        <f>IFERROR(IF(X89="",0,CEILING((X89/$H89),1)*$H89),"")</f>
        <v>184.5</v>
      </c>
      <c r="Z89" s="36">
        <f>IFERROR(IF(Y89=0,"",ROUNDUP(Y89/H89,0)*0.00902),"")</f>
        <v>0.36982000000000004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188.64222222222224</v>
      </c>
      <c r="BN89" s="64">
        <f>IFERROR(Y89*I89/H89,"0")</f>
        <v>192.29000000000002</v>
      </c>
      <c r="BO89" s="64">
        <f>IFERROR(1/J89*(X89/H89),"0")</f>
        <v>0.30471380471380471</v>
      </c>
      <c r="BP89" s="64">
        <f>IFERROR(1/J89*(Y89/H89),"0")</f>
        <v>0.31060606060606061</v>
      </c>
    </row>
    <row r="90" spans="1:68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64.944444444444443</v>
      </c>
      <c r="Y90" s="653">
        <f>IFERROR(Y85/H85,"0")+IFERROR(Y86/H86,"0")+IFERROR(Y87/H87,"0")+IFERROR(Y88/H88,"0")+IFERROR(Y89/H89,"0")</f>
        <v>66</v>
      </c>
      <c r="Z90" s="653">
        <f>IFERROR(IF(Z85="",0,Z85),"0")+IFERROR(IF(Z86="",0,Z86),"0")+IFERROR(IF(Z87="",0,Z87),"0")+IFERROR(IF(Z88="",0,Z88),"0")+IFERROR(IF(Z89="",0,Z89),"0")</f>
        <v>0.84432000000000007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448</v>
      </c>
      <c r="Y91" s="653">
        <f>IFERROR(SUM(Y85:Y89),"0")</f>
        <v>454.5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606</v>
      </c>
      <c r="Y93" s="652">
        <f t="shared" ref="Y93:Y99" si="5">IFERROR(IF(X93="",0,CEILING((X93/$H93),1)*$H93),"")</f>
        <v>607.5</v>
      </c>
      <c r="Z93" s="36">
        <f>IFERROR(IF(Y93=0,"",ROUNDUP(Y93/H93,0)*0.01898),"")</f>
        <v>1.4235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642.95851851851853</v>
      </c>
      <c r="BN93" s="64">
        <f t="shared" ref="BN93:BN99" si="7">IFERROR(Y93*I93/H93,"0")</f>
        <v>644.54999999999995</v>
      </c>
      <c r="BO93" s="64">
        <f t="shared" ref="BO93:BO99" si="8">IFERROR(1/J93*(X93/H93),"0")</f>
        <v>1.1689814814814816</v>
      </c>
      <c r="BP93" s="64">
        <f t="shared" ref="BP93:BP99" si="9">IFERROR(1/J93*(Y93/H93),"0")</f>
        <v>1.171875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297</v>
      </c>
      <c r="Y97" s="652">
        <f t="shared" si="5"/>
        <v>297</v>
      </c>
      <c r="Z97" s="36">
        <f>IFERROR(IF(Y97=0,"",ROUNDUP(Y97/H97,0)*0.00651),"")</f>
        <v>0.71610000000000007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324.71999999999997</v>
      </c>
      <c r="BN97" s="64">
        <f t="shared" si="7"/>
        <v>324.71999999999997</v>
      </c>
      <c r="BO97" s="64">
        <f t="shared" si="8"/>
        <v>0.60439560439560436</v>
      </c>
      <c r="BP97" s="64">
        <f t="shared" si="9"/>
        <v>0.60439560439560436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184.81481481481481</v>
      </c>
      <c r="Y100" s="653">
        <f>IFERROR(Y93/H93,"0")+IFERROR(Y94/H94,"0")+IFERROR(Y95/H95,"0")+IFERROR(Y96/H96,"0")+IFERROR(Y97/H97,"0")+IFERROR(Y98/H98,"0")+IFERROR(Y99/H99,"0")</f>
        <v>185</v>
      </c>
      <c r="Z100" s="653">
        <f>IFERROR(IF(Z93="",0,Z93),"0")+IFERROR(IF(Z94="",0,Z94),"0")+IFERROR(IF(Z95="",0,Z95),"0")+IFERROR(IF(Z96="",0,Z96),"0")+IFERROR(IF(Z97="",0,Z97),"0")+IFERROR(IF(Z98="",0,Z98),"0")+IFERROR(IF(Z99="",0,Z99),"0")</f>
        <v>2.1396000000000002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903</v>
      </c>
      <c r="Y101" s="653">
        <f>IFERROR(SUM(Y93:Y99),"0")</f>
        <v>904.5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334</v>
      </c>
      <c r="Y104" s="652">
        <f t="shared" ref="Y104:Y111" si="10">IFERROR(IF(X104="",0,CEILING((X104/$H104),1)*$H104),"")</f>
        <v>334.8</v>
      </c>
      <c r="Z104" s="36">
        <f>IFERROR(IF(Y104=0,"",ROUNDUP(Y104/H104,0)*0.01898),"")</f>
        <v>0.58838000000000001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346.67962962962963</v>
      </c>
      <c r="BN104" s="64">
        <f t="shared" ref="BN104:BN111" si="12">IFERROR(Y104*I104/H104,"0")</f>
        <v>347.51000000000005</v>
      </c>
      <c r="BO104" s="64">
        <f t="shared" ref="BO104:BO111" si="13">IFERROR(1/J104*(X104/H104),"0")</f>
        <v>0.48321759259259256</v>
      </c>
      <c r="BP104" s="64">
        <f t="shared" ref="BP104:BP111" si="14">IFERROR(1/J104*(Y104/H104),"0")</f>
        <v>0.484375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128</v>
      </c>
      <c r="Y109" s="652">
        <f t="shared" si="10"/>
        <v>130.5</v>
      </c>
      <c r="Z109" s="36">
        <f>IFERROR(IF(Y109=0,"",ROUNDUP(Y109/H109,0)*0.00902),"")</f>
        <v>0.26158000000000003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133.40444444444447</v>
      </c>
      <c r="BN109" s="64">
        <f t="shared" si="12"/>
        <v>136.01000000000002</v>
      </c>
      <c r="BO109" s="64">
        <f t="shared" si="13"/>
        <v>0.21548821548821548</v>
      </c>
      <c r="BP109" s="64">
        <f t="shared" si="14"/>
        <v>0.2196969696969697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59.370370370370367</v>
      </c>
      <c r="Y112" s="653">
        <f>IFERROR(Y104/H104,"0")+IFERROR(Y105/H105,"0")+IFERROR(Y106/H106,"0")+IFERROR(Y107/H107,"0")+IFERROR(Y108/H108,"0")+IFERROR(Y109/H109,"0")+IFERROR(Y110/H110,"0")+IFERROR(Y111/H111,"0")</f>
        <v>60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0.84996000000000005</v>
      </c>
      <c r="AA112" s="654"/>
      <c r="AB112" s="654"/>
      <c r="AC112" s="654"/>
    </row>
    <row r="113" spans="1:68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462</v>
      </c>
      <c r="Y113" s="653">
        <f>IFERROR(SUM(Y104:Y111),"0")</f>
        <v>465.3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1</v>
      </c>
      <c r="Y116" s="652">
        <f>IFERROR(IF(X116="",0,CEILING((X116/$H116),1)*$H116),"")</f>
        <v>1</v>
      </c>
      <c r="Z116" s="36">
        <f>IFERROR(IF(Y116=0,"",ROUNDUP(Y116/H116,0)*0.00358),"")</f>
        <v>3.5799999999999998E-3</v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1.21</v>
      </c>
      <c r="BN116" s="64">
        <f>IFERROR(Y116*I116/H116,"0")</f>
        <v>1.21</v>
      </c>
      <c r="BO116" s="64">
        <f>IFERROR(1/J116*(X116/H116),"0")</f>
        <v>2.5510204081632651E-3</v>
      </c>
      <c r="BP116" s="64">
        <f>IFERROR(1/J116*(Y116/H116),"0")</f>
        <v>2.5510204081632651E-3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62</v>
      </c>
      <c r="Y119" s="652">
        <f>IFERROR(IF(X119="",0,CEILING((X119/$H119),1)*$H119),"")</f>
        <v>62.4</v>
      </c>
      <c r="Z119" s="36">
        <f>IFERROR(IF(Y119=0,"",ROUNDUP(Y119/H119,0)*0.00651),"")</f>
        <v>0.16925999999999999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66.650000000000006</v>
      </c>
      <c r="BN119" s="64">
        <f>IFERROR(Y119*I119/H119,"0")</f>
        <v>67.08</v>
      </c>
      <c r="BO119" s="64">
        <f>IFERROR(1/J119*(X119/H119),"0")</f>
        <v>0.14194139194139196</v>
      </c>
      <c r="BP119" s="64">
        <f>IFERROR(1/J119*(Y119/H119),"0")</f>
        <v>0.14285714285714288</v>
      </c>
    </row>
    <row r="120" spans="1:68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26.833333333333336</v>
      </c>
      <c r="Y120" s="653">
        <f>IFERROR(Y115/H115,"0")+IFERROR(Y116/H116,"0")+IFERROR(Y117/H117,"0")+IFERROR(Y118/H118,"0")+IFERROR(Y119/H119,"0")</f>
        <v>27</v>
      </c>
      <c r="Z120" s="653">
        <f>IFERROR(IF(Z115="",0,Z115),"0")+IFERROR(IF(Z116="",0,Z116),"0")+IFERROR(IF(Z117="",0,Z117),"0")+IFERROR(IF(Z118="",0,Z118),"0")+IFERROR(IF(Z119="",0,Z119),"0")</f>
        <v>0.17283999999999999</v>
      </c>
      <c r="AA120" s="654"/>
      <c r="AB120" s="654"/>
      <c r="AC120" s="654"/>
    </row>
    <row r="121" spans="1:68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63</v>
      </c>
      <c r="Y121" s="653">
        <f>IFERROR(SUM(Y115:Y119),"0")</f>
        <v>63.4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hidden="1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0</v>
      </c>
      <c r="Y123" s="652">
        <f t="shared" ref="Y123:Y130" si="15"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0</v>
      </c>
      <c r="BN123" s="64">
        <f t="shared" ref="BN123:BN130" si="17">IFERROR(Y123*I123/H123,"0")</f>
        <v>0</v>
      </c>
      <c r="BO123" s="64">
        <f t="shared" ref="BO123:BO130" si="18">IFERROR(1/J123*(X123/H123),"0")</f>
        <v>0</v>
      </c>
      <c r="BP123" s="64">
        <f t="shared" ref="BP123:BP130" si="19">IFERROR(1/J123*(Y123/H123),"0")</f>
        <v>0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hidden="1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0</v>
      </c>
      <c r="Y127" s="652">
        <f t="shared" si="15"/>
        <v>0</v>
      </c>
      <c r="Z127" s="36" t="str">
        <f t="shared" si="20"/>
        <v/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hidden="1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0</v>
      </c>
      <c r="Y131" s="653">
        <f>IFERROR(Y123/H123,"0")+IFERROR(Y124/H124,"0")+IFERROR(Y125/H125,"0")+IFERROR(Y126/H126,"0")+IFERROR(Y127/H127,"0")+IFERROR(Y128/H128,"0")+IFERROR(Y129/H129,"0")+IFERROR(Y130/H130,"0")</f>
        <v>0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54"/>
      <c r="AB131" s="654"/>
      <c r="AC131" s="654"/>
    </row>
    <row r="132" spans="1:68" hidden="1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0</v>
      </c>
      <c r="Y132" s="653">
        <f>IFERROR(SUM(Y123:Y130),"0")</f>
        <v>0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24</v>
      </c>
      <c r="Y134" s="652">
        <f>IFERROR(IF(X134="",0,CEILING((X134/$H134),1)*$H134),"")</f>
        <v>25.74</v>
      </c>
      <c r="Z134" s="36">
        <f>IFERROR(IF(Y134=0,"",ROUNDUP(Y134/H134,0)*0.00651),"")</f>
        <v>8.4629999999999997E-2</v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27.127272727272729</v>
      </c>
      <c r="BN134" s="64">
        <f>IFERROR(Y134*I134/H134,"0")</f>
        <v>29.093999999999998</v>
      </c>
      <c r="BO134" s="64">
        <f>IFERROR(1/J134*(X134/H134),"0")</f>
        <v>6.6600066600066607E-2</v>
      </c>
      <c r="BP134" s="64">
        <f>IFERROR(1/J134*(Y134/H134),"0")</f>
        <v>7.1428571428571438E-2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12.121212121212121</v>
      </c>
      <c r="Y136" s="653">
        <f>IFERROR(Y134/H134,"0")+IFERROR(Y135/H135,"0")</f>
        <v>13</v>
      </c>
      <c r="Z136" s="653">
        <f>IFERROR(IF(Z134="",0,Z134),"0")+IFERROR(IF(Z135="",0,Z135),"0")</f>
        <v>8.4629999999999997E-2</v>
      </c>
      <c r="AA136" s="654"/>
      <c r="AB136" s="654"/>
      <c r="AC136" s="654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24</v>
      </c>
      <c r="Y137" s="653">
        <f>IFERROR(SUM(Y134:Y135),"0")</f>
        <v>25.74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83</v>
      </c>
      <c r="Y140" s="652">
        <f>IFERROR(IF(X140="",0,CEILING((X140/$H140),1)*$H140),"")</f>
        <v>83.2</v>
      </c>
      <c r="Z140" s="36">
        <f>IFERROR(IF(Y140=0,"",ROUNDUP(Y140/H140,0)*0.00651),"")</f>
        <v>0.16925999999999999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87.668749999999989</v>
      </c>
      <c r="BN140" s="64">
        <f>IFERROR(Y140*I140/H140,"0")</f>
        <v>87.88</v>
      </c>
      <c r="BO140" s="64">
        <f>IFERROR(1/J140*(X140/H140),"0")</f>
        <v>0.14251373626373628</v>
      </c>
      <c r="BP140" s="64">
        <f>IFERROR(1/J140*(Y140/H140),"0")</f>
        <v>0.14285714285714288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25.9375</v>
      </c>
      <c r="Y142" s="653">
        <f>IFERROR(Y140/H140,"0")+IFERROR(Y141/H141,"0")</f>
        <v>26</v>
      </c>
      <c r="Z142" s="653">
        <f>IFERROR(IF(Z140="",0,Z140),"0")+IFERROR(IF(Z141="",0,Z141),"0")</f>
        <v>0.16925999999999999</v>
      </c>
      <c r="AA142" s="654"/>
      <c r="AB142" s="654"/>
      <c r="AC142" s="654"/>
    </row>
    <row r="143" spans="1:68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83</v>
      </c>
      <c r="Y143" s="653">
        <f>IFERROR(SUM(Y140:Y141),"0")</f>
        <v>83.2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hidden="1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hidden="1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103</v>
      </c>
      <c r="Y150" s="652">
        <f>IFERROR(IF(X150="",0,CEILING((X150/$H150),1)*$H150),"")</f>
        <v>105.60000000000001</v>
      </c>
      <c r="Z150" s="36">
        <f>IFERROR(IF(Y150=0,"",ROUNDUP(Y150/H150,0)*0.00651),"")</f>
        <v>0.26040000000000002</v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113.4560606060606</v>
      </c>
      <c r="BN150" s="64">
        <f>IFERROR(Y150*I150/H150,"0")</f>
        <v>116.32000000000001</v>
      </c>
      <c r="BO150" s="64">
        <f>IFERROR(1/J150*(X150/H150),"0")</f>
        <v>0.21436896436896438</v>
      </c>
      <c r="BP150" s="64">
        <f>IFERROR(1/J150*(Y150/H150),"0")</f>
        <v>0.2197802197802198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39.015151515151516</v>
      </c>
      <c r="Y152" s="653">
        <f>IFERROR(Y150/H150,"0")+IFERROR(Y151/H151,"0")</f>
        <v>40</v>
      </c>
      <c r="Z152" s="653">
        <f>IFERROR(IF(Z150="",0,Z150),"0")+IFERROR(IF(Z151="",0,Z151),"0")</f>
        <v>0.26040000000000002</v>
      </c>
      <c r="AA152" s="654"/>
      <c r="AB152" s="654"/>
      <c r="AC152" s="654"/>
    </row>
    <row r="153" spans="1:68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103</v>
      </c>
      <c r="Y153" s="653">
        <f>IFERROR(SUM(Y150:Y151),"0")</f>
        <v>105.60000000000001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16</v>
      </c>
      <c r="Y171" s="652">
        <f>IFERROR(IF(X171="",0,CEILING((X171/$H171),1)*$H171),"")</f>
        <v>18</v>
      </c>
      <c r="Z171" s="36">
        <f>IFERROR(IF(Y171=0,"",ROUNDUP(Y171/H171,0)*0.01196),"")</f>
        <v>3.5880000000000002E-2</v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16.933333333333334</v>
      </c>
      <c r="BN171" s="64">
        <f>IFERROR(Y171*I171/H171,"0")</f>
        <v>19.05</v>
      </c>
      <c r="BO171" s="64">
        <f>IFERROR(1/J171*(X171/H171),"0")</f>
        <v>2.564102564102564E-2</v>
      </c>
      <c r="BP171" s="64">
        <f>IFERROR(1/J171*(Y171/H171),"0")</f>
        <v>2.8846153846153848E-2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2.6666666666666665</v>
      </c>
      <c r="Y174" s="653">
        <f>IFERROR(Y171/H171,"0")+IFERROR(Y172/H172,"0")+IFERROR(Y173/H173,"0")</f>
        <v>3</v>
      </c>
      <c r="Z174" s="653">
        <f>IFERROR(IF(Z171="",0,Z171),"0")+IFERROR(IF(Z172="",0,Z172),"0")+IFERROR(IF(Z173="",0,Z173),"0")</f>
        <v>3.5880000000000002E-2</v>
      </c>
      <c r="AA174" s="654"/>
      <c r="AB174" s="654"/>
      <c r="AC174" s="654"/>
    </row>
    <row r="175" spans="1:68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16</v>
      </c>
      <c r="Y175" s="653">
        <f>IFERROR(SUM(Y171:Y173),"0")</f>
        <v>18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100</v>
      </c>
      <c r="Y182" s="652">
        <f t="shared" ref="Y182:Y195" si="27">IFERROR(IF(X182="",0,CEILING((X182/$H182),1)*$H182),"")</f>
        <v>101.5</v>
      </c>
      <c r="Z182" s="36">
        <f t="shared" ref="Z182:Z187" si="28">IFERROR(IF(Y182=0,"",ROUNDUP(Y182/H182,0)*0.00902),"")</f>
        <v>0.26158000000000003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105.42857142857143</v>
      </c>
      <c r="BN182" s="64">
        <f t="shared" ref="BN182:BN195" si="30">IFERROR(Y182*I182/H182,"0")</f>
        <v>107.00999999999999</v>
      </c>
      <c r="BO182" s="64">
        <f t="shared" ref="BO182:BO195" si="31">IFERROR(1/J182*(X182/H182),"0")</f>
        <v>0.21645021645021648</v>
      </c>
      <c r="BP182" s="64">
        <f t="shared" ref="BP182:BP195" si="32">IFERROR(1/J182*(Y182/H182),"0")</f>
        <v>0.2196969696969697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500</v>
      </c>
      <c r="Y184" s="652">
        <f t="shared" si="27"/>
        <v>500.5</v>
      </c>
      <c r="Z184" s="36">
        <f t="shared" si="28"/>
        <v>1.28986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527.14285714285711</v>
      </c>
      <c r="BN184" s="64">
        <f t="shared" si="30"/>
        <v>527.66999999999996</v>
      </c>
      <c r="BO184" s="64">
        <f t="shared" si="31"/>
        <v>1.0822510822510822</v>
      </c>
      <c r="BP184" s="64">
        <f t="shared" si="32"/>
        <v>1.0833333333333333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350</v>
      </c>
      <c r="Y186" s="652">
        <f t="shared" si="27"/>
        <v>350</v>
      </c>
      <c r="Z186" s="36">
        <f t="shared" si="28"/>
        <v>0.90200000000000002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369</v>
      </c>
      <c r="BN186" s="64">
        <f t="shared" si="30"/>
        <v>369</v>
      </c>
      <c r="BO186" s="64">
        <f t="shared" si="31"/>
        <v>0.75757575757575757</v>
      </c>
      <c r="BP186" s="64">
        <f t="shared" si="32"/>
        <v>0.75757575757575757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hidden="1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183</v>
      </c>
      <c r="Y190" s="652">
        <f t="shared" si="27"/>
        <v>183.12</v>
      </c>
      <c r="Z190" s="36">
        <f>IFERROR(IF(Y190=0,"",ROUNDUP(Y190/H190,0)*0.00502),"")</f>
        <v>0.54718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193.89285714285717</v>
      </c>
      <c r="BN190" s="64">
        <f t="shared" si="30"/>
        <v>194.02</v>
      </c>
      <c r="BO190" s="64">
        <f t="shared" si="31"/>
        <v>0.46550671550671557</v>
      </c>
      <c r="BP190" s="64">
        <f t="shared" si="32"/>
        <v>0.46581196581196588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hidden="1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0</v>
      </c>
      <c r="Y192" s="652">
        <f t="shared" si="27"/>
        <v>0</v>
      </c>
      <c r="Z192" s="36" t="str">
        <f>IFERROR(IF(Y192=0,"",ROUNDUP(Y192/H192,0)*0.00502),"")</f>
        <v/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0</v>
      </c>
      <c r="BN192" s="64">
        <f t="shared" si="30"/>
        <v>0</v>
      </c>
      <c r="BO192" s="64">
        <f t="shared" si="31"/>
        <v>0</v>
      </c>
      <c r="BP192" s="64">
        <f t="shared" si="32"/>
        <v>0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hidden="1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42</v>
      </c>
      <c r="Y195" s="652">
        <f t="shared" si="27"/>
        <v>42</v>
      </c>
      <c r="Z195" s="36">
        <f>IFERROR(IF(Y195=0,"",ROUNDUP(Y195/H195,0)*0.00502),"")</f>
        <v>0.1255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44.500000000000007</v>
      </c>
      <c r="BN195" s="64">
        <f t="shared" si="30"/>
        <v>44.500000000000007</v>
      </c>
      <c r="BO195" s="64">
        <f t="shared" si="31"/>
        <v>0.10683760683760685</v>
      </c>
      <c r="BP195" s="64">
        <f t="shared" si="32"/>
        <v>0.10683760683760685</v>
      </c>
    </row>
    <row r="196" spans="1:68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405.35714285714289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406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3.1261200000000002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1175</v>
      </c>
      <c r="Y197" s="653">
        <f>IFERROR(SUM(Y182:Y195),"0")</f>
        <v>1177.1199999999999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hidden="1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20</v>
      </c>
      <c r="Y230" s="652">
        <f t="shared" ref="Y230:Y243" si="39">IFERROR(IF(X230="",0,CEILING((X230/$H230),1)*$H230),"")</f>
        <v>21</v>
      </c>
      <c r="Z230" s="36">
        <f>IFERROR(IF(Y230=0,"",ROUNDUP(Y230/H230,0)*0.00902),"")</f>
        <v>4.5100000000000001E-2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21.19047619047619</v>
      </c>
      <c r="BN230" s="64">
        <f t="shared" ref="BN230:BN243" si="41">IFERROR(Y230*I230/H230,"0")</f>
        <v>22.25</v>
      </c>
      <c r="BO230" s="64">
        <f t="shared" ref="BO230:BO243" si="42">IFERROR(1/J230*(X230/H230),"0")</f>
        <v>3.6075036075036072E-2</v>
      </c>
      <c r="BP230" s="64">
        <f t="shared" ref="BP230:BP243" si="43">IFERROR(1/J230*(Y230/H230),"0")</f>
        <v>3.787878787878788E-2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125</v>
      </c>
      <c r="Y232" s="652">
        <f t="shared" si="39"/>
        <v>126</v>
      </c>
      <c r="Z232" s="36">
        <f>IFERROR(IF(Y232=0,"",ROUNDUP(Y232/H232,0)*0.00902),"")</f>
        <v>0.27060000000000001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130.6547619047619</v>
      </c>
      <c r="BN232" s="64">
        <f t="shared" si="41"/>
        <v>131.69999999999999</v>
      </c>
      <c r="BO232" s="64">
        <f t="shared" si="42"/>
        <v>0.22546897546897546</v>
      </c>
      <c r="BP232" s="64">
        <f t="shared" si="43"/>
        <v>0.22727272727272729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11</v>
      </c>
      <c r="Y233" s="652">
        <f t="shared" si="39"/>
        <v>11.200000000000001</v>
      </c>
      <c r="Z233" s="36">
        <f>IFERROR(IF(Y233=0,"",ROUNDUP(Y233/H233,0)*0.00556),"")</f>
        <v>7.7839999999999993E-2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12.7875</v>
      </c>
      <c r="BN233" s="64">
        <f t="shared" si="41"/>
        <v>13.020000000000001</v>
      </c>
      <c r="BO233" s="64">
        <f t="shared" si="42"/>
        <v>5.4563492063492064E-2</v>
      </c>
      <c r="BP233" s="64">
        <f t="shared" si="43"/>
        <v>5.5555555555555552E-2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25</v>
      </c>
      <c r="Y234" s="652">
        <f t="shared" si="39"/>
        <v>25.200000000000003</v>
      </c>
      <c r="Z234" s="36">
        <f t="shared" ref="Z234:Z239" si="44">IFERROR(IF(Y234=0,"",ROUNDUP(Y234/H234,0)*0.00502),"")</f>
        <v>6.0240000000000002E-2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26.547619047619047</v>
      </c>
      <c r="BN234" s="64">
        <f t="shared" si="41"/>
        <v>26.76</v>
      </c>
      <c r="BO234" s="64">
        <f t="shared" si="42"/>
        <v>5.0875050875050884E-2</v>
      </c>
      <c r="BP234" s="64">
        <f t="shared" si="43"/>
        <v>5.1282051282051287E-2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30</v>
      </c>
      <c r="Y239" s="652">
        <f t="shared" si="39"/>
        <v>30.6</v>
      </c>
      <c r="Z239" s="36">
        <f t="shared" si="44"/>
        <v>8.5339999999999999E-2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32.166666666666664</v>
      </c>
      <c r="BN239" s="64">
        <f t="shared" si="41"/>
        <v>32.81</v>
      </c>
      <c r="BO239" s="64">
        <f t="shared" si="42"/>
        <v>7.122507122507124E-2</v>
      </c>
      <c r="BP239" s="64">
        <f t="shared" si="43"/>
        <v>7.2649572649572655E-2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12</v>
      </c>
      <c r="Y240" s="652">
        <f t="shared" si="39"/>
        <v>12</v>
      </c>
      <c r="Z240" s="36">
        <f>IFERROR(IF(Y240=0,"",ROUNDUP(Y240/H240,0)*0.00417),"")</f>
        <v>6.2549999999999994E-2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15.15</v>
      </c>
      <c r="BN240" s="64">
        <f t="shared" si="41"/>
        <v>15.15</v>
      </c>
      <c r="BO240" s="64">
        <f t="shared" si="42"/>
        <v>4.4642857142857137E-2</v>
      </c>
      <c r="BP240" s="64">
        <f t="shared" si="43"/>
        <v>4.4642857142857137E-2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175</v>
      </c>
      <c r="Y241" s="652">
        <f t="shared" si="39"/>
        <v>176.4</v>
      </c>
      <c r="Z241" s="36">
        <f>IFERROR(IF(Y241=0,"",ROUNDUP(Y241/H241,0)*0.00502),"")</f>
        <v>0.42168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183.33333333333334</v>
      </c>
      <c r="BN241" s="64">
        <f t="shared" si="41"/>
        <v>184.8</v>
      </c>
      <c r="BO241" s="64">
        <f t="shared" si="42"/>
        <v>0.35612535612535612</v>
      </c>
      <c r="BP241" s="64">
        <f t="shared" si="43"/>
        <v>0.35897435897435903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175.17857142857142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177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1.02335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398</v>
      </c>
      <c r="Y245" s="653">
        <f>IFERROR(SUM(Y230:Y243),"0")</f>
        <v>402.4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11</v>
      </c>
      <c r="Y257" s="652">
        <f>IFERROR(IF(X257="",0,CEILING((X257/$H257),1)*$H257),"")</f>
        <v>11.34</v>
      </c>
      <c r="Z257" s="36">
        <f>IFERROR(IF(Y257=0,"",ROUNDUP(Y257/H257,0)*0.0059),"")</f>
        <v>5.3100000000000001E-2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12.658730158730158</v>
      </c>
      <c r="BN257" s="64">
        <f>IFERROR(Y257*I257/H257,"0")</f>
        <v>13.049999999999999</v>
      </c>
      <c r="BO257" s="64">
        <f>IFERROR(1/J257*(X257/H257),"0")</f>
        <v>4.0417401528512635E-2</v>
      </c>
      <c r="BP257" s="64">
        <f>IFERROR(1/J257*(Y257/H257),"0")</f>
        <v>4.1666666666666664E-2</v>
      </c>
    </row>
    <row r="258" spans="1:68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8.7301587301587293</v>
      </c>
      <c r="Y258" s="653">
        <f>IFERROR(Y255/H255,"0")+IFERROR(Y256/H256,"0")+IFERROR(Y257/H257,"0")</f>
        <v>9</v>
      </c>
      <c r="Z258" s="653">
        <f>IFERROR(IF(Z255="",0,Z255),"0")+IFERROR(IF(Z256="",0,Z256),"0")+IFERROR(IF(Z257="",0,Z257),"0")</f>
        <v>5.3100000000000001E-2</v>
      </c>
      <c r="AA258" s="654"/>
      <c r="AB258" s="654"/>
      <c r="AC258" s="654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11</v>
      </c>
      <c r="Y259" s="653">
        <f>IFERROR(SUM(Y255:Y257),"0")</f>
        <v>11.34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4</v>
      </c>
      <c r="Y261" s="652">
        <f>IFERROR(IF(X261="",0,CEILING((X261/$H261),1)*$H261),"")</f>
        <v>5.04</v>
      </c>
      <c r="Z261" s="36">
        <f>IFERROR(IF(Y261=0,"",ROUNDUP(Y261/H261,0)*0.0059),"")</f>
        <v>2.3599999999999999E-2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4.6031746031746028</v>
      </c>
      <c r="BN261" s="64">
        <f>IFERROR(Y261*I261/H261,"0")</f>
        <v>5.8</v>
      </c>
      <c r="BO261" s="64">
        <f>IFERROR(1/J261*(X261/H261),"0")</f>
        <v>1.469723691945914E-2</v>
      </c>
      <c r="BP261" s="64">
        <f>IFERROR(1/J261*(Y261/H261),"0")</f>
        <v>1.8518518518518517E-2</v>
      </c>
    </row>
    <row r="262" spans="1:68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3.1746031746031744</v>
      </c>
      <c r="Y262" s="653">
        <f>IFERROR(Y261/H261,"0")</f>
        <v>4</v>
      </c>
      <c r="Z262" s="653">
        <f>IFERROR(IF(Z261="",0,Z261),"0")</f>
        <v>2.3599999999999999E-2</v>
      </c>
      <c r="AA262" s="654"/>
      <c r="AB262" s="654"/>
      <c r="AC262" s="654"/>
    </row>
    <row r="263" spans="1:68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4</v>
      </c>
      <c r="Y263" s="653">
        <f>IFERROR(SUM(Y261:Y261),"0")</f>
        <v>5.04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200</v>
      </c>
      <c r="Y276" s="652">
        <f t="shared" ref="Y276:Y283" si="45">IFERROR(IF(X276="",0,CEILING((X276/$H276),1)*$H276),"")</f>
        <v>205.20000000000002</v>
      </c>
      <c r="Z276" s="36">
        <f>IFERROR(IF(Y276=0,"",ROUNDUP(Y276/H276,0)*0.00902),"")</f>
        <v>0.34276000000000001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207.03703703703701</v>
      </c>
      <c r="BN276" s="64">
        <f t="shared" ref="BN276:BN283" si="47">IFERROR(Y276*I276/H276,"0")</f>
        <v>212.42</v>
      </c>
      <c r="BO276" s="64">
        <f t="shared" ref="BO276:BO283" si="48">IFERROR(1/J276*(X276/H276),"0")</f>
        <v>0.28058361391694725</v>
      </c>
      <c r="BP276" s="64">
        <f t="shared" ref="BP276:BP283" si="49">IFERROR(1/J276*(Y276/H276),"0")</f>
        <v>0.2878787878787879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140</v>
      </c>
      <c r="Y277" s="652">
        <f t="shared" si="45"/>
        <v>140.4</v>
      </c>
      <c r="Z277" s="36">
        <f>IFERROR(IF(Y277=0,"",ROUNDUP(Y277/H277,0)*0.00902),"")</f>
        <v>0.23452000000000001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144.92592592592592</v>
      </c>
      <c r="BN277" s="64">
        <f t="shared" si="47"/>
        <v>145.34</v>
      </c>
      <c r="BO277" s="64">
        <f t="shared" si="48"/>
        <v>0.19640852974186307</v>
      </c>
      <c r="BP277" s="64">
        <f t="shared" si="49"/>
        <v>0.19696969696969696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300</v>
      </c>
      <c r="Y278" s="652">
        <f t="shared" si="45"/>
        <v>302.40000000000003</v>
      </c>
      <c r="Z278" s="36">
        <f>IFERROR(IF(Y278=0,"",ROUNDUP(Y278/H278,0)*0.00902),"")</f>
        <v>0.50512000000000001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310.55555555555554</v>
      </c>
      <c r="BN278" s="64">
        <f t="shared" si="47"/>
        <v>313.04000000000002</v>
      </c>
      <c r="BO278" s="64">
        <f t="shared" si="48"/>
        <v>0.42087542087542085</v>
      </c>
      <c r="BP278" s="64">
        <f t="shared" si="49"/>
        <v>0.42424242424242425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80</v>
      </c>
      <c r="Y279" s="652">
        <f t="shared" si="45"/>
        <v>81</v>
      </c>
      <c r="Z279" s="36">
        <f>IFERROR(IF(Y279=0,"",ROUNDUP(Y279/H279,0)*0.00902),"")</f>
        <v>0.1353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82.81481481481481</v>
      </c>
      <c r="BN279" s="64">
        <f t="shared" si="47"/>
        <v>83.85</v>
      </c>
      <c r="BO279" s="64">
        <f t="shared" si="48"/>
        <v>0.11223344556677889</v>
      </c>
      <c r="BP279" s="64">
        <f t="shared" si="49"/>
        <v>0.11363636363636363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15</v>
      </c>
      <c r="Y280" s="652">
        <f t="shared" si="45"/>
        <v>16.2</v>
      </c>
      <c r="Z280" s="36">
        <f>IFERROR(IF(Y280=0,"",ROUNDUP(Y280/H280,0)*0.00502),"")</f>
        <v>4.5179999999999998E-2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16.083333333333332</v>
      </c>
      <c r="BN280" s="64">
        <f t="shared" si="47"/>
        <v>17.369999999999997</v>
      </c>
      <c r="BO280" s="64">
        <f t="shared" si="48"/>
        <v>3.561253561253562E-2</v>
      </c>
      <c r="BP280" s="64">
        <f t="shared" si="49"/>
        <v>3.8461538461538464E-2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15</v>
      </c>
      <c r="Y281" s="652">
        <f t="shared" si="45"/>
        <v>16.2</v>
      </c>
      <c r="Z281" s="36">
        <f>IFERROR(IF(Y281=0,"",ROUNDUP(Y281/H281,0)*0.00502),"")</f>
        <v>4.5179999999999998E-2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15.833333333333332</v>
      </c>
      <c r="BN281" s="64">
        <f t="shared" si="47"/>
        <v>17.099999999999998</v>
      </c>
      <c r="BO281" s="64">
        <f t="shared" si="48"/>
        <v>3.561253561253562E-2</v>
      </c>
      <c r="BP281" s="64">
        <f t="shared" si="49"/>
        <v>3.8461538461538464E-2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21</v>
      </c>
      <c r="Y283" s="652">
        <f t="shared" si="45"/>
        <v>21.6</v>
      </c>
      <c r="Z283" s="36">
        <f>IFERROR(IF(Y283=0,"",ROUNDUP(Y283/H283,0)*0.00502),"")</f>
        <v>6.0240000000000002E-2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22.166666666666664</v>
      </c>
      <c r="BN283" s="64">
        <f t="shared" si="47"/>
        <v>22.8</v>
      </c>
      <c r="BO283" s="64">
        <f t="shared" si="48"/>
        <v>4.9857549857549859E-2</v>
      </c>
      <c r="BP283" s="64">
        <f t="shared" si="49"/>
        <v>5.1282051282051287E-2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161.66666666666666</v>
      </c>
      <c r="Y284" s="653">
        <f>IFERROR(Y276/H276,"0")+IFERROR(Y277/H277,"0")+IFERROR(Y278/H278,"0")+IFERROR(Y279/H279,"0")+IFERROR(Y280/H280,"0")+IFERROR(Y281/H281,"0")+IFERROR(Y282/H282,"0")+IFERROR(Y283/H283,"0")</f>
        <v>165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1.3683000000000001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771</v>
      </c>
      <c r="Y285" s="653">
        <f>IFERROR(SUM(Y276:Y283),"0")</f>
        <v>783.00000000000011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hidden="1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0</v>
      </c>
      <c r="Y287" s="652">
        <f t="shared" ref="Y287:Y298" si="50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0</v>
      </c>
      <c r="BN287" s="64">
        <f t="shared" ref="BN287:BN298" si="52">IFERROR(Y287*I287/H287,"0")</f>
        <v>0</v>
      </c>
      <c r="BO287" s="64">
        <f t="shared" ref="BO287:BO298" si="53">IFERROR(1/J287*(X287/H287),"0")</f>
        <v>0</v>
      </c>
      <c r="BP287" s="64">
        <f t="shared" ref="BP287:BP298" si="54">IFERROR(1/J287*(Y287/H287),"0")</f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619</v>
      </c>
      <c r="Y288" s="652">
        <f t="shared" si="50"/>
        <v>623.69999999999993</v>
      </c>
      <c r="Z288" s="36">
        <f>IFERROR(IF(Y288=0,"",ROUNDUP(Y288/H288,0)*0.01898),"")</f>
        <v>1.46146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655.37580246913581</v>
      </c>
      <c r="BN288" s="64">
        <f t="shared" si="52"/>
        <v>660.35200000000009</v>
      </c>
      <c r="BO288" s="64">
        <f t="shared" si="53"/>
        <v>1.1940586419753088</v>
      </c>
      <c r="BP288" s="64">
        <f t="shared" si="54"/>
        <v>1.203125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200</v>
      </c>
      <c r="Y289" s="652">
        <f t="shared" si="50"/>
        <v>200.1</v>
      </c>
      <c r="Z289" s="36">
        <f>IFERROR(IF(Y289=0,"",ROUNDUP(Y289/H289,0)*0.01898),"")</f>
        <v>0.43653999999999998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211.35632183908049</v>
      </c>
      <c r="BN289" s="64">
        <f t="shared" si="52"/>
        <v>211.46200000000005</v>
      </c>
      <c r="BO289" s="64">
        <f t="shared" si="53"/>
        <v>0.35919540229885061</v>
      </c>
      <c r="BP289" s="64">
        <f t="shared" si="54"/>
        <v>0.359375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219</v>
      </c>
      <c r="Y290" s="652">
        <f t="shared" si="50"/>
        <v>220.79999999999998</v>
      </c>
      <c r="Z290" s="36">
        <f>IFERROR(IF(Y290=0,"",ROUNDUP(Y290/H290,0)*0.00651),"")</f>
        <v>0.59892000000000001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243.63750000000002</v>
      </c>
      <c r="BN290" s="64">
        <f t="shared" si="52"/>
        <v>245.64</v>
      </c>
      <c r="BO290" s="64">
        <f t="shared" si="53"/>
        <v>0.50137362637362637</v>
      </c>
      <c r="BP290" s="64">
        <f t="shared" si="54"/>
        <v>0.50549450549450559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1000</v>
      </c>
      <c r="Y293" s="652">
        <f t="shared" si="50"/>
        <v>1000.8</v>
      </c>
      <c r="Z293" s="36">
        <f>IFERROR(IF(Y293=0,"",ROUNDUP(Y293/H293,0)*0.00651),"")</f>
        <v>2.7146699999999999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1105</v>
      </c>
      <c r="BN293" s="64">
        <f t="shared" si="52"/>
        <v>1105.884</v>
      </c>
      <c r="BO293" s="64">
        <f t="shared" si="53"/>
        <v>2.2893772893772897</v>
      </c>
      <c r="BP293" s="64">
        <f t="shared" si="54"/>
        <v>2.2912087912087915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160</v>
      </c>
      <c r="Y295" s="652">
        <f t="shared" si="50"/>
        <v>160.79999999999998</v>
      </c>
      <c r="Z295" s="36">
        <f>IFERROR(IF(Y295=0,"",ROUNDUP(Y295/H295,0)*0.00651),"")</f>
        <v>0.43617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176.80000000000004</v>
      </c>
      <c r="BN295" s="64">
        <f t="shared" si="52"/>
        <v>177.684</v>
      </c>
      <c r="BO295" s="64">
        <f t="shared" si="53"/>
        <v>0.36630036630036633</v>
      </c>
      <c r="BP295" s="64">
        <f t="shared" si="54"/>
        <v>0.36813186813186816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188</v>
      </c>
      <c r="Y296" s="652">
        <f t="shared" si="50"/>
        <v>189.6</v>
      </c>
      <c r="Z296" s="36">
        <f>IFERROR(IF(Y296=0,"",ROUNDUP(Y296/H296,0)*0.00651),"")</f>
        <v>0.51429000000000002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207.74</v>
      </c>
      <c r="BN296" s="64">
        <f t="shared" si="52"/>
        <v>209.50800000000001</v>
      </c>
      <c r="BO296" s="64">
        <f t="shared" si="53"/>
        <v>0.43040293040293048</v>
      </c>
      <c r="BP296" s="64">
        <f t="shared" si="54"/>
        <v>0.43406593406593408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100</v>
      </c>
      <c r="Y297" s="652">
        <f t="shared" si="50"/>
        <v>100.8</v>
      </c>
      <c r="Z297" s="36">
        <f>IFERROR(IF(Y297=0,"",ROUNDUP(Y297/H297,0)*0.00651),"")</f>
        <v>0.27342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110.75000000000001</v>
      </c>
      <c r="BN297" s="64">
        <f t="shared" si="52"/>
        <v>111.63600000000001</v>
      </c>
      <c r="BO297" s="64">
        <f t="shared" si="53"/>
        <v>0.22893772893772898</v>
      </c>
      <c r="BP297" s="64">
        <f t="shared" si="54"/>
        <v>0.23076923076923078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793.99159216687951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797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6.4354699999999987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2486</v>
      </c>
      <c r="Y300" s="653">
        <f>IFERROR(SUM(Y287:Y298),"0")</f>
        <v>2496.6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24</v>
      </c>
      <c r="Y302" s="652">
        <f>IFERROR(IF(X302="",0,CEILING((X302/$H302),1)*$H302),"")</f>
        <v>24</v>
      </c>
      <c r="Z302" s="36">
        <f>IFERROR(IF(Y302=0,"",ROUNDUP(Y302/H302,0)*0.00651),"")</f>
        <v>6.5100000000000005E-2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26.520000000000003</v>
      </c>
      <c r="BN302" s="64">
        <f>IFERROR(Y302*I302/H302,"0")</f>
        <v>26.520000000000003</v>
      </c>
      <c r="BO302" s="64">
        <f>IFERROR(1/J302*(X302/H302),"0")</f>
        <v>5.4945054945054951E-2</v>
      </c>
      <c r="BP302" s="64">
        <f>IFERROR(1/J302*(Y302/H302),"0")</f>
        <v>5.4945054945054951E-2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20</v>
      </c>
      <c r="Y303" s="652">
        <f>IFERROR(IF(X303="",0,CEILING((X303/$H303),1)*$H303),"")</f>
        <v>21.599999999999998</v>
      </c>
      <c r="Z303" s="36">
        <f>IFERROR(IF(Y303=0,"",ROUNDUP(Y303/H303,0)*0.00651),"")</f>
        <v>5.8590000000000003E-2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22.100000000000005</v>
      </c>
      <c r="BN303" s="64">
        <f>IFERROR(Y303*I303/H303,"0")</f>
        <v>23.868000000000002</v>
      </c>
      <c r="BO303" s="64">
        <f>IFERROR(1/J303*(X303/H303),"0")</f>
        <v>4.5787545787545791E-2</v>
      </c>
      <c r="BP303" s="64">
        <f>IFERROR(1/J303*(Y303/H303),"0")</f>
        <v>4.9450549450549455E-2</v>
      </c>
    </row>
    <row r="304" spans="1:68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18.333333333333336</v>
      </c>
      <c r="Y304" s="653">
        <f>IFERROR(Y302/H302,"0")+IFERROR(Y303/H303,"0")</f>
        <v>19</v>
      </c>
      <c r="Z304" s="653">
        <f>IFERROR(IF(Z302="",0,Z302),"0")+IFERROR(IF(Z303="",0,Z303),"0")</f>
        <v>0.12369000000000001</v>
      </c>
      <c r="AA304" s="654"/>
      <c r="AB304" s="654"/>
      <c r="AC304" s="654"/>
    </row>
    <row r="305" spans="1:68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44</v>
      </c>
      <c r="Y305" s="653">
        <f>IFERROR(SUM(Y302:Y303),"0")</f>
        <v>45.599999999999994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110</v>
      </c>
      <c r="Y308" s="652">
        <f t="shared" ref="Y308:Y314" si="55">IFERROR(IF(X308="",0,CEILING((X308/$H308),1)*$H308),"")</f>
        <v>116</v>
      </c>
      <c r="Z308" s="36">
        <f>IFERROR(IF(Y308=0,"",ROUNDUP(Y308/H308,0)*0.01898),"")</f>
        <v>0.1898</v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113.88793103448275</v>
      </c>
      <c r="BN308" s="64">
        <f t="shared" ref="BN308:BN314" si="57">IFERROR(Y308*I308/H308,"0")</f>
        <v>120.10000000000001</v>
      </c>
      <c r="BO308" s="64">
        <f t="shared" ref="BO308:BO314" si="58">IFERROR(1/J308*(X308/H308),"0")</f>
        <v>0.14816810344827586</v>
      </c>
      <c r="BP308" s="64">
        <f t="shared" ref="BP308:BP314" si="59">IFERROR(1/J308*(Y308/H308),"0")</f>
        <v>0.15625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36</v>
      </c>
      <c r="Y314" s="652">
        <f t="shared" si="55"/>
        <v>36</v>
      </c>
      <c r="Z314" s="36">
        <f>IFERROR(IF(Y314=0,"",ROUNDUP(Y314/H314,0)*0.00902),"")</f>
        <v>8.1180000000000002E-2</v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37.71</v>
      </c>
      <c r="BN314" s="64">
        <f t="shared" si="57"/>
        <v>37.71</v>
      </c>
      <c r="BO314" s="64">
        <f t="shared" si="58"/>
        <v>6.8181818181818177E-2</v>
      </c>
      <c r="BP314" s="64">
        <f t="shared" si="59"/>
        <v>6.8181818181818177E-2</v>
      </c>
    </row>
    <row r="315" spans="1:68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18.482758620689655</v>
      </c>
      <c r="Y315" s="653">
        <f>IFERROR(Y308/H308,"0")+IFERROR(Y309/H309,"0")+IFERROR(Y310/H310,"0")+IFERROR(Y311/H311,"0")+IFERROR(Y312/H312,"0")+IFERROR(Y313/H313,"0")+IFERROR(Y314/H314,"0")</f>
        <v>19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0.27098</v>
      </c>
      <c r="AA315" s="654"/>
      <c r="AB315" s="654"/>
      <c r="AC315" s="654"/>
    </row>
    <row r="316" spans="1:68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146</v>
      </c>
      <c r="Y316" s="653">
        <f>IFERROR(SUM(Y308:Y314),"0")</f>
        <v>152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5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5.4861111111111107</v>
      </c>
      <c r="BN322" s="64">
        <f>IFERROR(Y322*I322/H322,"0")</f>
        <v>5.9250000000000007</v>
      </c>
      <c r="BO322" s="64">
        <f>IFERROR(1/J322*(X322/H322),"0")</f>
        <v>1.2860082304526748E-2</v>
      </c>
      <c r="BP322" s="64">
        <f>IFERROR(1/J322*(Y322/H322),"0")</f>
        <v>1.3888888888888888E-2</v>
      </c>
    </row>
    <row r="323" spans="1:68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2.7777777777777777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5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40</v>
      </c>
      <c r="Y343" s="652">
        <f>IFERROR(IF(X343="",0,CEILING((X343/$H343),1)*$H343),"")</f>
        <v>40.799999999999997</v>
      </c>
      <c r="Z343" s="36">
        <f>IFERROR(IF(Y343=0,"",ROUNDUP(Y343/H343,0)*0.00651),"")</f>
        <v>0.11067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44.20000000000001</v>
      </c>
      <c r="BN343" s="64">
        <f>IFERROR(Y343*I343/H343,"0")</f>
        <v>45.084000000000003</v>
      </c>
      <c r="BO343" s="64">
        <f>IFERROR(1/J343*(X343/H343),"0")</f>
        <v>9.1575091575091583E-2</v>
      </c>
      <c r="BP343" s="64">
        <f>IFERROR(1/J343*(Y343/H343),"0")</f>
        <v>9.3406593406593408E-2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80</v>
      </c>
      <c r="Y344" s="652">
        <f>IFERROR(IF(X344="",0,CEILING((X344/$H344),1)*$H344),"")</f>
        <v>81.599999999999994</v>
      </c>
      <c r="Z344" s="36">
        <f>IFERROR(IF(Y344=0,"",ROUNDUP(Y344/H344,0)*0.00651),"")</f>
        <v>0.22134000000000001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86</v>
      </c>
      <c r="BN344" s="64">
        <f>IFERROR(Y344*I344/H344,"0")</f>
        <v>87.72</v>
      </c>
      <c r="BO344" s="64">
        <f>IFERROR(1/J344*(X344/H344),"0")</f>
        <v>0.18315018315018317</v>
      </c>
      <c r="BP344" s="64">
        <f>IFERROR(1/J344*(Y344/H344),"0")</f>
        <v>0.18681318681318682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50</v>
      </c>
      <c r="Y345" s="653">
        <f>IFERROR(Y342/H342,"0")+IFERROR(Y343/H343,"0")+IFERROR(Y344/H344,"0")</f>
        <v>51</v>
      </c>
      <c r="Z345" s="653">
        <f>IFERROR(IF(Z342="",0,Z342),"0")+IFERROR(IF(Z343="",0,Z343),"0")+IFERROR(IF(Z344="",0,Z344),"0")</f>
        <v>0.33201000000000003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120</v>
      </c>
      <c r="Y346" s="653">
        <f>IFERROR(SUM(Y342:Y344),"0")</f>
        <v>122.39999999999999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139</v>
      </c>
      <c r="Y363" s="652">
        <f>IFERROR(IF(X363="",0,CEILING((X363/$H363),1)*$H363),"")</f>
        <v>140.4</v>
      </c>
      <c r="Z363" s="36">
        <f>IFERROR(IF(Y363=0,"",ROUNDUP(Y363/H363,0)*0.01898),"")</f>
        <v>0.34164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146.30641025641026</v>
      </c>
      <c r="BN363" s="64">
        <f>IFERROR(Y363*I363/H363,"0")</f>
        <v>147.78000000000003</v>
      </c>
      <c r="BO363" s="64">
        <f>IFERROR(1/J363*(X363/H363),"0")</f>
        <v>0.27844551282051283</v>
      </c>
      <c r="BP363" s="64">
        <f>IFERROR(1/J363*(Y363/H363),"0")</f>
        <v>0.28125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193</v>
      </c>
      <c r="Y364" s="652">
        <f>IFERROR(IF(X364="",0,CEILING((X364/$H364),1)*$H364),"")</f>
        <v>195</v>
      </c>
      <c r="Z364" s="36">
        <f>IFERROR(IF(Y364=0,"",ROUNDUP(Y364/H364,0)*0.01898),"")</f>
        <v>0.47450000000000003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203.14487179487182</v>
      </c>
      <c r="BN364" s="64">
        <f>IFERROR(Y364*I364/H364,"0")</f>
        <v>205.25000000000003</v>
      </c>
      <c r="BO364" s="64">
        <f>IFERROR(1/J364*(X364/H364),"0")</f>
        <v>0.38661858974358976</v>
      </c>
      <c r="BP364" s="64">
        <f>IFERROR(1/J364*(Y364/H364),"0")</f>
        <v>0.390625</v>
      </c>
    </row>
    <row r="365" spans="1:68" ht="27" hidden="1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42.564102564102569</v>
      </c>
      <c r="Y366" s="653">
        <f>IFERROR(Y363/H363,"0")+IFERROR(Y364/H364,"0")+IFERROR(Y365/H365,"0")</f>
        <v>43</v>
      </c>
      <c r="Z366" s="653">
        <f>IFERROR(IF(Z363="",0,Z363),"0")+IFERROR(IF(Z364="",0,Z364),"0")+IFERROR(IF(Z365="",0,Z365),"0")</f>
        <v>0.81614000000000009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332</v>
      </c>
      <c r="Y367" s="653">
        <f>IFERROR(SUM(Y363:Y365),"0")</f>
        <v>335.4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hidden="1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50</v>
      </c>
      <c r="Y379" s="652">
        <f t="shared" si="60"/>
        <v>50.400000000000006</v>
      </c>
      <c r="Z379" s="36">
        <f>IFERROR(IF(Y379=0,"",ROUNDUP(Y379/H379,0)*0.00902),"")</f>
        <v>0.10824</v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52.976190476190474</v>
      </c>
      <c r="BN379" s="64">
        <f t="shared" si="62"/>
        <v>53.400000000000006</v>
      </c>
      <c r="BO379" s="64">
        <f t="shared" si="63"/>
        <v>9.0187590187590191E-2</v>
      </c>
      <c r="BP379" s="64">
        <f t="shared" si="64"/>
        <v>9.0909090909090912E-2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9</v>
      </c>
      <c r="Y384" s="652">
        <f t="shared" si="60"/>
        <v>9</v>
      </c>
      <c r="Z384" s="36">
        <f>IFERROR(IF(Y384=0,"",ROUNDUP(Y384/H384,0)*0.00651),"")</f>
        <v>3.2550000000000003E-2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10.139999999999999</v>
      </c>
      <c r="BN384" s="64">
        <f t="shared" si="62"/>
        <v>10.139999999999999</v>
      </c>
      <c r="BO384" s="64">
        <f t="shared" si="63"/>
        <v>2.7472527472527476E-2</v>
      </c>
      <c r="BP384" s="64">
        <f t="shared" si="64"/>
        <v>2.7472527472527476E-2</v>
      </c>
    </row>
    <row r="385" spans="1:68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16.904761904761905</v>
      </c>
      <c r="Y385" s="653">
        <f>IFERROR(Y378/H378,"0")+IFERROR(Y379/H379,"0")+IFERROR(Y380/H380,"0")+IFERROR(Y381/H381,"0")+IFERROR(Y382/H382,"0")+IFERROR(Y383/H383,"0")+IFERROR(Y384/H384,"0")</f>
        <v>17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0.14079</v>
      </c>
      <c r="AA385" s="654"/>
      <c r="AB385" s="654"/>
      <c r="AC385" s="654"/>
    </row>
    <row r="386" spans="1:68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59</v>
      </c>
      <c r="Y386" s="653">
        <f>IFERROR(SUM(Y378:Y384),"0")</f>
        <v>59.400000000000006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200</v>
      </c>
      <c r="Y395" s="652">
        <f>IFERROR(IF(X395="",0,CEILING((X395/$H395),1)*$H395),"")</f>
        <v>201.60000000000002</v>
      </c>
      <c r="Z395" s="36">
        <f>IFERROR(IF(Y395=0,"",ROUNDUP(Y395/H395,0)*0.01898),"")</f>
        <v>0.45552000000000004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211.76190476190476</v>
      </c>
      <c r="BN395" s="64">
        <f>IFERROR(Y395*I395/H395,"0")</f>
        <v>213.45600000000002</v>
      </c>
      <c r="BO395" s="64">
        <f>IFERROR(1/J395*(X395/H395),"0")</f>
        <v>0.37202380952380953</v>
      </c>
      <c r="BP395" s="64">
        <f>IFERROR(1/J395*(Y395/H395),"0")</f>
        <v>0.375</v>
      </c>
    </row>
    <row r="396" spans="1:68" ht="27" hidden="1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0</v>
      </c>
      <c r="Y396" s="652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100</v>
      </c>
      <c r="Y397" s="652">
        <f>IFERROR(IF(X397="",0,CEILING((X397/$H397),1)*$H397),"")</f>
        <v>100.80000000000001</v>
      </c>
      <c r="Z397" s="36">
        <f>IFERROR(IF(Y397=0,"",ROUNDUP(Y397/H397,0)*0.01898),"")</f>
        <v>0.22776000000000002</v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105.88095238095238</v>
      </c>
      <c r="BN397" s="64">
        <f>IFERROR(Y397*I397/H397,"0")</f>
        <v>106.72800000000001</v>
      </c>
      <c r="BO397" s="64">
        <f>IFERROR(1/J397*(X397/H397),"0")</f>
        <v>0.18601190476190477</v>
      </c>
      <c r="BP397" s="64">
        <f>IFERROR(1/J397*(Y397/H397),"0")</f>
        <v>0.1875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35.714285714285715</v>
      </c>
      <c r="Y398" s="653">
        <f>IFERROR(Y395/H395,"0")+IFERROR(Y396/H396,"0")+IFERROR(Y397/H397,"0")</f>
        <v>36</v>
      </c>
      <c r="Z398" s="653">
        <f>IFERROR(IF(Z395="",0,Z395),"0")+IFERROR(IF(Z396="",0,Z396),"0")+IFERROR(IF(Z397="",0,Z397),"0")</f>
        <v>0.68328000000000011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300</v>
      </c>
      <c r="Y399" s="653">
        <f>IFERROR(SUM(Y395:Y397),"0")</f>
        <v>302.40000000000003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5</v>
      </c>
      <c r="Y402" s="652">
        <f>IFERROR(IF(X402="",0,CEILING((X402/$H402),1)*$H402),"")</f>
        <v>6.08</v>
      </c>
      <c r="Z402" s="36">
        <f>IFERROR(IF(Y402=0,"",ROUNDUP(Y402/H402,0)*0.00902),"")</f>
        <v>1.804E-2</v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5.3782894736842106</v>
      </c>
      <c r="BN402" s="64">
        <f>IFERROR(Y402*I402/H402,"0")</f>
        <v>6.5399999999999991</v>
      </c>
      <c r="BO402" s="64">
        <f>IFERROR(1/J402*(X402/H402),"0")</f>
        <v>1.2460127591706539E-2</v>
      </c>
      <c r="BP402" s="64">
        <f>IFERROR(1/J402*(Y402/H402),"0")</f>
        <v>1.5151515151515152E-2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3</v>
      </c>
      <c r="Y403" s="652">
        <f>IFERROR(IF(X403="",0,CEILING((X403/$H403),1)*$H403),"")</f>
        <v>5.0999999999999996</v>
      </c>
      <c r="Z403" s="36">
        <f>IFERROR(IF(Y403=0,"",ROUNDUP(Y403/H403,0)*0.00651),"")</f>
        <v>1.302E-2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3.4764705882352946</v>
      </c>
      <c r="BN403" s="64">
        <f>IFERROR(Y403*I403/H403,"0")</f>
        <v>5.91</v>
      </c>
      <c r="BO403" s="64">
        <f>IFERROR(1/J403*(X403/H403),"0")</f>
        <v>6.4641241111829352E-3</v>
      </c>
      <c r="BP403" s="64">
        <f>IFERROR(1/J403*(Y403/H403),"0")</f>
        <v>1.098901098901099E-2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68</v>
      </c>
      <c r="Y404" s="652">
        <f>IFERROR(IF(X404="",0,CEILING((X404/$H404),1)*$H404),"")</f>
        <v>68.849999999999994</v>
      </c>
      <c r="Z404" s="36">
        <f>IFERROR(IF(Y404=0,"",ROUNDUP(Y404/H404,0)*0.00651),"")</f>
        <v>0.17577000000000001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76.800000000000011</v>
      </c>
      <c r="BN404" s="64">
        <f>IFERROR(Y404*I404/H404,"0")</f>
        <v>77.760000000000005</v>
      </c>
      <c r="BO404" s="64">
        <f>IFERROR(1/J404*(X404/H404),"0")</f>
        <v>0.14652014652014653</v>
      </c>
      <c r="BP404" s="64">
        <f>IFERROR(1/J404*(Y404/H404),"0")</f>
        <v>0.14835164835164835</v>
      </c>
    </row>
    <row r="405" spans="1:68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29.487874097007225</v>
      </c>
      <c r="Y405" s="653">
        <f>IFERROR(Y401/H401,"0")+IFERROR(Y402/H402,"0")+IFERROR(Y403/H403,"0")+IFERROR(Y404/H404,"0")</f>
        <v>31</v>
      </c>
      <c r="Z405" s="653">
        <f>IFERROR(IF(Z401="",0,Z401),"0")+IFERROR(IF(Z402="",0,Z402),"0")+IFERROR(IF(Z403="",0,Z403),"0")+IFERROR(IF(Z404="",0,Z404),"0")</f>
        <v>0.20683000000000001</v>
      </c>
      <c r="AA405" s="654"/>
      <c r="AB405" s="654"/>
      <c r="AC405" s="654"/>
    </row>
    <row r="406" spans="1:68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76</v>
      </c>
      <c r="Y406" s="653">
        <f>IFERROR(SUM(Y401:Y404),"0")</f>
        <v>80.03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hidden="1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0</v>
      </c>
      <c r="Y408" s="652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0</v>
      </c>
      <c r="Y409" s="652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0</v>
      </c>
      <c r="Y410" s="652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0</v>
      </c>
      <c r="Y411" s="653">
        <f>IFERROR(Y408/H408,"0")+IFERROR(Y409/H409,"0")+IFERROR(Y410/H410,"0")</f>
        <v>0</v>
      </c>
      <c r="Z411" s="653">
        <f>IFERROR(IF(Z408="",0,Z408),"0")+IFERROR(IF(Z409="",0,Z409),"0")+IFERROR(IF(Z410="",0,Z410),"0")</f>
        <v>0</v>
      </c>
      <c r="AA411" s="654"/>
      <c r="AB411" s="654"/>
      <c r="AC411" s="654"/>
    </row>
    <row r="412" spans="1:68" hidden="1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0</v>
      </c>
      <c r="Y412" s="653">
        <f>IFERROR(SUM(Y408:Y410),"0")</f>
        <v>0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hidden="1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50</v>
      </c>
      <c r="Y416" s="652">
        <f>IFERROR(IF(X416="",0,CEILING((X416/$H416),1)*$H416),"")</f>
        <v>51</v>
      </c>
      <c r="Z416" s="36">
        <f>IFERROR(IF(Y416=0,"",ROUNDUP(Y416/H416,0)*0.0045),"")</f>
        <v>7.6499999999999999E-2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53.666666666666664</v>
      </c>
      <c r="BN416" s="64">
        <f>IFERROR(Y416*I416/H416,"0")</f>
        <v>54.74</v>
      </c>
      <c r="BO416" s="64">
        <f>IFERROR(1/J416*(X416/H416),"0")</f>
        <v>7.4404761904761904E-2</v>
      </c>
      <c r="BP416" s="64">
        <f>IFERROR(1/J416*(Y416/H416),"0")</f>
        <v>7.5892857142857137E-2</v>
      </c>
    </row>
    <row r="417" spans="1:68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16.666666666666668</v>
      </c>
      <c r="Y417" s="653">
        <f>IFERROR(Y414/H414,"0")+IFERROR(Y415/H415,"0")+IFERROR(Y416/H416,"0")</f>
        <v>17</v>
      </c>
      <c r="Z417" s="653">
        <f>IFERROR(IF(Z414="",0,Z414),"0")+IFERROR(IF(Z415="",0,Z415),"0")+IFERROR(IF(Z416="",0,Z416),"0")</f>
        <v>7.6499999999999999E-2</v>
      </c>
      <c r="AA417" s="654"/>
      <c r="AB417" s="654"/>
      <c r="AC417" s="654"/>
    </row>
    <row r="418" spans="1:68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50</v>
      </c>
      <c r="Y418" s="653">
        <f>IFERROR(SUM(Y414:Y416),"0")</f>
        <v>51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28</v>
      </c>
      <c r="Y428" s="652">
        <f>IFERROR(IF(X428="",0,CEILING((X428/$H428),1)*$H428),"")</f>
        <v>29.400000000000002</v>
      </c>
      <c r="Z428" s="36">
        <f>IFERROR(IF(Y428=0,"",ROUNDUP(Y428/H428,0)*0.00651),"")</f>
        <v>9.1139999999999999E-2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31.359999999999996</v>
      </c>
      <c r="BN428" s="64">
        <f>IFERROR(Y428*I428/H428,"0")</f>
        <v>32.927999999999997</v>
      </c>
      <c r="BO428" s="64">
        <f>IFERROR(1/J428*(X428/H428),"0")</f>
        <v>7.3260073260073263E-2</v>
      </c>
      <c r="BP428" s="64">
        <f>IFERROR(1/J428*(Y428/H428),"0")</f>
        <v>7.6923076923076927E-2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18</v>
      </c>
      <c r="Y429" s="652">
        <f>IFERROR(IF(X429="",0,CEILING((X429/$H429),1)*$H429),"")</f>
        <v>18.900000000000002</v>
      </c>
      <c r="Z429" s="36">
        <f>IFERROR(IF(Y429=0,"",ROUNDUP(Y429/H429,0)*0.00651),"")</f>
        <v>5.8590000000000003E-2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20.057142857142853</v>
      </c>
      <c r="BN429" s="64">
        <f>IFERROR(Y429*I429/H429,"0")</f>
        <v>21.06</v>
      </c>
      <c r="BO429" s="64">
        <f>IFERROR(1/J429*(X429/H429),"0")</f>
        <v>4.709576138147567E-2</v>
      </c>
      <c r="BP429" s="64">
        <f>IFERROR(1/J429*(Y429/H429),"0")</f>
        <v>4.9450549450549455E-2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21.904761904761905</v>
      </c>
      <c r="Y430" s="653">
        <f>IFERROR(Y427/H427,"0")+IFERROR(Y428/H428,"0")+IFERROR(Y429/H429,"0")</f>
        <v>23</v>
      </c>
      <c r="Z430" s="653">
        <f>IFERROR(IF(Z427="",0,Z427),"0")+IFERROR(IF(Z428="",0,Z428),"0")+IFERROR(IF(Z429="",0,Z429),"0")</f>
        <v>0.14973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46</v>
      </c>
      <c r="Y431" s="653">
        <f>IFERROR(SUM(Y427:Y429),"0")</f>
        <v>48.300000000000004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hidden="1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700</v>
      </c>
      <c r="Y437" s="652">
        <f t="shared" si="65"/>
        <v>705</v>
      </c>
      <c r="Z437" s="36">
        <f>IFERROR(IF(Y437=0,"",ROUNDUP(Y437/H437,0)*0.02175),"")</f>
        <v>1.0222499999999999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721.93333333333328</v>
      </c>
      <c r="BN437" s="64">
        <f t="shared" si="67"/>
        <v>727.09</v>
      </c>
      <c r="BO437" s="64">
        <f t="shared" si="68"/>
        <v>0.9722222222222221</v>
      </c>
      <c r="BP437" s="64">
        <f t="shared" si="69"/>
        <v>0.97916666666666663</v>
      </c>
    </row>
    <row r="438" spans="1:68" ht="27" hidden="1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895</v>
      </c>
      <c r="Y439" s="652">
        <f t="shared" si="65"/>
        <v>900</v>
      </c>
      <c r="Z439" s="36">
        <f>IFERROR(IF(Y439=0,"",ROUNDUP(Y439/H439,0)*0.02175),"")</f>
        <v>1.3049999999999999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923.04333333333341</v>
      </c>
      <c r="BN439" s="64">
        <f t="shared" si="67"/>
        <v>928.2</v>
      </c>
      <c r="BO439" s="64">
        <f t="shared" si="68"/>
        <v>1.2430555555555554</v>
      </c>
      <c r="BP439" s="64">
        <f t="shared" si="69"/>
        <v>1.25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106.33333333333333</v>
      </c>
      <c r="Y443" s="653">
        <f>IFERROR(Y435/H435,"0")+IFERROR(Y436/H436,"0")+IFERROR(Y437/H437,"0")+IFERROR(Y438/H438,"0")+IFERROR(Y439/H439,"0")+IFERROR(Y440/H440,"0")+IFERROR(Y441/H441,"0")+IFERROR(Y442/H442,"0")</f>
        <v>107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2.3272499999999998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1595</v>
      </c>
      <c r="Y444" s="653">
        <f>IFERROR(SUM(Y435:Y442),"0")</f>
        <v>1605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1280</v>
      </c>
      <c r="Y446" s="652">
        <f>IFERROR(IF(X446="",0,CEILING((X446/$H446),1)*$H446),"")</f>
        <v>1290</v>
      </c>
      <c r="Z446" s="36">
        <f>IFERROR(IF(Y446=0,"",ROUNDUP(Y446/H446,0)*0.02175),"")</f>
        <v>1.8704999999999998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1320.1066666666668</v>
      </c>
      <c r="BN446" s="64">
        <f>IFERROR(Y446*I446/H446,"0")</f>
        <v>1330.4199999999998</v>
      </c>
      <c r="BO446" s="64">
        <f>IFERROR(1/J446*(X446/H446),"0")</f>
        <v>1.7777777777777777</v>
      </c>
      <c r="BP446" s="64">
        <f>IFERROR(1/J446*(Y446/H446),"0")</f>
        <v>1.7916666666666665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85.333333333333329</v>
      </c>
      <c r="Y449" s="653">
        <f>IFERROR(Y446/H446,"0")+IFERROR(Y447/H447,"0")+IFERROR(Y448/H448,"0")</f>
        <v>86</v>
      </c>
      <c r="Z449" s="653">
        <f>IFERROR(IF(Z446="",0,Z446),"0")+IFERROR(IF(Z447="",0,Z447),"0")+IFERROR(IF(Z448="",0,Z448),"0")</f>
        <v>1.8704999999999998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1280</v>
      </c>
      <c r="Y450" s="653">
        <f>IFERROR(SUM(Y446:Y448),"0")</f>
        <v>1290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150</v>
      </c>
      <c r="Y459" s="652">
        <f>IFERROR(IF(X459="",0,CEILING((X459/$H459),1)*$H459),"")</f>
        <v>153</v>
      </c>
      <c r="Z459" s="36">
        <f>IFERROR(IF(Y459=0,"",ROUNDUP(Y459/H459,0)*0.01898),"")</f>
        <v>0.32266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158.23333333333332</v>
      </c>
      <c r="BN459" s="64">
        <f>IFERROR(Y459*I459/H459,"0")</f>
        <v>161.398</v>
      </c>
      <c r="BO459" s="64">
        <f>IFERROR(1/J459*(X459/H459),"0")</f>
        <v>0.26041666666666669</v>
      </c>
      <c r="BP459" s="64">
        <f>IFERROR(1/J459*(Y459/H459),"0")</f>
        <v>0.265625</v>
      </c>
    </row>
    <row r="460" spans="1:68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16.666666666666668</v>
      </c>
      <c r="Y460" s="653">
        <f>IFERROR(Y458/H458,"0")+IFERROR(Y459/H459,"0")</f>
        <v>17</v>
      </c>
      <c r="Z460" s="653">
        <f>IFERROR(IF(Z458="",0,Z458),"0")+IFERROR(IF(Z459="",0,Z459),"0")</f>
        <v>0.32266</v>
      </c>
      <c r="AA460" s="654"/>
      <c r="AB460" s="654"/>
      <c r="AC460" s="654"/>
    </row>
    <row r="461" spans="1:68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150</v>
      </c>
      <c r="Y461" s="653">
        <f>IFERROR(SUM(Y458:Y459),"0")</f>
        <v>153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600</v>
      </c>
      <c r="Y473" s="652">
        <f>IFERROR(IF(X473="",0,CEILING((X473/$H473),1)*$H473),"")</f>
        <v>603</v>
      </c>
      <c r="Z473" s="36">
        <f>IFERROR(IF(Y473=0,"",ROUNDUP(Y473/H473,0)*0.01898),"")</f>
        <v>1.27166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632.93333333333328</v>
      </c>
      <c r="BN473" s="64">
        <f>IFERROR(Y473*I473/H473,"0")</f>
        <v>636.09799999999996</v>
      </c>
      <c r="BO473" s="64">
        <f>IFERROR(1/J473*(X473/H473),"0")</f>
        <v>1.0416666666666667</v>
      </c>
      <c r="BP473" s="64">
        <f>IFERROR(1/J473*(Y473/H473),"0")</f>
        <v>1.046875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8</v>
      </c>
      <c r="Y474" s="652">
        <f>IFERROR(IF(X474="",0,CEILING((X474/$H474),1)*$H474),"")</f>
        <v>9.6</v>
      </c>
      <c r="Z474" s="36">
        <f>IFERROR(IF(Y474=0,"",ROUNDUP(Y474/H474,0)*0.00651),"")</f>
        <v>2.6040000000000001E-2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8.8800000000000008</v>
      </c>
      <c r="BN474" s="64">
        <f>IFERROR(Y474*I474/H474,"0")</f>
        <v>10.656000000000001</v>
      </c>
      <c r="BO474" s="64">
        <f>IFERROR(1/J474*(X474/H474),"0")</f>
        <v>1.8315018315018316E-2</v>
      </c>
      <c r="BP474" s="64">
        <f>IFERROR(1/J474*(Y474/H474),"0")</f>
        <v>2.197802197802198E-2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70</v>
      </c>
      <c r="Y476" s="653">
        <f>IFERROR(Y473/H473,"0")+IFERROR(Y474/H474,"0")+IFERROR(Y475/H475,"0")</f>
        <v>71</v>
      </c>
      <c r="Z476" s="653">
        <f>IFERROR(IF(Z473="",0,Z473),"0")+IFERROR(IF(Z474="",0,Z474),"0")+IFERROR(IF(Z475="",0,Z475),"0")</f>
        <v>1.2977000000000001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608</v>
      </c>
      <c r="Y477" s="653">
        <f>IFERROR(SUM(Y473:Y475),"0")</f>
        <v>612.6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hidden="1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idden="1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hidden="1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hidden="1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36</v>
      </c>
      <c r="Y510" s="652">
        <f t="shared" si="75"/>
        <v>36.96</v>
      </c>
      <c r="Z510" s="36">
        <f t="shared" si="76"/>
        <v>8.3720000000000003E-2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38.386363636363633</v>
      </c>
      <c r="BN510" s="64">
        <f t="shared" si="78"/>
        <v>39.409999999999997</v>
      </c>
      <c r="BO510" s="64">
        <f t="shared" si="79"/>
        <v>6.555944055944056E-2</v>
      </c>
      <c r="BP510" s="64">
        <f t="shared" si="80"/>
        <v>6.7307692307692318E-2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436</v>
      </c>
      <c r="Y511" s="652">
        <f t="shared" si="75"/>
        <v>438.24</v>
      </c>
      <c r="Z511" s="36">
        <f t="shared" si="76"/>
        <v>0.99268000000000001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464.90151515151507</v>
      </c>
      <c r="BN511" s="64">
        <f t="shared" si="78"/>
        <v>467.29</v>
      </c>
      <c r="BO511" s="64">
        <f t="shared" si="79"/>
        <v>0.7939976689976691</v>
      </c>
      <c r="BP511" s="64">
        <f t="shared" si="80"/>
        <v>0.79807692307692313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1103</v>
      </c>
      <c r="Y513" s="652">
        <f t="shared" si="75"/>
        <v>1103.52</v>
      </c>
      <c r="Z513" s="36">
        <f t="shared" si="76"/>
        <v>2.4996399999999999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1176.1155303030303</v>
      </c>
      <c r="BN513" s="64">
        <f t="shared" si="78"/>
        <v>1176.6699999999998</v>
      </c>
      <c r="BO513" s="64">
        <f t="shared" si="79"/>
        <v>2.0086684149184149</v>
      </c>
      <c r="BP513" s="64">
        <f t="shared" si="80"/>
        <v>2.0096153846153846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25</v>
      </c>
      <c r="Y515" s="652">
        <f t="shared" si="75"/>
        <v>28.799999999999997</v>
      </c>
      <c r="Z515" s="36">
        <f>IFERROR(IF(Y515=0,"",ROUNDUP(Y515/H515,0)*0.00902),"")</f>
        <v>5.4120000000000001E-2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35.989583333333336</v>
      </c>
      <c r="BN515" s="64">
        <f t="shared" si="78"/>
        <v>41.46</v>
      </c>
      <c r="BO515" s="64">
        <f t="shared" si="79"/>
        <v>3.9457070707070711E-2</v>
      </c>
      <c r="BP515" s="64">
        <f t="shared" si="80"/>
        <v>4.5454545454545456E-2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37</v>
      </c>
      <c r="Y516" s="652">
        <f t="shared" si="75"/>
        <v>38.4</v>
      </c>
      <c r="Z516" s="36">
        <f>IFERROR(IF(Y516=0,"",ROUNDUP(Y516/H516,0)*0.00902),"")</f>
        <v>7.2160000000000002E-2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53.264583333333341</v>
      </c>
      <c r="BN516" s="64">
        <f t="shared" si="78"/>
        <v>55.28</v>
      </c>
      <c r="BO516" s="64">
        <f t="shared" si="79"/>
        <v>5.8396464646464655E-2</v>
      </c>
      <c r="BP516" s="64">
        <f t="shared" si="80"/>
        <v>6.0606060606060608E-2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311.21212121212119</v>
      </c>
      <c r="Y517" s="653">
        <f>IFERROR(Y508/H508,"0")+IFERROR(Y509/H509,"0")+IFERROR(Y510/H510,"0")+IFERROR(Y511/H511,"0")+IFERROR(Y512/H512,"0")+IFERROR(Y513/H513,"0")+IFERROR(Y514/H514,"0")+IFERROR(Y515/H515,"0")+IFERROR(Y516/H516,"0")</f>
        <v>313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3.7023200000000003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1637</v>
      </c>
      <c r="Y518" s="653">
        <f>IFERROR(SUM(Y508:Y516),"0")</f>
        <v>1645.92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791</v>
      </c>
      <c r="Y520" s="652">
        <f>IFERROR(IF(X520="",0,CEILING((X520/$H520),1)*$H520),"")</f>
        <v>792</v>
      </c>
      <c r="Z520" s="36">
        <f>IFERROR(IF(Y520=0,"",ROUNDUP(Y520/H520,0)*0.01196),"")</f>
        <v>1.794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843.43371212121201</v>
      </c>
      <c r="BN520" s="64">
        <f>IFERROR(Y520*I520/H520,"0")</f>
        <v>844.5</v>
      </c>
      <c r="BO520" s="64">
        <f>IFERROR(1/J520*(X520/H520),"0")</f>
        <v>1.4404865967365967</v>
      </c>
      <c r="BP520" s="64">
        <f>IFERROR(1/J520*(Y520/H520),"0")</f>
        <v>1.4423076923076923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33</v>
      </c>
      <c r="Y522" s="652">
        <f>IFERROR(IF(X522="",0,CEILING((X522/$H522),1)*$H522),"")</f>
        <v>33.6</v>
      </c>
      <c r="Z522" s="36">
        <f>IFERROR(IF(Y522=0,"",ROUNDUP(Y522/H522,0)*0.00902),"")</f>
        <v>6.3140000000000002E-2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47.506250000000001</v>
      </c>
      <c r="BN522" s="64">
        <f>IFERROR(Y522*I522/H522,"0")</f>
        <v>48.370000000000005</v>
      </c>
      <c r="BO522" s="64">
        <f>IFERROR(1/J522*(X522/H522),"0")</f>
        <v>5.2083333333333336E-2</v>
      </c>
      <c r="BP522" s="64">
        <f>IFERROR(1/J522*(Y522/H522),"0")</f>
        <v>5.3030303030303039E-2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156.68560606060606</v>
      </c>
      <c r="Y523" s="653">
        <f>IFERROR(Y520/H520,"0")+IFERROR(Y521/H521,"0")+IFERROR(Y522/H522,"0")</f>
        <v>157</v>
      </c>
      <c r="Z523" s="653">
        <f>IFERROR(IF(Z520="",0,Z520),"0")+IFERROR(IF(Z521="",0,Z521),"0")+IFERROR(IF(Z522="",0,Z522),"0")</f>
        <v>1.85714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824</v>
      </c>
      <c r="Y524" s="653">
        <f>IFERROR(SUM(Y520:Y522),"0")</f>
        <v>825.6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231</v>
      </c>
      <c r="Y526" s="652">
        <f t="shared" ref="Y526:Y532" si="81">IFERROR(IF(X526="",0,CEILING((X526/$H526),1)*$H526),"")</f>
        <v>232.32000000000002</v>
      </c>
      <c r="Z526" s="36">
        <f>IFERROR(IF(Y526=0,"",ROUNDUP(Y526/H526,0)*0.01196),"")</f>
        <v>0.52624000000000004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246.31249999999997</v>
      </c>
      <c r="BN526" s="64">
        <f t="shared" ref="BN526:BN532" si="83">IFERROR(Y526*I526/H526,"0")</f>
        <v>247.72</v>
      </c>
      <c r="BO526" s="64">
        <f t="shared" ref="BO526:BO532" si="84">IFERROR(1/J526*(X526/H526),"0")</f>
        <v>0.42067307692307693</v>
      </c>
      <c r="BP526" s="64">
        <f t="shared" ref="BP526:BP532" si="85">IFERROR(1/J526*(Y526/H526),"0")</f>
        <v>0.42307692307692313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400</v>
      </c>
      <c r="Y527" s="652">
        <f t="shared" si="81"/>
        <v>401.28000000000003</v>
      </c>
      <c r="Z527" s="36">
        <f>IFERROR(IF(Y527=0,"",ROUNDUP(Y527/H527,0)*0.01196),"")</f>
        <v>0.90895999999999999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426.5151515151515</v>
      </c>
      <c r="BN527" s="64">
        <f t="shared" si="83"/>
        <v>427.88</v>
      </c>
      <c r="BO527" s="64">
        <f t="shared" si="84"/>
        <v>0.72843822843822836</v>
      </c>
      <c r="BP527" s="64">
        <f t="shared" si="85"/>
        <v>0.73076923076923084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777</v>
      </c>
      <c r="Y528" s="652">
        <f t="shared" si="81"/>
        <v>781.44</v>
      </c>
      <c r="Z528" s="36">
        <f>IFERROR(IF(Y528=0,"",ROUNDUP(Y528/H528,0)*0.01196),"")</f>
        <v>1.7700800000000001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828.50568181818187</v>
      </c>
      <c r="BN528" s="64">
        <f t="shared" si="83"/>
        <v>833.24</v>
      </c>
      <c r="BO528" s="64">
        <f t="shared" si="84"/>
        <v>1.4149912587412588</v>
      </c>
      <c r="BP528" s="64">
        <f t="shared" si="85"/>
        <v>1.4230769230769231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266.66666666666663</v>
      </c>
      <c r="Y533" s="653">
        <f>IFERROR(Y526/H526,"0")+IFERROR(Y527/H527,"0")+IFERROR(Y528/H528,"0")+IFERROR(Y529/H529,"0")+IFERROR(Y530/H530,"0")+IFERROR(Y531/H531,"0")+IFERROR(Y532/H532,"0")</f>
        <v>268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3.2052800000000001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1408</v>
      </c>
      <c r="Y534" s="653">
        <f>IFERROR(SUM(Y526:Y532),"0")</f>
        <v>1415.04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20</v>
      </c>
      <c r="Y550" s="652">
        <f>IFERROR(IF(X550="",0,CEILING((X550/$H550),1)*$H550),"")</f>
        <v>27</v>
      </c>
      <c r="Z550" s="36">
        <f>IFERROR(IF(Y550=0,"",ROUNDUP(Y550/H550,0)*0.01898),"")</f>
        <v>5.6940000000000004E-2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21.097777777777779</v>
      </c>
      <c r="BN550" s="64">
        <f>IFERROR(Y550*I550/H550,"0")</f>
        <v>28.481999999999996</v>
      </c>
      <c r="BO550" s="64">
        <f>IFERROR(1/J550*(X550/H550),"0")</f>
        <v>3.4722222222222224E-2</v>
      </c>
      <c r="BP550" s="64">
        <f>IFERROR(1/J550*(Y550/H550),"0")</f>
        <v>4.6875E-2</v>
      </c>
    </row>
    <row r="551" spans="1:68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2.2222222222222223</v>
      </c>
      <c r="Y551" s="653">
        <f>IFERROR(Y550/H550,"0")</f>
        <v>3</v>
      </c>
      <c r="Z551" s="653">
        <f>IFERROR(IF(Z550="",0,Z550),"0")</f>
        <v>5.6940000000000004E-2</v>
      </c>
      <c r="AA551" s="654"/>
      <c r="AB551" s="654"/>
      <c r="AC551" s="654"/>
    </row>
    <row r="552" spans="1:68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20</v>
      </c>
      <c r="Y552" s="653">
        <f>IFERROR(SUM(Y550:Y550),"0")</f>
        <v>27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17166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17304.93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18210.725272686319</v>
      </c>
      <c r="Y564" s="653">
        <f>IFERROR(SUM(BN22:BN560),"0")</f>
        <v>18359.993000000009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31</v>
      </c>
      <c r="Y565" s="38">
        <f>ROUNDUP(SUM(BP22:BP560),0)</f>
        <v>31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18985.725272686319</v>
      </c>
      <c r="Y566" s="653">
        <f>GrossWeightTotalR+PalletQtyTotalR*25</f>
        <v>19134.993000000009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3402.4622934471449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3431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36.835529999999999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18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1024.7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490.40000000000003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1359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554.44000000000005</v>
      </c>
      <c r="H573" s="46">
        <f>IFERROR(Y140*1,"0")+IFERROR(Y141*1,"0")+IFERROR(Y145*1,"0")+IFERROR(Y146*1,"0")+IFERROR(Y150*1,"0")+IFERROR(Y151*1,"0")</f>
        <v>188.8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1195.1199999999999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418.78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3325.2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157.4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122.39999999999999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335.4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492.83000000000004</v>
      </c>
      <c r="U573" s="46">
        <f>IFERROR(Y421*1,"0")+IFERROR(Y422*1,"0")</f>
        <v>0</v>
      </c>
      <c r="V573" s="46">
        <f>IFERROR(Y427*1,"0")+IFERROR(Y428*1,"0")+IFERROR(Y429*1,"0")</f>
        <v>48.300000000000004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3048</v>
      </c>
      <c r="X573" s="46">
        <f>IFERROR(Y464*1,"0")+IFERROR(Y465*1,"0")+IFERROR(Y469*1,"0")+IFERROR(Y473*1,"0")+IFERROR(Y474*1,"0")+IFERROR(Y475*1,"0")</f>
        <v>612.6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3886.5600000000004</v>
      </c>
      <c r="AB573" s="46">
        <f>IFERROR(Y538*1,"0")+IFERROR(Y542*1,"0")+IFERROR(Y546*1,"0")+IFERROR(Y550*1,"0")+IFERROR(Y554*1,"0")+IFERROR(Y555*1,"0")</f>
        <v>27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23,00"/>
        <filter val="1 103,00"/>
        <filter val="1 175,00"/>
        <filter val="1 280,00"/>
        <filter val="1 408,00"/>
        <filter val="1 595,00"/>
        <filter val="1 637,00"/>
        <filter val="1,00"/>
        <filter val="10,00"/>
        <filter val="100,00"/>
        <filter val="103,00"/>
        <filter val="106,33"/>
        <filter val="109,82"/>
        <filter val="11,00"/>
        <filter val="110,00"/>
        <filter val="115,00"/>
        <filter val="12,00"/>
        <filter val="12,12"/>
        <filter val="120,00"/>
        <filter val="125,00"/>
        <filter val="128,00"/>
        <filter val="139,00"/>
        <filter val="140,00"/>
        <filter val="146,00"/>
        <filter val="15,00"/>
        <filter val="150,00"/>
        <filter val="156,69"/>
        <filter val="16,00"/>
        <filter val="16,67"/>
        <filter val="16,90"/>
        <filter val="160,00"/>
        <filter val="161,67"/>
        <filter val="17 166,00"/>
        <filter val="175,00"/>
        <filter val="175,18"/>
        <filter val="18 210,73"/>
        <filter val="18 985,73"/>
        <filter val="18,00"/>
        <filter val="18,33"/>
        <filter val="18,48"/>
        <filter val="181,00"/>
        <filter val="183,00"/>
        <filter val="184,81"/>
        <filter val="188,00"/>
        <filter val="193,00"/>
        <filter val="2 486,00"/>
        <filter val="2,22"/>
        <filter val="2,67"/>
        <filter val="2,78"/>
        <filter val="20,00"/>
        <filter val="200,00"/>
        <filter val="21,00"/>
        <filter val="21,90"/>
        <filter val="219,00"/>
        <filter val="231,00"/>
        <filter val="24,00"/>
        <filter val="25,00"/>
        <filter val="25,94"/>
        <filter val="26,83"/>
        <filter val="266,67"/>
        <filter val="267,00"/>
        <filter val="28,00"/>
        <filter val="29,49"/>
        <filter val="297,00"/>
        <filter val="3 402,46"/>
        <filter val="3,00"/>
        <filter val="3,17"/>
        <filter val="30,00"/>
        <filter val="300,00"/>
        <filter val="309,00"/>
        <filter val="31"/>
        <filter val="311,21"/>
        <filter val="33,00"/>
        <filter val="332,00"/>
        <filter val="334,00"/>
        <filter val="35,71"/>
        <filter val="350,00"/>
        <filter val="36,00"/>
        <filter val="37,00"/>
        <filter val="39,02"/>
        <filter val="398,00"/>
        <filter val="4,00"/>
        <filter val="40,00"/>
        <filter val="400,00"/>
        <filter val="405,36"/>
        <filter val="42,00"/>
        <filter val="42,56"/>
        <filter val="436,00"/>
        <filter val="44,00"/>
        <filter val="448,00"/>
        <filter val="46,00"/>
        <filter val="462,00"/>
        <filter val="478,00"/>
        <filter val="5,00"/>
        <filter val="50,00"/>
        <filter val="50,88"/>
        <filter val="500,00"/>
        <filter val="54,00"/>
        <filter val="59,00"/>
        <filter val="59,37"/>
        <filter val="600,00"/>
        <filter val="606,00"/>
        <filter val="608,00"/>
        <filter val="619,00"/>
        <filter val="62,00"/>
        <filter val="63,00"/>
        <filter val="64,94"/>
        <filter val="68,00"/>
        <filter val="70,00"/>
        <filter val="700,00"/>
        <filter val="76,00"/>
        <filter val="771,00"/>
        <filter val="777,00"/>
        <filter val="791,00"/>
        <filter val="793,99"/>
        <filter val="8,00"/>
        <filter val="8,73"/>
        <filter val="80,00"/>
        <filter val="824,00"/>
        <filter val="83,00"/>
        <filter val="85,00"/>
        <filter val="85,33"/>
        <filter val="895,00"/>
        <filter val="9,00"/>
        <filter val="903,00"/>
        <filter val="938,00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2026-09-04T16:11:25Z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