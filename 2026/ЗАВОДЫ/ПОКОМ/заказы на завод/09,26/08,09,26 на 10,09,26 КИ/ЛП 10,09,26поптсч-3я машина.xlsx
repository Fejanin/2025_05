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0763F6F-B84D-438A-A19E-B48ABAEFE09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Z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P410" i="2"/>
  <c r="BO410" i="2"/>
  <c r="BM410" i="2"/>
  <c r="Y410" i="2"/>
  <c r="BN410" i="2" s="1"/>
  <c r="P410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Z397" i="2" s="1"/>
  <c r="P397" i="2"/>
  <c r="BO396" i="2"/>
  <c r="BM396" i="2"/>
  <c r="Z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Z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N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Y137" i="2" s="1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Z96" i="2"/>
  <c r="Y96" i="2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Z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Z27" i="2"/>
  <c r="Y27" i="2"/>
  <c r="BN27" i="2" s="1"/>
  <c r="P27" i="2"/>
  <c r="X25" i="2"/>
  <c r="Y24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30" i="2" l="1"/>
  <c r="BN78" i="2"/>
  <c r="BN115" i="2"/>
  <c r="BN123" i="2"/>
  <c r="BN128" i="2"/>
  <c r="BP185" i="2"/>
  <c r="BN191" i="2"/>
  <c r="BN215" i="2"/>
  <c r="BP233" i="2"/>
  <c r="BN234" i="2"/>
  <c r="BN249" i="2"/>
  <c r="BN267" i="2"/>
  <c r="BN283" i="2"/>
  <c r="BN289" i="2"/>
  <c r="BN303" i="2"/>
  <c r="BN310" i="2"/>
  <c r="BN336" i="2"/>
  <c r="BN352" i="2"/>
  <c r="BN379" i="2"/>
  <c r="BN397" i="2"/>
  <c r="Y400" i="2"/>
  <c r="BN422" i="2"/>
  <c r="BN503" i="2"/>
  <c r="BN511" i="2"/>
  <c r="BN23" i="2"/>
  <c r="Y61" i="2"/>
  <c r="BN86" i="2"/>
  <c r="Z95" i="2"/>
  <c r="Z100" i="2" s="1"/>
  <c r="BN95" i="2"/>
  <c r="Z106" i="2"/>
  <c r="BN119" i="2"/>
  <c r="BN145" i="2"/>
  <c r="BP161" i="2"/>
  <c r="Z185" i="2"/>
  <c r="Z195" i="2"/>
  <c r="Y202" i="2"/>
  <c r="BN199" i="2"/>
  <c r="BN231" i="2"/>
  <c r="Z233" i="2"/>
  <c r="BN236" i="2"/>
  <c r="BN282" i="2"/>
  <c r="BN287" i="2"/>
  <c r="BN297" i="2"/>
  <c r="BN318" i="2"/>
  <c r="BN343" i="2"/>
  <c r="BN372" i="2"/>
  <c r="Z405" i="2"/>
  <c r="BN405" i="2"/>
  <c r="Y413" i="2"/>
  <c r="Z411" i="2"/>
  <c r="BN415" i="2"/>
  <c r="BN429" i="2"/>
  <c r="Z439" i="2"/>
  <c r="BN441" i="2"/>
  <c r="Z449" i="2"/>
  <c r="Z466" i="2"/>
  <c r="BN466" i="2"/>
  <c r="BN510" i="2"/>
  <c r="BP539" i="2"/>
  <c r="BP105" i="2"/>
  <c r="Y412" i="2"/>
  <c r="BP29" i="2"/>
  <c r="Z41" i="2"/>
  <c r="Z77" i="2"/>
  <c r="Z81" i="2" s="1"/>
  <c r="BP93" i="2"/>
  <c r="Z190" i="2"/>
  <c r="Z277" i="2"/>
  <c r="Y367" i="2"/>
  <c r="Z373" i="2"/>
  <c r="Z383" i="2"/>
  <c r="Z409" i="2"/>
  <c r="BP465" i="2"/>
  <c r="Y493" i="2"/>
  <c r="Z497" i="2"/>
  <c r="Z498" i="2" s="1"/>
  <c r="BP277" i="2"/>
  <c r="Z29" i="2"/>
  <c r="Z32" i="2" s="1"/>
  <c r="BP41" i="2"/>
  <c r="Z60" i="2"/>
  <c r="Z85" i="2"/>
  <c r="Z105" i="2"/>
  <c r="BP40" i="2"/>
  <c r="Z86" i="2"/>
  <c r="Z93" i="2"/>
  <c r="BN99" i="2"/>
  <c r="BP106" i="2"/>
  <c r="BN107" i="2"/>
  <c r="BN160" i="2"/>
  <c r="BP184" i="2"/>
  <c r="Z191" i="2"/>
  <c r="BN195" i="2"/>
  <c r="Z205" i="2"/>
  <c r="Z206" i="2" s="1"/>
  <c r="Y227" i="2"/>
  <c r="Z230" i="2"/>
  <c r="BN250" i="2"/>
  <c r="BN256" i="2"/>
  <c r="Z267" i="2"/>
  <c r="BN293" i="2"/>
  <c r="Z297" i="2"/>
  <c r="BN314" i="2"/>
  <c r="BN326" i="2"/>
  <c r="BN389" i="2"/>
  <c r="Z429" i="2"/>
  <c r="BN430" i="2"/>
  <c r="Z441" i="2"/>
  <c r="BN442" i="2"/>
  <c r="Z465" i="2"/>
  <c r="BN492" i="2"/>
  <c r="BN515" i="2"/>
  <c r="BN530" i="2"/>
  <c r="BN556" i="2"/>
  <c r="BP77" i="2"/>
  <c r="BP409" i="2"/>
  <c r="B574" i="2"/>
  <c r="Z78" i="2"/>
  <c r="BN80" i="2"/>
  <c r="Z124" i="2"/>
  <c r="Z127" i="2"/>
  <c r="BN201" i="2"/>
  <c r="BN226" i="2"/>
  <c r="Y258" i="2"/>
  <c r="BP298" i="2"/>
  <c r="BN351" i="2"/>
  <c r="BN383" i="2"/>
  <c r="BP396" i="2"/>
  <c r="Z403" i="2"/>
  <c r="Z454" i="2"/>
  <c r="Z456" i="2" s="1"/>
  <c r="BP455" i="2"/>
  <c r="BN517" i="2"/>
  <c r="BN278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12" i="2" s="1"/>
  <c r="Z125" i="2"/>
  <c r="Z157" i="2"/>
  <c r="Z188" i="2"/>
  <c r="Z220" i="2"/>
  <c r="Z241" i="2"/>
  <c r="Z251" i="2"/>
  <c r="Z294" i="2"/>
  <c r="Z327" i="2"/>
  <c r="Z329" i="2" s="1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12" i="2" l="1"/>
  <c r="Z90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<sst xmlns="http://schemas.openxmlformats.org/spreadsheetml/2006/main" count="4374" uniqueCount="915">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</sst>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0.5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ref="Y276:Y283" si="45">IFERROR(IF(X276="",0,CEILING((X276/$H276),1)*$H276),"")</f>
        <v>205.20000000000002</v>
      </c>
      <c r="Z276" s="41">
        <f>IFERROR(IF(Y276=0,"",ROUNDUP(Y276/H276,0)*0.00902),"")</f>
        <v>0.34276000000000001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207.03703703703701</v>
      </c>
      <c r="BN276" s="78">
        <f t="shared" ref="BN276:BN283" si="47">IFERROR(Y276*I276/H276,"0")</f>
        <v>212.42</v>
      </c>
      <c r="BO276" s="78">
        <f t="shared" ref="BO276:BO283" si="48">IFERROR(1/J276*(X276/H276),"0")</f>
        <v>0.28058361391694725</v>
      </c>
      <c r="BP276" s="78">
        <f t="shared" ref="BP276:BP283" si="49">IFERROR(1/J276*(Y276/H276),"0")</f>
        <v>0.2878787878787879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si="45"/>
        <v>205.20000000000002</v>
      </c>
      <c r="Z277" s="41">
        <f>IFERROR(IF(Y277=0,"",ROUNDUP(Y277/H277,0)*0.00902),"")</f>
        <v>0.34276000000000001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207.03703703703701</v>
      </c>
      <c r="BN277" s="78">
        <f t="shared" si="47"/>
        <v>212.42</v>
      </c>
      <c r="BO277" s="78">
        <f t="shared" si="48"/>
        <v>0.28058361391694725</v>
      </c>
      <c r="BP277" s="78">
        <f t="shared" si="49"/>
        <v>0.2878787878787879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45"/>
        <v>205.20000000000002</v>
      </c>
      <c r="Z279" s="41">
        <f>IFERROR(IF(Y279=0,"",ROUNDUP(Y279/H279,0)*0.00902),"")</f>
        <v>0.34276000000000001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207.03703703703701</v>
      </c>
      <c r="BN279" s="78">
        <f t="shared" si="47"/>
        <v>212.42</v>
      </c>
      <c r="BO279" s="78">
        <f t="shared" si="48"/>
        <v>0.28058361391694725</v>
      </c>
      <c r="BP279" s="78">
        <f t="shared" si="49"/>
        <v>0.2878787878787879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148.14814814814815</v>
      </c>
      <c r="Y284" s="43">
        <f>IFERROR(Y276/H276,"0")+IFERROR(Y277/H277,"0")+IFERROR(Y278/H278,"0")+IFERROR(Y279/H279,"0")+IFERROR(Y280/H280,"0")+IFERROR(Y281/H281,"0")+IFERROR(Y282/H282,"0")+IFERROR(Y283/H283,"0")</f>
        <v>152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1.37104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800</v>
      </c>
      <c r="Y285" s="43">
        <f>IFERROR(SUM(Y276:Y283),"0")</f>
        <v>820.80000000000007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600</v>
      </c>
      <c r="Y379" s="55">
        <f t="shared" ref="Y379:Y385" si="65">IFERROR(IF(X379="",0,CEILING((X379/$H379),1)*$H379),"")</f>
        <v>600.6</v>
      </c>
      <c r="Z379" s="41">
        <f>IFERROR(IF(Y379=0,"",ROUNDUP(Y379/H379,0)*0.00902),"")</f>
        <v>1.28986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635.71428571428567</v>
      </c>
      <c r="BN379" s="78">
        <f t="shared" ref="BN379:BN385" si="67">IFERROR(Y379*I379/H379,"0")</f>
        <v>636.35</v>
      </c>
      <c r="BO379" s="78">
        <f t="shared" ref="BO379:BO385" si="68">IFERROR(1/J379*(X379/H379),"0")</f>
        <v>1.0822510822510822</v>
      </c>
      <c r="BP379" s="78">
        <f t="shared" ref="BP379:BP385" si="69">IFERROR(1/J379*(Y379/H379),"0")</f>
        <v>1.0833333333333333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600</v>
      </c>
      <c r="Y380" s="55">
        <f t="shared" si="65"/>
        <v>600.6</v>
      </c>
      <c r="Z380" s="41">
        <f>IFERROR(IF(Y380=0,"",ROUNDUP(Y380/H380,0)*0.00902),"")</f>
        <v>1.28986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635.71428571428567</v>
      </c>
      <c r="BN380" s="78">
        <f t="shared" si="67"/>
        <v>636.35</v>
      </c>
      <c r="BO380" s="78">
        <f t="shared" si="68"/>
        <v>1.0822510822510822</v>
      </c>
      <c r="BP380" s="78">
        <f t="shared" si="69"/>
        <v>1.0833333333333333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285.71428571428572</v>
      </c>
      <c r="Y386" s="43">
        <f>IFERROR(Y379/H379,"0")+IFERROR(Y380/H380,"0")+IFERROR(Y381/H381,"0")+IFERROR(Y382/H382,"0")+IFERROR(Y383/H383,"0")+IFERROR(Y384/H384,"0")+IFERROR(Y385/H385,"0")</f>
        <v>286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2.57972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1200</v>
      </c>
      <c r="Y387" s="43">
        <f>IFERROR(SUM(Y379:Y385),"0")</f>
        <v>1201.2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400</v>
      </c>
      <c r="Y422" s="55">
        <f>IFERROR(IF(X422="",0,CEILING((X422/$H422),1)*$H422),"")</f>
        <v>405.59999999999997</v>
      </c>
      <c r="Z422" s="41">
        <f>IFERROR(IF(Y422=0,"",ROUNDUP(Y422/H422,0)*0.01898),"")</f>
        <v>0.98696000000000006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421.02564102564111</v>
      </c>
      <c r="BN422" s="78">
        <f>IFERROR(Y422*I422/H422,"0")</f>
        <v>426.92</v>
      </c>
      <c r="BO422" s="78">
        <f>IFERROR(1/J422*(X422/H422),"0")</f>
        <v>0.80128205128205132</v>
      </c>
      <c r="BP422" s="78">
        <f>IFERROR(1/J422*(Y422/H422),"0")</f>
        <v>0.8125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400</v>
      </c>
      <c r="Y423" s="55">
        <f>IFERROR(IF(X423="",0,CEILING((X423/$H423),1)*$H423),"")</f>
        <v>405.59999999999997</v>
      </c>
      <c r="Z423" s="41">
        <f>IFERROR(IF(Y423=0,"",ROUNDUP(Y423/H423,0)*0.01898),"")</f>
        <v>0.98696000000000006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421.02564102564111</v>
      </c>
      <c r="BN423" s="78">
        <f>IFERROR(Y423*I423/H423,"0")</f>
        <v>426.92</v>
      </c>
      <c r="BO423" s="78">
        <f>IFERROR(1/J423*(X423/H423),"0")</f>
        <v>0.80128205128205132</v>
      </c>
      <c r="BP423" s="78">
        <f>IFERROR(1/J423*(Y423/H423),"0")</f>
        <v>0.8125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102.56410256410257</v>
      </c>
      <c r="Y424" s="43">
        <f>IFERROR(Y422/H422,"0")+IFERROR(Y423/H423,"0")</f>
        <v>104</v>
      </c>
      <c r="Z424" s="43">
        <f>IFERROR(IF(Z422="",0,Z422),"0")+IFERROR(IF(Z423="",0,Z423),"0")</f>
        <v>1.9739200000000001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800</v>
      </c>
      <c r="Y425" s="43">
        <f>IFERROR(SUM(Y422:Y423),"0")</f>
        <v>811.19999999999993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750</v>
      </c>
      <c r="Y438" s="55">
        <f t="shared" si="70"/>
        <v>750</v>
      </c>
      <c r="Z438" s="41">
        <f>IFERROR(IF(Y438=0,"",ROUNDUP(Y438/H438,0)*0.02175),"")</f>
        <v>1.0874999999999999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773.5</v>
      </c>
      <c r="BN438" s="78">
        <f t="shared" si="72"/>
        <v>773.5</v>
      </c>
      <c r="BO438" s="78">
        <f t="shared" si="73"/>
        <v>1.0416666666666665</v>
      </c>
      <c r="BP438" s="78">
        <f t="shared" si="74"/>
        <v>1.0416666666666665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6500</v>
      </c>
      <c r="Y440" s="55">
        <f t="shared" si="70"/>
        <v>6510</v>
      </c>
      <c r="Z440" s="41">
        <f>IFERROR(IF(Y440=0,"",ROUNDUP(Y440/H440,0)*0.02175),"")</f>
        <v>9.4394999999999989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6703.666666666667</v>
      </c>
      <c r="BN440" s="78">
        <f t="shared" si="72"/>
        <v>6713.98</v>
      </c>
      <c r="BO440" s="78">
        <f t="shared" si="73"/>
        <v>9.0277777777777768</v>
      </c>
      <c r="BP440" s="78">
        <f t="shared" si="74"/>
        <v>9.0416666666666661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483.33333333333331</v>
      </c>
      <c r="Y444" s="43">
        <f>IFERROR(Y436/H436,"0")+IFERROR(Y437/H437,"0")+IFERROR(Y438/H438,"0")+IFERROR(Y439/H439,"0")+IFERROR(Y440/H440,"0")+IFERROR(Y441/H441,"0")+IFERROR(Y442/H442,"0")+IFERROR(Y443/H443,"0")</f>
        <v>484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10.526999999999999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7250</v>
      </c>
      <c r="Y445" s="43">
        <f>IFERROR(SUM(Y436:Y443),"0")</f>
        <v>7260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8000</v>
      </c>
      <c r="Y447" s="55">
        <f>IFERROR(IF(X447="",0,CEILING((X447/$H447),1)*$H447),"")</f>
        <v>8010</v>
      </c>
      <c r="Z447" s="41">
        <f>IFERROR(IF(Y447=0,"",ROUNDUP(Y447/H447,0)*0.02175),"")</f>
        <v>11.6145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8250.6666666666661</v>
      </c>
      <c r="BN447" s="78">
        <f>IFERROR(Y447*I447/H447,"0")</f>
        <v>8260.9800000000014</v>
      </c>
      <c r="BO447" s="78">
        <f>IFERROR(1/J447*(X447/H447),"0")</f>
        <v>11.111111111111111</v>
      </c>
      <c r="BP447" s="78">
        <f>IFERROR(1/J447*(Y447/H447),"0")</f>
        <v>11.125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533.33333333333337</v>
      </c>
      <c r="Y450" s="43">
        <f>IFERROR(Y447/H447,"0")+IFERROR(Y448/H448,"0")+IFERROR(Y449/H449,"0")</f>
        <v>534</v>
      </c>
      <c r="Z450" s="43">
        <f>IFERROR(IF(Z447="",0,Z447),"0")+IFERROR(IF(Z448="",0,Z448),"0")+IFERROR(IF(Z449="",0,Z449),"0")</f>
        <v>11.6145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8000</v>
      </c>
      <c r="Y451" s="43">
        <f>IFERROR(SUM(Y447:Y449),"0")</f>
        <v>8010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18050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18103.2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18669.461334961336</v>
      </c>
      <c r="Y565" s="43">
        <f>IFERROR(SUM(BN22:BN561),"0")</f>
        <v>18724.68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27</v>
      </c>
      <c r="Y566" s="44">
        <f>ROUNDUP(SUM(BP22:BP561),0)</f>
        <v>27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19344.461334961336</v>
      </c>
      <c r="Y567" s="43">
        <f>GrossWeightTotalR+PalletQtyTotalR*25</f>
        <v>19399.68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1553.0932030932031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1560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28.066179999999999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820.80000000000007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1201.2</v>
      </c>
      <c r="U574" s="52">
        <f>IFERROR(Y422*1,"0")+IFERROR(Y423*1,"0")</f>
        <v>811.19999999999993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15270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53,09"/>
        <filter val="102,56"/>
        <filter val="148,15"/>
        <filter val="18 050,00"/>
        <filter val="18 669,46"/>
        <filter val="19 344,46"/>
        <filter val="200,00"/>
        <filter val="27"/>
        <filter val="285,71"/>
        <filter val="400,00"/>
        <filter val="483,33"/>
        <filter val="533,33"/>
        <filter val="6 500,00"/>
        <filter val="600,00"/>
        <filter val="7 250,00"/>
        <filter val="750,00"/>
        <filter val="8 000,00"/>
        <filter val="800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