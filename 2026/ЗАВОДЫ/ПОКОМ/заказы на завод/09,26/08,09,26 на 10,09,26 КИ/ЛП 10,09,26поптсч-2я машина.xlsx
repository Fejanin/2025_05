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639687B-BB9E-421D-BE94-8DBDDF1BF0D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Z465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N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N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Z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P199" i="2"/>
  <c r="X197" i="2"/>
  <c r="X196" i="2"/>
  <c r="BO195" i="2"/>
  <c r="BN195" i="2"/>
  <c r="BM195" i="2"/>
  <c r="Z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P161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Z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P86" i="2"/>
  <c r="BO86" i="2"/>
  <c r="BN86" i="2"/>
  <c r="BM86" i="2"/>
  <c r="Z86" i="2"/>
  <c r="Y86" i="2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Z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Z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Z27" i="2"/>
  <c r="Y27" i="2"/>
  <c r="BN27" i="2" s="1"/>
  <c r="P27" i="2"/>
  <c r="X25" i="2"/>
  <c r="Y24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N30" i="2" l="1"/>
  <c r="BN78" i="2"/>
  <c r="BN128" i="2"/>
  <c r="BN215" i="2"/>
  <c r="BP233" i="2"/>
  <c r="BN234" i="2"/>
  <c r="BN249" i="2"/>
  <c r="BN267" i="2"/>
  <c r="BN289" i="2"/>
  <c r="BN303" i="2"/>
  <c r="BN314" i="2"/>
  <c r="BN326" i="2"/>
  <c r="BN389" i="2"/>
  <c r="BN515" i="2"/>
  <c r="BN23" i="2"/>
  <c r="BN99" i="2"/>
  <c r="Z105" i="2"/>
  <c r="BN107" i="2"/>
  <c r="Z124" i="2"/>
  <c r="Z127" i="2"/>
  <c r="Z185" i="2"/>
  <c r="BN185" i="2"/>
  <c r="BN191" i="2"/>
  <c r="Y202" i="2"/>
  <c r="BN199" i="2"/>
  <c r="BN231" i="2"/>
  <c r="Z233" i="2"/>
  <c r="BN236" i="2"/>
  <c r="BN283" i="2"/>
  <c r="BN293" i="2"/>
  <c r="BN310" i="2"/>
  <c r="BN318" i="2"/>
  <c r="BN336" i="2"/>
  <c r="Z383" i="2"/>
  <c r="BN383" i="2"/>
  <c r="Y400" i="2"/>
  <c r="BN405" i="2"/>
  <c r="Z441" i="2"/>
  <c r="BN441" i="2"/>
  <c r="BN442" i="2"/>
  <c r="BN466" i="2"/>
  <c r="BN492" i="2"/>
  <c r="BN517" i="2"/>
  <c r="BP539" i="2"/>
  <c r="BP29" i="2"/>
  <c r="Z41" i="2"/>
  <c r="Z60" i="2"/>
  <c r="Z95" i="2"/>
  <c r="Z100" i="2" s="1"/>
  <c r="Z106" i="2"/>
  <c r="Y137" i="2"/>
  <c r="Z190" i="2"/>
  <c r="Z297" i="2"/>
  <c r="BP297" i="2"/>
  <c r="Z397" i="2"/>
  <c r="Z403" i="2"/>
  <c r="Z454" i="2"/>
  <c r="Z456" i="2" s="1"/>
  <c r="BP455" i="2"/>
  <c r="Z29" i="2"/>
  <c r="Z32" i="2" s="1"/>
  <c r="BP41" i="2"/>
  <c r="BP40" i="2"/>
  <c r="Z78" i="2"/>
  <c r="BN80" i="2"/>
  <c r="Z104" i="2"/>
  <c r="BP105" i="2"/>
  <c r="BN115" i="2"/>
  <c r="BN145" i="2"/>
  <c r="Z191" i="2"/>
  <c r="Z205" i="2"/>
  <c r="Z206" i="2" s="1"/>
  <c r="Y227" i="2"/>
  <c r="Z230" i="2"/>
  <c r="BN250" i="2"/>
  <c r="BN256" i="2"/>
  <c r="Z267" i="2"/>
  <c r="BN278" i="2"/>
  <c r="BP298" i="2"/>
  <c r="BN351" i="2"/>
  <c r="BP396" i="2"/>
  <c r="Z405" i="2"/>
  <c r="Y413" i="2"/>
  <c r="BP409" i="2"/>
  <c r="Z411" i="2"/>
  <c r="Y412" i="2"/>
  <c r="BP429" i="2"/>
  <c r="Z449" i="2"/>
  <c r="Z455" i="2"/>
  <c r="Z466" i="2"/>
  <c r="BN510" i="2"/>
  <c r="BN530" i="2"/>
  <c r="BN556" i="2"/>
  <c r="BP106" i="2"/>
  <c r="B574" i="2"/>
  <c r="BP77" i="2"/>
  <c r="BP93" i="2"/>
  <c r="BN95" i="2"/>
  <c r="BN119" i="2"/>
  <c r="BN160" i="2"/>
  <c r="BN201" i="2"/>
  <c r="BN226" i="2"/>
  <c r="Y258" i="2"/>
  <c r="BN282" i="2"/>
  <c r="BN287" i="2"/>
  <c r="BN343" i="2"/>
  <c r="BN352" i="2"/>
  <c r="Z396" i="2"/>
  <c r="Z399" i="2" s="1"/>
  <c r="BN397" i="2"/>
  <c r="Z409" i="2"/>
  <c r="BP410" i="2"/>
  <c r="BN415" i="2"/>
  <c r="Z429" i="2"/>
  <c r="Z439" i="2"/>
  <c r="Y468" i="2"/>
  <c r="BP465" i="2"/>
  <c r="Y493" i="2"/>
  <c r="Z497" i="2"/>
  <c r="Z498" i="2" s="1"/>
  <c r="BN503" i="2"/>
  <c r="BN511" i="2"/>
  <c r="Z64" i="2"/>
  <c r="Z277" i="2"/>
  <c r="BP277" i="2"/>
  <c r="BN123" i="2"/>
  <c r="BN430" i="2"/>
  <c r="BN422" i="2"/>
  <c r="Y367" i="2"/>
  <c r="Y61" i="2"/>
  <c r="BN379" i="2"/>
  <c r="BP184" i="2"/>
  <c r="BN372" i="2"/>
  <c r="Z373" i="2"/>
  <c r="Z85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Z467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BP448" i="2"/>
  <c r="BN448" i="2"/>
  <c r="BP49" i="2"/>
  <c r="Z81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Z345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74" i="2" s="1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Z461" i="2" s="1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12" i="2" s="1"/>
  <c r="Z125" i="2"/>
  <c r="Z157" i="2"/>
  <c r="Z188" i="2"/>
  <c r="Z220" i="2"/>
  <c r="Z241" i="2"/>
  <c r="Z251" i="2"/>
  <c r="Z294" i="2"/>
  <c r="Z327" i="2"/>
  <c r="Z329" i="2" s="1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412" i="2" l="1"/>
  <c r="Z450" i="2"/>
  <c r="Z504" i="2"/>
  <c r="Z244" i="2"/>
  <c r="Z366" i="2"/>
  <c r="Z90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<sst xmlns="http://schemas.openxmlformats.org/spreadsheetml/2006/main" count="4374" uniqueCount="915">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</sst>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914</v>
      </c>
      <c r="I5" s="667"/>
      <c r="J5" s="667"/>
      <c r="K5" s="667"/>
      <c r="L5" s="667"/>
      <c r="M5" s="667"/>
      <c r="N5" s="72"/>
      <c r="P5" s="27" t="s">
        <v>4</v>
      </c>
      <c r="Q5" s="669">
        <v>46275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Четверг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0.45833333333333331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hidden="1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hidden="1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hidden="1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hidden="1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hidden="1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hidden="1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hidden="1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240</v>
      </c>
      <c r="Y49" s="55">
        <f>IFERROR(IF(X49="",0,CEILING((X49/$H49),1)*$H49),"")</f>
        <v>240</v>
      </c>
      <c r="Z49" s="41">
        <f>IFERROR(IF(Y49=0,"",ROUNDUP(Y49/H49,0)*0.00902),"")</f>
        <v>0.54120000000000001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251.40000000000003</v>
      </c>
      <c r="BN49" s="78">
        <f>IFERROR(Y49*I49/H49,"0")</f>
        <v>251.40000000000003</v>
      </c>
      <c r="BO49" s="78">
        <f>IFERROR(1/J49*(X49/H49),"0")</f>
        <v>0.45454545454545459</v>
      </c>
      <c r="BP49" s="78">
        <f>IFERROR(1/J49*(Y49/H49),"0")</f>
        <v>0.45454545454545459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60</v>
      </c>
      <c r="Y51" s="43">
        <f>IFERROR(Y47/H47,"0")+IFERROR(Y48/H48,"0")+IFERROR(Y49/H49,"0")+IFERROR(Y50/H50,"0")</f>
        <v>60</v>
      </c>
      <c r="Z51" s="43">
        <f>IFERROR(IF(Z47="",0,Z47),"0")+IFERROR(IF(Z48="",0,Z48),"0")+IFERROR(IF(Z49="",0,Z49),"0")+IFERROR(IF(Z50="",0,Z50),"0")</f>
        <v>0.54120000000000001</v>
      </c>
      <c r="AA51" s="67"/>
      <c r="AB51" s="67"/>
      <c r="AC51" s="67"/>
    </row>
    <row r="52" spans="1:68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240</v>
      </c>
      <c r="Y52" s="43">
        <f>IFERROR(SUM(Y47:Y50),"0")</f>
        <v>240</v>
      </c>
      <c r="Z52" s="42"/>
      <c r="AA52" s="67"/>
      <c r="AB52" s="67"/>
      <c r="AC52" s="67"/>
    </row>
    <row r="53" spans="1:68" ht="16.5" hidden="1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hidden="1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100</v>
      </c>
      <c r="Y55" s="55">
        <f t="shared" ref="Y55:Y60" si="0">IFERROR(IF(X55="",0,CEILING((X55/$H55),1)*$H55),"")</f>
        <v>100.8</v>
      </c>
      <c r="Z55" s="41">
        <f>IFERROR(IF(Y55=0,"",ROUNDUP(Y55/H55,0)*0.01898),"")</f>
        <v>0.17082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103.66071428571429</v>
      </c>
      <c r="BN55" s="78">
        <f t="shared" ref="BN55:BN60" si="2">IFERROR(Y55*I55/H55,"0")</f>
        <v>104.49000000000001</v>
      </c>
      <c r="BO55" s="78">
        <f t="shared" ref="BO55:BO60" si="3">IFERROR(1/J55*(X55/H55),"0")</f>
        <v>0.13950892857142858</v>
      </c>
      <c r="BP55" s="78">
        <f t="shared" ref="BP55:BP60" si="4">IFERROR(1/J55*(Y55/H55),"0")</f>
        <v>0.140625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200</v>
      </c>
      <c r="Y56" s="55">
        <f t="shared" si="0"/>
        <v>205.20000000000002</v>
      </c>
      <c r="Z56" s="41">
        <f>IFERROR(IF(Y56=0,"",ROUNDUP(Y56/H56,0)*0.01898),"")</f>
        <v>0.36062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207.59259259259258</v>
      </c>
      <c r="BN56" s="78">
        <f t="shared" si="2"/>
        <v>212.99</v>
      </c>
      <c r="BO56" s="78">
        <f t="shared" si="3"/>
        <v>0.28935185185185186</v>
      </c>
      <c r="BP56" s="78">
        <f t="shared" si="4"/>
        <v>0.296875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21</v>
      </c>
      <c r="Y59" s="55">
        <f t="shared" si="0"/>
        <v>21</v>
      </c>
      <c r="Z59" s="41">
        <f>IFERROR(IF(Y59=0,"",ROUNDUP(Y59/H59,0)*0.00651),"")</f>
        <v>6.5100000000000005E-2</v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22.799999999999997</v>
      </c>
      <c r="BN59" s="78">
        <f t="shared" si="2"/>
        <v>22.799999999999997</v>
      </c>
      <c r="BO59" s="78">
        <f t="shared" si="3"/>
        <v>5.4945054945054951E-2</v>
      </c>
      <c r="BP59" s="78">
        <f t="shared" si="4"/>
        <v>5.4945054945054951E-2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540</v>
      </c>
      <c r="Y60" s="55">
        <f t="shared" si="0"/>
        <v>540</v>
      </c>
      <c r="Z60" s="41">
        <f>IFERROR(IF(Y60=0,"",ROUNDUP(Y60/H60,0)*0.00902),"")</f>
        <v>1.0824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562.80000000000007</v>
      </c>
      <c r="BN60" s="78">
        <f t="shared" si="2"/>
        <v>562.80000000000007</v>
      </c>
      <c r="BO60" s="78">
        <f t="shared" si="3"/>
        <v>0.90909090909090917</v>
      </c>
      <c r="BP60" s="78">
        <f t="shared" si="4"/>
        <v>0.90909090909090917</v>
      </c>
    </row>
    <row r="61" spans="1:68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157.44708994708995</v>
      </c>
      <c r="Y61" s="43">
        <f>IFERROR(Y55/H55,"0")+IFERROR(Y56/H56,"0")+IFERROR(Y57/H57,"0")+IFERROR(Y58/H58,"0")+IFERROR(Y59/H59,"0")+IFERROR(Y60/H60,"0")</f>
        <v>158</v>
      </c>
      <c r="Z61" s="43">
        <f>IFERROR(IF(Z55="",0,Z55),"0")+IFERROR(IF(Z56="",0,Z56),"0")+IFERROR(IF(Z57="",0,Z57),"0")+IFERROR(IF(Z58="",0,Z58),"0")+IFERROR(IF(Z59="",0,Z59),"0")+IFERROR(IF(Z60="",0,Z60),"0")</f>
        <v>1.6789400000000001</v>
      </c>
      <c r="AA61" s="67"/>
      <c r="AB61" s="67"/>
      <c r="AC61" s="67"/>
    </row>
    <row r="62" spans="1:68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861</v>
      </c>
      <c r="Y62" s="43">
        <f>IFERROR(SUM(Y55:Y60),"0")</f>
        <v>867</v>
      </c>
      <c r="Z62" s="42"/>
      <c r="AA62" s="67"/>
      <c r="AB62" s="67"/>
      <c r="AC62" s="67"/>
    </row>
    <row r="63" spans="1:68" ht="14.25" hidden="1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700</v>
      </c>
      <c r="Y64" s="55">
        <f>IFERROR(IF(X64="",0,CEILING((X64/$H64),1)*$H64),"")</f>
        <v>702</v>
      </c>
      <c r="Z64" s="41">
        <f>IFERROR(IF(Y64=0,"",ROUNDUP(Y64/H64,0)*0.01898),"")</f>
        <v>1.2337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726.57407407407413</v>
      </c>
      <c r="BN64" s="78">
        <f>IFERROR(Y64*I64/H64,"0")</f>
        <v>728.65000000000009</v>
      </c>
      <c r="BO64" s="78">
        <f>IFERROR(1/J64*(X64/H64),"0")</f>
        <v>1.0127314814814814</v>
      </c>
      <c r="BP64" s="78">
        <f>IFERROR(1/J64*(Y64/H64),"0")</f>
        <v>1.015625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135</v>
      </c>
      <c r="Y67" s="55">
        <f>IFERROR(IF(X67="",0,CEILING((X67/$H67),1)*$H67),"")</f>
        <v>135</v>
      </c>
      <c r="Z67" s="41">
        <f>IFERROR(IF(Y67=0,"",ROUNDUP(Y67/H67,0)*0.00651),"")</f>
        <v>0.32550000000000001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144</v>
      </c>
      <c r="BN67" s="78">
        <f>IFERROR(Y67*I67/H67,"0")</f>
        <v>144</v>
      </c>
      <c r="BO67" s="78">
        <f>IFERROR(1/J67*(X67/H67),"0")</f>
        <v>0.27472527472527475</v>
      </c>
      <c r="BP67" s="78">
        <f>IFERROR(1/J67*(Y67/H67),"0")</f>
        <v>0.27472527472527475</v>
      </c>
    </row>
    <row r="68" spans="1:68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114.81481481481481</v>
      </c>
      <c r="Y68" s="43">
        <f>IFERROR(Y64/H64,"0")+IFERROR(Y65/H65,"0")+IFERROR(Y66/H66,"0")+IFERROR(Y67/H67,"0")</f>
        <v>115</v>
      </c>
      <c r="Z68" s="43">
        <f>IFERROR(IF(Z64="",0,Z64),"0")+IFERROR(IF(Z65="",0,Z65),"0")+IFERROR(IF(Z66="",0,Z66),"0")+IFERROR(IF(Z67="",0,Z67),"0")</f>
        <v>1.5592000000000001</v>
      </c>
      <c r="AA68" s="67"/>
      <c r="AB68" s="67"/>
      <c r="AC68" s="67"/>
    </row>
    <row r="69" spans="1:68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835</v>
      </c>
      <c r="Y69" s="43">
        <f>IFERROR(SUM(Y64:Y67),"0")</f>
        <v>837</v>
      </c>
      <c r="Z69" s="42"/>
      <c r="AA69" s="67"/>
      <c r="AB69" s="67"/>
      <c r="AC69" s="67"/>
    </row>
    <row r="70" spans="1:68" ht="14.25" hidden="1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hidden="1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300</v>
      </c>
      <c r="Y85" s="55">
        <f>IFERROR(IF(X85="",0,CEILING((X85/$H85),1)*$H85),"")</f>
        <v>302.40000000000003</v>
      </c>
      <c r="Z85" s="41">
        <f>IFERROR(IF(Y85=0,"",ROUNDUP(Y85/H85,0)*0.01898),"")</f>
        <v>0.53144000000000002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311.38888888888891</v>
      </c>
      <c r="BN85" s="78">
        <f>IFERROR(Y85*I85/H85,"0")</f>
        <v>313.88</v>
      </c>
      <c r="BO85" s="78">
        <f>IFERROR(1/J85*(X85/H85),"0")</f>
        <v>0.43402777777777773</v>
      </c>
      <c r="BP85" s="78">
        <f>IFERROR(1/J85*(Y85/H85),"0")</f>
        <v>0.4375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27.777777777777775</v>
      </c>
      <c r="Y90" s="43">
        <f>IFERROR(Y85/H85,"0")+IFERROR(Y86/H86,"0")+IFERROR(Y87/H87,"0")+IFERROR(Y88/H88,"0")+IFERROR(Y89/H89,"0")</f>
        <v>28</v>
      </c>
      <c r="Z90" s="43">
        <f>IFERROR(IF(Z85="",0,Z85),"0")+IFERROR(IF(Z86="",0,Z86),"0")+IFERROR(IF(Z87="",0,Z87),"0")+IFERROR(IF(Z88="",0,Z88),"0")+IFERROR(IF(Z89="",0,Z89),"0")</f>
        <v>0.53144000000000002</v>
      </c>
      <c r="AA90" s="67"/>
      <c r="AB90" s="67"/>
      <c r="AC90" s="67"/>
    </row>
    <row r="91" spans="1:68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300</v>
      </c>
      <c r="Y91" s="43">
        <f>IFERROR(SUM(Y85:Y89),"0")</f>
        <v>302.40000000000003</v>
      </c>
      <c r="Z91" s="42"/>
      <c r="AA91" s="67"/>
      <c r="AB91" s="67"/>
      <c r="AC91" s="67"/>
    </row>
    <row r="92" spans="1:68" ht="14.25" hidden="1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hidden="1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400</v>
      </c>
      <c r="Y123" s="55">
        <f t="shared" ref="Y123:Y130" si="15">IFERROR(IF(X123="",0,CEILING((X123/$H123),1)*$H123),"")</f>
        <v>405</v>
      </c>
      <c r="Z123" s="41">
        <f>IFERROR(IF(Y123=0,"",ROUNDUP(Y123/H123,0)*0.01898),"")</f>
        <v>0.94900000000000007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424.09876543209879</v>
      </c>
      <c r="BN123" s="78">
        <f t="shared" ref="BN123:BN130" si="17">IFERROR(Y123*I123/H123,"0")</f>
        <v>429.4</v>
      </c>
      <c r="BO123" s="78">
        <f t="shared" ref="BO123:BO130" si="18">IFERROR(1/J123*(X123/H123),"0")</f>
        <v>0.77160493827160492</v>
      </c>
      <c r="BP123" s="78">
        <f t="shared" ref="BP123:BP130" si="19">IFERROR(1/J123*(Y123/H123),"0")</f>
        <v>0.78125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49.382716049382715</v>
      </c>
      <c r="Y131" s="43">
        <f>IFERROR(Y123/H123,"0")+IFERROR(Y124/H124,"0")+IFERROR(Y125/H125,"0")+IFERROR(Y126/H126,"0")+IFERROR(Y127/H127,"0")+IFERROR(Y128/H128,"0")+IFERROR(Y129/H129,"0")+IFERROR(Y130/H130,"0")</f>
        <v>50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0.94900000000000007</v>
      </c>
      <c r="AA131" s="67"/>
      <c r="AB131" s="67"/>
      <c r="AC131" s="67"/>
    </row>
    <row r="132" spans="1:68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400</v>
      </c>
      <c r="Y132" s="43">
        <f>IFERROR(SUM(Y123:Y130),"0")</f>
        <v>405</v>
      </c>
      <c r="Z132" s="42"/>
      <c r="AA132" s="67"/>
      <c r="AB132" s="67"/>
      <c r="AC132" s="67"/>
    </row>
    <row r="133" spans="1:68" ht="14.25" hidden="1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hidden="1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hidden="1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hidden="1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60</v>
      </c>
      <c r="Y182" s="55">
        <f t="shared" ref="Y182:Y195" si="27">IFERROR(IF(X182="",0,CEILING((X182/$H182),1)*$H182),"")</f>
        <v>63</v>
      </c>
      <c r="Z182" s="41">
        <f t="shared" ref="Z182:Z187" si="28">IFERROR(IF(Y182=0,"",ROUNDUP(Y182/H182,0)*0.00902),"")</f>
        <v>0.16236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63.25714285714286</v>
      </c>
      <c r="BN182" s="78">
        <f t="shared" ref="BN182:BN195" si="30">IFERROR(Y182*I182/H182,"0")</f>
        <v>66.42</v>
      </c>
      <c r="BO182" s="78">
        <f t="shared" ref="BO182:BO195" si="31">IFERROR(1/J182*(X182/H182),"0")</f>
        <v>0.12987012987012986</v>
      </c>
      <c r="BP182" s="78">
        <f t="shared" ref="BP182:BP195" si="32">IFERROR(1/J182*(Y182/H182),"0")</f>
        <v>0.13636363636363635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100</v>
      </c>
      <c r="Y183" s="55">
        <f t="shared" si="27"/>
        <v>101.5</v>
      </c>
      <c r="Z183" s="41">
        <f t="shared" si="28"/>
        <v>0.26158000000000003</v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107.57142857142857</v>
      </c>
      <c r="BN183" s="78">
        <f t="shared" si="30"/>
        <v>109.18500000000002</v>
      </c>
      <c r="BO183" s="78">
        <f t="shared" si="31"/>
        <v>0.21645021645021648</v>
      </c>
      <c r="BP183" s="78">
        <f t="shared" si="32"/>
        <v>0.2196969696969697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100</v>
      </c>
      <c r="Y184" s="55">
        <f t="shared" si="27"/>
        <v>101.5</v>
      </c>
      <c r="Z184" s="41">
        <f t="shared" si="28"/>
        <v>0.26158000000000003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105.42857142857143</v>
      </c>
      <c r="BN184" s="78">
        <f t="shared" si="30"/>
        <v>107.00999999999999</v>
      </c>
      <c r="BO184" s="78">
        <f t="shared" si="31"/>
        <v>0.21645021645021648</v>
      </c>
      <c r="BP184" s="78">
        <f t="shared" si="32"/>
        <v>0.2196969696969697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200</v>
      </c>
      <c r="Y186" s="55">
        <f t="shared" si="27"/>
        <v>203</v>
      </c>
      <c r="Z186" s="41">
        <f t="shared" si="28"/>
        <v>0.52316000000000007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210.85714285714286</v>
      </c>
      <c r="BN186" s="78">
        <f t="shared" si="30"/>
        <v>214.01999999999998</v>
      </c>
      <c r="BO186" s="78">
        <f t="shared" si="31"/>
        <v>0.43290043290043295</v>
      </c>
      <c r="BP186" s="78">
        <f t="shared" si="32"/>
        <v>0.43939393939393939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131.42857142857144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134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1.2086800000000002</v>
      </c>
      <c r="AA196" s="67"/>
      <c r="AB196" s="67"/>
      <c r="AC196" s="67"/>
    </row>
    <row r="197" spans="1:68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460</v>
      </c>
      <c r="Y197" s="43">
        <f>IFERROR(SUM(Y182:Y195),"0")</f>
        <v>469</v>
      </c>
      <c r="Z197" s="42"/>
      <c r="AA197" s="67"/>
      <c r="AB197" s="67"/>
      <c r="AC197" s="67"/>
    </row>
    <row r="198" spans="1:68" ht="14.25" hidden="1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hidden="1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hidden="1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hidden="1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hidden="1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250</v>
      </c>
      <c r="Y276" s="55">
        <f t="shared" ref="Y276:Y283" si="45">IFERROR(IF(X276="",0,CEILING((X276/$H276),1)*$H276),"")</f>
        <v>253.8</v>
      </c>
      <c r="Z276" s="41">
        <f>IFERROR(IF(Y276=0,"",ROUNDUP(Y276/H276,0)*0.00902),"")</f>
        <v>0.42393999999999998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258.7962962962963</v>
      </c>
      <c r="BN276" s="78">
        <f t="shared" ref="BN276:BN283" si="47">IFERROR(Y276*I276/H276,"0")</f>
        <v>262.72999999999996</v>
      </c>
      <c r="BO276" s="78">
        <f t="shared" ref="BO276:BO283" si="48">IFERROR(1/J276*(X276/H276),"0")</f>
        <v>0.35072951739618402</v>
      </c>
      <c r="BP276" s="78">
        <f t="shared" ref="BP276:BP283" si="49">IFERROR(1/J276*(Y276/H276),"0")</f>
        <v>0.35606060606060608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250</v>
      </c>
      <c r="Y277" s="55">
        <f t="shared" si="45"/>
        <v>253.8</v>
      </c>
      <c r="Z277" s="41">
        <f>IFERROR(IF(Y277=0,"",ROUNDUP(Y277/H277,0)*0.00902),"")</f>
        <v>0.42393999999999998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258.7962962962963</v>
      </c>
      <c r="BN277" s="78">
        <f t="shared" si="47"/>
        <v>262.72999999999996</v>
      </c>
      <c r="BO277" s="78">
        <f t="shared" si="48"/>
        <v>0.35072951739618402</v>
      </c>
      <c r="BP277" s="78">
        <f t="shared" si="49"/>
        <v>0.35606060606060608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250</v>
      </c>
      <c r="Y278" s="55">
        <f t="shared" si="45"/>
        <v>253.8</v>
      </c>
      <c r="Z278" s="41">
        <f>IFERROR(IF(Y278=0,"",ROUNDUP(Y278/H278,0)*0.00902),"")</f>
        <v>0.42393999999999998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258.7962962962963</v>
      </c>
      <c r="BN278" s="78">
        <f t="shared" si="47"/>
        <v>262.72999999999996</v>
      </c>
      <c r="BO278" s="78">
        <f t="shared" si="48"/>
        <v>0.35072951739618402</v>
      </c>
      <c r="BP278" s="78">
        <f t="shared" si="49"/>
        <v>0.35606060606060608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350</v>
      </c>
      <c r="Y279" s="55">
        <f t="shared" si="45"/>
        <v>351</v>
      </c>
      <c r="Z279" s="41">
        <f>IFERROR(IF(Y279=0,"",ROUNDUP(Y279/H279,0)*0.00902),"")</f>
        <v>0.58630000000000004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362.31481481481478</v>
      </c>
      <c r="BN279" s="78">
        <f t="shared" si="47"/>
        <v>363.34999999999997</v>
      </c>
      <c r="BO279" s="78">
        <f t="shared" si="48"/>
        <v>0.49102132435465767</v>
      </c>
      <c r="BP279" s="78">
        <f t="shared" si="49"/>
        <v>0.49242424242424243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203.70370370370367</v>
      </c>
      <c r="Y284" s="43">
        <f>IFERROR(Y276/H276,"0")+IFERROR(Y277/H277,"0")+IFERROR(Y278/H278,"0")+IFERROR(Y279/H279,"0")+IFERROR(Y280/H280,"0")+IFERROR(Y281/H281,"0")+IFERROR(Y282/H282,"0")+IFERROR(Y283/H283,"0")</f>
        <v>206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1.85812</v>
      </c>
      <c r="AA284" s="67"/>
      <c r="AB284" s="67"/>
      <c r="AC284" s="67"/>
    </row>
    <row r="285" spans="1:68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1100</v>
      </c>
      <c r="Y285" s="43">
        <f>IFERROR(SUM(Y276:Y283),"0")</f>
        <v>1112.4000000000001</v>
      </c>
      <c r="Z285" s="42"/>
      <c r="AA285" s="67"/>
      <c r="AB285" s="67"/>
      <c r="AC285" s="67"/>
    </row>
    <row r="286" spans="1:68" ht="14.25" hidden="1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hidden="1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hidden="1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hidden="1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hidden="1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hidden="1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40</v>
      </c>
      <c r="Y364" s="55">
        <f>IFERROR(IF(X364="",0,CEILING((X364/$H364),1)*$H364),"")</f>
        <v>46.8</v>
      </c>
      <c r="Z364" s="41">
        <f>IFERROR(IF(Y364=0,"",ROUNDUP(Y364/H364,0)*0.01898),"")</f>
        <v>0.11388000000000001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42.102564102564109</v>
      </c>
      <c r="BN364" s="78">
        <f>IFERROR(Y364*I364/H364,"0")</f>
        <v>49.260000000000005</v>
      </c>
      <c r="BO364" s="78">
        <f>IFERROR(1/J364*(X364/H364),"0")</f>
        <v>8.0128205128205135E-2</v>
      </c>
      <c r="BP364" s="78">
        <f>IFERROR(1/J364*(Y364/H364),"0")</f>
        <v>9.375E-2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40</v>
      </c>
      <c r="Y365" s="55">
        <f>IFERROR(IF(X365="",0,CEILING((X365/$H365),1)*$H365),"")</f>
        <v>46.8</v>
      </c>
      <c r="Z365" s="41">
        <f>IFERROR(IF(Y365=0,"",ROUNDUP(Y365/H365,0)*0.01898),"")</f>
        <v>0.11388000000000001</v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42.102564102564109</v>
      </c>
      <c r="BN365" s="78">
        <f>IFERROR(Y365*I365/H365,"0")</f>
        <v>49.260000000000005</v>
      </c>
      <c r="BO365" s="78">
        <f>IFERROR(1/J365*(X365/H365),"0")</f>
        <v>8.0128205128205135E-2</v>
      </c>
      <c r="BP365" s="78">
        <f>IFERROR(1/J365*(Y365/H365),"0")</f>
        <v>9.375E-2</v>
      </c>
    </row>
    <row r="366" spans="1:68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10.256410256410257</v>
      </c>
      <c r="Y366" s="43">
        <f>IFERROR(Y363/H363,"0")+IFERROR(Y364/H364,"0")+IFERROR(Y365/H365,"0")</f>
        <v>12</v>
      </c>
      <c r="Z366" s="43">
        <f>IFERROR(IF(Z363="",0,Z363),"0")+IFERROR(IF(Z364="",0,Z364),"0")+IFERROR(IF(Z365="",0,Z365),"0")</f>
        <v>0.22776000000000002</v>
      </c>
      <c r="AA366" s="67"/>
      <c r="AB366" s="67"/>
      <c r="AC366" s="67"/>
    </row>
    <row r="367" spans="1:68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80</v>
      </c>
      <c r="Y367" s="43">
        <f>IFERROR(SUM(Y363:Y365),"0")</f>
        <v>93.6</v>
      </c>
      <c r="Z367" s="42"/>
      <c r="AA367" s="67"/>
      <c r="AB367" s="67"/>
      <c r="AC367" s="67"/>
    </row>
    <row r="368" spans="1:68" ht="16.5" hidden="1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hidden="1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1000</v>
      </c>
      <c r="Y370" s="55">
        <f t="shared" ref="Y370:Y375" si="60">IFERROR(IF(X370="",0,CEILING((X370/$H370),1)*$H370),"")</f>
        <v>1004.4000000000001</v>
      </c>
      <c r="Z370" s="41">
        <f>IFERROR(IF(Y370=0,"",ROUNDUP(Y370/H370,0)*0.01898),"")</f>
        <v>1.7651399999999999</v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1037.9629629629628</v>
      </c>
      <c r="BN370" s="78">
        <f t="shared" ref="BN370:BN375" si="62">IFERROR(Y370*I370/H370,"0")</f>
        <v>1042.5300000000002</v>
      </c>
      <c r="BO370" s="78">
        <f t="shared" ref="BO370:BO375" si="63">IFERROR(1/J370*(X370/H370),"0")</f>
        <v>1.4467592592592591</v>
      </c>
      <c r="BP370" s="78">
        <f t="shared" ref="BP370:BP375" si="64">IFERROR(1/J370*(Y370/H370),"0")</f>
        <v>1.453125</v>
      </c>
    </row>
    <row r="371" spans="1:68" ht="27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200</v>
      </c>
      <c r="Y371" s="55">
        <f t="shared" si="60"/>
        <v>205.20000000000002</v>
      </c>
      <c r="Z371" s="41">
        <f>IFERROR(IF(Y371=0,"",ROUNDUP(Y371/H371,0)*0.01898),"")</f>
        <v>0.36062</v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207.59259259259258</v>
      </c>
      <c r="BN371" s="78">
        <f t="shared" si="62"/>
        <v>212.99</v>
      </c>
      <c r="BO371" s="78">
        <f t="shared" si="63"/>
        <v>0.28935185185185186</v>
      </c>
      <c r="BP371" s="78">
        <f t="shared" si="64"/>
        <v>0.296875</v>
      </c>
    </row>
    <row r="372" spans="1:68" ht="37.5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300</v>
      </c>
      <c r="Y372" s="55">
        <f t="shared" si="60"/>
        <v>302.40000000000003</v>
      </c>
      <c r="Z372" s="41">
        <f>IFERROR(IF(Y372=0,"",ROUNDUP(Y372/H372,0)*0.01898),"")</f>
        <v>0.53144000000000002</v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311.38888888888891</v>
      </c>
      <c r="BN372" s="78">
        <f t="shared" si="62"/>
        <v>313.88</v>
      </c>
      <c r="BO372" s="78">
        <f t="shared" si="63"/>
        <v>0.43402777777777773</v>
      </c>
      <c r="BP372" s="78">
        <f t="shared" si="64"/>
        <v>0.4375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200</v>
      </c>
      <c r="Y375" s="55">
        <f t="shared" si="60"/>
        <v>200</v>
      </c>
      <c r="Z375" s="41">
        <f>IFERROR(IF(Y375=0,"",ROUNDUP(Y375/H375,0)*0.00902),"")</f>
        <v>0.45100000000000001</v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209.50000000000003</v>
      </c>
      <c r="BN375" s="78">
        <f t="shared" si="62"/>
        <v>209.50000000000003</v>
      </c>
      <c r="BO375" s="78">
        <f t="shared" si="63"/>
        <v>0.37878787878787878</v>
      </c>
      <c r="BP375" s="78">
        <f t="shared" si="64"/>
        <v>0.37878787878787878</v>
      </c>
    </row>
    <row r="376" spans="1:68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188.88888888888889</v>
      </c>
      <c r="Y376" s="43">
        <f>IFERROR(Y370/H370,"0")+IFERROR(Y371/H371,"0")+IFERROR(Y372/H372,"0")+IFERROR(Y373/H373,"0")+IFERROR(Y374/H374,"0")+IFERROR(Y375/H375,"0")</f>
        <v>190</v>
      </c>
      <c r="Z376" s="43">
        <f>IFERROR(IF(Z370="",0,Z370),"0")+IFERROR(IF(Z371="",0,Z371),"0")+IFERROR(IF(Z372="",0,Z372),"0")+IFERROR(IF(Z373="",0,Z373),"0")+IFERROR(IF(Z374="",0,Z374),"0")+IFERROR(IF(Z375="",0,Z375),"0")</f>
        <v>3.1082000000000001</v>
      </c>
      <c r="AA376" s="67"/>
      <c r="AB376" s="67"/>
      <c r="AC376" s="67"/>
    </row>
    <row r="377" spans="1:68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1700</v>
      </c>
      <c r="Y377" s="43">
        <f>IFERROR(SUM(Y370:Y375),"0")</f>
        <v>1712.0000000000002</v>
      </c>
      <c r="Z377" s="42"/>
      <c r="AA377" s="67"/>
      <c r="AB377" s="67"/>
      <c r="AC377" s="67"/>
    </row>
    <row r="378" spans="1:68" ht="14.25" hidden="1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600</v>
      </c>
      <c r="Y379" s="55">
        <f t="shared" ref="Y379:Y385" si="65">IFERROR(IF(X379="",0,CEILING((X379/$H379),1)*$H379),"")</f>
        <v>600.6</v>
      </c>
      <c r="Z379" s="41">
        <f>IFERROR(IF(Y379=0,"",ROUNDUP(Y379/H379,0)*0.00902),"")</f>
        <v>1.28986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635.71428571428567</v>
      </c>
      <c r="BN379" s="78">
        <f t="shared" ref="BN379:BN385" si="67">IFERROR(Y379*I379/H379,"0")</f>
        <v>636.35</v>
      </c>
      <c r="BO379" s="78">
        <f t="shared" ref="BO379:BO385" si="68">IFERROR(1/J379*(X379/H379),"0")</f>
        <v>1.0822510822510822</v>
      </c>
      <c r="BP379" s="78">
        <f t="shared" ref="BP379:BP385" si="69">IFERROR(1/J379*(Y379/H379),"0")</f>
        <v>1.0833333333333333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600</v>
      </c>
      <c r="Y380" s="55">
        <f t="shared" si="65"/>
        <v>600.6</v>
      </c>
      <c r="Z380" s="41">
        <f>IFERROR(IF(Y380=0,"",ROUNDUP(Y380/H380,0)*0.00902),"")</f>
        <v>1.28986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635.71428571428567</v>
      </c>
      <c r="BN380" s="78">
        <f t="shared" si="67"/>
        <v>636.35</v>
      </c>
      <c r="BO380" s="78">
        <f t="shared" si="68"/>
        <v>1.0822510822510822</v>
      </c>
      <c r="BP380" s="78">
        <f t="shared" si="69"/>
        <v>1.0833333333333333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70</v>
      </c>
      <c r="Y382" s="55">
        <f t="shared" si="65"/>
        <v>71.400000000000006</v>
      </c>
      <c r="Z382" s="41">
        <f>IFERROR(IF(Y382=0,"",ROUNDUP(Y382/H382,0)*0.00502),"")</f>
        <v>0.17068</v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74.333333333333329</v>
      </c>
      <c r="BN382" s="78">
        <f t="shared" si="67"/>
        <v>75.820000000000007</v>
      </c>
      <c r="BO382" s="78">
        <f t="shared" si="68"/>
        <v>0.14245014245014245</v>
      </c>
      <c r="BP382" s="78">
        <f t="shared" si="69"/>
        <v>0.14529914529914531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319.04761904761904</v>
      </c>
      <c r="Y386" s="43">
        <f>IFERROR(Y379/H379,"0")+IFERROR(Y380/H380,"0")+IFERROR(Y381/H381,"0")+IFERROR(Y382/H382,"0")+IFERROR(Y383/H383,"0")+IFERROR(Y384/H384,"0")+IFERROR(Y385/H385,"0")</f>
        <v>320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2.7504</v>
      </c>
      <c r="AA386" s="67"/>
      <c r="AB386" s="67"/>
      <c r="AC386" s="67"/>
    </row>
    <row r="387" spans="1:68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1270</v>
      </c>
      <c r="Y387" s="43">
        <f>IFERROR(SUM(Y379:Y385),"0")</f>
        <v>1272.6000000000001</v>
      </c>
      <c r="Z387" s="42"/>
      <c r="AA387" s="67"/>
      <c r="AB387" s="67"/>
      <c r="AC387" s="67"/>
    </row>
    <row r="388" spans="1:68" ht="14.25" hidden="1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150</v>
      </c>
      <c r="Y392" s="55">
        <f>IFERROR(IF(X392="",0,CEILING((X392/$H392),1)*$H392),"")</f>
        <v>150</v>
      </c>
      <c r="Z392" s="41">
        <f>IFERROR(IF(Y392=0,"",ROUNDUP(Y392/H392,0)*0.00651),"")</f>
        <v>0.32550000000000001</v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162.29999999999998</v>
      </c>
      <c r="BN392" s="78">
        <f>IFERROR(Y392*I392/H392,"0")</f>
        <v>162.29999999999998</v>
      </c>
      <c r="BO392" s="78">
        <f>IFERROR(1/J392*(X392/H392),"0")</f>
        <v>0.27472527472527475</v>
      </c>
      <c r="BP392" s="78">
        <f>IFERROR(1/J392*(Y392/H392),"0")</f>
        <v>0.27472527472527475</v>
      </c>
    </row>
    <row r="393" spans="1:68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50</v>
      </c>
      <c r="Y393" s="43">
        <f>IFERROR(Y389/H389,"0")+IFERROR(Y390/H390,"0")+IFERROR(Y391/H391,"0")+IFERROR(Y392/H392,"0")</f>
        <v>50</v>
      </c>
      <c r="Z393" s="43">
        <f>IFERROR(IF(Z389="",0,Z389),"0")+IFERROR(IF(Z390="",0,Z390),"0")+IFERROR(IF(Z391="",0,Z391),"0")+IFERROR(IF(Z392="",0,Z392),"0")</f>
        <v>0.32550000000000001</v>
      </c>
      <c r="AA393" s="67"/>
      <c r="AB393" s="67"/>
      <c r="AC393" s="67"/>
    </row>
    <row r="394" spans="1:68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150</v>
      </c>
      <c r="Y394" s="43">
        <f>IFERROR(SUM(Y389:Y392),"0")</f>
        <v>150</v>
      </c>
      <c r="Z394" s="42"/>
      <c r="AA394" s="67"/>
      <c r="AB394" s="67"/>
      <c r="AC394" s="67"/>
    </row>
    <row r="395" spans="1:68" ht="14.25" hidden="1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800</v>
      </c>
      <c r="Y397" s="55">
        <f>IFERROR(IF(X397="",0,CEILING((X397/$H397),1)*$H397),"")</f>
        <v>803.4</v>
      </c>
      <c r="Z397" s="41">
        <f>IFERROR(IF(Y397=0,"",ROUNDUP(Y397/H397,0)*0.01898),"")</f>
        <v>1.9549400000000001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850.66666666666674</v>
      </c>
      <c r="BN397" s="78">
        <f>IFERROR(Y397*I397/H397,"0")</f>
        <v>854.28200000000015</v>
      </c>
      <c r="BO397" s="78">
        <f>IFERROR(1/J397*(X397/H397),"0")</f>
        <v>1.6025641025641026</v>
      </c>
      <c r="BP397" s="78">
        <f>IFERROR(1/J397*(Y397/H397),"0")</f>
        <v>1.609375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150</v>
      </c>
      <c r="Y398" s="55">
        <f>IFERROR(IF(X398="",0,CEILING((X398/$H398),1)*$H398),"")</f>
        <v>151.20000000000002</v>
      </c>
      <c r="Z398" s="41">
        <f>IFERROR(IF(Y398=0,"",ROUNDUP(Y398/H398,0)*0.01898),"")</f>
        <v>0.34164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158.82142857142856</v>
      </c>
      <c r="BN398" s="78">
        <f>IFERROR(Y398*I398/H398,"0")</f>
        <v>160.09200000000001</v>
      </c>
      <c r="BO398" s="78">
        <f>IFERROR(1/J398*(X398/H398),"0")</f>
        <v>0.27901785714285715</v>
      </c>
      <c r="BP398" s="78">
        <f>IFERROR(1/J398*(Y398/H398),"0")</f>
        <v>0.28125</v>
      </c>
    </row>
    <row r="399" spans="1:68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120.42124542124543</v>
      </c>
      <c r="Y399" s="43">
        <f>IFERROR(Y396/H396,"0")+IFERROR(Y397/H397,"0")+IFERROR(Y398/H398,"0")</f>
        <v>121</v>
      </c>
      <c r="Z399" s="43">
        <f>IFERROR(IF(Z396="",0,Z396),"0")+IFERROR(IF(Z397="",0,Z397),"0")+IFERROR(IF(Z398="",0,Z398),"0")</f>
        <v>2.2965800000000001</v>
      </c>
      <c r="AA399" s="67"/>
      <c r="AB399" s="67"/>
      <c r="AC399" s="67"/>
    </row>
    <row r="400" spans="1:68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950</v>
      </c>
      <c r="Y400" s="43">
        <f>IFERROR(SUM(Y396:Y398),"0")</f>
        <v>954.6</v>
      </c>
      <c r="Z400" s="42"/>
      <c r="AA400" s="67"/>
      <c r="AB400" s="67"/>
      <c r="AC400" s="67"/>
    </row>
    <row r="401" spans="1:68" ht="14.25" hidden="1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12</v>
      </c>
      <c r="Y405" s="55">
        <f>IFERROR(IF(X405="",0,CEILING((X405/$H405),1)*$H405),"")</f>
        <v>12.75</v>
      </c>
      <c r="Z405" s="41">
        <f>IFERROR(IF(Y405=0,"",ROUNDUP(Y405/H405,0)*0.00651),"")</f>
        <v>3.2550000000000003E-2</v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13.55294117647059</v>
      </c>
      <c r="BN405" s="78">
        <f>IFERROR(Y405*I405/H405,"0")</f>
        <v>14.4</v>
      </c>
      <c r="BO405" s="78">
        <f>IFERROR(1/J405*(X405/H405),"0")</f>
        <v>2.5856496444731741E-2</v>
      </c>
      <c r="BP405" s="78">
        <f>IFERROR(1/J405*(Y405/H405),"0")</f>
        <v>2.7472527472527476E-2</v>
      </c>
    </row>
    <row r="406" spans="1:68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4.7058823529411766</v>
      </c>
      <c r="Y406" s="43">
        <f>IFERROR(Y402/H402,"0")+IFERROR(Y403/H403,"0")+IFERROR(Y404/H404,"0")+IFERROR(Y405/H405,"0")</f>
        <v>5</v>
      </c>
      <c r="Z406" s="43">
        <f>IFERROR(IF(Z402="",0,Z402),"0")+IFERROR(IF(Z403="",0,Z403),"0")+IFERROR(IF(Z404="",0,Z404),"0")+IFERROR(IF(Z405="",0,Z405),"0")</f>
        <v>3.2550000000000003E-2</v>
      </c>
      <c r="AA406" s="67"/>
      <c r="AB406" s="67"/>
      <c r="AC406" s="67"/>
    </row>
    <row r="407" spans="1:68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12</v>
      </c>
      <c r="Y407" s="43">
        <f>IFERROR(SUM(Y402:Y405),"0")</f>
        <v>12.75</v>
      </c>
      <c r="Z407" s="42"/>
      <c r="AA407" s="67"/>
      <c r="AB407" s="67"/>
      <c r="AC407" s="67"/>
    </row>
    <row r="408" spans="1:68" ht="14.25" hidden="1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hidden="1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600</v>
      </c>
      <c r="Y422" s="55">
        <f>IFERROR(IF(X422="",0,CEILING((X422/$H422),1)*$H422),"")</f>
        <v>600.6</v>
      </c>
      <c r="Z422" s="41">
        <f>IFERROR(IF(Y422=0,"",ROUNDUP(Y422/H422,0)*0.01898),"")</f>
        <v>1.46146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631.53846153846166</v>
      </c>
      <c r="BN422" s="78">
        <f>IFERROR(Y422*I422/H422,"0")</f>
        <v>632.17000000000007</v>
      </c>
      <c r="BO422" s="78">
        <f>IFERROR(1/J422*(X422/H422),"0")</f>
        <v>1.2019230769230769</v>
      </c>
      <c r="BP422" s="78">
        <f>IFERROR(1/J422*(Y422/H422),"0")</f>
        <v>1.203125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600</v>
      </c>
      <c r="Y423" s="55">
        <f>IFERROR(IF(X423="",0,CEILING((X423/$H423),1)*$H423),"")</f>
        <v>600.6</v>
      </c>
      <c r="Z423" s="41">
        <f>IFERROR(IF(Y423=0,"",ROUNDUP(Y423/H423,0)*0.01898),"")</f>
        <v>1.46146</v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631.53846153846166</v>
      </c>
      <c r="BN423" s="78">
        <f>IFERROR(Y423*I423/H423,"0")</f>
        <v>632.17000000000007</v>
      </c>
      <c r="BO423" s="78">
        <f>IFERROR(1/J423*(X423/H423),"0")</f>
        <v>1.2019230769230769</v>
      </c>
      <c r="BP423" s="78">
        <f>IFERROR(1/J423*(Y423/H423),"0")</f>
        <v>1.203125</v>
      </c>
    </row>
    <row r="424" spans="1:68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153.84615384615384</v>
      </c>
      <c r="Y424" s="43">
        <f>IFERROR(Y422/H422,"0")+IFERROR(Y423/H423,"0")</f>
        <v>154</v>
      </c>
      <c r="Z424" s="43">
        <f>IFERROR(IF(Z422="",0,Z422),"0")+IFERROR(IF(Z423="",0,Z423),"0")</f>
        <v>2.92292</v>
      </c>
      <c r="AA424" s="67"/>
      <c r="AB424" s="67"/>
      <c r="AC424" s="67"/>
    </row>
    <row r="425" spans="1:68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1200</v>
      </c>
      <c r="Y425" s="43">
        <f>IFERROR(SUM(Y422:Y423),"0")</f>
        <v>1201.2</v>
      </c>
      <c r="Z425" s="42"/>
      <c r="AA425" s="67"/>
      <c r="AB425" s="67"/>
      <c r="AC425" s="67"/>
    </row>
    <row r="426" spans="1:68" ht="16.5" hidden="1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hidden="1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600</v>
      </c>
      <c r="Y428" s="55">
        <f>IFERROR(IF(X428="",0,CEILING((X428/$H428),1)*$H428),"")</f>
        <v>607.5</v>
      </c>
      <c r="Z428" s="41">
        <f>IFERROR(IF(Y428=0,"",ROUNDUP(Y428/H428,0)*0.01898),"")</f>
        <v>1.4235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636.59259259259261</v>
      </c>
      <c r="BN428" s="78">
        <f>IFERROR(Y428*I428/H428,"0")</f>
        <v>644.54999999999995</v>
      </c>
      <c r="BO428" s="78">
        <f>IFERROR(1/J428*(X428/H428),"0")</f>
        <v>1.1574074074074074</v>
      </c>
      <c r="BP428" s="78">
        <f>IFERROR(1/J428*(Y428/H428),"0")</f>
        <v>1.171875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140</v>
      </c>
      <c r="Y429" s="55">
        <f>IFERROR(IF(X429="",0,CEILING((X429/$H429),1)*$H429),"")</f>
        <v>140.70000000000002</v>
      </c>
      <c r="Z429" s="41">
        <f>IFERROR(IF(Y429=0,"",ROUNDUP(Y429/H429,0)*0.00651),"")</f>
        <v>0.43617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156.79999999999998</v>
      </c>
      <c r="BN429" s="78">
        <f>IFERROR(Y429*I429/H429,"0")</f>
        <v>157.584</v>
      </c>
      <c r="BO429" s="78">
        <f>IFERROR(1/J429*(X429/H429),"0")</f>
        <v>0.36630036630036628</v>
      </c>
      <c r="BP429" s="78">
        <f>IFERROR(1/J429*(Y429/H429),"0")</f>
        <v>0.36813186813186816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70</v>
      </c>
      <c r="Y430" s="55">
        <f>IFERROR(IF(X430="",0,CEILING((X430/$H430),1)*$H430),"")</f>
        <v>71.400000000000006</v>
      </c>
      <c r="Z430" s="41">
        <f>IFERROR(IF(Y430=0,"",ROUNDUP(Y430/H430,0)*0.00651),"")</f>
        <v>0.22134000000000001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77.999999999999986</v>
      </c>
      <c r="BN430" s="78">
        <f>IFERROR(Y430*I430/H430,"0")</f>
        <v>79.559999999999988</v>
      </c>
      <c r="BO430" s="78">
        <f>IFERROR(1/J430*(X430/H430),"0")</f>
        <v>0.18315018315018314</v>
      </c>
      <c r="BP430" s="78">
        <f>IFERROR(1/J430*(Y430/H430),"0")</f>
        <v>0.18681318681318682</v>
      </c>
    </row>
    <row r="431" spans="1:68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174.07407407407408</v>
      </c>
      <c r="Y431" s="43">
        <f>IFERROR(Y428/H428,"0")+IFERROR(Y429/H429,"0")+IFERROR(Y430/H430,"0")</f>
        <v>176</v>
      </c>
      <c r="Z431" s="43">
        <f>IFERROR(IF(Z428="",0,Z428),"0")+IFERROR(IF(Z429="",0,Z429),"0")+IFERROR(IF(Z430="",0,Z430),"0")</f>
        <v>2.08101</v>
      </c>
      <c r="AA431" s="67"/>
      <c r="AB431" s="67"/>
      <c r="AC431" s="67"/>
    </row>
    <row r="432" spans="1:68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810</v>
      </c>
      <c r="Y432" s="43">
        <f>IFERROR(SUM(Y428:Y430),"0")</f>
        <v>819.6</v>
      </c>
      <c r="Z432" s="42"/>
      <c r="AA432" s="67"/>
      <c r="AB432" s="67"/>
      <c r="AC432" s="67"/>
    </row>
    <row r="433" spans="1:68" ht="27.75" hidden="1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hidden="1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hidden="1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1500</v>
      </c>
      <c r="Y437" s="55">
        <f t="shared" si="70"/>
        <v>1500</v>
      </c>
      <c r="Z437" s="41">
        <f>IFERROR(IF(Y437=0,"",ROUNDUP(Y437/H437,0)*0.02175),"")</f>
        <v>2.1749999999999998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1547</v>
      </c>
      <c r="BN437" s="78">
        <f t="shared" si="72"/>
        <v>1547</v>
      </c>
      <c r="BO437" s="78">
        <f t="shared" si="73"/>
        <v>2.083333333333333</v>
      </c>
      <c r="BP437" s="78">
        <f t="shared" si="74"/>
        <v>2.083333333333333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1500</v>
      </c>
      <c r="Y438" s="55">
        <f t="shared" si="70"/>
        <v>1500</v>
      </c>
      <c r="Z438" s="41">
        <f>IFERROR(IF(Y438=0,"",ROUNDUP(Y438/H438,0)*0.02175),"")</f>
        <v>2.1749999999999998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1547</v>
      </c>
      <c r="BN438" s="78">
        <f t="shared" si="72"/>
        <v>1547</v>
      </c>
      <c r="BO438" s="78">
        <f t="shared" si="73"/>
        <v>2.083333333333333</v>
      </c>
      <c r="BP438" s="78">
        <f t="shared" si="74"/>
        <v>2.083333333333333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2000</v>
      </c>
      <c r="Y440" s="55">
        <f t="shared" si="70"/>
        <v>2010</v>
      </c>
      <c r="Z440" s="41">
        <f>IFERROR(IF(Y440=0,"",ROUNDUP(Y440/H440,0)*0.02175),"")</f>
        <v>2.9144999999999999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2062.6666666666665</v>
      </c>
      <c r="BN440" s="78">
        <f t="shared" si="72"/>
        <v>2072.98</v>
      </c>
      <c r="BO440" s="78">
        <f t="shared" si="73"/>
        <v>2.7777777777777777</v>
      </c>
      <c r="BP440" s="78">
        <f t="shared" si="74"/>
        <v>2.7916666666666665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333.33333333333337</v>
      </c>
      <c r="Y444" s="43">
        <f>IFERROR(Y436/H436,"0")+IFERROR(Y437/H437,"0")+IFERROR(Y438/H438,"0")+IFERROR(Y439/H439,"0")+IFERROR(Y440/H440,"0")+IFERROR(Y441/H441,"0")+IFERROR(Y442/H442,"0")+IFERROR(Y443/H443,"0")</f>
        <v>334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7.2645</v>
      </c>
      <c r="AA444" s="67"/>
      <c r="AB444" s="67"/>
      <c r="AC444" s="67"/>
    </row>
    <row r="445" spans="1:68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5000</v>
      </c>
      <c r="Y445" s="43">
        <f>IFERROR(SUM(Y436:Y443),"0")</f>
        <v>5010</v>
      </c>
      <c r="Z445" s="42"/>
      <c r="AA445" s="67"/>
      <c r="AB445" s="67"/>
      <c r="AC445" s="67"/>
    </row>
    <row r="446" spans="1:68" ht="14.25" hidden="1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450</v>
      </c>
      <c r="Y453" s="55">
        <f>IFERROR(IF(X453="",0,CEILING((X453/$H453),1)*$H453),"")</f>
        <v>450</v>
      </c>
      <c r="Z453" s="41">
        <f>IFERROR(IF(Y453=0,"",ROUNDUP(Y453/H453,0)*0.01898),"")</f>
        <v>0.94900000000000007</v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475</v>
      </c>
      <c r="BN453" s="78">
        <f>IFERROR(Y453*I453/H453,"0")</f>
        <v>475</v>
      </c>
      <c r="BO453" s="78">
        <f>IFERROR(1/J453*(X453/H453),"0")</f>
        <v>0.78125</v>
      </c>
      <c r="BP453" s="78">
        <f>IFERROR(1/J453*(Y453/H453),"0")</f>
        <v>0.78125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50</v>
      </c>
      <c r="Y456" s="43">
        <f>IFERROR(Y453/H453,"0")+IFERROR(Y454/H454,"0")+IFERROR(Y455/H455,"0")</f>
        <v>50</v>
      </c>
      <c r="Z456" s="43">
        <f>IFERROR(IF(Z453="",0,Z453),"0")+IFERROR(IF(Z454="",0,Z454),"0")+IFERROR(IF(Z455="",0,Z455),"0")</f>
        <v>0.94900000000000007</v>
      </c>
      <c r="AA456" s="67"/>
      <c r="AB456" s="67"/>
      <c r="AC456" s="67"/>
    </row>
    <row r="457" spans="1:68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450</v>
      </c>
      <c r="Y457" s="43">
        <f>IFERROR(SUM(Y453:Y455),"0")</f>
        <v>450</v>
      </c>
      <c r="Z457" s="42"/>
      <c r="AA457" s="67"/>
      <c r="AB457" s="67"/>
      <c r="AC457" s="67"/>
    </row>
    <row r="458" spans="1:68" ht="14.25" hidden="1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hidden="1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hidden="1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hidden="1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hidden="1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hidden="1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hidden="1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550</v>
      </c>
      <c r="Y512" s="55">
        <f t="shared" si="80"/>
        <v>554.4</v>
      </c>
      <c r="Z512" s="41">
        <f t="shared" si="81"/>
        <v>1.2558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586.45833333333326</v>
      </c>
      <c r="BN512" s="78">
        <f t="shared" si="83"/>
        <v>591.15</v>
      </c>
      <c r="BO512" s="78">
        <f t="shared" si="84"/>
        <v>1.0016025641025641</v>
      </c>
      <c r="BP512" s="78">
        <f t="shared" si="85"/>
        <v>1.0096153846153846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550</v>
      </c>
      <c r="Y514" s="55">
        <f t="shared" si="80"/>
        <v>554.4</v>
      </c>
      <c r="Z514" s="41">
        <f t="shared" si="81"/>
        <v>1.2558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586.45833333333326</v>
      </c>
      <c r="BN514" s="78">
        <f t="shared" si="83"/>
        <v>591.15</v>
      </c>
      <c r="BO514" s="78">
        <f t="shared" si="84"/>
        <v>1.0016025641025641</v>
      </c>
      <c r="BP514" s="78">
        <f t="shared" si="85"/>
        <v>1.0096153846153846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208.33333333333331</v>
      </c>
      <c r="Y518" s="43">
        <f>IFERROR(Y509/H509,"0")+IFERROR(Y510/H510,"0")+IFERROR(Y511/H511,"0")+IFERROR(Y512/H512,"0")+IFERROR(Y513/H513,"0")+IFERROR(Y514/H514,"0")+IFERROR(Y515/H515,"0")+IFERROR(Y516/H516,"0")+IFERROR(Y517/H517,"0")</f>
        <v>209.99999999999997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2.5116000000000001</v>
      </c>
      <c r="AA518" s="67"/>
      <c r="AB518" s="67"/>
      <c r="AC518" s="67"/>
    </row>
    <row r="519" spans="1:68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1100</v>
      </c>
      <c r="Y519" s="43">
        <f>IFERROR(SUM(Y509:Y517),"0")</f>
        <v>1108.8</v>
      </c>
      <c r="Z519" s="42"/>
      <c r="AA519" s="67"/>
      <c r="AB519" s="67"/>
      <c r="AC519" s="67"/>
    </row>
    <row r="520" spans="1:68" ht="14.25" hidden="1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550</v>
      </c>
      <c r="Y521" s="55">
        <f>IFERROR(IF(X521="",0,CEILING((X521/$H521),1)*$H521),"")</f>
        <v>554.4</v>
      </c>
      <c r="Z521" s="41">
        <f>IFERROR(IF(Y521=0,"",ROUNDUP(Y521/H521,0)*0.01196),"")</f>
        <v>1.2558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586.45833333333326</v>
      </c>
      <c r="BN521" s="78">
        <f>IFERROR(Y521*I521/H521,"0")</f>
        <v>591.15</v>
      </c>
      <c r="BO521" s="78">
        <f>IFERROR(1/J521*(X521/H521),"0")</f>
        <v>1.0016025641025641</v>
      </c>
      <c r="BP521" s="78">
        <f>IFERROR(1/J521*(Y521/H521),"0")</f>
        <v>1.0096153846153846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104.16666666666666</v>
      </c>
      <c r="Y524" s="43">
        <f>IFERROR(Y521/H521,"0")+IFERROR(Y522/H522,"0")+IFERROR(Y523/H523,"0")</f>
        <v>104.99999999999999</v>
      </c>
      <c r="Z524" s="43">
        <f>IFERROR(IF(Z521="",0,Z521),"0")+IFERROR(IF(Z522="",0,Z522),"0")+IFERROR(IF(Z523="",0,Z523),"0")</f>
        <v>1.2558</v>
      </c>
      <c r="AA524" s="67"/>
      <c r="AB524" s="67"/>
      <c r="AC524" s="67"/>
    </row>
    <row r="525" spans="1:68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550</v>
      </c>
      <c r="Y525" s="43">
        <f>IFERROR(SUM(Y521:Y523),"0")</f>
        <v>554.4</v>
      </c>
      <c r="Z525" s="42"/>
      <c r="AA525" s="67"/>
      <c r="AB525" s="67"/>
      <c r="AC525" s="67"/>
    </row>
    <row r="526" spans="1:68" ht="14.25" hidden="1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200</v>
      </c>
      <c r="Y527" s="55">
        <f t="shared" ref="Y527:Y533" si="86">IFERROR(IF(X527="",0,CEILING((X527/$H527),1)*$H527),"")</f>
        <v>200.64000000000001</v>
      </c>
      <c r="Z527" s="41">
        <f>IFERROR(IF(Y527=0,"",ROUNDUP(Y527/H527,0)*0.01196),"")</f>
        <v>0.45448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213.25757575757575</v>
      </c>
      <c r="BN527" s="78">
        <f t="shared" ref="BN527:BN533" si="88">IFERROR(Y527*I527/H527,"0")</f>
        <v>213.94</v>
      </c>
      <c r="BO527" s="78">
        <f t="shared" ref="BO527:BO533" si="89">IFERROR(1/J527*(X527/H527),"0")</f>
        <v>0.36421911421911418</v>
      </c>
      <c r="BP527" s="78">
        <f t="shared" ref="BP527:BP533" si="90">IFERROR(1/J527*(Y527/H527),"0")</f>
        <v>0.36538461538461542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300</v>
      </c>
      <c r="Y528" s="55">
        <f t="shared" si="86"/>
        <v>300.96000000000004</v>
      </c>
      <c r="Z528" s="41">
        <f>IFERROR(IF(Y528=0,"",ROUNDUP(Y528/H528,0)*0.01196),"")</f>
        <v>0.68171999999999999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319.88636363636363</v>
      </c>
      <c r="BN528" s="78">
        <f t="shared" si="88"/>
        <v>320.91000000000003</v>
      </c>
      <c r="BO528" s="78">
        <f t="shared" si="89"/>
        <v>0.54632867132867136</v>
      </c>
      <c r="BP528" s="78">
        <f t="shared" si="90"/>
        <v>0.54807692307692313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94.696969696969688</v>
      </c>
      <c r="Y534" s="43">
        <f>IFERROR(Y527/H527,"0")+IFERROR(Y528/H528,"0")+IFERROR(Y529/H529,"0")+IFERROR(Y530/H530,"0")+IFERROR(Y531/H531,"0")+IFERROR(Y532/H532,"0")+IFERROR(Y533/H533,"0")</f>
        <v>95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1.1362000000000001</v>
      </c>
      <c r="AA534" s="67"/>
      <c r="AB534" s="67"/>
      <c r="AC534" s="67"/>
    </row>
    <row r="535" spans="1:68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500</v>
      </c>
      <c r="Y535" s="43">
        <f>IFERROR(SUM(Y527:Y533),"0")</f>
        <v>501.6</v>
      </c>
      <c r="Z535" s="42"/>
      <c r="AA535" s="67"/>
      <c r="AB535" s="67"/>
      <c r="AC535" s="67"/>
    </row>
    <row r="536" spans="1:68" ht="27.75" hidden="1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hidden="1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hidden="1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hidden="1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17968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18073.95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18820.54066024752</v>
      </c>
      <c r="Y565" s="43">
        <f>IFERROR(SUM(BN22:BN561),"0")</f>
        <v>18931.913000000008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30</v>
      </c>
      <c r="Y566" s="44">
        <f>ROUNDUP(SUM(BP22:BP561),0)</f>
        <v>31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19570.54066024752</v>
      </c>
      <c r="Y567" s="43">
        <f>GrossWeightTotalR+PalletQtyTotalR*25</f>
        <v>19706.913000000008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2556.3252506389758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2573</v>
      </c>
      <c r="Z568" s="42"/>
      <c r="AA568" s="67"/>
      <c r="AB568" s="67"/>
      <c r="AC568" s="67"/>
    </row>
    <row r="569" spans="1:68" ht="14.25" hidden="1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35.188600000000001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240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1704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302.40000000000003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405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469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1112.4000000000001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93.6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4101.9500000000007</v>
      </c>
      <c r="U574" s="52">
        <f>IFERROR(Y422*1,"0")+IFERROR(Y423*1,"0")</f>
        <v>1201.2</v>
      </c>
      <c r="V574" s="52">
        <f>IFERROR(Y428*1,"0")+IFERROR(Y429*1,"0")+IFERROR(Y430*1,"0")</f>
        <v>819.6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5460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2164.8000000000002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200,00"/>
        <filter val="1 270,00"/>
        <filter val="1 500,00"/>
        <filter val="1 700,00"/>
        <filter val="10,26"/>
        <filter val="100,00"/>
        <filter val="104,17"/>
        <filter val="114,81"/>
        <filter val="12,00"/>
        <filter val="120,42"/>
        <filter val="131,43"/>
        <filter val="135,00"/>
        <filter val="140,00"/>
        <filter val="150,00"/>
        <filter val="153,85"/>
        <filter val="157,45"/>
        <filter val="17 968,00"/>
        <filter val="174,07"/>
        <filter val="18 820,54"/>
        <filter val="188,89"/>
        <filter val="19 570,54"/>
        <filter val="2 000,00"/>
        <filter val="2 556,33"/>
        <filter val="200,00"/>
        <filter val="203,70"/>
        <filter val="208,33"/>
        <filter val="21,00"/>
        <filter val="240,00"/>
        <filter val="250,00"/>
        <filter val="27,78"/>
        <filter val="30"/>
        <filter val="300,00"/>
        <filter val="319,05"/>
        <filter val="333,33"/>
        <filter val="350,00"/>
        <filter val="4,71"/>
        <filter val="40,00"/>
        <filter val="400,00"/>
        <filter val="450,00"/>
        <filter val="460,00"/>
        <filter val="49,38"/>
        <filter val="5 000,00"/>
        <filter val="50,00"/>
        <filter val="500,00"/>
        <filter val="540,00"/>
        <filter val="550,00"/>
        <filter val="60,00"/>
        <filter val="600,00"/>
        <filter val="70,00"/>
        <filter val="700,00"/>
        <filter val="80,00"/>
        <filter val="800,00"/>
        <filter val="810,00"/>
        <filter val="835,00"/>
        <filter val="861,00"/>
        <filter val="94,70"/>
        <filter val="950,0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2026-09-08T11:24:11Z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