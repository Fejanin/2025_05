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E0E2056-E057-4FE8-AFF8-D47DC3D0E5A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N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Z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P410" i="2"/>
  <c r="BO410" i="2"/>
  <c r="BM410" i="2"/>
  <c r="Y410" i="2"/>
  <c r="BN410" i="2" s="1"/>
  <c r="P410" i="2"/>
  <c r="BO409" i="2"/>
  <c r="BM409" i="2"/>
  <c r="Y409" i="2"/>
  <c r="P409" i="2"/>
  <c r="X407" i="2"/>
  <c r="X406" i="2"/>
  <c r="BO405" i="2"/>
  <c r="BM405" i="2"/>
  <c r="Z405" i="2"/>
  <c r="Y405" i="2"/>
  <c r="BN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Z397" i="2" s="1"/>
  <c r="P397" i="2"/>
  <c r="BO396" i="2"/>
  <c r="BM396" i="2"/>
  <c r="Z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P298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Z277" i="2"/>
  <c r="Y277" i="2"/>
  <c r="BN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P255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N250" i="2"/>
  <c r="BM250" i="2"/>
  <c r="Z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N195" i="2"/>
  <c r="BM195" i="2"/>
  <c r="Z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Z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Z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N86" i="2" s="1"/>
  <c r="P86" i="2"/>
  <c r="BO85" i="2"/>
  <c r="BM85" i="2"/>
  <c r="Z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Z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Z41" i="2"/>
  <c r="Y41" i="2"/>
  <c r="BN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Z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N23" i="2"/>
  <c r="BM23" i="2"/>
  <c r="Y23" i="2"/>
  <c r="BP23" i="2" s="1"/>
  <c r="P23" i="2"/>
  <c r="BO22" i="2"/>
  <c r="BM22" i="2"/>
  <c r="Y22" i="2"/>
  <c r="B574" i="2" s="1"/>
  <c r="P22" i="2"/>
  <c r="H10" i="2"/>
  <c r="A9" i="2"/>
  <c r="H9" i="2" s="1"/>
  <c r="D7" i="2"/>
  <c r="Q6" i="2"/>
  <c r="P2" i="2"/>
  <c r="BN78" i="2" l="1"/>
  <c r="BN95" i="2"/>
  <c r="BN99" i="2"/>
  <c r="BN107" i="2"/>
  <c r="BN119" i="2"/>
  <c r="BN145" i="2"/>
  <c r="BN236" i="2"/>
  <c r="BN256" i="2"/>
  <c r="BN282" i="2"/>
  <c r="BN351" i="2"/>
  <c r="BN383" i="2"/>
  <c r="BN397" i="2"/>
  <c r="Y400" i="2"/>
  <c r="BN422" i="2"/>
  <c r="BP466" i="2"/>
  <c r="BN510" i="2"/>
  <c r="BP29" i="2"/>
  <c r="BN30" i="2"/>
  <c r="BP40" i="2"/>
  <c r="BP41" i="2"/>
  <c r="Z60" i="2"/>
  <c r="Y137" i="2"/>
  <c r="BN160" i="2"/>
  <c r="BP184" i="2"/>
  <c r="Z185" i="2"/>
  <c r="BN185" i="2"/>
  <c r="BN233" i="2"/>
  <c r="BP277" i="2"/>
  <c r="BN278" i="2"/>
  <c r="BN287" i="2"/>
  <c r="Z297" i="2"/>
  <c r="BN297" i="2"/>
  <c r="BN343" i="2"/>
  <c r="BN352" i="2"/>
  <c r="Z403" i="2"/>
  <c r="BP405" i="2"/>
  <c r="Y413" i="2"/>
  <c r="Z411" i="2"/>
  <c r="BN415" i="2"/>
  <c r="BN429" i="2"/>
  <c r="Z439" i="2"/>
  <c r="BN441" i="2"/>
  <c r="Z449" i="2"/>
  <c r="Z466" i="2"/>
  <c r="Z467" i="2" s="1"/>
  <c r="BN503" i="2"/>
  <c r="BN511" i="2"/>
  <c r="BP539" i="2"/>
  <c r="BP106" i="2"/>
  <c r="Z191" i="2"/>
  <c r="BP191" i="2"/>
  <c r="Y202" i="2"/>
  <c r="Z205" i="2"/>
  <c r="Z206" i="2" s="1"/>
  <c r="Y227" i="2"/>
  <c r="Z230" i="2"/>
  <c r="Z267" i="2"/>
  <c r="BP267" i="2"/>
  <c r="Z409" i="2"/>
  <c r="BP465" i="2"/>
  <c r="Y493" i="2"/>
  <c r="Z497" i="2"/>
  <c r="Z498" i="2" s="1"/>
  <c r="Z86" i="2"/>
  <c r="BP86" i="2"/>
  <c r="Z93" i="2"/>
  <c r="Z39" i="2"/>
  <c r="Z78" i="2"/>
  <c r="BN80" i="2"/>
  <c r="Z95" i="2"/>
  <c r="Z106" i="2"/>
  <c r="Z124" i="2"/>
  <c r="Z127" i="2"/>
  <c r="BN201" i="2"/>
  <c r="BN226" i="2"/>
  <c r="Y258" i="2"/>
  <c r="BN283" i="2"/>
  <c r="BN289" i="2"/>
  <c r="BN303" i="2"/>
  <c r="BN310" i="2"/>
  <c r="BN318" i="2"/>
  <c r="BN336" i="2"/>
  <c r="Y367" i="2"/>
  <c r="BN372" i="2"/>
  <c r="Z373" i="2"/>
  <c r="BN379" i="2"/>
  <c r="Z383" i="2"/>
  <c r="Z429" i="2"/>
  <c r="BN430" i="2"/>
  <c r="Z441" i="2"/>
  <c r="BN442" i="2"/>
  <c r="Z465" i="2"/>
  <c r="BN492" i="2"/>
  <c r="BN515" i="2"/>
  <c r="BN530" i="2"/>
  <c r="BN556" i="2"/>
  <c r="BP93" i="2"/>
  <c r="BP409" i="2"/>
  <c r="Y412" i="2"/>
  <c r="Y24" i="2"/>
  <c r="Z27" i="2"/>
  <c r="Y61" i="2"/>
  <c r="Z64" i="2"/>
  <c r="BP77" i="2"/>
  <c r="Z104" i="2"/>
  <c r="BP105" i="2"/>
  <c r="BN115" i="2"/>
  <c r="BN123" i="2"/>
  <c r="BN128" i="2"/>
  <c r="BP161" i="2"/>
  <c r="BN215" i="2"/>
  <c r="BN231" i="2"/>
  <c r="Z233" i="2"/>
  <c r="BN234" i="2"/>
  <c r="BN249" i="2"/>
  <c r="BN293" i="2"/>
  <c r="BN314" i="2"/>
  <c r="BN326" i="2"/>
  <c r="BP396" i="2"/>
  <c r="Z454" i="2"/>
  <c r="BP455" i="2"/>
  <c r="BN517" i="2"/>
  <c r="BN389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112" i="2"/>
  <c r="Z244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<sst xmlns="http://schemas.openxmlformats.org/spreadsheetml/2006/main" count="4374" uniqueCount="915">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</sst>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Y564" sqref="Y56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914</v>
      </c>
      <c r="I5" s="667"/>
      <c r="J5" s="667"/>
      <c r="K5" s="667"/>
      <c r="L5" s="667"/>
      <c r="M5" s="667"/>
      <c r="N5" s="72"/>
      <c r="P5" s="27" t="s">
        <v>4</v>
      </c>
      <c r="Q5" s="669">
        <v>46275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Четверг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0.54166666666666663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17600</v>
      </c>
      <c r="Y389" s="55">
        <f>IFERROR(IF(X389="",0,CEILING((X389/$H389),1)*$H389),"")</f>
        <v>17604.599999999999</v>
      </c>
      <c r="Z389" s="41">
        <f>IFERROR(IF(Y389=0,"",ROUNDUP(Y389/H389,0)*0.01898),"")</f>
        <v>42.837859999999999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18701.128205128207</v>
      </c>
      <c r="BN389" s="78">
        <f>IFERROR(Y389*I389/H389,"0")</f>
        <v>18706.015999999996</v>
      </c>
      <c r="BO389" s="78">
        <f>IFERROR(1/J389*(X389/H389),"0")</f>
        <v>35.256410256410255</v>
      </c>
      <c r="BP389" s="78">
        <f>IFERROR(1/J389*(Y389/H389),"0")</f>
        <v>35.265625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2256.4102564102564</v>
      </c>
      <c r="Y393" s="43">
        <f>IFERROR(Y389/H389,"0")+IFERROR(Y390/H390,"0")+IFERROR(Y391/H391,"0")+IFERROR(Y392/H392,"0")</f>
        <v>2257</v>
      </c>
      <c r="Z393" s="43">
        <f>IFERROR(IF(Z389="",0,Z389),"0")+IFERROR(IF(Z390="",0,Z390),"0")+IFERROR(IF(Z391="",0,Z391),"0")+IFERROR(IF(Z392="",0,Z392),"0")</f>
        <v>42.837859999999999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17600</v>
      </c>
      <c r="Y394" s="43">
        <f>IFERROR(SUM(Y389:Y392),"0")</f>
        <v>17604.599999999999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17600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17604.599999999999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18701.128205128207</v>
      </c>
      <c r="Y565" s="43">
        <f>IFERROR(SUM(BN22:BN561),"0")</f>
        <v>18706.015999999996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36</v>
      </c>
      <c r="Y566" s="44">
        <f>ROUNDUP(SUM(BP22:BP561),0)</f>
        <v>36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19601.128205128207</v>
      </c>
      <c r="Y567" s="43">
        <f>GrossWeightTotalR+PalletQtyTotalR*25</f>
        <v>19606.015999999996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2256.4102564102564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2257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42.837859999999999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17604.599999999999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600,00"/>
        <filter val="18 701,13"/>
        <filter val="19 601,13"/>
        <filter val="2 256,41"/>
        <filter val="36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2026-09-08T11:27:14Z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