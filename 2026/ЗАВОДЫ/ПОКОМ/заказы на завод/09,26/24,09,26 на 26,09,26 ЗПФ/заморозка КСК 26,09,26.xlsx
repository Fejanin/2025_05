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2014ADA-3F87-410A-8734-E4A48A7286B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заказа'!$X$287:$X$287</definedName>
    <definedName name="GrossWeightTotalR">'Бланк заказа'!$Y$287:$Y$287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заказа'!$X$288:$X$288</definedName>
    <definedName name="PalletQtyTotalR">'Бланк заказа'!$Y$288:$Y$288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заказа'!$B$281:$B$281</definedName>
    <definedName name="ProductId101">'Бланк заказа'!$B$282:$B$282</definedName>
    <definedName name="ProductId102">'Бланк заказа'!$B$283:$B$283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заказа'!$B$186:$B$186</definedName>
    <definedName name="ProductId67">'Бланк заказа'!$B$187:$B$187</definedName>
    <definedName name="ProductId68">'Бланк заказа'!$B$188:$B$188</definedName>
    <definedName name="ProductId69">'Бланк заказа'!$B$193:$B$193</definedName>
    <definedName name="ProductId7">'Бланк заказа'!$B$28:$B$28</definedName>
    <definedName name="ProductId70">'Бланк заказа'!$B$194:$B$194</definedName>
    <definedName name="ProductId71">'Бланк заказа'!$B$199:$B$199</definedName>
    <definedName name="ProductId72">'Бланк заказа'!$B$205:$B$205</definedName>
    <definedName name="ProductId73">'Бланк заказа'!$B$206:$B$206</definedName>
    <definedName name="ProductId74">'Бланк заказа'!$B$207:$B$207</definedName>
    <definedName name="ProductId75">'Бланк заказа'!$B$208:$B$208</definedName>
    <definedName name="ProductId76">'Бланк заказа'!$B$214:$B$214</definedName>
    <definedName name="ProductId77">'Бланк заказа'!$B$218:$B$218</definedName>
    <definedName name="ProductId78">'Бланк заказа'!$B$219:$B$219</definedName>
    <definedName name="ProductId79">'Бланк заказа'!$B$220:$B$220</definedName>
    <definedName name="ProductId8">'Бланк заказа'!$B$29:$B$29</definedName>
    <definedName name="ProductId80">'Бланк заказа'!$B$225:$B$225</definedName>
    <definedName name="ProductId81">'Бланк заказа'!$B$226:$B$226</definedName>
    <definedName name="ProductId82">'Бланк заказа'!$B$231:$B$231</definedName>
    <definedName name="ProductId83">'Бланк заказа'!$B$237:$B$237</definedName>
    <definedName name="ProductId84">'Бланк заказа'!$B$243:$B$243</definedName>
    <definedName name="ProductId85">'Бланк заказа'!$B$247:$B$247</definedName>
    <definedName name="ProductId86">'Бланк заказа'!$B$253:$B$253</definedName>
    <definedName name="ProductId87">'Бланк заказа'!$B$257:$B$257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заказа'!$X$281:$X$281</definedName>
    <definedName name="SalesQty101">'Бланк заказа'!$X$282:$X$282</definedName>
    <definedName name="SalesQty102">'Бланк заказа'!$X$283:$X$283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заказа'!$X$186:$X$186</definedName>
    <definedName name="SalesQty67">'Бланк заказа'!$X$187:$X$187</definedName>
    <definedName name="SalesQty68">'Бланк заказа'!$X$188:$X$188</definedName>
    <definedName name="SalesQty69">'Бланк заказа'!$X$193:$X$193</definedName>
    <definedName name="SalesQty7">'Бланк заказа'!$X$28:$X$28</definedName>
    <definedName name="SalesQty70">'Бланк заказа'!$X$194:$X$194</definedName>
    <definedName name="SalesQty71">'Бланк заказа'!$X$199:$X$199</definedName>
    <definedName name="SalesQty72">'Бланк заказа'!$X$205:$X$205</definedName>
    <definedName name="SalesQty73">'Бланк заказа'!$X$206:$X$206</definedName>
    <definedName name="SalesQty74">'Бланк заказа'!$X$207:$X$207</definedName>
    <definedName name="SalesQty75">'Бланк заказа'!$X$208:$X$208</definedName>
    <definedName name="SalesQty76">'Бланк заказа'!$X$214:$X$214</definedName>
    <definedName name="SalesQty77">'Бланк заказа'!$X$218:$X$218</definedName>
    <definedName name="SalesQty78">'Бланк заказа'!$X$219:$X$219</definedName>
    <definedName name="SalesQty79">'Бланк заказа'!$X$220:$X$220</definedName>
    <definedName name="SalesQty8">'Бланк заказа'!$X$29:$X$29</definedName>
    <definedName name="SalesQty80">'Бланк заказа'!$X$225:$X$225</definedName>
    <definedName name="SalesQty81">'Бланк заказа'!$X$226:$X$226</definedName>
    <definedName name="SalesQty82">'Бланк заказа'!$X$231:$X$231</definedName>
    <definedName name="SalesQty83">'Бланк заказа'!$X$237:$X$237</definedName>
    <definedName name="SalesQty84">'Бланк заказа'!$X$243:$X$243</definedName>
    <definedName name="SalesQty85">'Бланк заказа'!$X$247:$X$247</definedName>
    <definedName name="SalesQty86">'Бланк заказа'!$X$253:$X$253</definedName>
    <definedName name="SalesQty87">'Бланк заказа'!$X$257:$X$257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заказа'!$Y$281:$Y$281</definedName>
    <definedName name="SalesRoundBox101">'Бланк заказа'!$Y$282:$Y$282</definedName>
    <definedName name="SalesRoundBox102">'Бланк заказа'!$Y$283:$Y$283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заказа'!$Y$186:$Y$186</definedName>
    <definedName name="SalesRoundBox67">'Бланк заказа'!$Y$187:$Y$187</definedName>
    <definedName name="SalesRoundBox68">'Бланк заказа'!$Y$188:$Y$188</definedName>
    <definedName name="SalesRoundBox69">'Бланк заказа'!$Y$193:$Y$193</definedName>
    <definedName name="SalesRoundBox7">'Бланк заказа'!$Y$28:$Y$28</definedName>
    <definedName name="SalesRoundBox70">'Бланк заказа'!$Y$194:$Y$194</definedName>
    <definedName name="SalesRoundBox71">'Бланк заказа'!$Y$199:$Y$199</definedName>
    <definedName name="SalesRoundBox72">'Бланк заказа'!$Y$205:$Y$205</definedName>
    <definedName name="SalesRoundBox73">'Бланк заказа'!$Y$206:$Y$206</definedName>
    <definedName name="SalesRoundBox74">'Бланк заказа'!$Y$207:$Y$207</definedName>
    <definedName name="SalesRoundBox75">'Бланк заказа'!$Y$208:$Y$208</definedName>
    <definedName name="SalesRoundBox76">'Бланк заказа'!$Y$214:$Y$214</definedName>
    <definedName name="SalesRoundBox77">'Бланк заказа'!$Y$218:$Y$218</definedName>
    <definedName name="SalesRoundBox78">'Бланк заказа'!$Y$219:$Y$219</definedName>
    <definedName name="SalesRoundBox79">'Бланк заказа'!$Y$220:$Y$220</definedName>
    <definedName name="SalesRoundBox8">'Бланк заказа'!$Y$29:$Y$29</definedName>
    <definedName name="SalesRoundBox80">'Бланк заказа'!$Y$225:$Y$225</definedName>
    <definedName name="SalesRoundBox81">'Бланк заказа'!$Y$226:$Y$226</definedName>
    <definedName name="SalesRoundBox82">'Бланк заказа'!$Y$231:$Y$231</definedName>
    <definedName name="SalesRoundBox83">'Бланк заказа'!$Y$237:$Y$237</definedName>
    <definedName name="SalesRoundBox84">'Бланк заказа'!$Y$243:$Y$243</definedName>
    <definedName name="SalesRoundBox85">'Бланк заказа'!$Y$247:$Y$247</definedName>
    <definedName name="SalesRoundBox86">'Бланк заказа'!$Y$253:$Y$253</definedName>
    <definedName name="SalesRoundBox87">'Бланк заказа'!$Y$257:$Y$257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заказа'!$W$281:$W$281</definedName>
    <definedName name="UnitOfMeasure101">'Бланк заказа'!$W$282:$W$282</definedName>
    <definedName name="UnitOfMeasure102">'Бланк заказа'!$W$283:$W$283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заказа'!$W$186:$W$186</definedName>
    <definedName name="UnitOfMeasure67">'Бланк заказа'!$W$187:$W$187</definedName>
    <definedName name="UnitOfMeasure68">'Бланк заказа'!$W$188:$W$188</definedName>
    <definedName name="UnitOfMeasure69">'Бланк заказа'!$W$193:$W$193</definedName>
    <definedName name="UnitOfMeasure7">'Бланк заказа'!$W$28:$W$28</definedName>
    <definedName name="UnitOfMeasure70">'Бланк заказа'!$W$194:$W$194</definedName>
    <definedName name="UnitOfMeasure71">'Бланк заказа'!$W$199:$W$199</definedName>
    <definedName name="UnitOfMeasure72">'Бланк заказа'!$W$205:$W$205</definedName>
    <definedName name="UnitOfMeasure73">'Бланк заказа'!$W$206:$W$206</definedName>
    <definedName name="UnitOfMeasure74">'Бланк заказа'!$W$207:$W$207</definedName>
    <definedName name="UnitOfMeasure75">'Бланк заказа'!$W$208:$W$208</definedName>
    <definedName name="UnitOfMeasure76">'Бланк заказа'!$W$214:$W$214</definedName>
    <definedName name="UnitOfMeasure77">'Бланк заказа'!$W$218:$W$218</definedName>
    <definedName name="UnitOfMeasure78">'Бланк заказа'!$W$219:$W$219</definedName>
    <definedName name="UnitOfMeasure79">'Бланк заказа'!$W$220:$W$220</definedName>
    <definedName name="UnitOfMeasure8">'Бланк заказа'!$W$29:$W$29</definedName>
    <definedName name="UnitOfMeasure80">'Бланк заказа'!$W$225:$W$225</definedName>
    <definedName name="UnitOfMeasure81">'Бланк заказа'!$W$226:$W$226</definedName>
    <definedName name="UnitOfMeasure82">'Бланк заказа'!$W$231:$W$231</definedName>
    <definedName name="UnitOfMeasure83">'Бланк заказа'!$W$237:$W$237</definedName>
    <definedName name="UnitOfMeasure84">'Бланк заказа'!$W$243:$W$243</definedName>
    <definedName name="UnitOfMeasure85">'Бланк заказа'!$W$247:$W$247</definedName>
    <definedName name="UnitOfMeasure86">'Бланк заказа'!$W$253:$W$253</definedName>
    <definedName name="UnitOfMeasure87">'Бланк заказа'!$W$257:$W$257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6" i="2" l="1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X285" i="2"/>
  <c r="X284" i="2"/>
  <c r="BO283" i="2"/>
  <c r="BM283" i="2"/>
  <c r="Z283" i="2"/>
  <c r="Y283" i="2"/>
  <c r="BP283" i="2" s="1"/>
  <c r="P283" i="2"/>
  <c r="BO282" i="2"/>
  <c r="BM282" i="2"/>
  <c r="Z282" i="2"/>
  <c r="Y282" i="2"/>
  <c r="BN282" i="2" s="1"/>
  <c r="P282" i="2"/>
  <c r="BO281" i="2"/>
  <c r="BM281" i="2"/>
  <c r="Z281" i="2"/>
  <c r="Y281" i="2"/>
  <c r="BP281" i="2" s="1"/>
  <c r="P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P277" i="2" s="1"/>
  <c r="BO276" i="2"/>
  <c r="BM276" i="2"/>
  <c r="Z276" i="2"/>
  <c r="Y276" i="2"/>
  <c r="BP276" i="2" s="1"/>
  <c r="BO275" i="2"/>
  <c r="BM275" i="2"/>
  <c r="Z275" i="2"/>
  <c r="Y275" i="2"/>
  <c r="BP275" i="2" s="1"/>
  <c r="BO274" i="2"/>
  <c r="BM274" i="2"/>
  <c r="Z274" i="2"/>
  <c r="Y274" i="2"/>
  <c r="BN274" i="2" s="1"/>
  <c r="X272" i="2"/>
  <c r="X271" i="2"/>
  <c r="BO270" i="2"/>
  <c r="BM270" i="2"/>
  <c r="Z270" i="2"/>
  <c r="Y270" i="2"/>
  <c r="BP270" i="2" s="1"/>
  <c r="BO269" i="2"/>
  <c r="BM269" i="2"/>
  <c r="Z269" i="2"/>
  <c r="Y269" i="2"/>
  <c r="BN269" i="2" s="1"/>
  <c r="BO268" i="2"/>
  <c r="BM268" i="2"/>
  <c r="Z268" i="2"/>
  <c r="Y268" i="2"/>
  <c r="BP268" i="2" s="1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X259" i="2"/>
  <c r="X258" i="2"/>
  <c r="BO257" i="2"/>
  <c r="BM257" i="2"/>
  <c r="Z257" i="2"/>
  <c r="Z258" i="2" s="1"/>
  <c r="Y257" i="2"/>
  <c r="Y259" i="2" s="1"/>
  <c r="P257" i="2"/>
  <c r="X255" i="2"/>
  <c r="X254" i="2"/>
  <c r="BO253" i="2"/>
  <c r="BM253" i="2"/>
  <c r="Z253" i="2"/>
  <c r="Z254" i="2" s="1"/>
  <c r="Y253" i="2"/>
  <c r="Y254" i="2" s="1"/>
  <c r="P253" i="2"/>
  <c r="X249" i="2"/>
  <c r="X248" i="2"/>
  <c r="BO247" i="2"/>
  <c r="BM247" i="2"/>
  <c r="Z247" i="2"/>
  <c r="Z248" i="2" s="1"/>
  <c r="Y247" i="2"/>
  <c r="Y248" i="2" s="1"/>
  <c r="P247" i="2"/>
  <c r="X245" i="2"/>
  <c r="X244" i="2"/>
  <c r="BO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8" i="2"/>
  <c r="X227" i="2"/>
  <c r="BO226" i="2"/>
  <c r="BM226" i="2"/>
  <c r="Z226" i="2"/>
  <c r="Y226" i="2"/>
  <c r="BN226" i="2" s="1"/>
  <c r="P226" i="2"/>
  <c r="BO225" i="2"/>
  <c r="BM225" i="2"/>
  <c r="Z225" i="2"/>
  <c r="Y225" i="2"/>
  <c r="BP225" i="2" s="1"/>
  <c r="P225" i="2"/>
  <c r="X222" i="2"/>
  <c r="X221" i="2"/>
  <c r="BO220" i="2"/>
  <c r="BM220" i="2"/>
  <c r="Z220" i="2"/>
  <c r="Y220" i="2"/>
  <c r="BN220" i="2" s="1"/>
  <c r="P220" i="2"/>
  <c r="BO219" i="2"/>
  <c r="BM219" i="2"/>
  <c r="Z219" i="2"/>
  <c r="Y219" i="2"/>
  <c r="BP219" i="2" s="1"/>
  <c r="P219" i="2"/>
  <c r="BO218" i="2"/>
  <c r="BM218" i="2"/>
  <c r="Z218" i="2"/>
  <c r="Y218" i="2"/>
  <c r="P218" i="2"/>
  <c r="X216" i="2"/>
  <c r="X215" i="2"/>
  <c r="BO214" i="2"/>
  <c r="BM214" i="2"/>
  <c r="Z214" i="2"/>
  <c r="Z215" i="2" s="1"/>
  <c r="Y214" i="2"/>
  <c r="Y216" i="2" s="1"/>
  <c r="P214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X201" i="2"/>
  <c r="X200" i="2"/>
  <c r="BO199" i="2"/>
  <c r="BM199" i="2"/>
  <c r="Z199" i="2"/>
  <c r="Z200" i="2" s="1"/>
  <c r="Y199" i="2"/>
  <c r="Y200" i="2" s="1"/>
  <c r="P199" i="2"/>
  <c r="X196" i="2"/>
  <c r="X195" i="2"/>
  <c r="BO194" i="2"/>
  <c r="BM194" i="2"/>
  <c r="Z194" i="2"/>
  <c r="Y194" i="2"/>
  <c r="BN194" i="2" s="1"/>
  <c r="P194" i="2"/>
  <c r="BO193" i="2"/>
  <c r="BM193" i="2"/>
  <c r="Z193" i="2"/>
  <c r="Y193" i="2"/>
  <c r="BN193" i="2" s="1"/>
  <c r="P193" i="2"/>
  <c r="X190" i="2"/>
  <c r="X189" i="2"/>
  <c r="BO188" i="2"/>
  <c r="BM188" i="2"/>
  <c r="Z188" i="2"/>
  <c r="Y188" i="2"/>
  <c r="P188" i="2"/>
  <c r="BO187" i="2"/>
  <c r="BM187" i="2"/>
  <c r="Z187" i="2"/>
  <c r="Y187" i="2"/>
  <c r="BP187" i="2" s="1"/>
  <c r="P187" i="2"/>
  <c r="BO186" i="2"/>
  <c r="BM186" i="2"/>
  <c r="Z186" i="2"/>
  <c r="Y186" i="2"/>
  <c r="BN186" i="2" s="1"/>
  <c r="P186" i="2"/>
  <c r="X184" i="2"/>
  <c r="X183" i="2"/>
  <c r="BO182" i="2"/>
  <c r="BM182" i="2"/>
  <c r="Z182" i="2"/>
  <c r="Z183" i="2" s="1"/>
  <c r="Y182" i="2"/>
  <c r="BP182" i="2" s="1"/>
  <c r="P182" i="2"/>
  <c r="X180" i="2"/>
  <c r="X179" i="2"/>
  <c r="BO178" i="2"/>
  <c r="BM178" i="2"/>
  <c r="Z178" i="2"/>
  <c r="Z179" i="2" s="1"/>
  <c r="Y178" i="2"/>
  <c r="Y179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Y163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N150" i="2" s="1"/>
  <c r="P150" i="2"/>
  <c r="BO149" i="2"/>
  <c r="BM149" i="2"/>
  <c r="Z149" i="2"/>
  <c r="Y149" i="2"/>
  <c r="BP149" i="2" s="1"/>
  <c r="P149" i="2"/>
  <c r="X146" i="2"/>
  <c r="X145" i="2"/>
  <c r="BO144" i="2"/>
  <c r="BM144" i="2"/>
  <c r="Z144" i="2"/>
  <c r="Y144" i="2"/>
  <c r="BP144" i="2" s="1"/>
  <c r="P144" i="2"/>
  <c r="BO143" i="2"/>
  <c r="BM143" i="2"/>
  <c r="Z143" i="2"/>
  <c r="Y143" i="2"/>
  <c r="BP143" i="2" s="1"/>
  <c r="P143" i="2"/>
  <c r="X140" i="2"/>
  <c r="X139" i="2"/>
  <c r="BO138" i="2"/>
  <c r="BM138" i="2"/>
  <c r="Z138" i="2"/>
  <c r="Y138" i="2"/>
  <c r="BN138" i="2" s="1"/>
  <c r="P138" i="2"/>
  <c r="BO137" i="2"/>
  <c r="BM137" i="2"/>
  <c r="Z137" i="2"/>
  <c r="Y137" i="2"/>
  <c r="BP137" i="2" s="1"/>
  <c r="P137" i="2"/>
  <c r="BO136" i="2"/>
  <c r="BM136" i="2"/>
  <c r="Z136" i="2"/>
  <c r="Y136" i="2"/>
  <c r="P136" i="2"/>
  <c r="X134" i="2"/>
  <c r="X133" i="2"/>
  <c r="BO132" i="2"/>
  <c r="BM132" i="2"/>
  <c r="Z132" i="2"/>
  <c r="Y132" i="2"/>
  <c r="BP132" i="2" s="1"/>
  <c r="P132" i="2"/>
  <c r="BO131" i="2"/>
  <c r="BN131" i="2"/>
  <c r="BM131" i="2"/>
  <c r="Z131" i="2"/>
  <c r="Y131" i="2"/>
  <c r="BP131" i="2" s="1"/>
  <c r="P131" i="2"/>
  <c r="BO130" i="2"/>
  <c r="BM130" i="2"/>
  <c r="Z130" i="2"/>
  <c r="Y130" i="2"/>
  <c r="BN130" i="2" s="1"/>
  <c r="P130" i="2"/>
  <c r="BO129" i="2"/>
  <c r="BM129" i="2"/>
  <c r="Z129" i="2"/>
  <c r="Y129" i="2"/>
  <c r="P129" i="2"/>
  <c r="X126" i="2"/>
  <c r="X125" i="2"/>
  <c r="BO124" i="2"/>
  <c r="BM124" i="2"/>
  <c r="Z124" i="2"/>
  <c r="Z125" i="2" s="1"/>
  <c r="Y124" i="2"/>
  <c r="BP124" i="2" s="1"/>
  <c r="P124" i="2"/>
  <c r="X122" i="2"/>
  <c r="X121" i="2"/>
  <c r="BO120" i="2"/>
  <c r="BM120" i="2"/>
  <c r="Z120" i="2"/>
  <c r="Z121" i="2" s="1"/>
  <c r="Y120" i="2"/>
  <c r="Y121" i="2" s="1"/>
  <c r="P120" i="2"/>
  <c r="X118" i="2"/>
  <c r="X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BN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N103" i="2" s="1"/>
  <c r="P103" i="2"/>
  <c r="X100" i="2"/>
  <c r="X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BN93" i="2" s="1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BN87" i="2" s="1"/>
  <c r="P87" i="2"/>
  <c r="X84" i="2"/>
  <c r="X83" i="2"/>
  <c r="BO82" i="2"/>
  <c r="BM82" i="2"/>
  <c r="Z82" i="2"/>
  <c r="Z83" i="2" s="1"/>
  <c r="Y82" i="2"/>
  <c r="Y84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P76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P70" i="2" s="1"/>
  <c r="P70" i="2"/>
  <c r="BO69" i="2"/>
  <c r="BM69" i="2"/>
  <c r="Z69" i="2"/>
  <c r="Y69" i="2"/>
  <c r="BP69" i="2" s="1"/>
  <c r="P69" i="2"/>
  <c r="X67" i="2"/>
  <c r="X66" i="2"/>
  <c r="BO65" i="2"/>
  <c r="BM65" i="2"/>
  <c r="Z65" i="2"/>
  <c r="Z66" i="2" s="1"/>
  <c r="Y65" i="2"/>
  <c r="Y67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BP22" i="2" s="1"/>
  <c r="P22" i="2"/>
  <c r="H10" i="2"/>
  <c r="A9" i="2"/>
  <c r="F10" i="2" s="1"/>
  <c r="D7" i="2"/>
  <c r="Q6" i="2"/>
  <c r="P2" i="2"/>
  <c r="Y255" i="2" l="1"/>
  <c r="BN120" i="2"/>
  <c r="BN187" i="2"/>
  <c r="Z271" i="2"/>
  <c r="BP253" i="2"/>
  <c r="Y249" i="2"/>
  <c r="BN172" i="2"/>
  <c r="BN48" i="2"/>
  <c r="Z49" i="2"/>
  <c r="Z43" i="2"/>
  <c r="Y37" i="2"/>
  <c r="BP87" i="2"/>
  <c r="BP23" i="2"/>
  <c r="BN112" i="2"/>
  <c r="Y79" i="2"/>
  <c r="Y125" i="2"/>
  <c r="BP274" i="2"/>
  <c r="BN270" i="2"/>
  <c r="BP269" i="2"/>
  <c r="Z265" i="2"/>
  <c r="BN253" i="2"/>
  <c r="BP243" i="2"/>
  <c r="BP226" i="2"/>
  <c r="Y222" i="2"/>
  <c r="Z209" i="2"/>
  <c r="Y209" i="2"/>
  <c r="BP199" i="2"/>
  <c r="Y201" i="2"/>
  <c r="BP194" i="2"/>
  <c r="Z189" i="2"/>
  <c r="Y189" i="2"/>
  <c r="Y168" i="2"/>
  <c r="Y169" i="2"/>
  <c r="Z151" i="2"/>
  <c r="Z145" i="2"/>
  <c r="Y133" i="2"/>
  <c r="BP120" i="2"/>
  <c r="BP111" i="2"/>
  <c r="BP110" i="2"/>
  <c r="BP98" i="2"/>
  <c r="BN97" i="2"/>
  <c r="BP96" i="2"/>
  <c r="Z57" i="2"/>
  <c r="Y49" i="2"/>
  <c r="Y44" i="2"/>
  <c r="BP41" i="2"/>
  <c r="X287" i="2"/>
  <c r="BP35" i="2"/>
  <c r="Z36" i="2"/>
  <c r="Y30" i="2"/>
  <c r="X288" i="2"/>
  <c r="X286" i="2"/>
  <c r="Y36" i="2"/>
  <c r="BN41" i="2"/>
  <c r="BN47" i="2"/>
  <c r="BP55" i="2"/>
  <c r="BN71" i="2"/>
  <c r="Y73" i="2"/>
  <c r="Y89" i="2"/>
  <c r="Y99" i="2"/>
  <c r="Z105" i="2"/>
  <c r="BP104" i="2"/>
  <c r="Y118" i="2"/>
  <c r="BP115" i="2"/>
  <c r="Y126" i="2"/>
  <c r="Z133" i="2"/>
  <c r="Z139" i="2"/>
  <c r="BN157" i="2"/>
  <c r="Y183" i="2"/>
  <c r="BN199" i="2"/>
  <c r="BN206" i="2"/>
  <c r="BP220" i="2"/>
  <c r="Y233" i="2"/>
  <c r="BN243" i="2"/>
  <c r="BN264" i="2"/>
  <c r="Z284" i="2"/>
  <c r="BN277" i="2"/>
  <c r="Z30" i="2"/>
  <c r="BN24" i="2"/>
  <c r="BP28" i="2"/>
  <c r="BN34" i="2"/>
  <c r="Y43" i="2"/>
  <c r="Y57" i="2"/>
  <c r="BN61" i="2"/>
  <c r="BN70" i="2"/>
  <c r="BP94" i="2"/>
  <c r="Z99" i="2"/>
  <c r="Z117" i="2"/>
  <c r="BN116" i="2"/>
  <c r="BN129" i="2"/>
  <c r="BP130" i="2"/>
  <c r="BN132" i="2"/>
  <c r="Y134" i="2"/>
  <c r="BP138" i="2"/>
  <c r="BN144" i="2"/>
  <c r="Y159" i="2"/>
  <c r="BN156" i="2"/>
  <c r="BN182" i="2"/>
  <c r="Y190" i="2"/>
  <c r="BN214" i="2"/>
  <c r="Z227" i="2"/>
  <c r="BN237" i="2"/>
  <c r="Y238" i="2"/>
  <c r="BN257" i="2"/>
  <c r="BP54" i="2"/>
  <c r="BP88" i="2"/>
  <c r="Y146" i="2"/>
  <c r="BP188" i="2"/>
  <c r="BP193" i="2"/>
  <c r="BN280" i="2"/>
  <c r="BP282" i="2"/>
  <c r="BN22" i="2"/>
  <c r="BP27" i="2"/>
  <c r="X290" i="2"/>
  <c r="BP34" i="2"/>
  <c r="BP61" i="2"/>
  <c r="Y63" i="2"/>
  <c r="Z72" i="2"/>
  <c r="Z78" i="2"/>
  <c r="Y83" i="2"/>
  <c r="Y90" i="2"/>
  <c r="Z89" i="2"/>
  <c r="BP93" i="2"/>
  <c r="Y122" i="2"/>
  <c r="BP129" i="2"/>
  <c r="Y140" i="2"/>
  <c r="Z158" i="2"/>
  <c r="BN167" i="2"/>
  <c r="Y184" i="2"/>
  <c r="Z195" i="2"/>
  <c r="BN208" i="2"/>
  <c r="Z221" i="2"/>
  <c r="BP237" i="2"/>
  <c r="BP257" i="2"/>
  <c r="Y285" i="2"/>
  <c r="BN278" i="2"/>
  <c r="BN113" i="2"/>
  <c r="BN136" i="2"/>
  <c r="Y139" i="2"/>
  <c r="BP150" i="2"/>
  <c r="BN162" i="2"/>
  <c r="BN178" i="2"/>
  <c r="BN218" i="2"/>
  <c r="Y221" i="2"/>
  <c r="Y31" i="2"/>
  <c r="Y58" i="2"/>
  <c r="BN82" i="2"/>
  <c r="Y145" i="2"/>
  <c r="Y210" i="2"/>
  <c r="Y227" i="2"/>
  <c r="Y244" i="2"/>
  <c r="Y258" i="2"/>
  <c r="BN25" i="2"/>
  <c r="BP65" i="2"/>
  <c r="BN76" i="2"/>
  <c r="Y105" i="2"/>
  <c r="Y50" i="2"/>
  <c r="Y66" i="2"/>
  <c r="BP76" i="2"/>
  <c r="Y100" i="2"/>
  <c r="BP136" i="2"/>
  <c r="Y151" i="2"/>
  <c r="BP162" i="2"/>
  <c r="BP178" i="2"/>
  <c r="BN188" i="2"/>
  <c r="BP218" i="2"/>
  <c r="Y265" i="2"/>
  <c r="BN275" i="2"/>
  <c r="BN283" i="2"/>
  <c r="BN65" i="2"/>
  <c r="BP82" i="2"/>
  <c r="Y106" i="2"/>
  <c r="Y228" i="2"/>
  <c r="Y152" i="2"/>
  <c r="BN207" i="2"/>
  <c r="Y266" i="2"/>
  <c r="BN281" i="2"/>
  <c r="Y284" i="2"/>
  <c r="BN114" i="2"/>
  <c r="Y117" i="2"/>
  <c r="BN137" i="2"/>
  <c r="Y164" i="2"/>
  <c r="Y180" i="2"/>
  <c r="Y195" i="2"/>
  <c r="BN219" i="2"/>
  <c r="Y271" i="2"/>
  <c r="A10" i="2"/>
  <c r="BN109" i="2"/>
  <c r="BN143" i="2"/>
  <c r="BP172" i="2"/>
  <c r="BP186" i="2"/>
  <c r="BP214" i="2"/>
  <c r="BN225" i="2"/>
  <c r="BN276" i="2"/>
  <c r="BP103" i="2"/>
  <c r="BN124" i="2"/>
  <c r="BN149" i="2"/>
  <c r="BN205" i="2"/>
  <c r="BN231" i="2"/>
  <c r="BN247" i="2"/>
  <c r="BN263" i="2"/>
  <c r="BN268" i="2"/>
  <c r="F9" i="2"/>
  <c r="H9" i="2"/>
  <c r="BN29" i="2"/>
  <c r="BN56" i="2"/>
  <c r="BN69" i="2"/>
  <c r="Y72" i="2"/>
  <c r="BN95" i="2"/>
  <c r="BP109" i="2"/>
  <c r="BN155" i="2"/>
  <c r="Y158" i="2"/>
  <c r="Y173" i="2"/>
  <c r="Y196" i="2"/>
  <c r="Y215" i="2"/>
  <c r="Y272" i="2"/>
  <c r="BN279" i="2"/>
  <c r="BP231" i="2"/>
  <c r="BP247" i="2"/>
  <c r="J9" i="2"/>
  <c r="BN26" i="2"/>
  <c r="BN53" i="2"/>
  <c r="BN77" i="2"/>
  <c r="BP53" i="2"/>
  <c r="Y78" i="2"/>
  <c r="BN42" i="2"/>
  <c r="BP155" i="2"/>
  <c r="X289" i="2" l="1"/>
  <c r="Z291" i="2"/>
  <c r="Y288" i="2"/>
  <c r="Y290" i="2"/>
  <c r="Y287" i="2"/>
  <c r="Y286" i="2"/>
  <c r="Y289" i="2" l="1"/>
  <c r="C299" i="2"/>
  <c r="B299" i="2"/>
  <c r="A299" i="2"/>
</calcChain>
</file>

<file path=xl/sharedStrings.xml><?xml version="1.0" encoding="utf-8"?>
<sst xmlns="http://schemas.openxmlformats.org/spreadsheetml/2006/main" count="1786" uniqueCount="419">
  <si>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</si>
  <si>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</si>
  <si>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</si>
  <si>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</si>
  <si>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</si>
  <si>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</si>
  <si>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</si>
  <si>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</si>
  <si>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</si>
  <si>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</si>
  <si>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</si>
  <si>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</si>
  <si>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</si>
  <si>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</si>
  <si>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</si>
  <si>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</si>
  <si>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</si>
  <si>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</si>
  <si>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</si>
  <si>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</si>
  <si>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</si>
  <si>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</si>
  <si>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</si>
  <si>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</si>
  <si>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</si>
  <si>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</si>
  <si>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</si>
  <si>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</si>
  <si>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</si>
  <si>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</si>
  <si>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</si>
  <si>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</si>
  <si>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</si>
  <si>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</si>
  <si>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</si>
  <si>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</si>
  <si>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</si>
  <si>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</si>
  <si>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</si>
  <si>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</si>
  <si>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</si>
  <si>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</si>
  <si>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</si>
  <si>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</si>
  <si>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</si>
  <si>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</si>
  <si>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</si>
  <si>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</si>
  <si>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</si>
  <si>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</si>
  <si>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</si>
  <si>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</si>
  <si>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</si>
  <si>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</si>
  <si>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</si>
  <si>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</si>
  <si>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</si>
  <si>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</si>
  <si>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</si>
  <si>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</si>
  <si>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</si>
  <si>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</si>
  <si>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</si>
  <si>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</si>
  <si>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</si>
  <si>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</si>
  <si>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</si>
  <si>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</si>
  <si>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</si>
  <si>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</si>
  <si>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</si>
  <si>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21.09.2026</t>
  </si>
  <si>
    <t>19.09.2026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</si>
  <si>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</si>
  <si>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</si>
  <si>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</si>
  <si>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</si>
  <si>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</si>
  <si>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</si>
  <si>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</si>
  <si>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</si>
  <si>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</si>
  <si>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</si>
  <si>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</si>
  <si>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</si>
  <si>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</si>
  <si>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</si>
  <si>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</si>
  <si>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</si>
  <si>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</si>
  <si>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</si>
  <si>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</si>
  <si>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</si>
  <si>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</si>
  <si>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</si>
  <si>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</si>
  <si>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</si>
  <si>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</si>
  <si>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</si>
  <si>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</si>
  <si>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</si>
  <si>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</si>
  <si>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</si>
  <si>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</si>
  <si>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</si>
  <si>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</si>
  <si>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</si>
  <si>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</si>
  <si>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</si>
  <si>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</si>
  <si>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</si>
  <si>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</si>
  <si>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</si>
  <si>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</si>
  <si>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</si>
  <si>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</si>
  <si>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</si>
  <si>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</si>
  <si>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</si>
  <si>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</si>
  <si>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</si>
  <si>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</si>
  <si>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</si>
  <si>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</si>
  <si>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</si>
  <si>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</si>
  <si>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</si>
  <si>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</si>
  <si>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</si>
  <si>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</si>
  <si>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</si>
  <si>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</si>
  <si>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</si>
  <si>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</si>
  <si>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</si>
  <si>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</si>
  <si>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</si>
  <si>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</si>
  <si>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</si>
  <si>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</si>
  <si>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</si>
  <si>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</si>
  <si>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</si>
  <si>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</si>
  <si>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</si>
  <si>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</si>
  <si>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</si>
  <si>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</si>
  <si>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</si>
  <si>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</si>
  <si>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</si>
  <si>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</si>
  <si>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</si>
  <si>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</si>
  <si>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</si>
  <si>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</si>
  <si>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</si>
  <si>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</si>
  <si>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</si>
  <si>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</si>
  <si>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</si>
  <si>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</si>
  <si>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</si>
  <si>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</si>
  <si>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</si>
  <si>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</si>
  <si>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</si>
  <si>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</si>
  <si>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</si>
  <si>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</si>
  <si>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</si>
  <si>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</si>
  <si>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</si>
  <si>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</si>
  <si>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</si>
  <si>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</si>
  <si>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</si>
  <si>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</si>
  <si>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</si>
  <si>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</si>
  <si>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</si>
  <si>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</si>
  <si>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</si>
  <si>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</si>
  <si>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</si>
  <si>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</si>
  <si>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</si>
  <si>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</si>
  <si>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</si>
  <si>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</si>
  <si>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</si>
  <si>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</si>
  <si>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</si>
  <si>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</si>
  <si>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</si>
  <si>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</si>
  <si>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</si>
  <si>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</si>
  <si>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</si>
  <si>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</si>
  <si>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</si>
  <si>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</si>
  <si>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</si>
  <si>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</si>
  <si>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</si>
  <si>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</si>
  <si>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</si>
  <si>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</si>
  <si>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</si>
  <si>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</si>
  <si>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</si>
  <si>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</si>
  <si>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</si>
  <si>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</si>
  <si>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</si>
  <si>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</si>
  <si>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</si>
  <si>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</si>
  <si>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</si>
  <si>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</si>
  <si>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</si>
  <si>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</si>
  <si>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</si>
  <si>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</si>
  <si>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</si>
  <si>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</si>
  <si>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</si>
  <si>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</si>
  <si>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</si>
  <si>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</si>
  <si>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</si>
  <si>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</si>
  <si>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</si>
  <si>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</si>
  <si>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</si>
  <si>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</si>
  <si>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</si>
  <si>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</si>
  <si>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</si>
  <si>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</si>
  <si>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</si>
  <si>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</si>
  <si>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</si>
  <si>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</si>
  <si>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</si>
  <si>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</si>
  <si>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</si>
  <si>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</si>
  <si>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SU004234</t>
  </si>
  <si>
    <t>P005500</t>
  </si>
  <si>
    <t>ЕАЭС N RU Д-RU.РА03.В.76687/26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</si>
  <si>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</si>
  <si>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</si>
  <si>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</si>
  <si>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</si>
  <si>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</si>
  <si>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</si>
  <si>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</si>
  <si>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SU003873</t>
  </si>
  <si>
    <t>P004954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</si>
  <si>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</si>
  <si>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</si>
  <si>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</si>
  <si>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</si>
  <si>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</si>
  <si>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</si>
  <si>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</si>
  <si>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</si>
  <si>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</si>
  <si>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</si>
  <si>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</si>
  <si>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</si>
  <si>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</si>
  <si>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</si>
  <si>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</si>
  <si>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</si>
  <si>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</si>
  <si>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</si>
  <si>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</si>
  <si>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</si>
  <si>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</si>
  <si>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</si>
  <si>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</si>
  <si>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SU004372</t>
  </si>
  <si>
    <t>P005749</t>
  </si>
  <si>
    <t>ЕАЭС N RU Д-RU.РА04.В.70329/26</t>
  </si>
  <si>
    <t>SU003191</t>
  </si>
  <si>
    <t>P003804</t>
  </si>
  <si>
    <t>ЕАЭС N RU Д-RU.РА08.В.03895/23, ЕАЭС N RU Д-RU.РА08.В.0395/23</t>
  </si>
  <si>
    <t>SU004301</t>
  </si>
  <si>
    <t>P005602</t>
  </si>
  <si>
    <t>ЕАЭС N RU Д-RU.РА04.В.53375/26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</si>
  <si>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</si>
  <si>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</si>
  <si>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</si>
  <si>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</si>
  <si>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</si>
  <si>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</si>
  <si>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</si>
  <si>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</si>
  <si>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</si>
  <si>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</si>
  <si>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</si>
  <si>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</si>
  <si>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</si>
  <si>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</si>
  <si>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</si>
  <si>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</si>
  <si>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</si>
  <si>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</si>
  <si>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</si>
  <si>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</si>
  <si>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</si>
  <si>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</si>
  <si>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</si>
  <si>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</si>
  <si>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</si>
  <si>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</si>
  <si>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</si>
  <si>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</si>
  <si>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</si>
  <si>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</si>
  <si>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</si>
  <si>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</si>
  <si>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</si>
  <si>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</si>
  <si>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</si>
  <si>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</si>
  <si>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</si>
  <si>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</si>
  <si>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</si>
  <si>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</si>
  <si>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</si>
  <si>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</si>
  <si>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</si>
  <si>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</si>
  <si>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</si>
  <si>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</si>
  <si>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</si>
  <si>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</si>
  <si>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</si>
  <si>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</si>
  <si>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</si>
  <si>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</si>
  <si>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</si>
  <si>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</si>
  <si>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</si>
  <si>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</si>
  <si>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</si>
  <si>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</si>
  <si>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</si>
  <si>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</si>
  <si>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</si>
  <si>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</si>
  <si>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</si>
  <si>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</si>
  <si>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</si>
  <si>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</si>
  <si>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</si>
  <si>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</si>
  <si>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</si>
  <si>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</si>
  <si>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</si>
  <si>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</si>
  <si>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</si>
  <si>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</si>
  <si>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</si>
  <si>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</si>
  <si>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</si>
  <si>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</si>
  <si>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</si>
  <si>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</si>
  <si>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</si>
  <si>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</si>
  <si>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</si>
  <si>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</si>
  <si>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</si>
  <si>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</si>
  <si>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</si>
  <si>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</si>
  <si>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</si>
  <si>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</si>
  <si>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</si>
  <si>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SU003434</t>
  </si>
  <si>
    <t>P005736</t>
  </si>
  <si>
    <t>Снеки «Мини-чебуречки с мясом» Весовой ТМ «Зареченские продукты» 5,5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</si>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</sst>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9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71" t="s">
        <v>26</v>
      </c>
      <c r="E1" s="471"/>
      <c r="F1" s="471"/>
      <c r="G1" s="14" t="s">
        <v>70</v>
      </c>
      <c r="H1" s="471" t="s">
        <v>47</v>
      </c>
      <c r="I1" s="471"/>
      <c r="J1" s="471"/>
      <c r="K1" s="471"/>
      <c r="L1" s="471"/>
      <c r="M1" s="471"/>
      <c r="N1" s="471"/>
      <c r="O1" s="471"/>
      <c r="P1" s="471"/>
      <c r="Q1" s="471"/>
      <c r="R1" s="472" t="s">
        <v>71</v>
      </c>
      <c r="S1" s="473"/>
      <c r="T1" s="47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4"/>
      <c r="R2" s="474"/>
      <c r="S2" s="474"/>
      <c r="T2" s="474"/>
      <c r="U2" s="474"/>
      <c r="V2" s="474"/>
      <c r="W2" s="47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4"/>
      <c r="Q3" s="474"/>
      <c r="R3" s="474"/>
      <c r="S3" s="474"/>
      <c r="T3" s="474"/>
      <c r="U3" s="474"/>
      <c r="V3" s="474"/>
      <c r="W3" s="47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3" t="s">
        <v>8</v>
      </c>
      <c r="B5" s="453"/>
      <c r="C5" s="453"/>
      <c r="D5" s="475"/>
      <c r="E5" s="475"/>
      <c r="F5" s="476" t="s">
        <v>14</v>
      </c>
      <c r="G5" s="476"/>
      <c r="H5" s="475"/>
      <c r="I5" s="475"/>
      <c r="J5" s="475"/>
      <c r="K5" s="475"/>
      <c r="L5" s="475"/>
      <c r="M5" s="475"/>
      <c r="N5" s="75"/>
      <c r="P5" s="27" t="s">
        <v>4</v>
      </c>
      <c r="Q5" s="477">
        <v>46291</v>
      </c>
      <c r="R5" s="477"/>
      <c r="T5" s="478" t="s">
        <v>3</v>
      </c>
      <c r="U5" s="479"/>
      <c r="V5" s="480" t="s">
        <v>405</v>
      </c>
      <c r="W5" s="481"/>
      <c r="AB5" s="59"/>
      <c r="AC5" s="59"/>
      <c r="AD5" s="59"/>
      <c r="AE5" s="59"/>
    </row>
    <row r="6" spans="1:32" s="17" customFormat="1" ht="24" customHeight="1" x14ac:dyDescent="0.2">
      <c r="A6" s="453" t="s">
        <v>1</v>
      </c>
      <c r="B6" s="453"/>
      <c r="C6" s="453"/>
      <c r="D6" s="454" t="s">
        <v>79</v>
      </c>
      <c r="E6" s="454"/>
      <c r="F6" s="454"/>
      <c r="G6" s="454"/>
      <c r="H6" s="454"/>
      <c r="I6" s="454"/>
      <c r="J6" s="454"/>
      <c r="K6" s="454"/>
      <c r="L6" s="454"/>
      <c r="M6" s="454"/>
      <c r="N6" s="76"/>
      <c r="P6" s="27" t="s">
        <v>27</v>
      </c>
      <c r="Q6" s="455" t="str">
        <f>IF(Q5=0," ",CHOOSE(WEEKDAY(Q5,2),"Понедельник","Вторник","Среда","Четверг","Пятница","Суббота","Воскресенье"))</f>
        <v>Суббота</v>
      </c>
      <c r="R6" s="455"/>
      <c r="T6" s="456" t="s">
        <v>5</v>
      </c>
      <c r="U6" s="457"/>
      <c r="V6" s="458" t="s">
        <v>73</v>
      </c>
      <c r="W6" s="4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64" t="str">
        <f>IFERROR(VLOOKUP(DeliveryAddress,Table,3,0),1)</f>
        <v>1</v>
      </c>
      <c r="E7" s="465"/>
      <c r="F7" s="465"/>
      <c r="G7" s="465"/>
      <c r="H7" s="465"/>
      <c r="I7" s="465"/>
      <c r="J7" s="465"/>
      <c r="K7" s="465"/>
      <c r="L7" s="465"/>
      <c r="M7" s="466"/>
      <c r="N7" s="77"/>
      <c r="P7" s="29"/>
      <c r="Q7" s="48"/>
      <c r="R7" s="48"/>
      <c r="T7" s="456"/>
      <c r="U7" s="457"/>
      <c r="V7" s="460"/>
      <c r="W7" s="461"/>
      <c r="AB7" s="59"/>
      <c r="AC7" s="59"/>
      <c r="AD7" s="59"/>
      <c r="AE7" s="59"/>
    </row>
    <row r="8" spans="1:32" s="17" customFormat="1" ht="25.5" customHeight="1" x14ac:dyDescent="0.2">
      <c r="A8" s="467" t="s">
        <v>58</v>
      </c>
      <c r="B8" s="467"/>
      <c r="C8" s="467"/>
      <c r="D8" s="468" t="s">
        <v>80</v>
      </c>
      <c r="E8" s="468"/>
      <c r="F8" s="468"/>
      <c r="G8" s="468"/>
      <c r="H8" s="468"/>
      <c r="I8" s="468"/>
      <c r="J8" s="468"/>
      <c r="K8" s="468"/>
      <c r="L8" s="468"/>
      <c r="M8" s="468"/>
      <c r="N8" s="78"/>
      <c r="P8" s="27" t="s">
        <v>11</v>
      </c>
      <c r="Q8" s="451">
        <v>4.1666666666666664E-2</v>
      </c>
      <c r="R8" s="451"/>
      <c r="T8" s="456"/>
      <c r="U8" s="457"/>
      <c r="V8" s="460"/>
      <c r="W8" s="461"/>
      <c r="AB8" s="59"/>
      <c r="AC8" s="59"/>
      <c r="AD8" s="59"/>
      <c r="AE8" s="59"/>
    </row>
    <row r="9" spans="1:32" s="17" customFormat="1" ht="39.950000000000003" customHeight="1" x14ac:dyDescent="0.2">
      <c r="A9" s="44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3"/>
      <c r="C9" s="443"/>
      <c r="D9" s="444" t="s">
        <v>46</v>
      </c>
      <c r="E9" s="445"/>
      <c r="F9" s="44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3"/>
      <c r="H9" s="469" t="str">
        <f>IF(AND($A$9="Тип доверенности/получателя при получении в адресе перегруза:",$D$9="Разовая доверенность"),"Введите ФИО","")</f>
        <v/>
      </c>
      <c r="I9" s="469"/>
      <c r="J9" s="4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9"/>
      <c r="L9" s="469"/>
      <c r="M9" s="469"/>
      <c r="N9" s="73"/>
      <c r="P9" s="31" t="s">
        <v>15</v>
      </c>
      <c r="Q9" s="470"/>
      <c r="R9" s="470"/>
      <c r="T9" s="456"/>
      <c r="U9" s="457"/>
      <c r="V9" s="462"/>
      <c r="W9" s="4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3"/>
      <c r="C10" s="443"/>
      <c r="D10" s="444"/>
      <c r="E10" s="445"/>
      <c r="F10" s="44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3"/>
      <c r="H10" s="446" t="str">
        <f>IFERROR(VLOOKUP($D$10,Proxy,2,FALSE),"")</f>
        <v/>
      </c>
      <c r="I10" s="446"/>
      <c r="J10" s="446"/>
      <c r="K10" s="446"/>
      <c r="L10" s="446"/>
      <c r="M10" s="446"/>
      <c r="N10" s="74"/>
      <c r="P10" s="31" t="s">
        <v>32</v>
      </c>
      <c r="Q10" s="447"/>
      <c r="R10" s="447"/>
      <c r="U10" s="29" t="s">
        <v>12</v>
      </c>
      <c r="V10" s="448" t="s">
        <v>74</v>
      </c>
      <c r="W10" s="44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50"/>
      <c r="R11" s="450"/>
      <c r="U11" s="29" t="s">
        <v>28</v>
      </c>
      <c r="V11" s="429" t="s">
        <v>55</v>
      </c>
      <c r="W11" s="4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8" t="s">
        <v>75</v>
      </c>
      <c r="B12" s="428"/>
      <c r="C12" s="428"/>
      <c r="D12" s="428"/>
      <c r="E12" s="428"/>
      <c r="F12" s="428"/>
      <c r="G12" s="428"/>
      <c r="H12" s="428"/>
      <c r="I12" s="428"/>
      <c r="J12" s="428"/>
      <c r="K12" s="428"/>
      <c r="L12" s="428"/>
      <c r="M12" s="428"/>
      <c r="N12" s="79"/>
      <c r="P12" s="27" t="s">
        <v>30</v>
      </c>
      <c r="Q12" s="451"/>
      <c r="R12" s="451"/>
      <c r="S12" s="28"/>
      <c r="T12"/>
      <c r="U12" s="29" t="s">
        <v>46</v>
      </c>
      <c r="V12" s="452"/>
      <c r="W12" s="452"/>
      <c r="X12"/>
      <c r="AB12" s="59"/>
      <c r="AC12" s="59"/>
      <c r="AD12" s="59"/>
      <c r="AE12" s="59"/>
    </row>
    <row r="13" spans="1:32" s="17" customFormat="1" ht="23.25" customHeight="1" x14ac:dyDescent="0.2">
      <c r="A13" s="428" t="s">
        <v>76</v>
      </c>
      <c r="B13" s="428"/>
      <c r="C13" s="428"/>
      <c r="D13" s="428"/>
      <c r="E13" s="428"/>
      <c r="F13" s="428"/>
      <c r="G13" s="428"/>
      <c r="H13" s="428"/>
      <c r="I13" s="428"/>
      <c r="J13" s="428"/>
      <c r="K13" s="428"/>
      <c r="L13" s="428"/>
      <c r="M13" s="428"/>
      <c r="N13" s="79"/>
      <c r="O13" s="31"/>
      <c r="P13" s="31" t="s">
        <v>31</v>
      </c>
      <c r="Q13" s="429"/>
      <c r="R13" s="4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8" t="s">
        <v>77</v>
      </c>
      <c r="B14" s="428"/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30" t="s">
        <v>78</v>
      </c>
      <c r="B15" s="430"/>
      <c r="C15" s="430"/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80"/>
      <c r="O15"/>
      <c r="P15" s="431" t="s">
        <v>61</v>
      </c>
      <c r="Q15" s="431"/>
      <c r="R15" s="431"/>
      <c r="S15" s="431"/>
      <c r="T15" s="43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32"/>
      <c r="Q16" s="432"/>
      <c r="R16" s="432"/>
      <c r="S16" s="432"/>
      <c r="T16" s="43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14" t="s">
        <v>59</v>
      </c>
      <c r="B17" s="414" t="s">
        <v>49</v>
      </c>
      <c r="C17" s="435" t="s">
        <v>48</v>
      </c>
      <c r="D17" s="437" t="s">
        <v>50</v>
      </c>
      <c r="E17" s="438"/>
      <c r="F17" s="414" t="s">
        <v>21</v>
      </c>
      <c r="G17" s="414" t="s">
        <v>24</v>
      </c>
      <c r="H17" s="414" t="s">
        <v>22</v>
      </c>
      <c r="I17" s="414" t="s">
        <v>23</v>
      </c>
      <c r="J17" s="414" t="s">
        <v>16</v>
      </c>
      <c r="K17" s="414" t="s">
        <v>69</v>
      </c>
      <c r="L17" s="414" t="s">
        <v>67</v>
      </c>
      <c r="M17" s="414" t="s">
        <v>2</v>
      </c>
      <c r="N17" s="414" t="s">
        <v>66</v>
      </c>
      <c r="O17" s="414" t="s">
        <v>25</v>
      </c>
      <c r="P17" s="437" t="s">
        <v>17</v>
      </c>
      <c r="Q17" s="441"/>
      <c r="R17" s="441"/>
      <c r="S17" s="441"/>
      <c r="T17" s="438"/>
      <c r="U17" s="433" t="s">
        <v>56</v>
      </c>
      <c r="V17" s="434"/>
      <c r="W17" s="414" t="s">
        <v>6</v>
      </c>
      <c r="X17" s="414" t="s">
        <v>41</v>
      </c>
      <c r="Y17" s="416" t="s">
        <v>54</v>
      </c>
      <c r="Z17" s="418" t="s">
        <v>18</v>
      </c>
      <c r="AA17" s="420" t="s">
        <v>60</v>
      </c>
      <c r="AB17" s="420" t="s">
        <v>19</v>
      </c>
      <c r="AC17" s="420" t="s">
        <v>68</v>
      </c>
      <c r="AD17" s="422" t="s">
        <v>57</v>
      </c>
      <c r="AE17" s="423"/>
      <c r="AF17" s="424"/>
      <c r="AG17" s="85"/>
      <c r="BD17" s="84" t="s">
        <v>64</v>
      </c>
    </row>
    <row r="18" spans="1:68" ht="14.25" customHeight="1" x14ac:dyDescent="0.2">
      <c r="A18" s="415"/>
      <c r="B18" s="415"/>
      <c r="C18" s="436"/>
      <c r="D18" s="439"/>
      <c r="E18" s="440"/>
      <c r="F18" s="415"/>
      <c r="G18" s="415"/>
      <c r="H18" s="415"/>
      <c r="I18" s="415"/>
      <c r="J18" s="415"/>
      <c r="K18" s="415"/>
      <c r="L18" s="415"/>
      <c r="M18" s="415"/>
      <c r="N18" s="415"/>
      <c r="O18" s="415"/>
      <c r="P18" s="439"/>
      <c r="Q18" s="442"/>
      <c r="R18" s="442"/>
      <c r="S18" s="442"/>
      <c r="T18" s="440"/>
      <c r="U18" s="86" t="s">
        <v>44</v>
      </c>
      <c r="V18" s="86" t="s">
        <v>43</v>
      </c>
      <c r="W18" s="415"/>
      <c r="X18" s="415"/>
      <c r="Y18" s="417"/>
      <c r="Z18" s="419"/>
      <c r="AA18" s="421"/>
      <c r="AB18" s="421"/>
      <c r="AC18" s="421"/>
      <c r="AD18" s="425"/>
      <c r="AE18" s="426"/>
      <c r="AF18" s="427"/>
      <c r="AG18" s="85"/>
      <c r="BD18" s="84"/>
    </row>
    <row r="19" spans="1:68" ht="27.75" hidden="1" customHeight="1" x14ac:dyDescent="0.2">
      <c r="A19" s="325" t="s">
        <v>81</v>
      </c>
      <c r="B19" s="325"/>
      <c r="C19" s="325"/>
      <c r="D19" s="325"/>
      <c r="E19" s="325"/>
      <c r="F19" s="325"/>
      <c r="G19" s="325"/>
      <c r="H19" s="325"/>
      <c r="I19" s="325"/>
      <c r="J19" s="325"/>
      <c r="K19" s="325"/>
      <c r="L19" s="325"/>
      <c r="M19" s="325"/>
      <c r="N19" s="325"/>
      <c r="O19" s="325"/>
      <c r="P19" s="325"/>
      <c r="Q19" s="325"/>
      <c r="R19" s="325"/>
      <c r="S19" s="325"/>
      <c r="T19" s="325"/>
      <c r="U19" s="325"/>
      <c r="V19" s="325"/>
      <c r="W19" s="325"/>
      <c r="X19" s="325"/>
      <c r="Y19" s="325"/>
      <c r="Z19" s="325"/>
      <c r="AA19" s="54"/>
      <c r="AB19" s="54"/>
      <c r="AC19" s="54"/>
    </row>
    <row r="20" spans="1:68" ht="16.5" hidden="1" customHeight="1" x14ac:dyDescent="0.25">
      <c r="A20" s="326" t="s">
        <v>81</v>
      </c>
      <c r="B20" s="326"/>
      <c r="C20" s="326"/>
      <c r="D20" s="326"/>
      <c r="E20" s="326"/>
      <c r="F20" s="326"/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  <c r="AA20" s="65"/>
      <c r="AB20" s="65"/>
      <c r="AC20" s="82"/>
    </row>
    <row r="21" spans="1:68" ht="14.25" hidden="1" customHeight="1" x14ac:dyDescent="0.25">
      <c r="A21" s="318" t="s">
        <v>82</v>
      </c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02">
        <v>4620207491508</v>
      </c>
      <c r="E22" s="30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4"/>
      <c r="R22" s="304"/>
      <c r="S22" s="304"/>
      <c r="T22" s="30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02">
        <v>4620207491256</v>
      </c>
      <c r="E23" s="30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1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4"/>
      <c r="R23" s="304"/>
      <c r="S23" s="304"/>
      <c r="T23" s="305"/>
      <c r="U23" s="39" t="s">
        <v>46</v>
      </c>
      <c r="V23" s="39" t="s">
        <v>46</v>
      </c>
      <c r="W23" s="40" t="s">
        <v>39</v>
      </c>
      <c r="X23" s="58">
        <v>24</v>
      </c>
      <c r="Y23" s="55">
        <f t="shared" si="0"/>
        <v>24</v>
      </c>
      <c r="Z23" s="41">
        <f t="shared" si="1"/>
        <v>0.372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159.12</v>
      </c>
      <c r="BN23" s="81">
        <f t="shared" si="3"/>
        <v>159.12</v>
      </c>
      <c r="BO23" s="81">
        <f t="shared" si="4"/>
        <v>0.2857142857142857</v>
      </c>
      <c r="BP23" s="81">
        <f t="shared" si="5"/>
        <v>0.2857142857142857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02">
        <v>4620207491713</v>
      </c>
      <c r="E24" s="30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12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4"/>
      <c r="R24" s="304"/>
      <c r="S24" s="304"/>
      <c r="T24" s="30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02">
        <v>4620207491720</v>
      </c>
      <c r="E25" s="30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3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4"/>
      <c r="R25" s="304"/>
      <c r="S25" s="304"/>
      <c r="T25" s="30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02">
        <v>4607111035912</v>
      </c>
      <c r="E26" s="30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4"/>
      <c r="R26" s="304"/>
      <c r="S26" s="304"/>
      <c r="T26" s="30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02">
        <v>4607111035929</v>
      </c>
      <c r="E27" s="30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4"/>
      <c r="R27" s="304"/>
      <c r="S27" s="304"/>
      <c r="T27" s="305"/>
      <c r="U27" s="39" t="s">
        <v>46</v>
      </c>
      <c r="V27" s="39" t="s">
        <v>46</v>
      </c>
      <c r="W27" s="40" t="s">
        <v>39</v>
      </c>
      <c r="X27" s="58">
        <v>36</v>
      </c>
      <c r="Y27" s="55">
        <f t="shared" si="0"/>
        <v>36</v>
      </c>
      <c r="Z27" s="41">
        <f t="shared" si="1"/>
        <v>0.55800000000000005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268.92</v>
      </c>
      <c r="BN27" s="81">
        <f t="shared" si="3"/>
        <v>268.92</v>
      </c>
      <c r="BO27" s="81">
        <f t="shared" si="4"/>
        <v>0.42857142857142855</v>
      </c>
      <c r="BP27" s="81">
        <f t="shared" si="5"/>
        <v>0.42857142857142855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02">
        <v>4607111035882</v>
      </c>
      <c r="E28" s="30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4"/>
      <c r="R28" s="304"/>
      <c r="S28" s="304"/>
      <c r="T28" s="30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02">
        <v>4607111035905</v>
      </c>
      <c r="E29" s="30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4"/>
      <c r="R29" s="304"/>
      <c r="S29" s="304"/>
      <c r="T29" s="30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9"/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311"/>
      <c r="P30" s="308" t="s">
        <v>40</v>
      </c>
      <c r="Q30" s="309"/>
      <c r="R30" s="309"/>
      <c r="S30" s="309"/>
      <c r="T30" s="309"/>
      <c r="U30" s="309"/>
      <c r="V30" s="310"/>
      <c r="W30" s="42" t="s">
        <v>39</v>
      </c>
      <c r="X30" s="43">
        <f>IFERROR(SUM(X22:X29),"0")</f>
        <v>60</v>
      </c>
      <c r="Y30" s="43">
        <f>IFERROR(SUM(Y22:Y29),"0")</f>
        <v>60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0.93</v>
      </c>
      <c r="AA30" s="67"/>
      <c r="AB30" s="67"/>
      <c r="AC30" s="67"/>
    </row>
    <row r="31" spans="1:68" x14ac:dyDescent="0.2">
      <c r="A31" s="299"/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311"/>
      <c r="P31" s="308" t="s">
        <v>40</v>
      </c>
      <c r="Q31" s="309"/>
      <c r="R31" s="309"/>
      <c r="S31" s="309"/>
      <c r="T31" s="309"/>
      <c r="U31" s="309"/>
      <c r="V31" s="310"/>
      <c r="W31" s="42" t="s">
        <v>0</v>
      </c>
      <c r="X31" s="43">
        <f>IFERROR(SUMPRODUCT(X22:X29*H22:H29),"0")</f>
        <v>412.8</v>
      </c>
      <c r="Y31" s="43">
        <f>IFERROR(SUMPRODUCT(Y22:Y29*H22:H29),"0")</f>
        <v>412.8</v>
      </c>
      <c r="Z31" s="42"/>
      <c r="AA31" s="67"/>
      <c r="AB31" s="67"/>
      <c r="AC31" s="67"/>
    </row>
    <row r="32" spans="1:68" ht="16.5" hidden="1" customHeight="1" x14ac:dyDescent="0.25">
      <c r="A32" s="326" t="s">
        <v>106</v>
      </c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  <c r="AA32" s="65"/>
      <c r="AB32" s="65"/>
      <c r="AC32" s="82"/>
    </row>
    <row r="33" spans="1:68" ht="14.25" hidden="1" customHeight="1" x14ac:dyDescent="0.25">
      <c r="A33" s="318" t="s">
        <v>82</v>
      </c>
      <c r="B33" s="318"/>
      <c r="C33" s="318"/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02">
        <v>4607111039019</v>
      </c>
      <c r="E34" s="30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0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4"/>
      <c r="R34" s="304"/>
      <c r="S34" s="304"/>
      <c r="T34" s="30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02">
        <v>4607111038708</v>
      </c>
      <c r="E35" s="30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0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4"/>
      <c r="R35" s="304"/>
      <c r="S35" s="304"/>
      <c r="T35" s="30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9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311"/>
      <c r="P36" s="308" t="s">
        <v>40</v>
      </c>
      <c r="Q36" s="309"/>
      <c r="R36" s="309"/>
      <c r="S36" s="309"/>
      <c r="T36" s="309"/>
      <c r="U36" s="309"/>
      <c r="V36" s="310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9"/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311"/>
      <c r="P37" s="308" t="s">
        <v>40</v>
      </c>
      <c r="Q37" s="309"/>
      <c r="R37" s="309"/>
      <c r="S37" s="309"/>
      <c r="T37" s="309"/>
      <c r="U37" s="309"/>
      <c r="V37" s="310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25" t="s">
        <v>45</v>
      </c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325"/>
      <c r="Y38" s="325"/>
      <c r="Z38" s="325"/>
      <c r="AA38" s="54"/>
      <c r="AB38" s="54"/>
      <c r="AC38" s="54"/>
    </row>
    <row r="39" spans="1:68" ht="16.5" hidden="1" customHeight="1" x14ac:dyDescent="0.25">
      <c r="A39" s="326" t="s">
        <v>112</v>
      </c>
      <c r="B39" s="326"/>
      <c r="C39" s="326"/>
      <c r="D39" s="326"/>
      <c r="E39" s="326"/>
      <c r="F39" s="326"/>
      <c r="G39" s="326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  <c r="AA39" s="65"/>
      <c r="AB39" s="65"/>
      <c r="AC39" s="82"/>
    </row>
    <row r="40" spans="1:68" ht="14.25" hidden="1" customHeight="1" x14ac:dyDescent="0.25">
      <c r="A40" s="318" t="s">
        <v>113</v>
      </c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02">
        <v>4607111036537</v>
      </c>
      <c r="E41" s="30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40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4"/>
      <c r="R41" s="304"/>
      <c r="S41" s="304"/>
      <c r="T41" s="305"/>
      <c r="U41" s="39" t="s">
        <v>46</v>
      </c>
      <c r="V41" s="39" t="s">
        <v>46</v>
      </c>
      <c r="W41" s="40" t="s">
        <v>39</v>
      </c>
      <c r="X41" s="58">
        <v>196</v>
      </c>
      <c r="Y41" s="55">
        <f>IFERROR(IF(X41="","",X41),"")</f>
        <v>196</v>
      </c>
      <c r="Z41" s="41">
        <f>IFERROR(IF(X41="","",X41*0.00941),"")</f>
        <v>1.84436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376.6728</v>
      </c>
      <c r="BN41" s="81">
        <f>IFERROR(Y41*I41,"0")</f>
        <v>376.6728</v>
      </c>
      <c r="BO41" s="81">
        <f>IFERROR(X41/J41,"0")</f>
        <v>1.4</v>
      </c>
      <c r="BP41" s="81">
        <f>IFERROR(Y41/J41,"0")</f>
        <v>1.4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02">
        <v>4607111036605</v>
      </c>
      <c r="E42" s="30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40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4"/>
      <c r="R42" s="304"/>
      <c r="S42" s="304"/>
      <c r="T42" s="305"/>
      <c r="U42" s="39" t="s">
        <v>46</v>
      </c>
      <c r="V42" s="39" t="s">
        <v>46</v>
      </c>
      <c r="W42" s="40" t="s">
        <v>39</v>
      </c>
      <c r="X42" s="58">
        <v>56</v>
      </c>
      <c r="Y42" s="55">
        <f>IFERROR(IF(X42="","",X42),"")</f>
        <v>56</v>
      </c>
      <c r="Z42" s="41">
        <f>IFERROR(IF(X42="","",X42*0.00941),"")</f>
        <v>0.52695999999999998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107.6208</v>
      </c>
      <c r="BN42" s="81">
        <f>IFERROR(Y42*I42,"0")</f>
        <v>107.6208</v>
      </c>
      <c r="BO42" s="81">
        <f>IFERROR(X42/J42,"0")</f>
        <v>0.4</v>
      </c>
      <c r="BP42" s="81">
        <f>IFERROR(Y42/J42,"0")</f>
        <v>0.4</v>
      </c>
    </row>
    <row r="43" spans="1:68" x14ac:dyDescent="0.2">
      <c r="A43" s="299"/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311"/>
      <c r="P43" s="308" t="s">
        <v>40</v>
      </c>
      <c r="Q43" s="309"/>
      <c r="R43" s="309"/>
      <c r="S43" s="309"/>
      <c r="T43" s="309"/>
      <c r="U43" s="309"/>
      <c r="V43" s="310"/>
      <c r="W43" s="42" t="s">
        <v>39</v>
      </c>
      <c r="X43" s="43">
        <f>IFERROR(SUM(X41:X42),"0")</f>
        <v>252</v>
      </c>
      <c r="Y43" s="43">
        <f>IFERROR(SUM(Y41:Y42),"0")</f>
        <v>252</v>
      </c>
      <c r="Z43" s="43">
        <f>IFERROR(IF(Z41="",0,Z41),"0")+IFERROR(IF(Z42="",0,Z42),"0")</f>
        <v>2.3713199999999999</v>
      </c>
      <c r="AA43" s="67"/>
      <c r="AB43" s="67"/>
      <c r="AC43" s="67"/>
    </row>
    <row r="44" spans="1:68" x14ac:dyDescent="0.2">
      <c r="A44" s="299"/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  <c r="N44" s="299"/>
      <c r="O44" s="311"/>
      <c r="P44" s="308" t="s">
        <v>40</v>
      </c>
      <c r="Q44" s="309"/>
      <c r="R44" s="309"/>
      <c r="S44" s="309"/>
      <c r="T44" s="309"/>
      <c r="U44" s="309"/>
      <c r="V44" s="310"/>
      <c r="W44" s="42" t="s">
        <v>0</v>
      </c>
      <c r="X44" s="43">
        <f>IFERROR(SUMPRODUCT(X41:X42*H41:H42),"0")</f>
        <v>378</v>
      </c>
      <c r="Y44" s="43">
        <f>IFERROR(SUMPRODUCT(Y41:Y42*H41:H42),"0")</f>
        <v>378</v>
      </c>
      <c r="Z44" s="42"/>
      <c r="AA44" s="67"/>
      <c r="AB44" s="67"/>
      <c r="AC44" s="67"/>
    </row>
    <row r="45" spans="1:68" ht="16.5" hidden="1" customHeight="1" x14ac:dyDescent="0.25">
      <c r="A45" s="326" t="s">
        <v>123</v>
      </c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65"/>
      <c r="AB45" s="65"/>
      <c r="AC45" s="82"/>
    </row>
    <row r="46" spans="1:68" ht="14.25" hidden="1" customHeight="1" x14ac:dyDescent="0.25">
      <c r="A46" s="318" t="s">
        <v>82</v>
      </c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02">
        <v>4620207490075</v>
      </c>
      <c r="E47" s="30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40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4"/>
      <c r="R47" s="304"/>
      <c r="S47" s="304"/>
      <c r="T47" s="30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302">
        <v>4620207490174</v>
      </c>
      <c r="E48" s="30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40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4"/>
      <c r="R48" s="304"/>
      <c r="S48" s="304"/>
      <c r="T48" s="30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299"/>
      <c r="B49" s="299"/>
      <c r="C49" s="299"/>
      <c r="D49" s="299"/>
      <c r="E49" s="299"/>
      <c r="F49" s="299"/>
      <c r="G49" s="299"/>
      <c r="H49" s="299"/>
      <c r="I49" s="299"/>
      <c r="J49" s="299"/>
      <c r="K49" s="299"/>
      <c r="L49" s="299"/>
      <c r="M49" s="299"/>
      <c r="N49" s="299"/>
      <c r="O49" s="311"/>
      <c r="P49" s="308" t="s">
        <v>40</v>
      </c>
      <c r="Q49" s="309"/>
      <c r="R49" s="309"/>
      <c r="S49" s="309"/>
      <c r="T49" s="309"/>
      <c r="U49" s="309"/>
      <c r="V49" s="310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299"/>
      <c r="B50" s="299"/>
      <c r="C50" s="299"/>
      <c r="D50" s="299"/>
      <c r="E50" s="299"/>
      <c r="F50" s="299"/>
      <c r="G50" s="299"/>
      <c r="H50" s="299"/>
      <c r="I50" s="299"/>
      <c r="J50" s="299"/>
      <c r="K50" s="299"/>
      <c r="L50" s="299"/>
      <c r="M50" s="299"/>
      <c r="N50" s="299"/>
      <c r="O50" s="311"/>
      <c r="P50" s="308" t="s">
        <v>40</v>
      </c>
      <c r="Q50" s="309"/>
      <c r="R50" s="309"/>
      <c r="S50" s="309"/>
      <c r="T50" s="309"/>
      <c r="U50" s="309"/>
      <c r="V50" s="310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26" t="s">
        <v>130</v>
      </c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  <c r="AA51" s="65"/>
      <c r="AB51" s="65"/>
      <c r="AC51" s="82"/>
    </row>
    <row r="52" spans="1:68" ht="14.25" hidden="1" customHeight="1" x14ac:dyDescent="0.25">
      <c r="A52" s="318" t="s">
        <v>82</v>
      </c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66"/>
      <c r="AB52" s="66"/>
      <c r="AC52" s="83"/>
    </row>
    <row r="53" spans="1:68" ht="27" hidden="1" customHeight="1" x14ac:dyDescent="0.25">
      <c r="A53" s="63" t="s">
        <v>131</v>
      </c>
      <c r="B53" s="63" t="s">
        <v>132</v>
      </c>
      <c r="C53" s="36">
        <v>4301071044</v>
      </c>
      <c r="D53" s="302">
        <v>4607111039385</v>
      </c>
      <c r="E53" s="30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4"/>
      <c r="R53" s="304"/>
      <c r="S53" s="304"/>
      <c r="T53" s="30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134</v>
      </c>
      <c r="B54" s="63" t="s">
        <v>135</v>
      </c>
      <c r="C54" s="36">
        <v>4301071031</v>
      </c>
      <c r="D54" s="302">
        <v>4607111038982</v>
      </c>
      <c r="E54" s="30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4"/>
      <c r="R54" s="304"/>
      <c r="S54" s="304"/>
      <c r="T54" s="30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302">
        <v>4607111039354</v>
      </c>
      <c r="E55" s="30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4"/>
      <c r="R55" s="304"/>
      <c r="S55" s="304"/>
      <c r="T55" s="305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302">
        <v>4607111039330</v>
      </c>
      <c r="E56" s="30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4"/>
      <c r="R56" s="304"/>
      <c r="S56" s="304"/>
      <c r="T56" s="30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299"/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311"/>
      <c r="P57" s="308" t="s">
        <v>40</v>
      </c>
      <c r="Q57" s="309"/>
      <c r="R57" s="309"/>
      <c r="S57" s="309"/>
      <c r="T57" s="309"/>
      <c r="U57" s="309"/>
      <c r="V57" s="310"/>
      <c r="W57" s="42" t="s">
        <v>39</v>
      </c>
      <c r="X57" s="43">
        <f>IFERROR(SUM(X53:X56),"0")</f>
        <v>12</v>
      </c>
      <c r="Y57" s="43">
        <f>IFERROR(SUM(Y53:Y56),"0")</f>
        <v>12</v>
      </c>
      <c r="Z57" s="43">
        <f>IFERROR(IF(Z53="",0,Z53),"0")+IFERROR(IF(Z54="",0,Z54),"0")+IFERROR(IF(Z55="",0,Z55),"0")+IFERROR(IF(Z56="",0,Z56),"0")</f>
        <v>0.186</v>
      </c>
      <c r="AA57" s="67"/>
      <c r="AB57" s="67"/>
      <c r="AC57" s="67"/>
    </row>
    <row r="58" spans="1:68" x14ac:dyDescent="0.2">
      <c r="A58" s="299"/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311"/>
      <c r="P58" s="308" t="s">
        <v>40</v>
      </c>
      <c r="Q58" s="309"/>
      <c r="R58" s="309"/>
      <c r="S58" s="309"/>
      <c r="T58" s="309"/>
      <c r="U58" s="309"/>
      <c r="V58" s="310"/>
      <c r="W58" s="42" t="s">
        <v>0</v>
      </c>
      <c r="X58" s="43">
        <f>IFERROR(SUMPRODUCT(X53:X56*H53:H56),"0")</f>
        <v>76.800000000000011</v>
      </c>
      <c r="Y58" s="43">
        <f>IFERROR(SUMPRODUCT(Y53:Y56*H53:H56),"0")</f>
        <v>76.800000000000011</v>
      </c>
      <c r="Z58" s="42"/>
      <c r="AA58" s="67"/>
      <c r="AB58" s="67"/>
      <c r="AC58" s="67"/>
    </row>
    <row r="59" spans="1:68" ht="16.5" hidden="1" customHeight="1" x14ac:dyDescent="0.25">
      <c r="A59" s="326" t="s">
        <v>141</v>
      </c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65"/>
      <c r="AB59" s="65"/>
      <c r="AC59" s="82"/>
    </row>
    <row r="60" spans="1:68" ht="14.25" hidden="1" customHeight="1" x14ac:dyDescent="0.25">
      <c r="A60" s="318" t="s">
        <v>113</v>
      </c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02">
        <v>4607111039712</v>
      </c>
      <c r="E61" s="30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4"/>
      <c r="R61" s="304"/>
      <c r="S61" s="304"/>
      <c r="T61" s="30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299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311"/>
      <c r="P62" s="308" t="s">
        <v>40</v>
      </c>
      <c r="Q62" s="309"/>
      <c r="R62" s="309"/>
      <c r="S62" s="309"/>
      <c r="T62" s="309"/>
      <c r="U62" s="309"/>
      <c r="V62" s="310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299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311"/>
      <c r="P63" s="308" t="s">
        <v>40</v>
      </c>
      <c r="Q63" s="309"/>
      <c r="R63" s="309"/>
      <c r="S63" s="309"/>
      <c r="T63" s="309"/>
      <c r="U63" s="309"/>
      <c r="V63" s="310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8" t="s">
        <v>145</v>
      </c>
      <c r="B64" s="318"/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4301136015</v>
      </c>
      <c r="D65" s="302">
        <v>4607111037398</v>
      </c>
      <c r="E65" s="302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04"/>
      <c r="R65" s="304"/>
      <c r="S65" s="304"/>
      <c r="T65" s="30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311"/>
      <c r="P66" s="308" t="s">
        <v>40</v>
      </c>
      <c r="Q66" s="309"/>
      <c r="R66" s="309"/>
      <c r="S66" s="309"/>
      <c r="T66" s="309"/>
      <c r="U66" s="309"/>
      <c r="V66" s="310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311"/>
      <c r="P67" s="308" t="s">
        <v>40</v>
      </c>
      <c r="Q67" s="309"/>
      <c r="R67" s="309"/>
      <c r="S67" s="309"/>
      <c r="T67" s="309"/>
      <c r="U67" s="309"/>
      <c r="V67" s="310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18" t="s">
        <v>149</v>
      </c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66"/>
      <c r="AB68" s="66"/>
      <c r="AC68" s="83"/>
    </row>
    <row r="69" spans="1:68" ht="27" hidden="1" customHeight="1" x14ac:dyDescent="0.25">
      <c r="A69" s="63" t="s">
        <v>150</v>
      </c>
      <c r="B69" s="63" t="s">
        <v>151</v>
      </c>
      <c r="C69" s="36">
        <v>4301135664</v>
      </c>
      <c r="D69" s="302">
        <v>4607111039705</v>
      </c>
      <c r="E69" s="302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118</v>
      </c>
      <c r="L69" s="37" t="s">
        <v>88</v>
      </c>
      <c r="M69" s="38" t="s">
        <v>86</v>
      </c>
      <c r="N69" s="38"/>
      <c r="O69" s="37">
        <v>365</v>
      </c>
      <c r="P69" s="39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04"/>
      <c r="R69" s="304"/>
      <c r="S69" s="304"/>
      <c r="T69" s="305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117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152</v>
      </c>
      <c r="B70" s="63" t="s">
        <v>153</v>
      </c>
      <c r="C70" s="36">
        <v>4301135665</v>
      </c>
      <c r="D70" s="302">
        <v>4607111039729</v>
      </c>
      <c r="E70" s="30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119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04"/>
      <c r="R70" s="304"/>
      <c r="S70" s="304"/>
      <c r="T70" s="305"/>
      <c r="U70" s="39" t="s">
        <v>46</v>
      </c>
      <c r="V70" s="39" t="s">
        <v>46</v>
      </c>
      <c r="W70" s="40" t="s">
        <v>39</v>
      </c>
      <c r="X70" s="58">
        <v>28</v>
      </c>
      <c r="Y70" s="55">
        <f>IFERROR(IF(X70="","",X70),"")</f>
        <v>28</v>
      </c>
      <c r="Z70" s="41">
        <f>IFERROR(IF(X70="","",X70*0.00941),"")</f>
        <v>0.26347999999999999</v>
      </c>
      <c r="AA70" s="68" t="s">
        <v>46</v>
      </c>
      <c r="AB70" s="69" t="s">
        <v>46</v>
      </c>
      <c r="AC70" s="131" t="s">
        <v>154</v>
      </c>
      <c r="AG70" s="81"/>
      <c r="AJ70" s="87" t="s">
        <v>120</v>
      </c>
      <c r="AK70" s="87">
        <v>14</v>
      </c>
      <c r="BB70" s="132" t="s">
        <v>117</v>
      </c>
      <c r="BM70" s="81">
        <f>IFERROR(X70*I70,"0")</f>
        <v>43.68</v>
      </c>
      <c r="BN70" s="81">
        <f>IFERROR(Y70*I70,"0")</f>
        <v>43.68</v>
      </c>
      <c r="BO70" s="81">
        <f>IFERROR(X70/J70,"0")</f>
        <v>0.2</v>
      </c>
      <c r="BP70" s="81">
        <f>IFERROR(Y70/J70,"0")</f>
        <v>0.2</v>
      </c>
    </row>
    <row r="71" spans="1:68" ht="27" customHeight="1" x14ac:dyDescent="0.25">
      <c r="A71" s="63" t="s">
        <v>155</v>
      </c>
      <c r="B71" s="63" t="s">
        <v>156</v>
      </c>
      <c r="C71" s="36">
        <v>4301135702</v>
      </c>
      <c r="D71" s="302">
        <v>4620207490228</v>
      </c>
      <c r="E71" s="30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04"/>
      <c r="R71" s="304"/>
      <c r="S71" s="304"/>
      <c r="T71" s="305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154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x14ac:dyDescent="0.2">
      <c r="A72" s="299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311"/>
      <c r="P72" s="308" t="s">
        <v>40</v>
      </c>
      <c r="Q72" s="309"/>
      <c r="R72" s="309"/>
      <c r="S72" s="309"/>
      <c r="T72" s="309"/>
      <c r="U72" s="309"/>
      <c r="V72" s="310"/>
      <c r="W72" s="42" t="s">
        <v>39</v>
      </c>
      <c r="X72" s="43">
        <f>IFERROR(SUM(X69:X71),"0")</f>
        <v>42</v>
      </c>
      <c r="Y72" s="43">
        <f>IFERROR(SUM(Y69:Y71),"0")</f>
        <v>42</v>
      </c>
      <c r="Z72" s="43">
        <f>IFERROR(IF(Z69="",0,Z69),"0")+IFERROR(IF(Z70="",0,Z70),"0")+IFERROR(IF(Z71="",0,Z71),"0")</f>
        <v>0.39522000000000002</v>
      </c>
      <c r="AA72" s="67"/>
      <c r="AB72" s="67"/>
      <c r="AC72" s="67"/>
    </row>
    <row r="73" spans="1:68" x14ac:dyDescent="0.2">
      <c r="A73" s="299"/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311"/>
      <c r="P73" s="308" t="s">
        <v>40</v>
      </c>
      <c r="Q73" s="309"/>
      <c r="R73" s="309"/>
      <c r="S73" s="309"/>
      <c r="T73" s="309"/>
      <c r="U73" s="309"/>
      <c r="V73" s="310"/>
      <c r="W73" s="42" t="s">
        <v>0</v>
      </c>
      <c r="X73" s="43">
        <f>IFERROR(SUMPRODUCT(X69:X71*H69:H71),"0")</f>
        <v>50.400000000000006</v>
      </c>
      <c r="Y73" s="43">
        <f>IFERROR(SUMPRODUCT(Y69:Y71*H69:H71),"0")</f>
        <v>50.400000000000006</v>
      </c>
      <c r="Z73" s="42"/>
      <c r="AA73" s="67"/>
      <c r="AB73" s="67"/>
      <c r="AC73" s="67"/>
    </row>
    <row r="74" spans="1:68" ht="16.5" hidden="1" customHeight="1" x14ac:dyDescent="0.25">
      <c r="A74" s="326" t="s">
        <v>157</v>
      </c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  <c r="AA74" s="65"/>
      <c r="AB74" s="65"/>
      <c r="AC74" s="82"/>
    </row>
    <row r="75" spans="1:68" ht="14.25" hidden="1" customHeight="1" x14ac:dyDescent="0.25">
      <c r="A75" s="318" t="s">
        <v>82</v>
      </c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66"/>
      <c r="AB75" s="66"/>
      <c r="AC75" s="83"/>
    </row>
    <row r="76" spans="1:68" ht="27" hidden="1" customHeight="1" x14ac:dyDescent="0.25">
      <c r="A76" s="63" t="s">
        <v>158</v>
      </c>
      <c r="B76" s="63" t="s">
        <v>159</v>
      </c>
      <c r="C76" s="36">
        <v>4301070977</v>
      </c>
      <c r="D76" s="302">
        <v>4607111037411</v>
      </c>
      <c r="E76" s="302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161</v>
      </c>
      <c r="L76" s="37" t="s">
        <v>119</v>
      </c>
      <c r="M76" s="38" t="s">
        <v>86</v>
      </c>
      <c r="N76" s="38"/>
      <c r="O76" s="37">
        <v>180</v>
      </c>
      <c r="P76" s="38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04"/>
      <c r="R76" s="304"/>
      <c r="S76" s="304"/>
      <c r="T76" s="305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160</v>
      </c>
      <c r="AG76" s="81"/>
      <c r="AJ76" s="87" t="s">
        <v>120</v>
      </c>
      <c r="AK76" s="87">
        <v>18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4301070981</v>
      </c>
      <c r="D77" s="302">
        <v>4607111036728</v>
      </c>
      <c r="E77" s="302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87</v>
      </c>
      <c r="L77" s="37" t="s">
        <v>119</v>
      </c>
      <c r="M77" s="38" t="s">
        <v>86</v>
      </c>
      <c r="N77" s="38"/>
      <c r="O77" s="37">
        <v>180</v>
      </c>
      <c r="P77" s="39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04"/>
      <c r="R77" s="304"/>
      <c r="S77" s="304"/>
      <c r="T77" s="305"/>
      <c r="U77" s="39" t="s">
        <v>46</v>
      </c>
      <c r="V77" s="39" t="s">
        <v>46</v>
      </c>
      <c r="W77" s="40" t="s">
        <v>39</v>
      </c>
      <c r="X77" s="58">
        <v>324</v>
      </c>
      <c r="Y77" s="55">
        <f>IFERROR(IF(X77="","",X77),"")</f>
        <v>324</v>
      </c>
      <c r="Z77" s="41">
        <f>IFERROR(IF(X77="","",X77*0.00866),"")</f>
        <v>2.8058399999999999</v>
      </c>
      <c r="AA77" s="68" t="s">
        <v>46</v>
      </c>
      <c r="AB77" s="69" t="s">
        <v>46</v>
      </c>
      <c r="AC77" s="137" t="s">
        <v>160</v>
      </c>
      <c r="AG77" s="81"/>
      <c r="AJ77" s="87" t="s">
        <v>120</v>
      </c>
      <c r="AK77" s="87">
        <v>12</v>
      </c>
      <c r="BB77" s="138" t="s">
        <v>70</v>
      </c>
      <c r="BM77" s="81">
        <f>IFERROR(X77*I77,"0")</f>
        <v>1689.0767999999998</v>
      </c>
      <c r="BN77" s="81">
        <f>IFERROR(Y77*I77,"0")</f>
        <v>1689.0767999999998</v>
      </c>
      <c r="BO77" s="81">
        <f>IFERROR(X77/J77,"0")</f>
        <v>2.25</v>
      </c>
      <c r="BP77" s="81">
        <f>IFERROR(Y77/J77,"0")</f>
        <v>2.25</v>
      </c>
    </row>
    <row r="78" spans="1:68" x14ac:dyDescent="0.2">
      <c r="A78" s="299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311"/>
      <c r="P78" s="308" t="s">
        <v>40</v>
      </c>
      <c r="Q78" s="309"/>
      <c r="R78" s="309"/>
      <c r="S78" s="309"/>
      <c r="T78" s="309"/>
      <c r="U78" s="309"/>
      <c r="V78" s="310"/>
      <c r="W78" s="42" t="s">
        <v>39</v>
      </c>
      <c r="X78" s="43">
        <f>IFERROR(SUM(X76:X77),"0")</f>
        <v>324</v>
      </c>
      <c r="Y78" s="43">
        <f>IFERROR(SUM(Y76:Y77),"0")</f>
        <v>324</v>
      </c>
      <c r="Z78" s="43">
        <f>IFERROR(IF(Z76="",0,Z76),"0")+IFERROR(IF(Z77="",0,Z77),"0")</f>
        <v>2.8058399999999999</v>
      </c>
      <c r="AA78" s="67"/>
      <c r="AB78" s="67"/>
      <c r="AC78" s="67"/>
    </row>
    <row r="79" spans="1:68" x14ac:dyDescent="0.2">
      <c r="A79" s="299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11"/>
      <c r="P79" s="308" t="s">
        <v>40</v>
      </c>
      <c r="Q79" s="309"/>
      <c r="R79" s="309"/>
      <c r="S79" s="309"/>
      <c r="T79" s="309"/>
      <c r="U79" s="309"/>
      <c r="V79" s="310"/>
      <c r="W79" s="42" t="s">
        <v>0</v>
      </c>
      <c r="X79" s="43">
        <f>IFERROR(SUMPRODUCT(X76:X77*H76:H77),"0")</f>
        <v>1620</v>
      </c>
      <c r="Y79" s="43">
        <f>IFERROR(SUMPRODUCT(Y76:Y77*H76:H77),"0")</f>
        <v>1620</v>
      </c>
      <c r="Z79" s="42"/>
      <c r="AA79" s="67"/>
      <c r="AB79" s="67"/>
      <c r="AC79" s="67"/>
    </row>
    <row r="80" spans="1:68" ht="16.5" hidden="1" customHeight="1" x14ac:dyDescent="0.25">
      <c r="A80" s="326" t="s">
        <v>164</v>
      </c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  <c r="AA80" s="65"/>
      <c r="AB80" s="65"/>
      <c r="AC80" s="82"/>
    </row>
    <row r="81" spans="1:68" ht="14.25" hidden="1" customHeight="1" x14ac:dyDescent="0.25">
      <c r="A81" s="318" t="s">
        <v>149</v>
      </c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4301135910</v>
      </c>
      <c r="D82" s="302">
        <v>4620207491638</v>
      </c>
      <c r="E82" s="302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118</v>
      </c>
      <c r="L82" s="37" t="s">
        <v>88</v>
      </c>
      <c r="M82" s="38" t="s">
        <v>86</v>
      </c>
      <c r="N82" s="38"/>
      <c r="O82" s="37">
        <v>180</v>
      </c>
      <c r="P82" s="387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04"/>
      <c r="R82" s="304"/>
      <c r="S82" s="304"/>
      <c r="T82" s="305"/>
      <c r="U82" s="39" t="s">
        <v>46</v>
      </c>
      <c r="V82" s="39" t="s">
        <v>46</v>
      </c>
      <c r="W82" s="40" t="s">
        <v>39</v>
      </c>
      <c r="X82" s="58">
        <v>42</v>
      </c>
      <c r="Y82" s="55">
        <f>IFERROR(IF(X82="","",X82),"")</f>
        <v>42</v>
      </c>
      <c r="Z82" s="41">
        <f>IFERROR(IF(X82="","",X82*0.01788),"")</f>
        <v>0.75095999999999996</v>
      </c>
      <c r="AA82" s="68" t="s">
        <v>46</v>
      </c>
      <c r="AB82" s="69" t="s">
        <v>46</v>
      </c>
      <c r="AC82" s="139" t="s">
        <v>167</v>
      </c>
      <c r="AG82" s="81"/>
      <c r="AJ82" s="87" t="s">
        <v>89</v>
      </c>
      <c r="AK82" s="87">
        <v>1</v>
      </c>
      <c r="BB82" s="140" t="s">
        <v>117</v>
      </c>
      <c r="BM82" s="81">
        <f>IFERROR(X82*I82,"0")</f>
        <v>180.75120000000001</v>
      </c>
      <c r="BN82" s="81">
        <f>IFERROR(Y82*I82,"0")</f>
        <v>180.75120000000001</v>
      </c>
      <c r="BO82" s="81">
        <f>IFERROR(X82/J82,"0")</f>
        <v>0.6</v>
      </c>
      <c r="BP82" s="81">
        <f>IFERROR(Y82/J82,"0")</f>
        <v>0.6</v>
      </c>
    </row>
    <row r="83" spans="1:68" x14ac:dyDescent="0.2">
      <c r="A83" s="299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311"/>
      <c r="P83" s="308" t="s">
        <v>40</v>
      </c>
      <c r="Q83" s="309"/>
      <c r="R83" s="309"/>
      <c r="S83" s="309"/>
      <c r="T83" s="309"/>
      <c r="U83" s="309"/>
      <c r="V83" s="310"/>
      <c r="W83" s="42" t="s">
        <v>39</v>
      </c>
      <c r="X83" s="43">
        <f>IFERROR(SUM(X82:X82),"0")</f>
        <v>42</v>
      </c>
      <c r="Y83" s="43">
        <f>IFERROR(SUM(Y82:Y82),"0")</f>
        <v>42</v>
      </c>
      <c r="Z83" s="43">
        <f>IFERROR(IF(Z82="",0,Z82),"0")</f>
        <v>0.75095999999999996</v>
      </c>
      <c r="AA83" s="67"/>
      <c r="AB83" s="67"/>
      <c r="AC83" s="67"/>
    </row>
    <row r="84" spans="1:68" x14ac:dyDescent="0.2">
      <c r="A84" s="299"/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311"/>
      <c r="P84" s="308" t="s">
        <v>40</v>
      </c>
      <c r="Q84" s="309"/>
      <c r="R84" s="309"/>
      <c r="S84" s="309"/>
      <c r="T84" s="309"/>
      <c r="U84" s="309"/>
      <c r="V84" s="310"/>
      <c r="W84" s="42" t="s">
        <v>0</v>
      </c>
      <c r="X84" s="43">
        <f>IFERROR(SUMPRODUCT(X82:X82*H82:H82),"0")</f>
        <v>151.20000000000002</v>
      </c>
      <c r="Y84" s="43">
        <f>IFERROR(SUMPRODUCT(Y82:Y82*H82:H82),"0")</f>
        <v>151.20000000000002</v>
      </c>
      <c r="Z84" s="42"/>
      <c r="AA84" s="67"/>
      <c r="AB84" s="67"/>
      <c r="AC84" s="67"/>
    </row>
    <row r="85" spans="1:68" ht="16.5" hidden="1" customHeight="1" x14ac:dyDescent="0.25">
      <c r="A85" s="326" t="s">
        <v>168</v>
      </c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65"/>
      <c r="AB85" s="65"/>
      <c r="AC85" s="82"/>
    </row>
    <row r="86" spans="1:68" ht="14.25" hidden="1" customHeight="1" x14ac:dyDescent="0.25">
      <c r="A86" s="318" t="s">
        <v>169</v>
      </c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66"/>
      <c r="AB86" s="66"/>
      <c r="AC86" s="83"/>
    </row>
    <row r="87" spans="1:68" ht="27" customHeight="1" x14ac:dyDescent="0.25">
      <c r="A87" s="63" t="s">
        <v>170</v>
      </c>
      <c r="B87" s="63" t="s">
        <v>171</v>
      </c>
      <c r="C87" s="36">
        <v>4301131047</v>
      </c>
      <c r="D87" s="302">
        <v>4607111034120</v>
      </c>
      <c r="E87" s="302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118</v>
      </c>
      <c r="L87" s="37" t="s">
        <v>119</v>
      </c>
      <c r="M87" s="38" t="s">
        <v>86</v>
      </c>
      <c r="N87" s="38"/>
      <c r="O87" s="37">
        <v>180</v>
      </c>
      <c r="P87" s="38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04"/>
      <c r="R87" s="304"/>
      <c r="S87" s="304"/>
      <c r="T87" s="305"/>
      <c r="U87" s="39" t="s">
        <v>46</v>
      </c>
      <c r="V87" s="39" t="s">
        <v>46</v>
      </c>
      <c r="W87" s="40" t="s">
        <v>39</v>
      </c>
      <c r="X87" s="58">
        <v>56</v>
      </c>
      <c r="Y87" s="55">
        <f>IFERROR(IF(X87="","",X87),"")</f>
        <v>56</v>
      </c>
      <c r="Z87" s="41">
        <f>IFERROR(IF(X87="","",X87*0.01788),"")</f>
        <v>1.0012799999999999</v>
      </c>
      <c r="AA87" s="68" t="s">
        <v>46</v>
      </c>
      <c r="AB87" s="69" t="s">
        <v>46</v>
      </c>
      <c r="AC87" s="141" t="s">
        <v>172</v>
      </c>
      <c r="AG87" s="81"/>
      <c r="AJ87" s="87" t="s">
        <v>120</v>
      </c>
      <c r="AK87" s="87">
        <v>14</v>
      </c>
      <c r="BB87" s="142" t="s">
        <v>117</v>
      </c>
      <c r="BM87" s="81">
        <f>IFERROR(X87*I87,"0")</f>
        <v>241.00160000000002</v>
      </c>
      <c r="BN87" s="81">
        <f>IFERROR(Y87*I87,"0")</f>
        <v>241.00160000000002</v>
      </c>
      <c r="BO87" s="81">
        <f>IFERROR(X87/J87,"0")</f>
        <v>0.8</v>
      </c>
      <c r="BP87" s="81">
        <f>IFERROR(Y87/J87,"0")</f>
        <v>0.8</v>
      </c>
    </row>
    <row r="88" spans="1:68" ht="27" customHeight="1" x14ac:dyDescent="0.25">
      <c r="A88" s="63" t="s">
        <v>173</v>
      </c>
      <c r="B88" s="63" t="s">
        <v>174</v>
      </c>
      <c r="C88" s="36">
        <v>4301131046</v>
      </c>
      <c r="D88" s="302">
        <v>4607111034137</v>
      </c>
      <c r="E88" s="30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04"/>
      <c r="R88" s="304"/>
      <c r="S88" s="304"/>
      <c r="T88" s="305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3" t="s">
        <v>175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x14ac:dyDescent="0.2">
      <c r="A89" s="299"/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311"/>
      <c r="P89" s="308" t="s">
        <v>40</v>
      </c>
      <c r="Q89" s="309"/>
      <c r="R89" s="309"/>
      <c r="S89" s="309"/>
      <c r="T89" s="309"/>
      <c r="U89" s="309"/>
      <c r="V89" s="310"/>
      <c r="W89" s="42" t="s">
        <v>39</v>
      </c>
      <c r="X89" s="43">
        <f>IFERROR(SUM(X87:X88),"0")</f>
        <v>84</v>
      </c>
      <c r="Y89" s="43">
        <f>IFERROR(SUM(Y87:Y88),"0")</f>
        <v>84</v>
      </c>
      <c r="Z89" s="43">
        <f>IFERROR(IF(Z87="",0,Z87),"0")+IFERROR(IF(Z88="",0,Z88),"0")</f>
        <v>1.5019199999999999</v>
      </c>
      <c r="AA89" s="67"/>
      <c r="AB89" s="67"/>
      <c r="AC89" s="67"/>
    </row>
    <row r="90" spans="1:68" x14ac:dyDescent="0.2">
      <c r="A90" s="299"/>
      <c r="B90" s="299"/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311"/>
      <c r="P90" s="308" t="s">
        <v>40</v>
      </c>
      <c r="Q90" s="309"/>
      <c r="R90" s="309"/>
      <c r="S90" s="309"/>
      <c r="T90" s="309"/>
      <c r="U90" s="309"/>
      <c r="V90" s="310"/>
      <c r="W90" s="42" t="s">
        <v>0</v>
      </c>
      <c r="X90" s="43">
        <f>IFERROR(SUMPRODUCT(X87:X88*H87:H88),"0")</f>
        <v>302.39999999999998</v>
      </c>
      <c r="Y90" s="43">
        <f>IFERROR(SUMPRODUCT(Y87:Y88*H87:H88),"0")</f>
        <v>302.39999999999998</v>
      </c>
      <c r="Z90" s="42"/>
      <c r="AA90" s="67"/>
      <c r="AB90" s="67"/>
      <c r="AC90" s="67"/>
    </row>
    <row r="91" spans="1:68" ht="16.5" hidden="1" customHeight="1" x14ac:dyDescent="0.25">
      <c r="A91" s="326" t="s">
        <v>176</v>
      </c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65"/>
      <c r="AB91" s="65"/>
      <c r="AC91" s="82"/>
    </row>
    <row r="92" spans="1:68" ht="14.25" hidden="1" customHeight="1" x14ac:dyDescent="0.25">
      <c r="A92" s="318" t="s">
        <v>149</v>
      </c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4301135763</v>
      </c>
      <c r="D93" s="302">
        <v>4620207491027</v>
      </c>
      <c r="E93" s="302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8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04"/>
      <c r="R93" s="304"/>
      <c r="S93" s="304"/>
      <c r="T93" s="305"/>
      <c r="U93" s="39" t="s">
        <v>46</v>
      </c>
      <c r="V93" s="39" t="s">
        <v>46</v>
      </c>
      <c r="W93" s="40" t="s">
        <v>39</v>
      </c>
      <c r="X93" s="58">
        <v>28</v>
      </c>
      <c r="Y93" s="55">
        <f t="shared" ref="Y93:Y98" si="6">IFERROR(IF(X93="","",X93),"")</f>
        <v>28</v>
      </c>
      <c r="Z93" s="41">
        <f t="shared" ref="Z93:Z98" si="7">IFERROR(IF(X93="","",X93*0.01788),"")</f>
        <v>0.50063999999999997</v>
      </c>
      <c r="AA93" s="68" t="s">
        <v>46</v>
      </c>
      <c r="AB93" s="69" t="s">
        <v>46</v>
      </c>
      <c r="AC93" s="145" t="s">
        <v>179</v>
      </c>
      <c r="AG93" s="81"/>
      <c r="AJ93" s="87" t="s">
        <v>120</v>
      </c>
      <c r="AK93" s="87">
        <v>14</v>
      </c>
      <c r="BB93" s="146" t="s">
        <v>117</v>
      </c>
      <c r="BM93" s="81">
        <f t="shared" ref="BM93:BM98" si="8">IFERROR(X93*I93,"0")</f>
        <v>100.3408</v>
      </c>
      <c r="BN93" s="81">
        <f t="shared" ref="BN93:BN98" si="9">IFERROR(Y93*I93,"0")</f>
        <v>100.3408</v>
      </c>
      <c r="BO93" s="81">
        <f t="shared" ref="BO93:BO98" si="10">IFERROR(X93/J93,"0")</f>
        <v>0.4</v>
      </c>
      <c r="BP93" s="81">
        <f t="shared" ref="BP93:BP98" si="11">IFERROR(Y93/J93,"0")</f>
        <v>0.4</v>
      </c>
    </row>
    <row r="94" spans="1:68" ht="27" customHeight="1" x14ac:dyDescent="0.25">
      <c r="A94" s="63" t="s">
        <v>180</v>
      </c>
      <c r="B94" s="63" t="s">
        <v>181</v>
      </c>
      <c r="C94" s="36">
        <v>4301135914</v>
      </c>
      <c r="D94" s="302">
        <v>4620207491621</v>
      </c>
      <c r="E94" s="30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8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04"/>
      <c r="R94" s="304"/>
      <c r="S94" s="304"/>
      <c r="T94" s="305"/>
      <c r="U94" s="39" t="s">
        <v>46</v>
      </c>
      <c r="V94" s="39" t="s">
        <v>46</v>
      </c>
      <c r="W94" s="40" t="s">
        <v>39</v>
      </c>
      <c r="X94" s="58">
        <v>70</v>
      </c>
      <c r="Y94" s="55">
        <f t="shared" si="6"/>
        <v>70</v>
      </c>
      <c r="Z94" s="41">
        <f t="shared" si="7"/>
        <v>1.2516</v>
      </c>
      <c r="AA94" s="68" t="s">
        <v>46</v>
      </c>
      <c r="AB94" s="69" t="s">
        <v>46</v>
      </c>
      <c r="AC94" s="147" t="s">
        <v>182</v>
      </c>
      <c r="AG94" s="81"/>
      <c r="AJ94" s="87" t="s">
        <v>89</v>
      </c>
      <c r="AK94" s="87">
        <v>1</v>
      </c>
      <c r="BB94" s="148" t="s">
        <v>117</v>
      </c>
      <c r="BM94" s="81">
        <f t="shared" si="8"/>
        <v>250.852</v>
      </c>
      <c r="BN94" s="81">
        <f t="shared" si="9"/>
        <v>250.852</v>
      </c>
      <c r="BO94" s="81">
        <f t="shared" si="10"/>
        <v>1</v>
      </c>
      <c r="BP94" s="81">
        <f t="shared" si="11"/>
        <v>1</v>
      </c>
    </row>
    <row r="95" spans="1:68" ht="27" customHeight="1" x14ac:dyDescent="0.25">
      <c r="A95" s="63" t="s">
        <v>183</v>
      </c>
      <c r="B95" s="63" t="s">
        <v>184</v>
      </c>
      <c r="C95" s="36">
        <v>4301135990</v>
      </c>
      <c r="D95" s="302">
        <v>4620207491881</v>
      </c>
      <c r="E95" s="30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8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04"/>
      <c r="R95" s="304"/>
      <c r="S95" s="304"/>
      <c r="T95" s="305"/>
      <c r="U95" s="39" t="s">
        <v>46</v>
      </c>
      <c r="V95" s="39" t="s">
        <v>46</v>
      </c>
      <c r="W95" s="40" t="s">
        <v>39</v>
      </c>
      <c r="X95" s="58">
        <v>14</v>
      </c>
      <c r="Y95" s="55">
        <f t="shared" si="6"/>
        <v>14</v>
      </c>
      <c r="Z95" s="41">
        <f t="shared" si="7"/>
        <v>0.25031999999999999</v>
      </c>
      <c r="AA95" s="68" t="s">
        <v>46</v>
      </c>
      <c r="AB95" s="69" t="s">
        <v>46</v>
      </c>
      <c r="AC95" s="149" t="s">
        <v>182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50.170400000000001</v>
      </c>
      <c r="BN95" s="81">
        <f t="shared" si="9"/>
        <v>50.170400000000001</v>
      </c>
      <c r="BO95" s="81">
        <f t="shared" si="10"/>
        <v>0.2</v>
      </c>
      <c r="BP95" s="81">
        <f t="shared" si="11"/>
        <v>0.2</v>
      </c>
    </row>
    <row r="96" spans="1:68" ht="27" customHeight="1" x14ac:dyDescent="0.25">
      <c r="A96" s="63" t="s">
        <v>185</v>
      </c>
      <c r="B96" s="63" t="s">
        <v>186</v>
      </c>
      <c r="C96" s="36">
        <v>4301135920</v>
      </c>
      <c r="D96" s="302">
        <v>4620207491577</v>
      </c>
      <c r="E96" s="30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8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04"/>
      <c r="R96" s="304"/>
      <c r="S96" s="304"/>
      <c r="T96" s="305"/>
      <c r="U96" s="39" t="s">
        <v>46</v>
      </c>
      <c r="V96" s="39" t="s">
        <v>46</v>
      </c>
      <c r="W96" s="40" t="s">
        <v>39</v>
      </c>
      <c r="X96" s="58">
        <v>56</v>
      </c>
      <c r="Y96" s="55">
        <f t="shared" si="6"/>
        <v>56</v>
      </c>
      <c r="Z96" s="41">
        <f t="shared" si="7"/>
        <v>1.0012799999999999</v>
      </c>
      <c r="AA96" s="68" t="s">
        <v>46</v>
      </c>
      <c r="AB96" s="69" t="s">
        <v>46</v>
      </c>
      <c r="AC96" s="151" t="s">
        <v>182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200.6816</v>
      </c>
      <c r="BN96" s="81">
        <f t="shared" si="9"/>
        <v>200.6816</v>
      </c>
      <c r="BO96" s="81">
        <f t="shared" si="10"/>
        <v>0.8</v>
      </c>
      <c r="BP96" s="81">
        <f t="shared" si="11"/>
        <v>0.8</v>
      </c>
    </row>
    <row r="97" spans="1:68" ht="27" hidden="1" customHeight="1" x14ac:dyDescent="0.25">
      <c r="A97" s="63" t="s">
        <v>187</v>
      </c>
      <c r="B97" s="63" t="s">
        <v>188</v>
      </c>
      <c r="C97" s="36">
        <v>4301135984</v>
      </c>
      <c r="D97" s="302">
        <v>4620207491874</v>
      </c>
      <c r="E97" s="302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118</v>
      </c>
      <c r="L97" s="37" t="s">
        <v>88</v>
      </c>
      <c r="M97" s="38" t="s">
        <v>86</v>
      </c>
      <c r="N97" s="38"/>
      <c r="O97" s="37">
        <v>180</v>
      </c>
      <c r="P97" s="38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04"/>
      <c r="R97" s="304"/>
      <c r="S97" s="304"/>
      <c r="T97" s="305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182</v>
      </c>
      <c r="AG97" s="81"/>
      <c r="AJ97" s="87" t="s">
        <v>89</v>
      </c>
      <c r="AK97" s="87">
        <v>1</v>
      </c>
      <c r="BB97" s="154" t="s">
        <v>117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hidden="1" customHeight="1" x14ac:dyDescent="0.25">
      <c r="A98" s="63" t="s">
        <v>189</v>
      </c>
      <c r="B98" s="63" t="s">
        <v>190</v>
      </c>
      <c r="C98" s="36">
        <v>4301135285</v>
      </c>
      <c r="D98" s="302">
        <v>4607111036407</v>
      </c>
      <c r="E98" s="302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118</v>
      </c>
      <c r="L98" s="37" t="s">
        <v>119</v>
      </c>
      <c r="M98" s="38" t="s">
        <v>86</v>
      </c>
      <c r="N98" s="38"/>
      <c r="O98" s="37">
        <v>180</v>
      </c>
      <c r="P98" s="38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04"/>
      <c r="R98" s="304"/>
      <c r="S98" s="304"/>
      <c r="T98" s="30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191</v>
      </c>
      <c r="AG98" s="81"/>
      <c r="AJ98" s="87" t="s">
        <v>120</v>
      </c>
      <c r="AK98" s="87">
        <v>14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x14ac:dyDescent="0.2">
      <c r="A99" s="299"/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311"/>
      <c r="P99" s="308" t="s">
        <v>40</v>
      </c>
      <c r="Q99" s="309"/>
      <c r="R99" s="309"/>
      <c r="S99" s="309"/>
      <c r="T99" s="309"/>
      <c r="U99" s="309"/>
      <c r="V99" s="310"/>
      <c r="W99" s="42" t="s">
        <v>39</v>
      </c>
      <c r="X99" s="43">
        <f>IFERROR(SUM(X93:X98),"0")</f>
        <v>168</v>
      </c>
      <c r="Y99" s="43">
        <f>IFERROR(SUM(Y93:Y98),"0")</f>
        <v>168</v>
      </c>
      <c r="Z99" s="43">
        <f>IFERROR(IF(Z93="",0,Z93),"0")+IFERROR(IF(Z94="",0,Z94),"0")+IFERROR(IF(Z95="",0,Z95),"0")+IFERROR(IF(Z96="",0,Z96),"0")+IFERROR(IF(Z97="",0,Z97),"0")+IFERROR(IF(Z98="",0,Z98),"0")</f>
        <v>3.0038399999999998</v>
      </c>
      <c r="AA99" s="67"/>
      <c r="AB99" s="67"/>
      <c r="AC99" s="67"/>
    </row>
    <row r="100" spans="1:68" x14ac:dyDescent="0.2">
      <c r="A100" s="299"/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311"/>
      <c r="P100" s="308" t="s">
        <v>40</v>
      </c>
      <c r="Q100" s="309"/>
      <c r="R100" s="309"/>
      <c r="S100" s="309"/>
      <c r="T100" s="309"/>
      <c r="U100" s="309"/>
      <c r="V100" s="310"/>
      <c r="W100" s="42" t="s">
        <v>0</v>
      </c>
      <c r="X100" s="43">
        <f>IFERROR(SUMPRODUCT(X93:X98*H93:H98),"0")</f>
        <v>483.84000000000003</v>
      </c>
      <c r="Y100" s="43">
        <f>IFERROR(SUMPRODUCT(Y93:Y98*H93:H98),"0")</f>
        <v>483.84000000000003</v>
      </c>
      <c r="Z100" s="42"/>
      <c r="AA100" s="67"/>
      <c r="AB100" s="67"/>
      <c r="AC100" s="67"/>
    </row>
    <row r="101" spans="1:68" ht="16.5" hidden="1" customHeight="1" x14ac:dyDescent="0.25">
      <c r="A101" s="326" t="s">
        <v>192</v>
      </c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  <c r="AA101" s="65"/>
      <c r="AB101" s="65"/>
      <c r="AC101" s="82"/>
    </row>
    <row r="102" spans="1:68" ht="14.25" hidden="1" customHeight="1" x14ac:dyDescent="0.25">
      <c r="A102" s="318" t="s">
        <v>145</v>
      </c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66"/>
      <c r="AB102" s="66"/>
      <c r="AC102" s="83"/>
    </row>
    <row r="103" spans="1:68" ht="27" customHeight="1" x14ac:dyDescent="0.25">
      <c r="A103" s="63" t="s">
        <v>193</v>
      </c>
      <c r="B103" s="63" t="s">
        <v>194</v>
      </c>
      <c r="C103" s="36">
        <v>4301136101</v>
      </c>
      <c r="D103" s="302">
        <v>4620207491652</v>
      </c>
      <c r="E103" s="302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37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04"/>
      <c r="R103" s="304"/>
      <c r="S103" s="304"/>
      <c r="T103" s="305"/>
      <c r="U103" s="39" t="s">
        <v>46</v>
      </c>
      <c r="V103" s="39" t="s">
        <v>46</v>
      </c>
      <c r="W103" s="40" t="s">
        <v>39</v>
      </c>
      <c r="X103" s="58">
        <v>28</v>
      </c>
      <c r="Y103" s="55">
        <f>IFERROR(IF(X103="","",X103),"")</f>
        <v>28</v>
      </c>
      <c r="Z103" s="41">
        <f>IFERROR(IF(X103="","",X103*0.00936),"")</f>
        <v>0.26207999999999998</v>
      </c>
      <c r="AA103" s="68" t="s">
        <v>46</v>
      </c>
      <c r="AB103" s="69" t="s">
        <v>46</v>
      </c>
      <c r="AC103" s="157" t="s">
        <v>195</v>
      </c>
      <c r="AG103" s="81"/>
      <c r="AJ103" s="87" t="s">
        <v>89</v>
      </c>
      <c r="AK103" s="87">
        <v>1</v>
      </c>
      <c r="BB103" s="158" t="s">
        <v>117</v>
      </c>
      <c r="BM103" s="81">
        <f>IFERROR(X103*I103,"0")</f>
        <v>69.753600000000006</v>
      </c>
      <c r="BN103" s="81">
        <f>IFERROR(Y103*I103,"0")</f>
        <v>69.753600000000006</v>
      </c>
      <c r="BO103" s="81">
        <f>IFERROR(X103/J103,"0")</f>
        <v>0.22222222222222221</v>
      </c>
      <c r="BP103" s="81">
        <f>IFERROR(Y103/J103,"0")</f>
        <v>0.22222222222222221</v>
      </c>
    </row>
    <row r="104" spans="1:68" ht="27" hidden="1" customHeight="1" x14ac:dyDescent="0.25">
      <c r="A104" s="63" t="s">
        <v>196</v>
      </c>
      <c r="B104" s="63" t="s">
        <v>197</v>
      </c>
      <c r="C104" s="36">
        <v>4301136103</v>
      </c>
      <c r="D104" s="302">
        <v>4620207491645</v>
      </c>
      <c r="E104" s="302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118</v>
      </c>
      <c r="L104" s="37" t="s">
        <v>88</v>
      </c>
      <c r="M104" s="38" t="s">
        <v>86</v>
      </c>
      <c r="N104" s="38"/>
      <c r="O104" s="37">
        <v>180</v>
      </c>
      <c r="P104" s="37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04"/>
      <c r="R104" s="304"/>
      <c r="S104" s="304"/>
      <c r="T104" s="305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195</v>
      </c>
      <c r="AG104" s="81"/>
      <c r="AJ104" s="87" t="s">
        <v>89</v>
      </c>
      <c r="AK104" s="87">
        <v>1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x14ac:dyDescent="0.2">
      <c r="A105" s="299"/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311"/>
      <c r="P105" s="308" t="s">
        <v>40</v>
      </c>
      <c r="Q105" s="309"/>
      <c r="R105" s="309"/>
      <c r="S105" s="309"/>
      <c r="T105" s="309"/>
      <c r="U105" s="309"/>
      <c r="V105" s="310"/>
      <c r="W105" s="42" t="s">
        <v>39</v>
      </c>
      <c r="X105" s="43">
        <f>IFERROR(SUM(X103:X104),"0")</f>
        <v>28</v>
      </c>
      <c r="Y105" s="43">
        <f>IFERROR(SUM(Y103:Y104),"0")</f>
        <v>28</v>
      </c>
      <c r="Z105" s="43">
        <f>IFERROR(IF(Z103="",0,Z103),"0")+IFERROR(IF(Z104="",0,Z104),"0")</f>
        <v>0.26207999999999998</v>
      </c>
      <c r="AA105" s="67"/>
      <c r="AB105" s="67"/>
      <c r="AC105" s="67"/>
    </row>
    <row r="106" spans="1:68" x14ac:dyDescent="0.2">
      <c r="A106" s="299"/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311"/>
      <c r="P106" s="308" t="s">
        <v>40</v>
      </c>
      <c r="Q106" s="309"/>
      <c r="R106" s="309"/>
      <c r="S106" s="309"/>
      <c r="T106" s="309"/>
      <c r="U106" s="309"/>
      <c r="V106" s="310"/>
      <c r="W106" s="42" t="s">
        <v>0</v>
      </c>
      <c r="X106" s="43">
        <f>IFERROR(SUMPRODUCT(X103:X104*H103:H104),"0")</f>
        <v>60.480000000000004</v>
      </c>
      <c r="Y106" s="43">
        <f>IFERROR(SUMPRODUCT(Y103:Y104*H103:H104),"0")</f>
        <v>60.480000000000004</v>
      </c>
      <c r="Z106" s="42"/>
      <c r="AA106" s="67"/>
      <c r="AB106" s="67"/>
      <c r="AC106" s="67"/>
    </row>
    <row r="107" spans="1:68" ht="16.5" hidden="1" customHeight="1" x14ac:dyDescent="0.25">
      <c r="A107" s="326" t="s">
        <v>198</v>
      </c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  <c r="AA107" s="65"/>
      <c r="AB107" s="65"/>
      <c r="AC107" s="82"/>
    </row>
    <row r="108" spans="1:68" ht="14.25" hidden="1" customHeight="1" x14ac:dyDescent="0.25">
      <c r="A108" s="318" t="s">
        <v>82</v>
      </c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4301071074</v>
      </c>
      <c r="D109" s="302">
        <v>4620207491157</v>
      </c>
      <c r="E109" s="302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87</v>
      </c>
      <c r="L109" s="37" t="s">
        <v>119</v>
      </c>
      <c r="M109" s="38" t="s">
        <v>86</v>
      </c>
      <c r="N109" s="38"/>
      <c r="O109" s="37">
        <v>180</v>
      </c>
      <c r="P109" s="37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04"/>
      <c r="R109" s="304"/>
      <c r="S109" s="304"/>
      <c r="T109" s="305"/>
      <c r="U109" s="39" t="s">
        <v>46</v>
      </c>
      <c r="V109" s="39" t="s">
        <v>46</v>
      </c>
      <c r="W109" s="40" t="s">
        <v>39</v>
      </c>
      <c r="X109" s="58">
        <v>24</v>
      </c>
      <c r="Y109" s="55">
        <f t="shared" ref="Y109:Y116" si="12">IFERROR(IF(X109="","",X109),"")</f>
        <v>24</v>
      </c>
      <c r="Z109" s="41">
        <f t="shared" ref="Z109:Z116" si="13">IFERROR(IF(X109="","",X109*0.0155),"")</f>
        <v>0.372</v>
      </c>
      <c r="AA109" s="68" t="s">
        <v>46</v>
      </c>
      <c r="AB109" s="69" t="s">
        <v>46</v>
      </c>
      <c r="AC109" s="161" t="s">
        <v>201</v>
      </c>
      <c r="AG109" s="81"/>
      <c r="AJ109" s="87" t="s">
        <v>120</v>
      </c>
      <c r="AK109" s="87">
        <v>12</v>
      </c>
      <c r="BB109" s="162" t="s">
        <v>70</v>
      </c>
      <c r="BM109" s="81">
        <f t="shared" ref="BM109:BM116" si="14">IFERROR(X109*I109,"0")</f>
        <v>174.72</v>
      </c>
      <c r="BN109" s="81">
        <f t="shared" ref="BN109:BN116" si="15">IFERROR(Y109*I109,"0")</f>
        <v>174.72</v>
      </c>
      <c r="BO109" s="81">
        <f t="shared" ref="BO109:BO116" si="16">IFERROR(X109/J109,"0")</f>
        <v>0.2857142857142857</v>
      </c>
      <c r="BP109" s="81">
        <f t="shared" ref="BP109:BP116" si="17">IFERROR(Y109/J109,"0")</f>
        <v>0.2857142857142857</v>
      </c>
    </row>
    <row r="110" spans="1:68" ht="27" customHeight="1" x14ac:dyDescent="0.25">
      <c r="A110" s="63" t="s">
        <v>202</v>
      </c>
      <c r="B110" s="63" t="s">
        <v>203</v>
      </c>
      <c r="C110" s="36">
        <v>4301071121</v>
      </c>
      <c r="D110" s="302">
        <v>4620207491393</v>
      </c>
      <c r="E110" s="302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87</v>
      </c>
      <c r="L110" s="37" t="s">
        <v>88</v>
      </c>
      <c r="M110" s="38" t="s">
        <v>86</v>
      </c>
      <c r="N110" s="38"/>
      <c r="O110" s="37">
        <v>180</v>
      </c>
      <c r="P110" s="37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04"/>
      <c r="R110" s="304"/>
      <c r="S110" s="304"/>
      <c r="T110" s="305"/>
      <c r="U110" s="39" t="s">
        <v>46</v>
      </c>
      <c r="V110" s="39" t="s">
        <v>46</v>
      </c>
      <c r="W110" s="40" t="s">
        <v>39</v>
      </c>
      <c r="X110" s="58">
        <v>24</v>
      </c>
      <c r="Y110" s="55">
        <f t="shared" si="12"/>
        <v>24</v>
      </c>
      <c r="Z110" s="41">
        <f t="shared" si="13"/>
        <v>0.372</v>
      </c>
      <c r="AA110" s="68" t="s">
        <v>46</v>
      </c>
      <c r="AB110" s="69" t="s">
        <v>46</v>
      </c>
      <c r="AC110" s="163" t="s">
        <v>204</v>
      </c>
      <c r="AG110" s="81"/>
      <c r="AJ110" s="87" t="s">
        <v>89</v>
      </c>
      <c r="AK110" s="87">
        <v>1</v>
      </c>
      <c r="BB110" s="164" t="s">
        <v>70</v>
      </c>
      <c r="BM110" s="81">
        <f t="shared" si="14"/>
        <v>161.04</v>
      </c>
      <c r="BN110" s="81">
        <f t="shared" si="15"/>
        <v>161.04</v>
      </c>
      <c r="BO110" s="81">
        <f t="shared" si="16"/>
        <v>0.2857142857142857</v>
      </c>
      <c r="BP110" s="81">
        <f t="shared" si="17"/>
        <v>0.2857142857142857</v>
      </c>
    </row>
    <row r="111" spans="1:68" ht="27" customHeight="1" x14ac:dyDescent="0.25">
      <c r="A111" s="63" t="s">
        <v>205</v>
      </c>
      <c r="B111" s="63" t="s">
        <v>206</v>
      </c>
      <c r="C111" s="36">
        <v>4301071051</v>
      </c>
      <c r="D111" s="302">
        <v>4607111039262</v>
      </c>
      <c r="E111" s="302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87</v>
      </c>
      <c r="L111" s="37" t="s">
        <v>119</v>
      </c>
      <c r="M111" s="38" t="s">
        <v>86</v>
      </c>
      <c r="N111" s="38"/>
      <c r="O111" s="37">
        <v>180</v>
      </c>
      <c r="P111" s="37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04"/>
      <c r="R111" s="304"/>
      <c r="S111" s="304"/>
      <c r="T111" s="305"/>
      <c r="U111" s="39" t="s">
        <v>46</v>
      </c>
      <c r="V111" s="39" t="s">
        <v>46</v>
      </c>
      <c r="W111" s="40" t="s">
        <v>39</v>
      </c>
      <c r="X111" s="58">
        <v>36</v>
      </c>
      <c r="Y111" s="55">
        <f t="shared" si="12"/>
        <v>36</v>
      </c>
      <c r="Z111" s="41">
        <f t="shared" si="13"/>
        <v>0.55800000000000005</v>
      </c>
      <c r="AA111" s="68" t="s">
        <v>46</v>
      </c>
      <c r="AB111" s="69" t="s">
        <v>46</v>
      </c>
      <c r="AC111" s="165" t="s">
        <v>160</v>
      </c>
      <c r="AG111" s="81"/>
      <c r="AJ111" s="87" t="s">
        <v>120</v>
      </c>
      <c r="AK111" s="87">
        <v>12</v>
      </c>
      <c r="BB111" s="166" t="s">
        <v>70</v>
      </c>
      <c r="BM111" s="81">
        <f t="shared" si="14"/>
        <v>241.90559999999999</v>
      </c>
      <c r="BN111" s="81">
        <f t="shared" si="15"/>
        <v>241.90559999999999</v>
      </c>
      <c r="BO111" s="81">
        <f t="shared" si="16"/>
        <v>0.42857142857142855</v>
      </c>
      <c r="BP111" s="81">
        <f t="shared" si="17"/>
        <v>0.42857142857142855</v>
      </c>
    </row>
    <row r="112" spans="1:68" ht="27" customHeight="1" x14ac:dyDescent="0.25">
      <c r="A112" s="63" t="s">
        <v>207</v>
      </c>
      <c r="B112" s="63" t="s">
        <v>208</v>
      </c>
      <c r="C112" s="36">
        <v>4301071038</v>
      </c>
      <c r="D112" s="302">
        <v>4607111039248</v>
      </c>
      <c r="E112" s="302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87</v>
      </c>
      <c r="L112" s="37" t="s">
        <v>119</v>
      </c>
      <c r="M112" s="38" t="s">
        <v>86</v>
      </c>
      <c r="N112" s="38"/>
      <c r="O112" s="37">
        <v>180</v>
      </c>
      <c r="P112" s="37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04"/>
      <c r="R112" s="304"/>
      <c r="S112" s="304"/>
      <c r="T112" s="305"/>
      <c r="U112" s="39" t="s">
        <v>46</v>
      </c>
      <c r="V112" s="39" t="s">
        <v>46</v>
      </c>
      <c r="W112" s="40" t="s">
        <v>39</v>
      </c>
      <c r="X112" s="58">
        <v>96</v>
      </c>
      <c r="Y112" s="55">
        <f t="shared" si="12"/>
        <v>96</v>
      </c>
      <c r="Z112" s="41">
        <f t="shared" si="13"/>
        <v>1.488</v>
      </c>
      <c r="AA112" s="68" t="s">
        <v>46</v>
      </c>
      <c r="AB112" s="69" t="s">
        <v>46</v>
      </c>
      <c r="AC112" s="167" t="s">
        <v>160</v>
      </c>
      <c r="AG112" s="81"/>
      <c r="AJ112" s="87" t="s">
        <v>120</v>
      </c>
      <c r="AK112" s="87">
        <v>12</v>
      </c>
      <c r="BB112" s="168" t="s">
        <v>70</v>
      </c>
      <c r="BM112" s="81">
        <f t="shared" si="14"/>
        <v>700.8</v>
      </c>
      <c r="BN112" s="81">
        <f t="shared" si="15"/>
        <v>700.8</v>
      </c>
      <c r="BO112" s="81">
        <f t="shared" si="16"/>
        <v>1.1428571428571428</v>
      </c>
      <c r="BP112" s="81">
        <f t="shared" si="17"/>
        <v>1.1428571428571428</v>
      </c>
    </row>
    <row r="113" spans="1:68" ht="27" hidden="1" customHeight="1" x14ac:dyDescent="0.25">
      <c r="A113" s="63" t="s">
        <v>209</v>
      </c>
      <c r="B113" s="63" t="s">
        <v>210</v>
      </c>
      <c r="C113" s="36">
        <v>4301070979</v>
      </c>
      <c r="D113" s="302">
        <v>4607111037145</v>
      </c>
      <c r="E113" s="302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37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04"/>
      <c r="R113" s="304"/>
      <c r="S113" s="304"/>
      <c r="T113" s="305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211</v>
      </c>
      <c r="AG113" s="81"/>
      <c r="AJ113" s="87" t="s">
        <v>89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hidden="1" customHeight="1" x14ac:dyDescent="0.25">
      <c r="A114" s="63" t="s">
        <v>212</v>
      </c>
      <c r="B114" s="63" t="s">
        <v>213</v>
      </c>
      <c r="C114" s="36">
        <v>4301071075</v>
      </c>
      <c r="D114" s="302">
        <v>4620207491102</v>
      </c>
      <c r="E114" s="302"/>
      <c r="F114" s="62">
        <v>0.7</v>
      </c>
      <c r="G114" s="37">
        <v>10</v>
      </c>
      <c r="H114" s="62">
        <v>7</v>
      </c>
      <c r="I114" s="62">
        <v>7.23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7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04"/>
      <c r="R114" s="304"/>
      <c r="S114" s="304"/>
      <c r="T114" s="30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214</v>
      </c>
      <c r="AG114" s="81"/>
      <c r="AJ114" s="87" t="s">
        <v>89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215</v>
      </c>
      <c r="B115" s="63" t="s">
        <v>216</v>
      </c>
      <c r="C115" s="36">
        <v>4301071049</v>
      </c>
      <c r="D115" s="302">
        <v>4607111039293</v>
      </c>
      <c r="E115" s="302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37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04"/>
      <c r="R115" s="304"/>
      <c r="S115" s="304"/>
      <c r="T115" s="305"/>
      <c r="U115" s="39" t="s">
        <v>46</v>
      </c>
      <c r="V115" s="39" t="s">
        <v>46</v>
      </c>
      <c r="W115" s="40" t="s">
        <v>39</v>
      </c>
      <c r="X115" s="58">
        <v>72</v>
      </c>
      <c r="Y115" s="55">
        <f t="shared" si="12"/>
        <v>72</v>
      </c>
      <c r="Z115" s="41">
        <f t="shared" si="13"/>
        <v>1.1160000000000001</v>
      </c>
      <c r="AA115" s="68" t="s">
        <v>46</v>
      </c>
      <c r="AB115" s="69" t="s">
        <v>46</v>
      </c>
      <c r="AC115" s="173" t="s">
        <v>160</v>
      </c>
      <c r="AG115" s="81"/>
      <c r="AJ115" s="87" t="s">
        <v>120</v>
      </c>
      <c r="AK115" s="87">
        <v>12</v>
      </c>
      <c r="BB115" s="174" t="s">
        <v>70</v>
      </c>
      <c r="BM115" s="81">
        <f t="shared" si="14"/>
        <v>483.81119999999999</v>
      </c>
      <c r="BN115" s="81">
        <f t="shared" si="15"/>
        <v>483.81119999999999</v>
      </c>
      <c r="BO115" s="81">
        <f t="shared" si="16"/>
        <v>0.8571428571428571</v>
      </c>
      <c r="BP115" s="81">
        <f t="shared" si="17"/>
        <v>0.8571428571428571</v>
      </c>
    </row>
    <row r="116" spans="1:68" ht="27" customHeight="1" x14ac:dyDescent="0.25">
      <c r="A116" s="63" t="s">
        <v>217</v>
      </c>
      <c r="B116" s="63" t="s">
        <v>218</v>
      </c>
      <c r="C116" s="36">
        <v>4301071039</v>
      </c>
      <c r="D116" s="302">
        <v>4607111039279</v>
      </c>
      <c r="E116" s="302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119</v>
      </c>
      <c r="M116" s="38" t="s">
        <v>86</v>
      </c>
      <c r="N116" s="38"/>
      <c r="O116" s="37">
        <v>180</v>
      </c>
      <c r="P116" s="36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04"/>
      <c r="R116" s="304"/>
      <c r="S116" s="304"/>
      <c r="T116" s="305"/>
      <c r="U116" s="39" t="s">
        <v>46</v>
      </c>
      <c r="V116" s="39" t="s">
        <v>46</v>
      </c>
      <c r="W116" s="40" t="s">
        <v>39</v>
      </c>
      <c r="X116" s="58">
        <v>24</v>
      </c>
      <c r="Y116" s="55">
        <f t="shared" si="12"/>
        <v>24</v>
      </c>
      <c r="Z116" s="41">
        <f t="shared" si="13"/>
        <v>0.372</v>
      </c>
      <c r="AA116" s="68" t="s">
        <v>46</v>
      </c>
      <c r="AB116" s="69" t="s">
        <v>46</v>
      </c>
      <c r="AC116" s="175" t="s">
        <v>160</v>
      </c>
      <c r="AG116" s="81"/>
      <c r="AJ116" s="87" t="s">
        <v>120</v>
      </c>
      <c r="AK116" s="87">
        <v>12</v>
      </c>
      <c r="BB116" s="176" t="s">
        <v>70</v>
      </c>
      <c r="BM116" s="81">
        <f t="shared" si="14"/>
        <v>175.2</v>
      </c>
      <c r="BN116" s="81">
        <f t="shared" si="15"/>
        <v>175.2</v>
      </c>
      <c r="BO116" s="81">
        <f t="shared" si="16"/>
        <v>0.2857142857142857</v>
      </c>
      <c r="BP116" s="81">
        <f t="shared" si="17"/>
        <v>0.2857142857142857</v>
      </c>
    </row>
    <row r="117" spans="1:68" x14ac:dyDescent="0.2">
      <c r="A117" s="299"/>
      <c r="B117" s="299"/>
      <c r="C117" s="299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99"/>
      <c r="O117" s="311"/>
      <c r="P117" s="308" t="s">
        <v>40</v>
      </c>
      <c r="Q117" s="309"/>
      <c r="R117" s="309"/>
      <c r="S117" s="309"/>
      <c r="T117" s="309"/>
      <c r="U117" s="309"/>
      <c r="V117" s="310"/>
      <c r="W117" s="42" t="s">
        <v>39</v>
      </c>
      <c r="X117" s="43">
        <f>IFERROR(SUM(X109:X116),"0")</f>
        <v>276</v>
      </c>
      <c r="Y117" s="43">
        <f>IFERROR(SUM(Y109:Y116),"0")</f>
        <v>276</v>
      </c>
      <c r="Z117" s="43">
        <f>IFERROR(IF(Z109="",0,Z109),"0")+IFERROR(IF(Z110="",0,Z110),"0")+IFERROR(IF(Z111="",0,Z111),"0")+IFERROR(IF(Z112="",0,Z112),"0")+IFERROR(IF(Z113="",0,Z113),"0")+IFERROR(IF(Z114="",0,Z114),"0")+IFERROR(IF(Z115="",0,Z115),"0")+IFERROR(IF(Z116="",0,Z116),"0")</f>
        <v>4.2780000000000005</v>
      </c>
      <c r="AA117" s="67"/>
      <c r="AB117" s="67"/>
      <c r="AC117" s="67"/>
    </row>
    <row r="118" spans="1:68" x14ac:dyDescent="0.2">
      <c r="A118" s="299"/>
      <c r="B118" s="299"/>
      <c r="C118" s="299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99"/>
      <c r="O118" s="311"/>
      <c r="P118" s="308" t="s">
        <v>40</v>
      </c>
      <c r="Q118" s="309"/>
      <c r="R118" s="309"/>
      <c r="S118" s="309"/>
      <c r="T118" s="309"/>
      <c r="U118" s="309"/>
      <c r="V118" s="310"/>
      <c r="W118" s="42" t="s">
        <v>0</v>
      </c>
      <c r="X118" s="43">
        <f>IFERROR(SUMPRODUCT(X109:X116*H109:H116),"0")</f>
        <v>1852.8</v>
      </c>
      <c r="Y118" s="43">
        <f>IFERROR(SUMPRODUCT(Y109:Y116*H109:H116),"0")</f>
        <v>1852.8</v>
      </c>
      <c r="Z118" s="42"/>
      <c r="AA118" s="67"/>
      <c r="AB118" s="67"/>
      <c r="AC118" s="67"/>
    </row>
    <row r="119" spans="1:68" ht="14.25" hidden="1" customHeight="1" x14ac:dyDescent="0.25">
      <c r="A119" s="318" t="s">
        <v>149</v>
      </c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66"/>
      <c r="AB119" s="66"/>
      <c r="AC119" s="83"/>
    </row>
    <row r="120" spans="1:68" ht="27" hidden="1" customHeight="1" x14ac:dyDescent="0.25">
      <c r="A120" s="63" t="s">
        <v>219</v>
      </c>
      <c r="B120" s="63" t="s">
        <v>220</v>
      </c>
      <c r="C120" s="36">
        <v>4301135826</v>
      </c>
      <c r="D120" s="302">
        <v>4620207490983</v>
      </c>
      <c r="E120" s="302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118</v>
      </c>
      <c r="L120" s="37" t="s">
        <v>88</v>
      </c>
      <c r="M120" s="38" t="s">
        <v>86</v>
      </c>
      <c r="N120" s="38"/>
      <c r="O120" s="37">
        <v>180</v>
      </c>
      <c r="P120" s="37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304"/>
      <c r="R120" s="304"/>
      <c r="S120" s="304"/>
      <c r="T120" s="305"/>
      <c r="U120" s="39" t="s">
        <v>46</v>
      </c>
      <c r="V120" s="39" t="s">
        <v>46</v>
      </c>
      <c r="W120" s="40" t="s">
        <v>39</v>
      </c>
      <c r="X120" s="58">
        <v>0</v>
      </c>
      <c r="Y120" s="55">
        <f>IFERROR(IF(X120="","",X120),"")</f>
        <v>0</v>
      </c>
      <c r="Z120" s="41">
        <f>IFERROR(IF(X120="","",X120*0.01788),"")</f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117</v>
      </c>
      <c r="BM120" s="81">
        <f>IFERROR(X120*I120,"0")</f>
        <v>0</v>
      </c>
      <c r="BN120" s="81">
        <f>IFERROR(Y120*I120,"0")</f>
        <v>0</v>
      </c>
      <c r="BO120" s="81">
        <f>IFERROR(X120/J120,"0")</f>
        <v>0</v>
      </c>
      <c r="BP120" s="81">
        <f>IFERROR(Y120/J120,"0")</f>
        <v>0</v>
      </c>
    </row>
    <row r="121" spans="1:68" hidden="1" x14ac:dyDescent="0.2">
      <c r="A121" s="299"/>
      <c r="B121" s="299"/>
      <c r="C121" s="299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99"/>
      <c r="O121" s="311"/>
      <c r="P121" s="308" t="s">
        <v>40</v>
      </c>
      <c r="Q121" s="309"/>
      <c r="R121" s="309"/>
      <c r="S121" s="309"/>
      <c r="T121" s="309"/>
      <c r="U121" s="309"/>
      <c r="V121" s="310"/>
      <c r="W121" s="42" t="s">
        <v>39</v>
      </c>
      <c r="X121" s="43">
        <f>IFERROR(SUM(X120:X120),"0")</f>
        <v>0</v>
      </c>
      <c r="Y121" s="43">
        <f>IFERROR(SUM(Y120:Y120),"0")</f>
        <v>0</v>
      </c>
      <c r="Z121" s="43">
        <f>IFERROR(IF(Z120="",0,Z120),"0")</f>
        <v>0</v>
      </c>
      <c r="AA121" s="67"/>
      <c r="AB121" s="67"/>
      <c r="AC121" s="67"/>
    </row>
    <row r="122" spans="1:68" hidden="1" x14ac:dyDescent="0.2">
      <c r="A122" s="299"/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311"/>
      <c r="P122" s="308" t="s">
        <v>40</v>
      </c>
      <c r="Q122" s="309"/>
      <c r="R122" s="309"/>
      <c r="S122" s="309"/>
      <c r="T122" s="309"/>
      <c r="U122" s="309"/>
      <c r="V122" s="310"/>
      <c r="W122" s="42" t="s">
        <v>0</v>
      </c>
      <c r="X122" s="43">
        <f>IFERROR(SUMPRODUCT(X120:X120*H120:H120),"0")</f>
        <v>0</v>
      </c>
      <c r="Y122" s="43">
        <f>IFERROR(SUMPRODUCT(Y120:Y120*H120:H120),"0")</f>
        <v>0</v>
      </c>
      <c r="Z122" s="42"/>
      <c r="AA122" s="67"/>
      <c r="AB122" s="67"/>
      <c r="AC122" s="67"/>
    </row>
    <row r="123" spans="1:68" ht="14.25" hidden="1" customHeight="1" x14ac:dyDescent="0.25">
      <c r="A123" s="318" t="s">
        <v>222</v>
      </c>
      <c r="B123" s="318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66"/>
      <c r="AB123" s="66"/>
      <c r="AC123" s="83"/>
    </row>
    <row r="124" spans="1:68" ht="27" customHeight="1" x14ac:dyDescent="0.25">
      <c r="A124" s="63" t="s">
        <v>223</v>
      </c>
      <c r="B124" s="63" t="s">
        <v>224</v>
      </c>
      <c r="C124" s="36">
        <v>4301071094</v>
      </c>
      <c r="D124" s="302">
        <v>4620207491140</v>
      </c>
      <c r="E124" s="302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87</v>
      </c>
      <c r="L124" s="37" t="s">
        <v>88</v>
      </c>
      <c r="M124" s="38" t="s">
        <v>86</v>
      </c>
      <c r="N124" s="38"/>
      <c r="O124" s="37">
        <v>180</v>
      </c>
      <c r="P124" s="36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304"/>
      <c r="R124" s="304"/>
      <c r="S124" s="304"/>
      <c r="T124" s="305"/>
      <c r="U124" s="39" t="s">
        <v>46</v>
      </c>
      <c r="V124" s="39" t="s">
        <v>46</v>
      </c>
      <c r="W124" s="40" t="s">
        <v>39</v>
      </c>
      <c r="X124" s="58">
        <v>12</v>
      </c>
      <c r="Y124" s="55">
        <f>IFERROR(IF(X124="","",X124),"")</f>
        <v>12</v>
      </c>
      <c r="Z124" s="41">
        <f>IFERROR(IF(X124="","",X124*0.0155),"")</f>
        <v>0.186</v>
      </c>
      <c r="AA124" s="68" t="s">
        <v>46</v>
      </c>
      <c r="AB124" s="69" t="s">
        <v>46</v>
      </c>
      <c r="AC124" s="179" t="s">
        <v>225</v>
      </c>
      <c r="AG124" s="81"/>
      <c r="AJ124" s="87" t="s">
        <v>89</v>
      </c>
      <c r="AK124" s="87">
        <v>1</v>
      </c>
      <c r="BB124" s="180" t="s">
        <v>117</v>
      </c>
      <c r="BM124" s="81">
        <f>IFERROR(X124*I124,"0")</f>
        <v>75.36</v>
      </c>
      <c r="BN124" s="81">
        <f>IFERROR(Y124*I124,"0")</f>
        <v>75.36</v>
      </c>
      <c r="BO124" s="81">
        <f>IFERROR(X124/J124,"0")</f>
        <v>0.14285714285714285</v>
      </c>
      <c r="BP124" s="81">
        <f>IFERROR(Y124/J124,"0")</f>
        <v>0.14285714285714285</v>
      </c>
    </row>
    <row r="125" spans="1:68" x14ac:dyDescent="0.2">
      <c r="A125" s="299"/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311"/>
      <c r="P125" s="308" t="s">
        <v>40</v>
      </c>
      <c r="Q125" s="309"/>
      <c r="R125" s="309"/>
      <c r="S125" s="309"/>
      <c r="T125" s="309"/>
      <c r="U125" s="309"/>
      <c r="V125" s="310"/>
      <c r="W125" s="42" t="s">
        <v>39</v>
      </c>
      <c r="X125" s="43">
        <f>IFERROR(SUM(X124:X124),"0")</f>
        <v>12</v>
      </c>
      <c r="Y125" s="43">
        <f>IFERROR(SUM(Y124:Y124),"0")</f>
        <v>12</v>
      </c>
      <c r="Z125" s="43">
        <f>IFERROR(IF(Z124="",0,Z124),"0")</f>
        <v>0.186</v>
      </c>
      <c r="AA125" s="67"/>
      <c r="AB125" s="67"/>
      <c r="AC125" s="67"/>
    </row>
    <row r="126" spans="1:68" x14ac:dyDescent="0.2">
      <c r="A126" s="299"/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311"/>
      <c r="P126" s="308" t="s">
        <v>40</v>
      </c>
      <c r="Q126" s="309"/>
      <c r="R126" s="309"/>
      <c r="S126" s="309"/>
      <c r="T126" s="309"/>
      <c r="U126" s="309"/>
      <c r="V126" s="310"/>
      <c r="W126" s="42" t="s">
        <v>0</v>
      </c>
      <c r="X126" s="43">
        <f>IFERROR(SUMPRODUCT(X124:X124*H124:H124),"0")</f>
        <v>72</v>
      </c>
      <c r="Y126" s="43">
        <f>IFERROR(SUMPRODUCT(Y124:Y124*H124:H124),"0")</f>
        <v>72</v>
      </c>
      <c r="Z126" s="42"/>
      <c r="AA126" s="67"/>
      <c r="AB126" s="67"/>
      <c r="AC126" s="67"/>
    </row>
    <row r="127" spans="1:68" ht="16.5" hidden="1" customHeight="1" x14ac:dyDescent="0.25">
      <c r="A127" s="326" t="s">
        <v>226</v>
      </c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65"/>
      <c r="AB127" s="65"/>
      <c r="AC127" s="82"/>
    </row>
    <row r="128" spans="1:68" ht="14.25" hidden="1" customHeight="1" x14ac:dyDescent="0.25">
      <c r="A128" s="318" t="s">
        <v>149</v>
      </c>
      <c r="B128" s="318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66"/>
      <c r="AB128" s="66"/>
      <c r="AC128" s="83"/>
    </row>
    <row r="129" spans="1:68" ht="27" customHeight="1" x14ac:dyDescent="0.25">
      <c r="A129" s="63" t="s">
        <v>227</v>
      </c>
      <c r="B129" s="63" t="s">
        <v>228</v>
      </c>
      <c r="C129" s="36">
        <v>4301135848</v>
      </c>
      <c r="D129" s="302">
        <v>4620207491799</v>
      </c>
      <c r="E129" s="302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118</v>
      </c>
      <c r="L129" s="37" t="s">
        <v>88</v>
      </c>
      <c r="M129" s="38" t="s">
        <v>86</v>
      </c>
      <c r="N129" s="38"/>
      <c r="O129" s="37">
        <v>180</v>
      </c>
      <c r="P129" s="36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304"/>
      <c r="R129" s="304"/>
      <c r="S129" s="304"/>
      <c r="T129" s="305"/>
      <c r="U129" s="39" t="s">
        <v>46</v>
      </c>
      <c r="V129" s="39" t="s">
        <v>46</v>
      </c>
      <c r="W129" s="40" t="s">
        <v>39</v>
      </c>
      <c r="X129" s="58">
        <v>112</v>
      </c>
      <c r="Y129" s="55">
        <f>IFERROR(IF(X129="","",X129),"")</f>
        <v>112</v>
      </c>
      <c r="Z129" s="41">
        <f>IFERROR(IF(X129="","",X129*0.00941),"")</f>
        <v>1.05392</v>
      </c>
      <c r="AA129" s="68" t="s">
        <v>46</v>
      </c>
      <c r="AB129" s="69" t="s">
        <v>46</v>
      </c>
      <c r="AC129" s="181" t="s">
        <v>229</v>
      </c>
      <c r="AG129" s="81"/>
      <c r="AJ129" s="87" t="s">
        <v>89</v>
      </c>
      <c r="AK129" s="87">
        <v>1</v>
      </c>
      <c r="BB129" s="182" t="s">
        <v>117</v>
      </c>
      <c r="BM129" s="81">
        <f>IFERROR(X129*I129,"0")</f>
        <v>201.6</v>
      </c>
      <c r="BN129" s="81">
        <f>IFERROR(Y129*I129,"0")</f>
        <v>201.6</v>
      </c>
      <c r="BO129" s="81">
        <f>IFERROR(X129/J129,"0")</f>
        <v>0.8</v>
      </c>
      <c r="BP129" s="81">
        <f>IFERROR(Y129/J129,"0")</f>
        <v>0.8</v>
      </c>
    </row>
    <row r="130" spans="1:68" ht="27" customHeight="1" x14ac:dyDescent="0.25">
      <c r="A130" s="63" t="s">
        <v>230</v>
      </c>
      <c r="B130" s="63" t="s">
        <v>231</v>
      </c>
      <c r="C130" s="36">
        <v>4301135850</v>
      </c>
      <c r="D130" s="302">
        <v>4620207491492</v>
      </c>
      <c r="E130" s="302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118</v>
      </c>
      <c r="L130" s="37" t="s">
        <v>88</v>
      </c>
      <c r="M130" s="38" t="s">
        <v>86</v>
      </c>
      <c r="N130" s="38"/>
      <c r="O130" s="37">
        <v>180</v>
      </c>
      <c r="P130" s="36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04"/>
      <c r="R130" s="304"/>
      <c r="S130" s="304"/>
      <c r="T130" s="305"/>
      <c r="U130" s="39" t="s">
        <v>46</v>
      </c>
      <c r="V130" s="39" t="s">
        <v>46</v>
      </c>
      <c r="W130" s="40" t="s">
        <v>39</v>
      </c>
      <c r="X130" s="58">
        <v>42</v>
      </c>
      <c r="Y130" s="55">
        <f>IFERROR(IF(X130="","",X130),"")</f>
        <v>42</v>
      </c>
      <c r="Z130" s="41">
        <f>IFERROR(IF(X130="","",X130*0.00941),"")</f>
        <v>0.39522000000000002</v>
      </c>
      <c r="AA130" s="68" t="s">
        <v>46</v>
      </c>
      <c r="AB130" s="69" t="s">
        <v>46</v>
      </c>
      <c r="AC130" s="183" t="s">
        <v>229</v>
      </c>
      <c r="AG130" s="81"/>
      <c r="AJ130" s="87" t="s">
        <v>89</v>
      </c>
      <c r="AK130" s="87">
        <v>1</v>
      </c>
      <c r="BB130" s="184" t="s">
        <v>117</v>
      </c>
      <c r="BM130" s="81">
        <f>IFERROR(X130*I130,"0")</f>
        <v>75.600000000000009</v>
      </c>
      <c r="BN130" s="81">
        <f>IFERROR(Y130*I130,"0")</f>
        <v>75.600000000000009</v>
      </c>
      <c r="BO130" s="81">
        <f>IFERROR(X130/J130,"0")</f>
        <v>0.3</v>
      </c>
      <c r="BP130" s="81">
        <f>IFERROR(Y130/J130,"0")</f>
        <v>0.3</v>
      </c>
    </row>
    <row r="131" spans="1:68" ht="27" customHeight="1" x14ac:dyDescent="0.25">
      <c r="A131" s="63" t="s">
        <v>232</v>
      </c>
      <c r="B131" s="63" t="s">
        <v>233</v>
      </c>
      <c r="C131" s="36">
        <v>4301190118</v>
      </c>
      <c r="D131" s="302">
        <v>4620207491461</v>
      </c>
      <c r="E131" s="302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6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04"/>
      <c r="R131" s="304"/>
      <c r="S131" s="304"/>
      <c r="T131" s="305"/>
      <c r="U131" s="39" t="s">
        <v>46</v>
      </c>
      <c r="V131" s="39" t="s">
        <v>46</v>
      </c>
      <c r="W131" s="40" t="s">
        <v>39</v>
      </c>
      <c r="X131" s="58">
        <v>14</v>
      </c>
      <c r="Y131" s="55">
        <f>IFERROR(IF(X131="","",X131),"")</f>
        <v>14</v>
      </c>
      <c r="Z131" s="41">
        <f>IFERROR(IF(X131="","",X131*0.00941),"")</f>
        <v>0.13174</v>
      </c>
      <c r="AA131" s="68" t="s">
        <v>46</v>
      </c>
      <c r="AB131" s="69" t="s">
        <v>46</v>
      </c>
      <c r="AC131" s="185" t="s">
        <v>229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24.36</v>
      </c>
      <c r="BN131" s="81">
        <f>IFERROR(Y131*I131,"0")</f>
        <v>24.36</v>
      </c>
      <c r="BO131" s="81">
        <f>IFERROR(X131/J131,"0")</f>
        <v>0.1</v>
      </c>
      <c r="BP131" s="81">
        <f>IFERROR(Y131/J131,"0")</f>
        <v>0.1</v>
      </c>
    </row>
    <row r="132" spans="1:68" ht="27" customHeight="1" x14ac:dyDescent="0.25">
      <c r="A132" s="63" t="s">
        <v>234</v>
      </c>
      <c r="B132" s="63" t="s">
        <v>235</v>
      </c>
      <c r="C132" s="36">
        <v>4301135865</v>
      </c>
      <c r="D132" s="302">
        <v>4620207491485</v>
      </c>
      <c r="E132" s="30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6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04"/>
      <c r="R132" s="304"/>
      <c r="S132" s="304"/>
      <c r="T132" s="305"/>
      <c r="U132" s="39" t="s">
        <v>46</v>
      </c>
      <c r="V132" s="39" t="s">
        <v>46</v>
      </c>
      <c r="W132" s="40" t="s">
        <v>39</v>
      </c>
      <c r="X132" s="58">
        <v>70</v>
      </c>
      <c r="Y132" s="55">
        <f>IFERROR(IF(X132="","",X132),"")</f>
        <v>70</v>
      </c>
      <c r="Z132" s="41">
        <f>IFERROR(IF(X132="","",X132*0.00941),"")</f>
        <v>0.65869999999999995</v>
      </c>
      <c r="AA132" s="68" t="s">
        <v>46</v>
      </c>
      <c r="AB132" s="69" t="s">
        <v>46</v>
      </c>
      <c r="AC132" s="187" t="s">
        <v>229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126</v>
      </c>
      <c r="BN132" s="81">
        <f>IFERROR(Y132*I132,"0")</f>
        <v>126</v>
      </c>
      <c r="BO132" s="81">
        <f>IFERROR(X132/J132,"0")</f>
        <v>0.5</v>
      </c>
      <c r="BP132" s="81">
        <f>IFERROR(Y132/J132,"0")</f>
        <v>0.5</v>
      </c>
    </row>
    <row r="133" spans="1:68" x14ac:dyDescent="0.2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311"/>
      <c r="P133" s="308" t="s">
        <v>40</v>
      </c>
      <c r="Q133" s="309"/>
      <c r="R133" s="309"/>
      <c r="S133" s="309"/>
      <c r="T133" s="309"/>
      <c r="U133" s="309"/>
      <c r="V133" s="310"/>
      <c r="W133" s="42" t="s">
        <v>39</v>
      </c>
      <c r="X133" s="43">
        <f>IFERROR(SUM(X129:X132),"0")</f>
        <v>238</v>
      </c>
      <c r="Y133" s="43">
        <f>IFERROR(SUM(Y129:Y132),"0")</f>
        <v>238</v>
      </c>
      <c r="Z133" s="43">
        <f>IFERROR(IF(Z129="",0,Z129),"0")+IFERROR(IF(Z130="",0,Z130),"0")+IFERROR(IF(Z131="",0,Z131),"0")+IFERROR(IF(Z132="",0,Z132),"0")</f>
        <v>2.2395799999999997</v>
      </c>
      <c r="AA133" s="67"/>
      <c r="AB133" s="67"/>
      <c r="AC133" s="67"/>
    </row>
    <row r="134" spans="1:68" x14ac:dyDescent="0.2">
      <c r="A134" s="299"/>
      <c r="B134" s="299"/>
      <c r="C134" s="299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311"/>
      <c r="P134" s="308" t="s">
        <v>40</v>
      </c>
      <c r="Q134" s="309"/>
      <c r="R134" s="309"/>
      <c r="S134" s="309"/>
      <c r="T134" s="309"/>
      <c r="U134" s="309"/>
      <c r="V134" s="310"/>
      <c r="W134" s="42" t="s">
        <v>0</v>
      </c>
      <c r="X134" s="43">
        <f>IFERROR(SUMPRODUCT(X129:X132*H129:H132),"0")</f>
        <v>327.59999999999997</v>
      </c>
      <c r="Y134" s="43">
        <f>IFERROR(SUMPRODUCT(Y129:Y132*H129:H132),"0")</f>
        <v>327.59999999999997</v>
      </c>
      <c r="Z134" s="42"/>
      <c r="AA134" s="67"/>
      <c r="AB134" s="67"/>
      <c r="AC134" s="67"/>
    </row>
    <row r="135" spans="1:68" ht="14.25" hidden="1" customHeight="1" x14ac:dyDescent="0.25">
      <c r="A135" s="318" t="s">
        <v>236</v>
      </c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66"/>
      <c r="AB135" s="66"/>
      <c r="AC135" s="83"/>
    </row>
    <row r="136" spans="1:68" ht="27" hidden="1" customHeight="1" x14ac:dyDescent="0.25">
      <c r="A136" s="63" t="s">
        <v>237</v>
      </c>
      <c r="B136" s="63" t="s">
        <v>238</v>
      </c>
      <c r="C136" s="36">
        <v>4301190117</v>
      </c>
      <c r="D136" s="302">
        <v>4620207491386</v>
      </c>
      <c r="E136" s="302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36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304"/>
      <c r="R136" s="304"/>
      <c r="S136" s="304"/>
      <c r="T136" s="305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239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240</v>
      </c>
      <c r="B137" s="63" t="s">
        <v>241</v>
      </c>
      <c r="C137" s="36">
        <v>4301190115</v>
      </c>
      <c r="D137" s="302">
        <v>4620207491362</v>
      </c>
      <c r="E137" s="302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36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304"/>
      <c r="R137" s="304"/>
      <c r="S137" s="304"/>
      <c r="T137" s="305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242</v>
      </c>
      <c r="B138" s="63" t="s">
        <v>243</v>
      </c>
      <c r="C138" s="36">
        <v>4301190116</v>
      </c>
      <c r="D138" s="302">
        <v>4620207491379</v>
      </c>
      <c r="E138" s="30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6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304"/>
      <c r="R138" s="304"/>
      <c r="S138" s="304"/>
      <c r="T138" s="30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idden="1" x14ac:dyDescent="0.2">
      <c r="A139" s="299"/>
      <c r="B139" s="299"/>
      <c r="C139" s="299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311"/>
      <c r="P139" s="308" t="s">
        <v>40</v>
      </c>
      <c r="Q139" s="309"/>
      <c r="R139" s="309"/>
      <c r="S139" s="309"/>
      <c r="T139" s="309"/>
      <c r="U139" s="309"/>
      <c r="V139" s="310"/>
      <c r="W139" s="42" t="s">
        <v>39</v>
      </c>
      <c r="X139" s="43">
        <f>IFERROR(SUM(X136:X138),"0")</f>
        <v>0</v>
      </c>
      <c r="Y139" s="43">
        <f>IFERROR(SUM(Y136:Y138),"0")</f>
        <v>0</v>
      </c>
      <c r="Z139" s="43">
        <f>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299"/>
      <c r="B140" s="299"/>
      <c r="C140" s="299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311"/>
      <c r="P140" s="308" t="s">
        <v>40</v>
      </c>
      <c r="Q140" s="309"/>
      <c r="R140" s="309"/>
      <c r="S140" s="309"/>
      <c r="T140" s="309"/>
      <c r="U140" s="309"/>
      <c r="V140" s="310"/>
      <c r="W140" s="42" t="s">
        <v>0</v>
      </c>
      <c r="X140" s="43">
        <f>IFERROR(SUMPRODUCT(X136:X138*H136:H138),"0")</f>
        <v>0</v>
      </c>
      <c r="Y140" s="43">
        <f>IFERROR(SUMPRODUCT(Y136:Y138*H136:H138),"0")</f>
        <v>0</v>
      </c>
      <c r="Z140" s="42"/>
      <c r="AA140" s="67"/>
      <c r="AB140" s="67"/>
      <c r="AC140" s="67"/>
    </row>
    <row r="141" spans="1:68" ht="16.5" hidden="1" customHeight="1" x14ac:dyDescent="0.25">
      <c r="A141" s="326" t="s">
        <v>244</v>
      </c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  <c r="W141" s="326"/>
      <c r="X141" s="326"/>
      <c r="Y141" s="326"/>
      <c r="Z141" s="326"/>
      <c r="AA141" s="65"/>
      <c r="AB141" s="65"/>
      <c r="AC141" s="82"/>
    </row>
    <row r="142" spans="1:68" ht="14.25" hidden="1" customHeight="1" x14ac:dyDescent="0.25">
      <c r="A142" s="318" t="s">
        <v>149</v>
      </c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66"/>
      <c r="AB142" s="66"/>
      <c r="AC142" s="83"/>
    </row>
    <row r="143" spans="1:68" ht="27" customHeight="1" x14ac:dyDescent="0.25">
      <c r="A143" s="63" t="s">
        <v>245</v>
      </c>
      <c r="B143" s="63" t="s">
        <v>246</v>
      </c>
      <c r="C143" s="36">
        <v>4301135555</v>
      </c>
      <c r="D143" s="302">
        <v>4607111034014</v>
      </c>
      <c r="E143" s="302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118</v>
      </c>
      <c r="L143" s="37" t="s">
        <v>119</v>
      </c>
      <c r="M143" s="38" t="s">
        <v>86</v>
      </c>
      <c r="N143" s="38"/>
      <c r="O143" s="37">
        <v>180</v>
      </c>
      <c r="P143" s="35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304"/>
      <c r="R143" s="304"/>
      <c r="S143" s="304"/>
      <c r="T143" s="305"/>
      <c r="U143" s="39" t="s">
        <v>46</v>
      </c>
      <c r="V143" s="39" t="s">
        <v>46</v>
      </c>
      <c r="W143" s="40" t="s">
        <v>39</v>
      </c>
      <c r="X143" s="58">
        <v>98</v>
      </c>
      <c r="Y143" s="55">
        <f>IFERROR(IF(X143="","",X143),"")</f>
        <v>98</v>
      </c>
      <c r="Z143" s="41">
        <f>IFERROR(IF(X143="","",X143*0.01788),"")</f>
        <v>1.75224</v>
      </c>
      <c r="AA143" s="68" t="s">
        <v>46</v>
      </c>
      <c r="AB143" s="69" t="s">
        <v>46</v>
      </c>
      <c r="AC143" s="195" t="s">
        <v>247</v>
      </c>
      <c r="AG143" s="81"/>
      <c r="AJ143" s="87" t="s">
        <v>120</v>
      </c>
      <c r="AK143" s="87">
        <v>14</v>
      </c>
      <c r="BB143" s="196" t="s">
        <v>117</v>
      </c>
      <c r="BM143" s="81">
        <f>IFERROR(X143*I143,"0")</f>
        <v>362.95279999999997</v>
      </c>
      <c r="BN143" s="81">
        <f>IFERROR(Y143*I143,"0")</f>
        <v>362.95279999999997</v>
      </c>
      <c r="BO143" s="81">
        <f>IFERROR(X143/J143,"0")</f>
        <v>1.4</v>
      </c>
      <c r="BP143" s="81">
        <f>IFERROR(Y143/J143,"0")</f>
        <v>1.4</v>
      </c>
    </row>
    <row r="144" spans="1:68" ht="27" customHeight="1" x14ac:dyDescent="0.25">
      <c r="A144" s="63" t="s">
        <v>248</v>
      </c>
      <c r="B144" s="63" t="s">
        <v>249</v>
      </c>
      <c r="C144" s="36">
        <v>4301135962</v>
      </c>
      <c r="D144" s="302">
        <v>4620207491584</v>
      </c>
      <c r="E144" s="302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118</v>
      </c>
      <c r="L144" s="37" t="s">
        <v>88</v>
      </c>
      <c r="M144" s="38" t="s">
        <v>86</v>
      </c>
      <c r="N144" s="38"/>
      <c r="O144" s="37">
        <v>180</v>
      </c>
      <c r="P144" s="360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4" s="304"/>
      <c r="R144" s="304"/>
      <c r="S144" s="304"/>
      <c r="T144" s="305"/>
      <c r="U144" s="39" t="s">
        <v>46</v>
      </c>
      <c r="V144" s="39" t="s">
        <v>46</v>
      </c>
      <c r="W144" s="40" t="s">
        <v>39</v>
      </c>
      <c r="X144" s="58">
        <v>154</v>
      </c>
      <c r="Y144" s="55">
        <f>IFERROR(IF(X144="","",X144),"")</f>
        <v>154</v>
      </c>
      <c r="Z144" s="41">
        <f>IFERROR(IF(X144="","",X144*0.01788),"")</f>
        <v>2.75352</v>
      </c>
      <c r="AA144" s="68" t="s">
        <v>46</v>
      </c>
      <c r="AB144" s="69" t="s">
        <v>46</v>
      </c>
      <c r="AC144" s="197" t="s">
        <v>250</v>
      </c>
      <c r="AG144" s="81"/>
      <c r="AJ144" s="87" t="s">
        <v>89</v>
      </c>
      <c r="AK144" s="87">
        <v>1</v>
      </c>
      <c r="BB144" s="198" t="s">
        <v>117</v>
      </c>
      <c r="BM144" s="81">
        <f>IFERROR(X144*I144,"0")</f>
        <v>570.35439999999994</v>
      </c>
      <c r="BN144" s="81">
        <f>IFERROR(Y144*I144,"0")</f>
        <v>570.35439999999994</v>
      </c>
      <c r="BO144" s="81">
        <f>IFERROR(X144/J144,"0")</f>
        <v>2.2000000000000002</v>
      </c>
      <c r="BP144" s="81">
        <f>IFERROR(Y144/J144,"0")</f>
        <v>2.2000000000000002</v>
      </c>
    </row>
    <row r="145" spans="1:68" x14ac:dyDescent="0.2">
      <c r="A145" s="299"/>
      <c r="B145" s="299"/>
      <c r="C145" s="299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311"/>
      <c r="P145" s="308" t="s">
        <v>40</v>
      </c>
      <c r="Q145" s="309"/>
      <c r="R145" s="309"/>
      <c r="S145" s="309"/>
      <c r="T145" s="309"/>
      <c r="U145" s="309"/>
      <c r="V145" s="310"/>
      <c r="W145" s="42" t="s">
        <v>39</v>
      </c>
      <c r="X145" s="43">
        <f>IFERROR(SUM(X143:X144),"0")</f>
        <v>252</v>
      </c>
      <c r="Y145" s="43">
        <f>IFERROR(SUM(Y143:Y144),"0")</f>
        <v>252</v>
      </c>
      <c r="Z145" s="43">
        <f>IFERROR(IF(Z143="",0,Z143),"0")+IFERROR(IF(Z144="",0,Z144),"0")</f>
        <v>4.5057600000000004</v>
      </c>
      <c r="AA145" s="67"/>
      <c r="AB145" s="67"/>
      <c r="AC145" s="67"/>
    </row>
    <row r="146" spans="1:68" x14ac:dyDescent="0.2">
      <c r="A146" s="299"/>
      <c r="B146" s="299"/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311"/>
      <c r="P146" s="308" t="s">
        <v>40</v>
      </c>
      <c r="Q146" s="309"/>
      <c r="R146" s="309"/>
      <c r="S146" s="309"/>
      <c r="T146" s="309"/>
      <c r="U146" s="309"/>
      <c r="V146" s="310"/>
      <c r="W146" s="42" t="s">
        <v>0</v>
      </c>
      <c r="X146" s="43">
        <f>IFERROR(SUMPRODUCT(X143:X144*H143:H144),"0")</f>
        <v>756</v>
      </c>
      <c r="Y146" s="43">
        <f>IFERROR(SUMPRODUCT(Y143:Y144*H143:H144),"0")</f>
        <v>756</v>
      </c>
      <c r="Z146" s="42"/>
      <c r="AA146" s="67"/>
      <c r="AB146" s="67"/>
      <c r="AC146" s="67"/>
    </row>
    <row r="147" spans="1:68" ht="16.5" hidden="1" customHeight="1" x14ac:dyDescent="0.25">
      <c r="A147" s="326" t="s">
        <v>251</v>
      </c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  <c r="AA147" s="65"/>
      <c r="AB147" s="65"/>
      <c r="AC147" s="82"/>
    </row>
    <row r="148" spans="1:68" ht="14.25" hidden="1" customHeight="1" x14ac:dyDescent="0.25">
      <c r="A148" s="318" t="s">
        <v>149</v>
      </c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66"/>
      <c r="AB148" s="66"/>
      <c r="AC148" s="83"/>
    </row>
    <row r="149" spans="1:68" ht="27" customHeight="1" x14ac:dyDescent="0.25">
      <c r="A149" s="63" t="s">
        <v>252</v>
      </c>
      <c r="B149" s="63" t="s">
        <v>253</v>
      </c>
      <c r="C149" s="36">
        <v>4301135954</v>
      </c>
      <c r="D149" s="302">
        <v>4620207491768</v>
      </c>
      <c r="E149" s="302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118</v>
      </c>
      <c r="L149" s="37" t="s">
        <v>88</v>
      </c>
      <c r="M149" s="38" t="s">
        <v>86</v>
      </c>
      <c r="N149" s="38"/>
      <c r="O149" s="37">
        <v>180</v>
      </c>
      <c r="P149" s="357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04"/>
      <c r="R149" s="304"/>
      <c r="S149" s="304"/>
      <c r="T149" s="305"/>
      <c r="U149" s="39" t="s">
        <v>46</v>
      </c>
      <c r="V149" s="39" t="s">
        <v>46</v>
      </c>
      <c r="W149" s="40" t="s">
        <v>39</v>
      </c>
      <c r="X149" s="58">
        <v>42</v>
      </c>
      <c r="Y149" s="55">
        <f>IFERROR(IF(X149="","",X149),"")</f>
        <v>42</v>
      </c>
      <c r="Z149" s="41">
        <f>IFERROR(IF(X149="","",X149*0.01788),"")</f>
        <v>0.75095999999999996</v>
      </c>
      <c r="AA149" s="68" t="s">
        <v>46</v>
      </c>
      <c r="AB149" s="69" t="s">
        <v>46</v>
      </c>
      <c r="AC149" s="199" t="s">
        <v>254</v>
      </c>
      <c r="AG149" s="81"/>
      <c r="AJ149" s="87" t="s">
        <v>89</v>
      </c>
      <c r="AK149" s="87">
        <v>1</v>
      </c>
      <c r="BB149" s="200" t="s">
        <v>117</v>
      </c>
      <c r="BM149" s="81">
        <f>IFERROR(X149*I149,"0")</f>
        <v>157.416</v>
      </c>
      <c r="BN149" s="81">
        <f>IFERROR(Y149*I149,"0")</f>
        <v>157.416</v>
      </c>
      <c r="BO149" s="81">
        <f>IFERROR(X149/J149,"0")</f>
        <v>0.6</v>
      </c>
      <c r="BP149" s="81">
        <f>IFERROR(Y149/J149,"0")</f>
        <v>0.6</v>
      </c>
    </row>
    <row r="150" spans="1:68" ht="16.5" customHeight="1" x14ac:dyDescent="0.25">
      <c r="A150" s="63" t="s">
        <v>255</v>
      </c>
      <c r="B150" s="63" t="s">
        <v>256</v>
      </c>
      <c r="C150" s="36">
        <v>4301135946</v>
      </c>
      <c r="D150" s="302">
        <v>4620207491553</v>
      </c>
      <c r="E150" s="302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118</v>
      </c>
      <c r="L150" s="37" t="s">
        <v>88</v>
      </c>
      <c r="M150" s="38" t="s">
        <v>86</v>
      </c>
      <c r="N150" s="38"/>
      <c r="O150" s="37">
        <v>180</v>
      </c>
      <c r="P150" s="35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04"/>
      <c r="R150" s="304"/>
      <c r="S150" s="304"/>
      <c r="T150" s="305"/>
      <c r="U150" s="39" t="s">
        <v>46</v>
      </c>
      <c r="V150" s="39" t="s">
        <v>46</v>
      </c>
      <c r="W150" s="40" t="s">
        <v>39</v>
      </c>
      <c r="X150" s="58">
        <v>28</v>
      </c>
      <c r="Y150" s="55">
        <f>IFERROR(IF(X150="","",X150),"")</f>
        <v>28</v>
      </c>
      <c r="Z150" s="41">
        <f>IFERROR(IF(X150="","",X150*0.01788),"")</f>
        <v>0.50063999999999997</v>
      </c>
      <c r="AA150" s="68" t="s">
        <v>46</v>
      </c>
      <c r="AB150" s="69" t="s">
        <v>46</v>
      </c>
      <c r="AC150" s="201" t="s">
        <v>254</v>
      </c>
      <c r="AG150" s="81"/>
      <c r="AJ150" s="87" t="s">
        <v>89</v>
      </c>
      <c r="AK150" s="87">
        <v>1</v>
      </c>
      <c r="BB150" s="202" t="s">
        <v>117</v>
      </c>
      <c r="BM150" s="81">
        <f>IFERROR(X150*I150,"0")</f>
        <v>103.70079999999999</v>
      </c>
      <c r="BN150" s="81">
        <f>IFERROR(Y150*I150,"0")</f>
        <v>103.70079999999999</v>
      </c>
      <c r="BO150" s="81">
        <f>IFERROR(X150/J150,"0")</f>
        <v>0.4</v>
      </c>
      <c r="BP150" s="81">
        <f>IFERROR(Y150/J150,"0")</f>
        <v>0.4</v>
      </c>
    </row>
    <row r="151" spans="1:68" x14ac:dyDescent="0.2">
      <c r="A151" s="299"/>
      <c r="B151" s="299"/>
      <c r="C151" s="299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311"/>
      <c r="P151" s="308" t="s">
        <v>40</v>
      </c>
      <c r="Q151" s="309"/>
      <c r="R151" s="309"/>
      <c r="S151" s="309"/>
      <c r="T151" s="309"/>
      <c r="U151" s="309"/>
      <c r="V151" s="310"/>
      <c r="W151" s="42" t="s">
        <v>39</v>
      </c>
      <c r="X151" s="43">
        <f>IFERROR(SUM(X149:X150),"0")</f>
        <v>70</v>
      </c>
      <c r="Y151" s="43">
        <f>IFERROR(SUM(Y149:Y150),"0")</f>
        <v>70</v>
      </c>
      <c r="Z151" s="43">
        <f>IFERROR(IF(Z149="",0,Z149),"0")+IFERROR(IF(Z150="",0,Z150),"0")</f>
        <v>1.2515999999999998</v>
      </c>
      <c r="AA151" s="67"/>
      <c r="AB151" s="67"/>
      <c r="AC151" s="67"/>
    </row>
    <row r="152" spans="1:68" x14ac:dyDescent="0.2">
      <c r="A152" s="299"/>
      <c r="B152" s="299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311"/>
      <c r="P152" s="308" t="s">
        <v>40</v>
      </c>
      <c r="Q152" s="309"/>
      <c r="R152" s="309"/>
      <c r="S152" s="309"/>
      <c r="T152" s="309"/>
      <c r="U152" s="309"/>
      <c r="V152" s="310"/>
      <c r="W152" s="42" t="s">
        <v>0</v>
      </c>
      <c r="X152" s="43">
        <f>IFERROR(SUMPRODUCT(X149:X150*H149:H150),"0")</f>
        <v>210</v>
      </c>
      <c r="Y152" s="43">
        <f>IFERROR(SUMPRODUCT(Y149:Y150*H149:H150),"0")</f>
        <v>210</v>
      </c>
      <c r="Z152" s="42"/>
      <c r="AA152" s="67"/>
      <c r="AB152" s="67"/>
      <c r="AC152" s="67"/>
    </row>
    <row r="153" spans="1:68" ht="16.5" hidden="1" customHeight="1" x14ac:dyDescent="0.25">
      <c r="A153" s="326" t="s">
        <v>257</v>
      </c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65"/>
      <c r="AB153" s="65"/>
      <c r="AC153" s="82"/>
    </row>
    <row r="154" spans="1:68" ht="14.25" hidden="1" customHeight="1" x14ac:dyDescent="0.25">
      <c r="A154" s="318" t="s">
        <v>149</v>
      </c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66"/>
      <c r="AB154" s="66"/>
      <c r="AC154" s="83"/>
    </row>
    <row r="155" spans="1:68" ht="27" hidden="1" customHeight="1" x14ac:dyDescent="0.25">
      <c r="A155" s="63" t="s">
        <v>258</v>
      </c>
      <c r="B155" s="63" t="s">
        <v>259</v>
      </c>
      <c r="C155" s="36">
        <v>4301135779</v>
      </c>
      <c r="D155" s="302">
        <v>4620207490914</v>
      </c>
      <c r="E155" s="302"/>
      <c r="F155" s="62">
        <v>0.2</v>
      </c>
      <c r="G155" s="37">
        <v>6</v>
      </c>
      <c r="H155" s="62">
        <v>1.2</v>
      </c>
      <c r="I155" s="62">
        <v>1.41</v>
      </c>
      <c r="J155" s="37">
        <v>140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354" t="str">
        <f>HYPERLINK("https://abi.ru/products/Замороженные/Горячая штучка/Круггетсы/Снеки/P004954/","Снеки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04"/>
      <c r="R155" s="304"/>
      <c r="S155" s="304"/>
      <c r="T155" s="305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IFERROR(IF(X155="","",X155*0.00941),"")</f>
        <v>0</v>
      </c>
      <c r="AA155" s="68" t="s">
        <v>46</v>
      </c>
      <c r="AB155" s="69" t="s">
        <v>46</v>
      </c>
      <c r="AC155" s="203" t="s">
        <v>247</v>
      </c>
      <c r="AG155" s="81"/>
      <c r="AJ155" s="87" t="s">
        <v>89</v>
      </c>
      <c r="AK155" s="87">
        <v>1</v>
      </c>
      <c r="BB155" s="204" t="s">
        <v>117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ht="27" customHeight="1" x14ac:dyDescent="0.25">
      <c r="A156" s="63" t="s">
        <v>260</v>
      </c>
      <c r="B156" s="63" t="s">
        <v>261</v>
      </c>
      <c r="C156" s="36">
        <v>4301135753</v>
      </c>
      <c r="D156" s="302">
        <v>4620207490914</v>
      </c>
      <c r="E156" s="302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118</v>
      </c>
      <c r="L156" s="37" t="s">
        <v>88</v>
      </c>
      <c r="M156" s="38" t="s">
        <v>86</v>
      </c>
      <c r="N156" s="38"/>
      <c r="O156" s="37">
        <v>180</v>
      </c>
      <c r="P156" s="35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04"/>
      <c r="R156" s="304"/>
      <c r="S156" s="304"/>
      <c r="T156" s="305"/>
      <c r="U156" s="39" t="s">
        <v>46</v>
      </c>
      <c r="V156" s="39" t="s">
        <v>46</v>
      </c>
      <c r="W156" s="40" t="s">
        <v>39</v>
      </c>
      <c r="X156" s="58">
        <v>56</v>
      </c>
      <c r="Y156" s="55">
        <f>IFERROR(IF(X156="","",X156),"")</f>
        <v>56</v>
      </c>
      <c r="Z156" s="41">
        <f>IFERROR(IF(X156="","",X156*0.01788),"")</f>
        <v>1.0012799999999999</v>
      </c>
      <c r="AA156" s="68" t="s">
        <v>46</v>
      </c>
      <c r="AB156" s="69" t="s">
        <v>46</v>
      </c>
      <c r="AC156" s="205" t="s">
        <v>247</v>
      </c>
      <c r="AG156" s="81"/>
      <c r="AJ156" s="87" t="s">
        <v>89</v>
      </c>
      <c r="AK156" s="87">
        <v>1</v>
      </c>
      <c r="BB156" s="206" t="s">
        <v>117</v>
      </c>
      <c r="BM156" s="81">
        <f>IFERROR(X156*I156,"0")</f>
        <v>150.08000000000001</v>
      </c>
      <c r="BN156" s="81">
        <f>IFERROR(Y156*I156,"0")</f>
        <v>150.08000000000001</v>
      </c>
      <c r="BO156" s="81">
        <f>IFERROR(X156/J156,"0")</f>
        <v>0.8</v>
      </c>
      <c r="BP156" s="81">
        <f>IFERROR(Y156/J156,"0")</f>
        <v>0.8</v>
      </c>
    </row>
    <row r="157" spans="1:68" ht="27" hidden="1" customHeight="1" x14ac:dyDescent="0.25">
      <c r="A157" s="63" t="s">
        <v>262</v>
      </c>
      <c r="B157" s="63" t="s">
        <v>263</v>
      </c>
      <c r="C157" s="36">
        <v>4301135932</v>
      </c>
      <c r="D157" s="302">
        <v>4620207491676</v>
      </c>
      <c r="E157" s="30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35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04"/>
      <c r="R157" s="304"/>
      <c r="S157" s="304"/>
      <c r="T157" s="305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264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299"/>
      <c r="B158" s="299"/>
      <c r="C158" s="299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311"/>
      <c r="P158" s="308" t="s">
        <v>40</v>
      </c>
      <c r="Q158" s="309"/>
      <c r="R158" s="309"/>
      <c r="S158" s="309"/>
      <c r="T158" s="309"/>
      <c r="U158" s="309"/>
      <c r="V158" s="310"/>
      <c r="W158" s="42" t="s">
        <v>39</v>
      </c>
      <c r="X158" s="43">
        <f>IFERROR(SUM(X155:X157),"0")</f>
        <v>56</v>
      </c>
      <c r="Y158" s="43">
        <f>IFERROR(SUM(Y155:Y157),"0")</f>
        <v>56</v>
      </c>
      <c r="Z158" s="43">
        <f>IFERROR(IF(Z155="",0,Z155),"0")+IFERROR(IF(Z156="",0,Z156),"0")+IFERROR(IF(Z157="",0,Z157),"0")</f>
        <v>1.0012799999999999</v>
      </c>
      <c r="AA158" s="67"/>
      <c r="AB158" s="67"/>
      <c r="AC158" s="67"/>
    </row>
    <row r="159" spans="1:68" x14ac:dyDescent="0.2">
      <c r="A159" s="299"/>
      <c r="B159" s="299"/>
      <c r="C159" s="299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311"/>
      <c r="P159" s="308" t="s">
        <v>40</v>
      </c>
      <c r="Q159" s="309"/>
      <c r="R159" s="309"/>
      <c r="S159" s="309"/>
      <c r="T159" s="309"/>
      <c r="U159" s="309"/>
      <c r="V159" s="310"/>
      <c r="W159" s="42" t="s">
        <v>0</v>
      </c>
      <c r="X159" s="43">
        <f>IFERROR(SUMPRODUCT(X155:X157*H155:H157),"0")</f>
        <v>134.4</v>
      </c>
      <c r="Y159" s="43">
        <f>IFERROR(SUMPRODUCT(Y155:Y157*H155:H157),"0")</f>
        <v>134.4</v>
      </c>
      <c r="Z159" s="42"/>
      <c r="AA159" s="67"/>
      <c r="AB159" s="67"/>
      <c r="AC159" s="67"/>
    </row>
    <row r="160" spans="1:68" ht="16.5" hidden="1" customHeight="1" x14ac:dyDescent="0.25">
      <c r="A160" s="326" t="s">
        <v>265</v>
      </c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  <c r="AA160" s="65"/>
      <c r="AB160" s="65"/>
      <c r="AC160" s="82"/>
    </row>
    <row r="161" spans="1:68" ht="14.25" hidden="1" customHeight="1" x14ac:dyDescent="0.25">
      <c r="A161" s="318" t="s">
        <v>149</v>
      </c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66"/>
      <c r="AB161" s="66"/>
      <c r="AC161" s="83"/>
    </row>
    <row r="162" spans="1:68" ht="27" customHeight="1" x14ac:dyDescent="0.25">
      <c r="A162" s="63" t="s">
        <v>266</v>
      </c>
      <c r="B162" s="63" t="s">
        <v>267</v>
      </c>
      <c r="C162" s="36">
        <v>4301135940</v>
      </c>
      <c r="D162" s="302">
        <v>4620207491614</v>
      </c>
      <c r="E162" s="302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118</v>
      </c>
      <c r="L162" s="37" t="s">
        <v>88</v>
      </c>
      <c r="M162" s="38" t="s">
        <v>86</v>
      </c>
      <c r="N162" s="38"/>
      <c r="O162" s="37">
        <v>180</v>
      </c>
      <c r="P162" s="35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04"/>
      <c r="R162" s="304"/>
      <c r="S162" s="304"/>
      <c r="T162" s="305"/>
      <c r="U162" s="39" t="s">
        <v>46</v>
      </c>
      <c r="V162" s="39" t="s">
        <v>46</v>
      </c>
      <c r="W162" s="40" t="s">
        <v>39</v>
      </c>
      <c r="X162" s="58">
        <v>42</v>
      </c>
      <c r="Y162" s="55">
        <f>IFERROR(IF(X162="","",X162),"")</f>
        <v>42</v>
      </c>
      <c r="Z162" s="41">
        <f>IFERROR(IF(X162="","",X162*0.01788),"")</f>
        <v>0.75095999999999996</v>
      </c>
      <c r="AA162" s="68" t="s">
        <v>46</v>
      </c>
      <c r="AB162" s="69" t="s">
        <v>46</v>
      </c>
      <c r="AC162" s="209" t="s">
        <v>167</v>
      </c>
      <c r="AG162" s="81"/>
      <c r="AJ162" s="87" t="s">
        <v>89</v>
      </c>
      <c r="AK162" s="87">
        <v>1</v>
      </c>
      <c r="BB162" s="210" t="s">
        <v>117</v>
      </c>
      <c r="BM162" s="81">
        <f>IFERROR(X162*I162,"0")</f>
        <v>155.55119999999999</v>
      </c>
      <c r="BN162" s="81">
        <f>IFERROR(Y162*I162,"0")</f>
        <v>155.55119999999999</v>
      </c>
      <c r="BO162" s="81">
        <f>IFERROR(X162/J162,"0")</f>
        <v>0.6</v>
      </c>
      <c r="BP162" s="81">
        <f>IFERROR(Y162/J162,"0")</f>
        <v>0.6</v>
      </c>
    </row>
    <row r="163" spans="1:68" x14ac:dyDescent="0.2">
      <c r="A163" s="299"/>
      <c r="B163" s="299"/>
      <c r="C163" s="299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311"/>
      <c r="P163" s="308" t="s">
        <v>40</v>
      </c>
      <c r="Q163" s="309"/>
      <c r="R163" s="309"/>
      <c r="S163" s="309"/>
      <c r="T163" s="309"/>
      <c r="U163" s="309"/>
      <c r="V163" s="310"/>
      <c r="W163" s="42" t="s">
        <v>39</v>
      </c>
      <c r="X163" s="43">
        <f>IFERROR(SUM(X162:X162),"0")</f>
        <v>42</v>
      </c>
      <c r="Y163" s="43">
        <f>IFERROR(SUM(Y162:Y162),"0")</f>
        <v>42</v>
      </c>
      <c r="Z163" s="43">
        <f>IFERROR(IF(Z162="",0,Z162),"0")</f>
        <v>0.75095999999999996</v>
      </c>
      <c r="AA163" s="67"/>
      <c r="AB163" s="67"/>
      <c r="AC163" s="67"/>
    </row>
    <row r="164" spans="1:68" x14ac:dyDescent="0.2">
      <c r="A164" s="299"/>
      <c r="B164" s="299"/>
      <c r="C164" s="299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311"/>
      <c r="P164" s="308" t="s">
        <v>40</v>
      </c>
      <c r="Q164" s="309"/>
      <c r="R164" s="309"/>
      <c r="S164" s="309"/>
      <c r="T164" s="309"/>
      <c r="U164" s="309"/>
      <c r="V164" s="310"/>
      <c r="W164" s="42" t="s">
        <v>0</v>
      </c>
      <c r="X164" s="43">
        <f>IFERROR(SUMPRODUCT(X162:X162*H162:H162),"0")</f>
        <v>126</v>
      </c>
      <c r="Y164" s="43">
        <f>IFERROR(SUMPRODUCT(Y162:Y162*H162:H162),"0")</f>
        <v>126</v>
      </c>
      <c r="Z164" s="42"/>
      <c r="AA164" s="67"/>
      <c r="AB164" s="67"/>
      <c r="AC164" s="67"/>
    </row>
    <row r="165" spans="1:68" ht="16.5" hidden="1" customHeight="1" x14ac:dyDescent="0.25">
      <c r="A165" s="326" t="s">
        <v>268</v>
      </c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65"/>
      <c r="AB165" s="65"/>
      <c r="AC165" s="82"/>
    </row>
    <row r="166" spans="1:68" ht="14.25" hidden="1" customHeight="1" x14ac:dyDescent="0.25">
      <c r="A166" s="318" t="s">
        <v>149</v>
      </c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66"/>
      <c r="AB166" s="66"/>
      <c r="AC166" s="83"/>
    </row>
    <row r="167" spans="1:68" ht="16.5" customHeight="1" x14ac:dyDescent="0.25">
      <c r="A167" s="63" t="s">
        <v>269</v>
      </c>
      <c r="B167" s="63" t="s">
        <v>270</v>
      </c>
      <c r="C167" s="36">
        <v>4301135607</v>
      </c>
      <c r="D167" s="302">
        <v>4607111039613</v>
      </c>
      <c r="E167" s="302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35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04"/>
      <c r="R167" s="304"/>
      <c r="S167" s="304"/>
      <c r="T167" s="305"/>
      <c r="U167" s="39" t="s">
        <v>46</v>
      </c>
      <c r="V167" s="39" t="s">
        <v>46</v>
      </c>
      <c r="W167" s="40" t="s">
        <v>39</v>
      </c>
      <c r="X167" s="58">
        <v>14</v>
      </c>
      <c r="Y167" s="55">
        <f>IFERROR(IF(X167="","",X167),"")</f>
        <v>14</v>
      </c>
      <c r="Z167" s="41">
        <f>IFERROR(IF(X167="","",X167*0.00936),"")</f>
        <v>0.13103999999999999</v>
      </c>
      <c r="AA167" s="68" t="s">
        <v>46</v>
      </c>
      <c r="AB167" s="69" t="s">
        <v>46</v>
      </c>
      <c r="AC167" s="211" t="s">
        <v>271</v>
      </c>
      <c r="AG167" s="81"/>
      <c r="AJ167" s="87" t="s">
        <v>120</v>
      </c>
      <c r="AK167" s="87">
        <v>14</v>
      </c>
      <c r="BB167" s="212" t="s">
        <v>117</v>
      </c>
      <c r="BM167" s="81">
        <f>IFERROR(X167*I167,"0")</f>
        <v>43.26</v>
      </c>
      <c r="BN167" s="81">
        <f>IFERROR(Y167*I167,"0")</f>
        <v>43.26</v>
      </c>
      <c r="BO167" s="81">
        <f>IFERROR(X167/J167,"0")</f>
        <v>0.1111111111111111</v>
      </c>
      <c r="BP167" s="81">
        <f>IFERROR(Y167/J167,"0")</f>
        <v>0.1111111111111111</v>
      </c>
    </row>
    <row r="168" spans="1:68" x14ac:dyDescent="0.2">
      <c r="A168" s="299"/>
      <c r="B168" s="299"/>
      <c r="C168" s="299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311"/>
      <c r="P168" s="308" t="s">
        <v>40</v>
      </c>
      <c r="Q168" s="309"/>
      <c r="R168" s="309"/>
      <c r="S168" s="309"/>
      <c r="T168" s="309"/>
      <c r="U168" s="309"/>
      <c r="V168" s="310"/>
      <c r="W168" s="42" t="s">
        <v>39</v>
      </c>
      <c r="X168" s="43">
        <f>IFERROR(SUM(X167:X167),"0")</f>
        <v>14</v>
      </c>
      <c r="Y168" s="43">
        <f>IFERROR(SUM(Y167:Y167),"0")</f>
        <v>14</v>
      </c>
      <c r="Z168" s="43">
        <f>IFERROR(IF(Z167="",0,Z167),"0")</f>
        <v>0.13103999999999999</v>
      </c>
      <c r="AA168" s="67"/>
      <c r="AB168" s="67"/>
      <c r="AC168" s="67"/>
    </row>
    <row r="169" spans="1:68" x14ac:dyDescent="0.2">
      <c r="A169" s="299"/>
      <c r="B169" s="299"/>
      <c r="C169" s="299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311"/>
      <c r="P169" s="308" t="s">
        <v>40</v>
      </c>
      <c r="Q169" s="309"/>
      <c r="R169" s="309"/>
      <c r="S169" s="309"/>
      <c r="T169" s="309"/>
      <c r="U169" s="309"/>
      <c r="V169" s="310"/>
      <c r="W169" s="42" t="s">
        <v>0</v>
      </c>
      <c r="X169" s="43">
        <f>IFERROR(SUMPRODUCT(X167:X167*H167:H167),"0")</f>
        <v>37.800000000000004</v>
      </c>
      <c r="Y169" s="43">
        <f>IFERROR(SUMPRODUCT(Y167:Y167*H167:H167),"0")</f>
        <v>37.800000000000004</v>
      </c>
      <c r="Z169" s="42"/>
      <c r="AA169" s="67"/>
      <c r="AB169" s="67"/>
      <c r="AC169" s="67"/>
    </row>
    <row r="170" spans="1:68" ht="16.5" hidden="1" customHeight="1" x14ac:dyDescent="0.25">
      <c r="A170" s="326" t="s">
        <v>272</v>
      </c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65"/>
      <c r="AB170" s="65"/>
      <c r="AC170" s="82"/>
    </row>
    <row r="171" spans="1:68" ht="14.25" hidden="1" customHeight="1" x14ac:dyDescent="0.25">
      <c r="A171" s="318" t="s">
        <v>149</v>
      </c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66"/>
      <c r="AB171" s="66"/>
      <c r="AC171" s="83"/>
    </row>
    <row r="172" spans="1:68" ht="27" customHeight="1" x14ac:dyDescent="0.25">
      <c r="A172" s="63" t="s">
        <v>273</v>
      </c>
      <c r="B172" s="63" t="s">
        <v>274</v>
      </c>
      <c r="C172" s="36">
        <v>4301135912</v>
      </c>
      <c r="D172" s="302">
        <v>4620207491751</v>
      </c>
      <c r="E172" s="302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118</v>
      </c>
      <c r="L172" s="37" t="s">
        <v>88</v>
      </c>
      <c r="M172" s="38" t="s">
        <v>86</v>
      </c>
      <c r="N172" s="38"/>
      <c r="O172" s="37">
        <v>180</v>
      </c>
      <c r="P172" s="352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304"/>
      <c r="R172" s="304"/>
      <c r="S172" s="304"/>
      <c r="T172" s="305"/>
      <c r="U172" s="39" t="s">
        <v>46</v>
      </c>
      <c r="V172" s="39" t="s">
        <v>46</v>
      </c>
      <c r="W172" s="40" t="s">
        <v>39</v>
      </c>
      <c r="X172" s="58">
        <v>14</v>
      </c>
      <c r="Y172" s="55">
        <f>IFERROR(IF(X172="","",X172),"")</f>
        <v>14</v>
      </c>
      <c r="Z172" s="41">
        <f>IFERROR(IF(X172="","",X172*0.00941),"")</f>
        <v>0.13174</v>
      </c>
      <c r="AA172" s="68" t="s">
        <v>46</v>
      </c>
      <c r="AB172" s="69" t="s">
        <v>46</v>
      </c>
      <c r="AC172" s="213" t="s">
        <v>167</v>
      </c>
      <c r="AG172" s="81"/>
      <c r="AJ172" s="87" t="s">
        <v>89</v>
      </c>
      <c r="AK172" s="87">
        <v>1</v>
      </c>
      <c r="BB172" s="214" t="s">
        <v>117</v>
      </c>
      <c r="BM172" s="81">
        <f>IFERROR(X172*I172,"0")</f>
        <v>29.425199999999997</v>
      </c>
      <c r="BN172" s="81">
        <f>IFERROR(Y172*I172,"0")</f>
        <v>29.425199999999997</v>
      </c>
      <c r="BO172" s="81">
        <f>IFERROR(X172/J172,"0")</f>
        <v>0.1</v>
      </c>
      <c r="BP172" s="81">
        <f>IFERROR(Y172/J172,"0")</f>
        <v>0.1</v>
      </c>
    </row>
    <row r="173" spans="1:68" x14ac:dyDescent="0.2">
      <c r="A173" s="299"/>
      <c r="B173" s="299"/>
      <c r="C173" s="299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311"/>
      <c r="P173" s="308" t="s">
        <v>40</v>
      </c>
      <c r="Q173" s="309"/>
      <c r="R173" s="309"/>
      <c r="S173" s="309"/>
      <c r="T173" s="309"/>
      <c r="U173" s="309"/>
      <c r="V173" s="310"/>
      <c r="W173" s="42" t="s">
        <v>39</v>
      </c>
      <c r="X173" s="43">
        <f>IFERROR(SUM(X172:X172),"0")</f>
        <v>14</v>
      </c>
      <c r="Y173" s="43">
        <f>IFERROR(SUM(Y172:Y172),"0")</f>
        <v>14</v>
      </c>
      <c r="Z173" s="43">
        <f>IFERROR(IF(Z172="",0,Z172),"0")</f>
        <v>0.13174</v>
      </c>
      <c r="AA173" s="67"/>
      <c r="AB173" s="67"/>
      <c r="AC173" s="67"/>
    </row>
    <row r="174" spans="1:68" x14ac:dyDescent="0.2">
      <c r="A174" s="299"/>
      <c r="B174" s="299"/>
      <c r="C174" s="299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311"/>
      <c r="P174" s="308" t="s">
        <v>40</v>
      </c>
      <c r="Q174" s="309"/>
      <c r="R174" s="309"/>
      <c r="S174" s="309"/>
      <c r="T174" s="309"/>
      <c r="U174" s="309"/>
      <c r="V174" s="310"/>
      <c r="W174" s="42" t="s">
        <v>0</v>
      </c>
      <c r="X174" s="43">
        <f>IFERROR(SUMPRODUCT(X172:X172*H172:H172),"0")</f>
        <v>23.52</v>
      </c>
      <c r="Y174" s="43">
        <f>IFERROR(SUMPRODUCT(Y172:Y172*H172:H172),"0")</f>
        <v>23.52</v>
      </c>
      <c r="Z174" s="42"/>
      <c r="AA174" s="67"/>
      <c r="AB174" s="67"/>
      <c r="AC174" s="67"/>
    </row>
    <row r="175" spans="1:68" ht="27.75" hidden="1" customHeight="1" x14ac:dyDescent="0.2">
      <c r="A175" s="325" t="s">
        <v>275</v>
      </c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  <c r="AA175" s="54"/>
      <c r="AB175" s="54"/>
      <c r="AC175" s="54"/>
    </row>
    <row r="176" spans="1:68" ht="16.5" hidden="1" customHeight="1" x14ac:dyDescent="0.25">
      <c r="A176" s="326" t="s">
        <v>276</v>
      </c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65"/>
      <c r="AB176" s="65"/>
      <c r="AC176" s="82"/>
    </row>
    <row r="177" spans="1:68" ht="14.25" hidden="1" customHeight="1" x14ac:dyDescent="0.25">
      <c r="A177" s="318" t="s">
        <v>113</v>
      </c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  <c r="AA177" s="66"/>
      <c r="AB177" s="66"/>
      <c r="AC177" s="83"/>
    </row>
    <row r="178" spans="1:68" ht="27" customHeight="1" x14ac:dyDescent="0.25">
      <c r="A178" s="63" t="s">
        <v>277</v>
      </c>
      <c r="B178" s="63" t="s">
        <v>278</v>
      </c>
      <c r="C178" s="36">
        <v>4301132226</v>
      </c>
      <c r="D178" s="302">
        <v>4620207490631</v>
      </c>
      <c r="E178" s="302"/>
      <c r="F178" s="62">
        <v>6</v>
      </c>
      <c r="G178" s="37">
        <v>1</v>
      </c>
      <c r="H178" s="62">
        <v>6</v>
      </c>
      <c r="I178" s="62">
        <v>6.2350000000000003</v>
      </c>
      <c r="J178" s="37">
        <v>84</v>
      </c>
      <c r="K178" s="37" t="s">
        <v>87</v>
      </c>
      <c r="L178" s="37" t="s">
        <v>88</v>
      </c>
      <c r="M178" s="38" t="s">
        <v>86</v>
      </c>
      <c r="N178" s="38"/>
      <c r="O178" s="37">
        <v>180</v>
      </c>
      <c r="P178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304"/>
      <c r="R178" s="304"/>
      <c r="S178" s="304"/>
      <c r="T178" s="305"/>
      <c r="U178" s="39" t="s">
        <v>46</v>
      </c>
      <c r="V178" s="39" t="s">
        <v>46</v>
      </c>
      <c r="W178" s="40" t="s">
        <v>39</v>
      </c>
      <c r="X178" s="58">
        <v>336</v>
      </c>
      <c r="Y178" s="55">
        <f>IFERROR(IF(X178="","",X178),"")</f>
        <v>336</v>
      </c>
      <c r="Z178" s="41">
        <f>IFERROR(IF(X178="","",X178*0.0155),"")</f>
        <v>5.2080000000000002</v>
      </c>
      <c r="AA178" s="68" t="s">
        <v>46</v>
      </c>
      <c r="AB178" s="69" t="s">
        <v>46</v>
      </c>
      <c r="AC178" s="215" t="s">
        <v>279</v>
      </c>
      <c r="AG178" s="81"/>
      <c r="AJ178" s="87" t="s">
        <v>89</v>
      </c>
      <c r="AK178" s="87">
        <v>1</v>
      </c>
      <c r="BB178" s="216" t="s">
        <v>117</v>
      </c>
      <c r="BM178" s="81">
        <f>IFERROR(X178*I178,"0")</f>
        <v>2094.96</v>
      </c>
      <c r="BN178" s="81">
        <f>IFERROR(Y178*I178,"0")</f>
        <v>2094.96</v>
      </c>
      <c r="BO178" s="81">
        <f>IFERROR(X178/J178,"0")</f>
        <v>4</v>
      </c>
      <c r="BP178" s="81">
        <f>IFERROR(Y178/J178,"0")</f>
        <v>4</v>
      </c>
    </row>
    <row r="179" spans="1:68" x14ac:dyDescent="0.2">
      <c r="A179" s="299"/>
      <c r="B179" s="299"/>
      <c r="C179" s="299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311"/>
      <c r="P179" s="308" t="s">
        <v>40</v>
      </c>
      <c r="Q179" s="309"/>
      <c r="R179" s="309"/>
      <c r="S179" s="309"/>
      <c r="T179" s="309"/>
      <c r="U179" s="309"/>
      <c r="V179" s="310"/>
      <c r="W179" s="42" t="s">
        <v>39</v>
      </c>
      <c r="X179" s="43">
        <f>IFERROR(SUM(X178:X178),"0")</f>
        <v>336</v>
      </c>
      <c r="Y179" s="43">
        <f>IFERROR(SUM(Y178:Y178),"0")</f>
        <v>336</v>
      </c>
      <c r="Z179" s="43">
        <f>IFERROR(IF(Z178="",0,Z178),"0")</f>
        <v>5.2080000000000002</v>
      </c>
      <c r="AA179" s="67"/>
      <c r="AB179" s="67"/>
      <c r="AC179" s="67"/>
    </row>
    <row r="180" spans="1:68" x14ac:dyDescent="0.2">
      <c r="A180" s="299"/>
      <c r="B180" s="299"/>
      <c r="C180" s="299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311"/>
      <c r="P180" s="308" t="s">
        <v>40</v>
      </c>
      <c r="Q180" s="309"/>
      <c r="R180" s="309"/>
      <c r="S180" s="309"/>
      <c r="T180" s="309"/>
      <c r="U180" s="309"/>
      <c r="V180" s="310"/>
      <c r="W180" s="42" t="s">
        <v>0</v>
      </c>
      <c r="X180" s="43">
        <f>IFERROR(SUMPRODUCT(X178:X178*H178:H178),"0")</f>
        <v>2016</v>
      </c>
      <c r="Y180" s="43">
        <f>IFERROR(SUMPRODUCT(Y178:Y178*H178:H178),"0")</f>
        <v>2016</v>
      </c>
      <c r="Z180" s="42"/>
      <c r="AA180" s="67"/>
      <c r="AB180" s="67"/>
      <c r="AC180" s="67"/>
    </row>
    <row r="181" spans="1:68" ht="14.25" hidden="1" customHeight="1" x14ac:dyDescent="0.25">
      <c r="A181" s="318" t="s">
        <v>145</v>
      </c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  <c r="AA181" s="66"/>
      <c r="AB181" s="66"/>
      <c r="AC181" s="83"/>
    </row>
    <row r="182" spans="1:68" ht="27" hidden="1" customHeight="1" x14ac:dyDescent="0.25">
      <c r="A182" s="63" t="s">
        <v>280</v>
      </c>
      <c r="B182" s="63" t="s">
        <v>281</v>
      </c>
      <c r="C182" s="36">
        <v>4301136001</v>
      </c>
      <c r="D182" s="302">
        <v>4607111035714</v>
      </c>
      <c r="E182" s="302"/>
      <c r="F182" s="62">
        <v>5</v>
      </c>
      <c r="G182" s="37">
        <v>1</v>
      </c>
      <c r="H182" s="62">
        <v>5</v>
      </c>
      <c r="I182" s="62">
        <v>5.2350000000000003</v>
      </c>
      <c r="J182" s="37">
        <v>84</v>
      </c>
      <c r="K182" s="37" t="s">
        <v>87</v>
      </c>
      <c r="L182" s="37" t="s">
        <v>88</v>
      </c>
      <c r="M182" s="38" t="s">
        <v>86</v>
      </c>
      <c r="N182" s="38"/>
      <c r="O182" s="37">
        <v>180</v>
      </c>
      <c r="P182" s="348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2" s="304"/>
      <c r="R182" s="304"/>
      <c r="S182" s="304"/>
      <c r="T182" s="305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IFERROR(IF(X182="","",X182*0.0155),"")</f>
        <v>0</v>
      </c>
      <c r="AA182" s="68" t="s">
        <v>46</v>
      </c>
      <c r="AB182" s="69" t="s">
        <v>46</v>
      </c>
      <c r="AC182" s="217" t="s">
        <v>282</v>
      </c>
      <c r="AG182" s="81"/>
      <c r="AJ182" s="87" t="s">
        <v>89</v>
      </c>
      <c r="AK182" s="87">
        <v>1</v>
      </c>
      <c r="BB182" s="218" t="s">
        <v>117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idden="1" x14ac:dyDescent="0.2">
      <c r="A183" s="299"/>
      <c r="B183" s="299"/>
      <c r="C183" s="299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311"/>
      <c r="P183" s="308" t="s">
        <v>40</v>
      </c>
      <c r="Q183" s="309"/>
      <c r="R183" s="309"/>
      <c r="S183" s="309"/>
      <c r="T183" s="309"/>
      <c r="U183" s="309"/>
      <c r="V183" s="310"/>
      <c r="W183" s="42" t="s">
        <v>39</v>
      </c>
      <c r="X183" s="43">
        <f>IFERROR(SUM(X182:X182),"0")</f>
        <v>0</v>
      </c>
      <c r="Y183" s="43">
        <f>IFERROR(SUM(Y182:Y182),"0")</f>
        <v>0</v>
      </c>
      <c r="Z183" s="43">
        <f>IFERROR(IF(Z182="",0,Z182),"0")</f>
        <v>0</v>
      </c>
      <c r="AA183" s="67"/>
      <c r="AB183" s="67"/>
      <c r="AC183" s="67"/>
    </row>
    <row r="184" spans="1:68" hidden="1" x14ac:dyDescent="0.2">
      <c r="A184" s="299"/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311"/>
      <c r="P184" s="308" t="s">
        <v>40</v>
      </c>
      <c r="Q184" s="309"/>
      <c r="R184" s="309"/>
      <c r="S184" s="309"/>
      <c r="T184" s="309"/>
      <c r="U184" s="309"/>
      <c r="V184" s="310"/>
      <c r="W184" s="42" t="s">
        <v>0</v>
      </c>
      <c r="X184" s="43">
        <f>IFERROR(SUMPRODUCT(X182:X182*H182:H182),"0")</f>
        <v>0</v>
      </c>
      <c r="Y184" s="43">
        <f>IFERROR(SUMPRODUCT(Y182:Y182*H182:H182),"0")</f>
        <v>0</v>
      </c>
      <c r="Z184" s="42"/>
      <c r="AA184" s="67"/>
      <c r="AB184" s="67"/>
      <c r="AC184" s="67"/>
    </row>
    <row r="185" spans="1:68" ht="14.25" hidden="1" customHeight="1" x14ac:dyDescent="0.25">
      <c r="A185" s="318" t="s">
        <v>149</v>
      </c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66"/>
      <c r="AB185" s="66"/>
      <c r="AC185" s="83"/>
    </row>
    <row r="186" spans="1:68" ht="16.5" hidden="1" customHeight="1" x14ac:dyDescent="0.25">
      <c r="A186" s="63" t="s">
        <v>283</v>
      </c>
      <c r="B186" s="63" t="s">
        <v>284</v>
      </c>
      <c r="C186" s="36">
        <v>4301137080</v>
      </c>
      <c r="D186" s="302">
        <v>4620207492062</v>
      </c>
      <c r="E186" s="302"/>
      <c r="F186" s="62">
        <v>5.5</v>
      </c>
      <c r="G186" s="37">
        <v>1</v>
      </c>
      <c r="H186" s="62">
        <v>5.5</v>
      </c>
      <c r="I186" s="62">
        <v>5.7350000000000003</v>
      </c>
      <c r="J186" s="37">
        <v>84</v>
      </c>
      <c r="K186" s="37" t="s">
        <v>87</v>
      </c>
      <c r="L186" s="37" t="s">
        <v>88</v>
      </c>
      <c r="M186" s="38" t="s">
        <v>86</v>
      </c>
      <c r="N186" s="38"/>
      <c r="O186" s="37">
        <v>180</v>
      </c>
      <c r="P186" s="349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86" s="304"/>
      <c r="R186" s="304"/>
      <c r="S186" s="304"/>
      <c r="T186" s="305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IFERROR(IF(X186="","",X186*0.0155),"")</f>
        <v>0</v>
      </c>
      <c r="AA186" s="68" t="s">
        <v>46</v>
      </c>
      <c r="AB186" s="69" t="s">
        <v>46</v>
      </c>
      <c r="AC186" s="219" t="s">
        <v>285</v>
      </c>
      <c r="AG186" s="81"/>
      <c r="AJ186" s="87" t="s">
        <v>89</v>
      </c>
      <c r="AK186" s="87">
        <v>1</v>
      </c>
      <c r="BB186" s="220" t="s">
        <v>117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286</v>
      </c>
      <c r="B187" s="63" t="s">
        <v>287</v>
      </c>
      <c r="C187" s="36">
        <v>4301135324</v>
      </c>
      <c r="D187" s="302">
        <v>4607111038456</v>
      </c>
      <c r="E187" s="302"/>
      <c r="F187" s="62">
        <v>3.7</v>
      </c>
      <c r="G187" s="37">
        <v>1</v>
      </c>
      <c r="H187" s="62">
        <v>3.7</v>
      </c>
      <c r="I187" s="62">
        <v>3.8919999999999999</v>
      </c>
      <c r="J187" s="37">
        <v>126</v>
      </c>
      <c r="K187" s="37" t="s">
        <v>118</v>
      </c>
      <c r="L187" s="37" t="s">
        <v>88</v>
      </c>
      <c r="M187" s="38" t="s">
        <v>86</v>
      </c>
      <c r="N187" s="38"/>
      <c r="O187" s="37">
        <v>180</v>
      </c>
      <c r="P187" s="346" t="str">
        <f>HYPERLINK("https://abi.ru/products/Замороженные/No Name/Зареченские продукты/Снеки/P003804/","Снеки «Мини-сосиски в тесте» Весовой ТМ «No Name» 3,7 кг")</f>
        <v>Снеки «Мини-сосиски в тесте» Весовой ТМ «No Name» 3,7 кг</v>
      </c>
      <c r="Q187" s="304"/>
      <c r="R187" s="304"/>
      <c r="S187" s="304"/>
      <c r="T187" s="305"/>
      <c r="U187" s="39" t="s">
        <v>46</v>
      </c>
      <c r="V187" s="39" t="s">
        <v>46</v>
      </c>
      <c r="W187" s="40" t="s">
        <v>39</v>
      </c>
      <c r="X187" s="58">
        <v>98</v>
      </c>
      <c r="Y187" s="55">
        <f>IFERROR(IF(X187="","",X187),"")</f>
        <v>98</v>
      </c>
      <c r="Z187" s="41">
        <f>IFERROR(IF(X187="","",X187*0.00936),"")</f>
        <v>0.91727999999999998</v>
      </c>
      <c r="AA187" s="68" t="s">
        <v>46</v>
      </c>
      <c r="AB187" s="69" t="s">
        <v>46</v>
      </c>
      <c r="AC187" s="221" t="s">
        <v>288</v>
      </c>
      <c r="AG187" s="81"/>
      <c r="AJ187" s="87" t="s">
        <v>89</v>
      </c>
      <c r="AK187" s="87">
        <v>1</v>
      </c>
      <c r="BB187" s="222" t="s">
        <v>117</v>
      </c>
      <c r="BM187" s="81">
        <f>IFERROR(X187*I187,"0")</f>
        <v>381.416</v>
      </c>
      <c r="BN187" s="81">
        <f>IFERROR(Y187*I187,"0")</f>
        <v>381.416</v>
      </c>
      <c r="BO187" s="81">
        <f>IFERROR(X187/J187,"0")</f>
        <v>0.77777777777777779</v>
      </c>
      <c r="BP187" s="81">
        <f>IFERROR(Y187/J187,"0")</f>
        <v>0.77777777777777779</v>
      </c>
    </row>
    <row r="188" spans="1:68" ht="27" hidden="1" customHeight="1" x14ac:dyDescent="0.25">
      <c r="A188" s="63" t="s">
        <v>289</v>
      </c>
      <c r="B188" s="63" t="s">
        <v>290</v>
      </c>
      <c r="C188" s="36">
        <v>4301135995</v>
      </c>
      <c r="D188" s="302">
        <v>4620207491928</v>
      </c>
      <c r="E188" s="302"/>
      <c r="F188" s="62">
        <v>3.7</v>
      </c>
      <c r="G188" s="37">
        <v>1</v>
      </c>
      <c r="H188" s="62">
        <v>3.7</v>
      </c>
      <c r="I188" s="62">
        <v>3.8919999999999999</v>
      </c>
      <c r="J188" s="37">
        <v>126</v>
      </c>
      <c r="K188" s="37" t="s">
        <v>118</v>
      </c>
      <c r="L188" s="37" t="s">
        <v>88</v>
      </c>
      <c r="M188" s="38" t="s">
        <v>86</v>
      </c>
      <c r="N188" s="38"/>
      <c r="O188" s="37">
        <v>180</v>
      </c>
      <c r="P188" s="347" t="str">
        <f>HYPERLINK("https://abi.ru/products/Замороженные/No Name/Зареченские продукты/Снеки/P005602/","Снеки «Мини-сосиски в ароматном тесте» Весовой ТМ «No Name» 3,7 кг")</f>
        <v>Снеки «Мини-сосиски в ароматном тесте» Весовой ТМ «No Name» 3,7 кг</v>
      </c>
      <c r="Q188" s="304"/>
      <c r="R188" s="304"/>
      <c r="S188" s="304"/>
      <c r="T188" s="305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IFERROR(IF(X188="","",X188*0.00936),"")</f>
        <v>0</v>
      </c>
      <c r="AA188" s="68" t="s">
        <v>46</v>
      </c>
      <c r="AB188" s="69" t="s">
        <v>46</v>
      </c>
      <c r="AC188" s="223" t="s">
        <v>291</v>
      </c>
      <c r="AG188" s="81"/>
      <c r="AJ188" s="87" t="s">
        <v>89</v>
      </c>
      <c r="AK188" s="87">
        <v>1</v>
      </c>
      <c r="BB188" s="224" t="s">
        <v>117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299"/>
      <c r="B189" s="299"/>
      <c r="C189" s="299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311"/>
      <c r="P189" s="308" t="s">
        <v>40</v>
      </c>
      <c r="Q189" s="309"/>
      <c r="R189" s="309"/>
      <c r="S189" s="309"/>
      <c r="T189" s="309"/>
      <c r="U189" s="309"/>
      <c r="V189" s="310"/>
      <c r="W189" s="42" t="s">
        <v>39</v>
      </c>
      <c r="X189" s="43">
        <f>IFERROR(SUM(X186:X188),"0")</f>
        <v>98</v>
      </c>
      <c r="Y189" s="43">
        <f>IFERROR(SUM(Y186:Y188),"0")</f>
        <v>98</v>
      </c>
      <c r="Z189" s="43">
        <f>IFERROR(IF(Z186="",0,Z186),"0")+IFERROR(IF(Z187="",0,Z187),"0")+IFERROR(IF(Z188="",0,Z188),"0")</f>
        <v>0.91727999999999998</v>
      </c>
      <c r="AA189" s="67"/>
      <c r="AB189" s="67"/>
      <c r="AC189" s="67"/>
    </row>
    <row r="190" spans="1:68" x14ac:dyDescent="0.2">
      <c r="A190" s="299"/>
      <c r="B190" s="299"/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311"/>
      <c r="P190" s="308" t="s">
        <v>40</v>
      </c>
      <c r="Q190" s="309"/>
      <c r="R190" s="309"/>
      <c r="S190" s="309"/>
      <c r="T190" s="309"/>
      <c r="U190" s="309"/>
      <c r="V190" s="310"/>
      <c r="W190" s="42" t="s">
        <v>0</v>
      </c>
      <c r="X190" s="43">
        <f>IFERROR(SUMPRODUCT(X186:X188*H186:H188),"0")</f>
        <v>362.6</v>
      </c>
      <c r="Y190" s="43">
        <f>IFERROR(SUMPRODUCT(Y186:Y188*H186:H188),"0")</f>
        <v>362.6</v>
      </c>
      <c r="Z190" s="42"/>
      <c r="AA190" s="67"/>
      <c r="AB190" s="67"/>
      <c r="AC190" s="67"/>
    </row>
    <row r="191" spans="1:68" ht="16.5" hidden="1" customHeight="1" x14ac:dyDescent="0.25">
      <c r="A191" s="326" t="s">
        <v>292</v>
      </c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6"/>
      <c r="Z191" s="326"/>
      <c r="AA191" s="65"/>
      <c r="AB191" s="65"/>
      <c r="AC191" s="82"/>
    </row>
    <row r="192" spans="1:68" ht="14.25" hidden="1" customHeight="1" x14ac:dyDescent="0.25">
      <c r="A192" s="318" t="s">
        <v>82</v>
      </c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66"/>
      <c r="AB192" s="66"/>
      <c r="AC192" s="83"/>
    </row>
    <row r="193" spans="1:68" ht="16.5" hidden="1" customHeight="1" x14ac:dyDescent="0.25">
      <c r="A193" s="63" t="s">
        <v>293</v>
      </c>
      <c r="B193" s="63" t="s">
        <v>294</v>
      </c>
      <c r="C193" s="36">
        <v>4301071062</v>
      </c>
      <c r="D193" s="302">
        <v>4607111036384</v>
      </c>
      <c r="E193" s="302"/>
      <c r="F193" s="62">
        <v>5</v>
      </c>
      <c r="G193" s="37">
        <v>1</v>
      </c>
      <c r="H193" s="62">
        <v>5</v>
      </c>
      <c r="I193" s="62">
        <v>5.2106000000000003</v>
      </c>
      <c r="J193" s="37">
        <v>144</v>
      </c>
      <c r="K193" s="37" t="s">
        <v>87</v>
      </c>
      <c r="L193" s="37" t="s">
        <v>119</v>
      </c>
      <c r="M193" s="38" t="s">
        <v>86</v>
      </c>
      <c r="N193" s="38"/>
      <c r="O193" s="37">
        <v>180</v>
      </c>
      <c r="P193" s="34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3" s="304"/>
      <c r="R193" s="304"/>
      <c r="S193" s="304"/>
      <c r="T193" s="305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IFERROR(IF(X193="","",X193*0.00866),"")</f>
        <v>0</v>
      </c>
      <c r="AA193" s="68" t="s">
        <v>46</v>
      </c>
      <c r="AB193" s="69" t="s">
        <v>46</v>
      </c>
      <c r="AC193" s="225" t="s">
        <v>295</v>
      </c>
      <c r="AG193" s="81"/>
      <c r="AJ193" s="87" t="s">
        <v>120</v>
      </c>
      <c r="AK193" s="87">
        <v>12</v>
      </c>
      <c r="BB193" s="226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296</v>
      </c>
      <c r="B194" s="63" t="s">
        <v>297</v>
      </c>
      <c r="C194" s="36">
        <v>4301071050</v>
      </c>
      <c r="D194" s="302">
        <v>4607111036216</v>
      </c>
      <c r="E194" s="302"/>
      <c r="F194" s="62">
        <v>5</v>
      </c>
      <c r="G194" s="37">
        <v>1</v>
      </c>
      <c r="H194" s="62">
        <v>5</v>
      </c>
      <c r="I194" s="62">
        <v>5.2131999999999996</v>
      </c>
      <c r="J194" s="37">
        <v>144</v>
      </c>
      <c r="K194" s="37" t="s">
        <v>87</v>
      </c>
      <c r="L194" s="37" t="s">
        <v>119</v>
      </c>
      <c r="M194" s="38" t="s">
        <v>86</v>
      </c>
      <c r="N194" s="38"/>
      <c r="O194" s="37">
        <v>180</v>
      </c>
      <c r="P194" s="34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4" s="304"/>
      <c r="R194" s="304"/>
      <c r="S194" s="304"/>
      <c r="T194" s="305"/>
      <c r="U194" s="39" t="s">
        <v>46</v>
      </c>
      <c r="V194" s="39" t="s">
        <v>46</v>
      </c>
      <c r="W194" s="40" t="s">
        <v>39</v>
      </c>
      <c r="X194" s="58">
        <v>96</v>
      </c>
      <c r="Y194" s="55">
        <f>IFERROR(IF(X194="","",X194),"")</f>
        <v>96</v>
      </c>
      <c r="Z194" s="41">
        <f>IFERROR(IF(X194="","",X194*0.00866),"")</f>
        <v>0.83135999999999988</v>
      </c>
      <c r="AA194" s="68" t="s">
        <v>46</v>
      </c>
      <c r="AB194" s="69" t="s">
        <v>46</v>
      </c>
      <c r="AC194" s="227" t="s">
        <v>298</v>
      </c>
      <c r="AG194" s="81"/>
      <c r="AJ194" s="87" t="s">
        <v>120</v>
      </c>
      <c r="AK194" s="87">
        <v>12</v>
      </c>
      <c r="BB194" s="228" t="s">
        <v>70</v>
      </c>
      <c r="BM194" s="81">
        <f>IFERROR(X194*I194,"0")</f>
        <v>500.46719999999993</v>
      </c>
      <c r="BN194" s="81">
        <f>IFERROR(Y194*I194,"0")</f>
        <v>500.46719999999993</v>
      </c>
      <c r="BO194" s="81">
        <f>IFERROR(X194/J194,"0")</f>
        <v>0.66666666666666663</v>
      </c>
      <c r="BP194" s="81">
        <f>IFERROR(Y194/J194,"0")</f>
        <v>0.66666666666666663</v>
      </c>
    </row>
    <row r="195" spans="1:68" x14ac:dyDescent="0.2">
      <c r="A195" s="299"/>
      <c r="B195" s="299"/>
      <c r="C195" s="299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311"/>
      <c r="P195" s="308" t="s">
        <v>40</v>
      </c>
      <c r="Q195" s="309"/>
      <c r="R195" s="309"/>
      <c r="S195" s="309"/>
      <c r="T195" s="309"/>
      <c r="U195" s="309"/>
      <c r="V195" s="310"/>
      <c r="W195" s="42" t="s">
        <v>39</v>
      </c>
      <c r="X195" s="43">
        <f>IFERROR(SUM(X193:X194),"0")</f>
        <v>96</v>
      </c>
      <c r="Y195" s="43">
        <f>IFERROR(SUM(Y193:Y194),"0")</f>
        <v>96</v>
      </c>
      <c r="Z195" s="43">
        <f>IFERROR(IF(Z193="",0,Z193),"0")+IFERROR(IF(Z194="",0,Z194),"0")</f>
        <v>0.83135999999999988</v>
      </c>
      <c r="AA195" s="67"/>
      <c r="AB195" s="67"/>
      <c r="AC195" s="67"/>
    </row>
    <row r="196" spans="1:68" x14ac:dyDescent="0.2">
      <c r="A196" s="299"/>
      <c r="B196" s="299"/>
      <c r="C196" s="299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311"/>
      <c r="P196" s="308" t="s">
        <v>40</v>
      </c>
      <c r="Q196" s="309"/>
      <c r="R196" s="309"/>
      <c r="S196" s="309"/>
      <c r="T196" s="309"/>
      <c r="U196" s="309"/>
      <c r="V196" s="310"/>
      <c r="W196" s="42" t="s">
        <v>0</v>
      </c>
      <c r="X196" s="43">
        <f>IFERROR(SUMPRODUCT(X193:X194*H193:H194),"0")</f>
        <v>480</v>
      </c>
      <c r="Y196" s="43">
        <f>IFERROR(SUMPRODUCT(Y193:Y194*H193:H194),"0")</f>
        <v>480</v>
      </c>
      <c r="Z196" s="42"/>
      <c r="AA196" s="67"/>
      <c r="AB196" s="67"/>
      <c r="AC196" s="67"/>
    </row>
    <row r="197" spans="1:68" ht="16.5" hidden="1" customHeight="1" x14ac:dyDescent="0.25">
      <c r="A197" s="326" t="s">
        <v>299</v>
      </c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  <c r="W197" s="326"/>
      <c r="X197" s="326"/>
      <c r="Y197" s="326"/>
      <c r="Z197" s="326"/>
      <c r="AA197" s="65"/>
      <c r="AB197" s="65"/>
      <c r="AC197" s="82"/>
    </row>
    <row r="198" spans="1:68" ht="14.25" hidden="1" customHeight="1" x14ac:dyDescent="0.25">
      <c r="A198" s="318" t="s">
        <v>82</v>
      </c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66"/>
      <c r="AB198" s="66"/>
      <c r="AC198" s="83"/>
    </row>
    <row r="199" spans="1:68" ht="27" customHeight="1" x14ac:dyDescent="0.25">
      <c r="A199" s="63" t="s">
        <v>300</v>
      </c>
      <c r="B199" s="63" t="s">
        <v>301</v>
      </c>
      <c r="C199" s="36">
        <v>4301071117</v>
      </c>
      <c r="D199" s="302">
        <v>4620207491737</v>
      </c>
      <c r="E199" s="302"/>
      <c r="F199" s="62">
        <v>1</v>
      </c>
      <c r="G199" s="37">
        <v>5</v>
      </c>
      <c r="H199" s="62">
        <v>5</v>
      </c>
      <c r="I199" s="62">
        <v>5.2619999999999996</v>
      </c>
      <c r="J199" s="37">
        <v>84</v>
      </c>
      <c r="K199" s="37" t="s">
        <v>87</v>
      </c>
      <c r="L199" s="37" t="s">
        <v>88</v>
      </c>
      <c r="M199" s="38" t="s">
        <v>86</v>
      </c>
      <c r="N199" s="38"/>
      <c r="O199" s="37">
        <v>180</v>
      </c>
      <c r="P199" s="34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9" s="304"/>
      <c r="R199" s="304"/>
      <c r="S199" s="304"/>
      <c r="T199" s="305"/>
      <c r="U199" s="39" t="s">
        <v>46</v>
      </c>
      <c r="V199" s="39" t="s">
        <v>46</v>
      </c>
      <c r="W199" s="40" t="s">
        <v>39</v>
      </c>
      <c r="X199" s="58">
        <v>144</v>
      </c>
      <c r="Y199" s="55">
        <f>IFERROR(IF(X199="","",X199),"")</f>
        <v>144</v>
      </c>
      <c r="Z199" s="41">
        <f>IFERROR(IF(X199="","",X199*0.0155),"")</f>
        <v>2.2320000000000002</v>
      </c>
      <c r="AA199" s="68" t="s">
        <v>46</v>
      </c>
      <c r="AB199" s="69" t="s">
        <v>46</v>
      </c>
      <c r="AC199" s="229" t="s">
        <v>298</v>
      </c>
      <c r="AG199" s="81"/>
      <c r="AJ199" s="87" t="s">
        <v>89</v>
      </c>
      <c r="AK199" s="87">
        <v>1</v>
      </c>
      <c r="BB199" s="230" t="s">
        <v>70</v>
      </c>
      <c r="BM199" s="81">
        <f>IFERROR(X199*I199,"0")</f>
        <v>757.72799999999995</v>
      </c>
      <c r="BN199" s="81">
        <f>IFERROR(Y199*I199,"0")</f>
        <v>757.72799999999995</v>
      </c>
      <c r="BO199" s="81">
        <f>IFERROR(X199/J199,"0")</f>
        <v>1.7142857142857142</v>
      </c>
      <c r="BP199" s="81">
        <f>IFERROR(Y199/J199,"0")</f>
        <v>1.7142857142857142</v>
      </c>
    </row>
    <row r="200" spans="1:68" x14ac:dyDescent="0.2">
      <c r="A200" s="299"/>
      <c r="B200" s="299"/>
      <c r="C200" s="299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311"/>
      <c r="P200" s="308" t="s">
        <v>40</v>
      </c>
      <c r="Q200" s="309"/>
      <c r="R200" s="309"/>
      <c r="S200" s="309"/>
      <c r="T200" s="309"/>
      <c r="U200" s="309"/>
      <c r="V200" s="310"/>
      <c r="W200" s="42" t="s">
        <v>39</v>
      </c>
      <c r="X200" s="43">
        <f>IFERROR(SUM(X199:X199),"0")</f>
        <v>144</v>
      </c>
      <c r="Y200" s="43">
        <f>IFERROR(SUM(Y199:Y199),"0")</f>
        <v>144</v>
      </c>
      <c r="Z200" s="43">
        <f>IFERROR(IF(Z199="",0,Z199),"0")</f>
        <v>2.2320000000000002</v>
      </c>
      <c r="AA200" s="67"/>
      <c r="AB200" s="67"/>
      <c r="AC200" s="67"/>
    </row>
    <row r="201" spans="1:68" x14ac:dyDescent="0.2">
      <c r="A201" s="299"/>
      <c r="B201" s="299"/>
      <c r="C201" s="299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311"/>
      <c r="P201" s="308" t="s">
        <v>40</v>
      </c>
      <c r="Q201" s="309"/>
      <c r="R201" s="309"/>
      <c r="S201" s="309"/>
      <c r="T201" s="309"/>
      <c r="U201" s="309"/>
      <c r="V201" s="310"/>
      <c r="W201" s="42" t="s">
        <v>0</v>
      </c>
      <c r="X201" s="43">
        <f>IFERROR(SUMPRODUCT(X199:X199*H199:H199),"0")</f>
        <v>720</v>
      </c>
      <c r="Y201" s="43">
        <f>IFERROR(SUMPRODUCT(Y199:Y199*H199:H199),"0")</f>
        <v>720</v>
      </c>
      <c r="Z201" s="42"/>
      <c r="AA201" s="67"/>
      <c r="AB201" s="67"/>
      <c r="AC201" s="67"/>
    </row>
    <row r="202" spans="1:68" ht="27.75" hidden="1" customHeight="1" x14ac:dyDescent="0.2">
      <c r="A202" s="325" t="s">
        <v>302</v>
      </c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  <c r="AA202" s="54"/>
      <c r="AB202" s="54"/>
      <c r="AC202" s="54"/>
    </row>
    <row r="203" spans="1:68" ht="16.5" hidden="1" customHeight="1" x14ac:dyDescent="0.25">
      <c r="A203" s="326" t="s">
        <v>303</v>
      </c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  <c r="W203" s="326"/>
      <c r="X203" s="326"/>
      <c r="Y203" s="326"/>
      <c r="Z203" s="326"/>
      <c r="AA203" s="65"/>
      <c r="AB203" s="65"/>
      <c r="AC203" s="82"/>
    </row>
    <row r="204" spans="1:68" ht="14.25" hidden="1" customHeight="1" x14ac:dyDescent="0.25">
      <c r="A204" s="318" t="s">
        <v>113</v>
      </c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  <c r="AA204" s="66"/>
      <c r="AB204" s="66"/>
      <c r="AC204" s="83"/>
    </row>
    <row r="205" spans="1:68" ht="16.5" customHeight="1" x14ac:dyDescent="0.25">
      <c r="A205" s="63" t="s">
        <v>304</v>
      </c>
      <c r="B205" s="63" t="s">
        <v>305</v>
      </c>
      <c r="C205" s="36">
        <v>4301132179</v>
      </c>
      <c r="D205" s="302">
        <v>4607111035691</v>
      </c>
      <c r="E205" s="302"/>
      <c r="F205" s="62">
        <v>0.25</v>
      </c>
      <c r="G205" s="37">
        <v>12</v>
      </c>
      <c r="H205" s="62">
        <v>3</v>
      </c>
      <c r="I205" s="62">
        <v>3.3879999999999999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365</v>
      </c>
      <c r="P205" s="34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5" s="304"/>
      <c r="R205" s="304"/>
      <c r="S205" s="304"/>
      <c r="T205" s="305"/>
      <c r="U205" s="39" t="s">
        <v>46</v>
      </c>
      <c r="V205" s="39" t="s">
        <v>46</v>
      </c>
      <c r="W205" s="40" t="s">
        <v>39</v>
      </c>
      <c r="X205" s="58">
        <v>84</v>
      </c>
      <c r="Y205" s="55">
        <f>IFERROR(IF(X205="","",X205),"")</f>
        <v>84</v>
      </c>
      <c r="Z205" s="41">
        <f>IFERROR(IF(X205="","",X205*0.01788),"")</f>
        <v>1.5019199999999999</v>
      </c>
      <c r="AA205" s="68" t="s">
        <v>46</v>
      </c>
      <c r="AB205" s="69" t="s">
        <v>46</v>
      </c>
      <c r="AC205" s="231" t="s">
        <v>306</v>
      </c>
      <c r="AG205" s="81"/>
      <c r="AJ205" s="87" t="s">
        <v>120</v>
      </c>
      <c r="AK205" s="87">
        <v>14</v>
      </c>
      <c r="BB205" s="232" t="s">
        <v>117</v>
      </c>
      <c r="BM205" s="81">
        <f>IFERROR(X205*I205,"0")</f>
        <v>284.59199999999998</v>
      </c>
      <c r="BN205" s="81">
        <f>IFERROR(Y205*I205,"0")</f>
        <v>284.59199999999998</v>
      </c>
      <c r="BO205" s="81">
        <f>IFERROR(X205/J205,"0")</f>
        <v>1.2</v>
      </c>
      <c r="BP205" s="81">
        <f>IFERROR(Y205/J205,"0")</f>
        <v>1.2</v>
      </c>
    </row>
    <row r="206" spans="1:68" ht="27" customHeight="1" x14ac:dyDescent="0.25">
      <c r="A206" s="63" t="s">
        <v>307</v>
      </c>
      <c r="B206" s="63" t="s">
        <v>308</v>
      </c>
      <c r="C206" s="36">
        <v>4301132182</v>
      </c>
      <c r="D206" s="302">
        <v>4607111035721</v>
      </c>
      <c r="E206" s="302"/>
      <c r="F206" s="62">
        <v>0.25</v>
      </c>
      <c r="G206" s="37">
        <v>12</v>
      </c>
      <c r="H206" s="62">
        <v>3</v>
      </c>
      <c r="I206" s="62">
        <v>3.3879999999999999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365</v>
      </c>
      <c r="P206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6" s="304"/>
      <c r="R206" s="304"/>
      <c r="S206" s="304"/>
      <c r="T206" s="305"/>
      <c r="U206" s="39" t="s">
        <v>46</v>
      </c>
      <c r="V206" s="39" t="s">
        <v>46</v>
      </c>
      <c r="W206" s="40" t="s">
        <v>39</v>
      </c>
      <c r="X206" s="58">
        <v>84</v>
      </c>
      <c r="Y206" s="55">
        <f>IFERROR(IF(X206="","",X206),"")</f>
        <v>84</v>
      </c>
      <c r="Z206" s="41">
        <f>IFERROR(IF(X206="","",X206*0.01788),"")</f>
        <v>1.5019199999999999</v>
      </c>
      <c r="AA206" s="68" t="s">
        <v>46</v>
      </c>
      <c r="AB206" s="69" t="s">
        <v>46</v>
      </c>
      <c r="AC206" s="233" t="s">
        <v>309</v>
      </c>
      <c r="AG206" s="81"/>
      <c r="AJ206" s="87" t="s">
        <v>120</v>
      </c>
      <c r="AK206" s="87">
        <v>14</v>
      </c>
      <c r="BB206" s="234" t="s">
        <v>117</v>
      </c>
      <c r="BM206" s="81">
        <f>IFERROR(X206*I206,"0")</f>
        <v>284.59199999999998</v>
      </c>
      <c r="BN206" s="81">
        <f>IFERROR(Y206*I206,"0")</f>
        <v>284.59199999999998</v>
      </c>
      <c r="BO206" s="81">
        <f>IFERROR(X206/J206,"0")</f>
        <v>1.2</v>
      </c>
      <c r="BP206" s="81">
        <f>IFERROR(Y206/J206,"0")</f>
        <v>1.2</v>
      </c>
    </row>
    <row r="207" spans="1:68" ht="27" customHeight="1" x14ac:dyDescent="0.25">
      <c r="A207" s="63" t="s">
        <v>310</v>
      </c>
      <c r="B207" s="63" t="s">
        <v>311</v>
      </c>
      <c r="C207" s="36">
        <v>4301132170</v>
      </c>
      <c r="D207" s="302">
        <v>4607111038487</v>
      </c>
      <c r="E207" s="302"/>
      <c r="F207" s="62">
        <v>0.25</v>
      </c>
      <c r="G207" s="37">
        <v>12</v>
      </c>
      <c r="H207" s="62">
        <v>3</v>
      </c>
      <c r="I207" s="62">
        <v>3.7360000000000002</v>
      </c>
      <c r="J207" s="37">
        <v>70</v>
      </c>
      <c r="K207" s="37" t="s">
        <v>118</v>
      </c>
      <c r="L207" s="37" t="s">
        <v>119</v>
      </c>
      <c r="M207" s="38" t="s">
        <v>86</v>
      </c>
      <c r="N207" s="38"/>
      <c r="O207" s="37">
        <v>180</v>
      </c>
      <c r="P207" s="34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7" s="304"/>
      <c r="R207" s="304"/>
      <c r="S207" s="304"/>
      <c r="T207" s="305"/>
      <c r="U207" s="39" t="s">
        <v>46</v>
      </c>
      <c r="V207" s="39" t="s">
        <v>46</v>
      </c>
      <c r="W207" s="40" t="s">
        <v>39</v>
      </c>
      <c r="X207" s="58">
        <v>98</v>
      </c>
      <c r="Y207" s="55">
        <f>IFERROR(IF(X207="","",X207),"")</f>
        <v>98</v>
      </c>
      <c r="Z207" s="41">
        <f>IFERROR(IF(X207="","",X207*0.01788),"")</f>
        <v>1.75224</v>
      </c>
      <c r="AA207" s="68" t="s">
        <v>46</v>
      </c>
      <c r="AB207" s="69" t="s">
        <v>46</v>
      </c>
      <c r="AC207" s="235" t="s">
        <v>312</v>
      </c>
      <c r="AG207" s="81"/>
      <c r="AJ207" s="87" t="s">
        <v>120</v>
      </c>
      <c r="AK207" s="87">
        <v>14</v>
      </c>
      <c r="BB207" s="236" t="s">
        <v>117</v>
      </c>
      <c r="BM207" s="81">
        <f>IFERROR(X207*I207,"0")</f>
        <v>366.12800000000004</v>
      </c>
      <c r="BN207" s="81">
        <f>IFERROR(Y207*I207,"0")</f>
        <v>366.12800000000004</v>
      </c>
      <c r="BO207" s="81">
        <f>IFERROR(X207/J207,"0")</f>
        <v>1.4</v>
      </c>
      <c r="BP207" s="81">
        <f>IFERROR(Y207/J207,"0")</f>
        <v>1.4</v>
      </c>
    </row>
    <row r="208" spans="1:68" ht="27" customHeight="1" x14ac:dyDescent="0.25">
      <c r="A208" s="63" t="s">
        <v>313</v>
      </c>
      <c r="B208" s="63" t="s">
        <v>314</v>
      </c>
      <c r="C208" s="36">
        <v>4301132243</v>
      </c>
      <c r="D208" s="302">
        <v>4620207491195</v>
      </c>
      <c r="E208" s="302"/>
      <c r="F208" s="62">
        <v>0.23</v>
      </c>
      <c r="G208" s="37">
        <v>12</v>
      </c>
      <c r="H208" s="62">
        <v>2.76</v>
      </c>
      <c r="I208" s="62">
        <v>3.1480000000000001</v>
      </c>
      <c r="J208" s="37">
        <v>70</v>
      </c>
      <c r="K208" s="37" t="s">
        <v>118</v>
      </c>
      <c r="L208" s="37" t="s">
        <v>88</v>
      </c>
      <c r="M208" s="38" t="s">
        <v>86</v>
      </c>
      <c r="N208" s="38"/>
      <c r="O208" s="37">
        <v>180</v>
      </c>
      <c r="P208" s="34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8" s="304"/>
      <c r="R208" s="304"/>
      <c r="S208" s="304"/>
      <c r="T208" s="305"/>
      <c r="U208" s="39" t="s">
        <v>46</v>
      </c>
      <c r="V208" s="39" t="s">
        <v>46</v>
      </c>
      <c r="W208" s="40" t="s">
        <v>39</v>
      </c>
      <c r="X208" s="58">
        <v>14</v>
      </c>
      <c r="Y208" s="55">
        <f>IFERROR(IF(X208="","",X208),"")</f>
        <v>14</v>
      </c>
      <c r="Z208" s="41">
        <f>IFERROR(IF(X208="","",X208*0.01788),"")</f>
        <v>0.25031999999999999</v>
      </c>
      <c r="AA208" s="68" t="s">
        <v>46</v>
      </c>
      <c r="AB208" s="69" t="s">
        <v>46</v>
      </c>
      <c r="AC208" s="237" t="s">
        <v>315</v>
      </c>
      <c r="AG208" s="81"/>
      <c r="AJ208" s="87" t="s">
        <v>89</v>
      </c>
      <c r="AK208" s="87">
        <v>1</v>
      </c>
      <c r="BB208" s="238" t="s">
        <v>117</v>
      </c>
      <c r="BM208" s="81">
        <f>IFERROR(X208*I208,"0")</f>
        <v>44.072000000000003</v>
      </c>
      <c r="BN208" s="81">
        <f>IFERROR(Y208*I208,"0")</f>
        <v>44.072000000000003</v>
      </c>
      <c r="BO208" s="81">
        <f>IFERROR(X208/J208,"0")</f>
        <v>0.2</v>
      </c>
      <c r="BP208" s="81">
        <f>IFERROR(Y208/J208,"0")</f>
        <v>0.2</v>
      </c>
    </row>
    <row r="209" spans="1:68" x14ac:dyDescent="0.2">
      <c r="A209" s="299"/>
      <c r="B209" s="299"/>
      <c r="C209" s="299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311"/>
      <c r="P209" s="308" t="s">
        <v>40</v>
      </c>
      <c r="Q209" s="309"/>
      <c r="R209" s="309"/>
      <c r="S209" s="309"/>
      <c r="T209" s="309"/>
      <c r="U209" s="309"/>
      <c r="V209" s="310"/>
      <c r="W209" s="42" t="s">
        <v>39</v>
      </c>
      <c r="X209" s="43">
        <f>IFERROR(SUM(X205:X208),"0")</f>
        <v>280</v>
      </c>
      <c r="Y209" s="43">
        <f>IFERROR(SUM(Y205:Y208),"0")</f>
        <v>280</v>
      </c>
      <c r="Z209" s="43">
        <f>IFERROR(IF(Z205="",0,Z205),"0")+IFERROR(IF(Z206="",0,Z206),"0")+IFERROR(IF(Z207="",0,Z207),"0")+IFERROR(IF(Z208="",0,Z208),"0")</f>
        <v>5.0064000000000002</v>
      </c>
      <c r="AA209" s="67"/>
      <c r="AB209" s="67"/>
      <c r="AC209" s="67"/>
    </row>
    <row r="210" spans="1:68" x14ac:dyDescent="0.2">
      <c r="A210" s="299"/>
      <c r="B210" s="299"/>
      <c r="C210" s="299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311"/>
      <c r="P210" s="308" t="s">
        <v>40</v>
      </c>
      <c r="Q210" s="309"/>
      <c r="R210" s="309"/>
      <c r="S210" s="309"/>
      <c r="T210" s="309"/>
      <c r="U210" s="309"/>
      <c r="V210" s="310"/>
      <c r="W210" s="42" t="s">
        <v>0</v>
      </c>
      <c r="X210" s="43">
        <f>IFERROR(SUMPRODUCT(X205:X208*H205:H208),"0")</f>
        <v>836.64</v>
      </c>
      <c r="Y210" s="43">
        <f>IFERROR(SUMPRODUCT(Y205:Y208*H205:H208),"0")</f>
        <v>836.64</v>
      </c>
      <c r="Z210" s="42"/>
      <c r="AA210" s="67"/>
      <c r="AB210" s="67"/>
      <c r="AC210" s="67"/>
    </row>
    <row r="211" spans="1:68" ht="27.75" hidden="1" customHeight="1" x14ac:dyDescent="0.2">
      <c r="A211" s="325" t="s">
        <v>316</v>
      </c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  <c r="Y211" s="325"/>
      <c r="Z211" s="325"/>
      <c r="AA211" s="54"/>
      <c r="AB211" s="54"/>
      <c r="AC211" s="54"/>
    </row>
    <row r="212" spans="1:68" ht="16.5" hidden="1" customHeight="1" x14ac:dyDescent="0.25">
      <c r="A212" s="326" t="s">
        <v>317</v>
      </c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6"/>
      <c r="Z212" s="326"/>
      <c r="AA212" s="65"/>
      <c r="AB212" s="65"/>
      <c r="AC212" s="82"/>
    </row>
    <row r="213" spans="1:68" ht="14.25" hidden="1" customHeight="1" x14ac:dyDescent="0.25">
      <c r="A213" s="318" t="s">
        <v>113</v>
      </c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  <c r="AA213" s="66"/>
      <c r="AB213" s="66"/>
      <c r="AC213" s="83"/>
    </row>
    <row r="214" spans="1:68" ht="27" customHeight="1" x14ac:dyDescent="0.25">
      <c r="A214" s="63" t="s">
        <v>318</v>
      </c>
      <c r="B214" s="63" t="s">
        <v>319</v>
      </c>
      <c r="C214" s="36">
        <v>4301132227</v>
      </c>
      <c r="D214" s="302">
        <v>4620207491133</v>
      </c>
      <c r="E214" s="302"/>
      <c r="F214" s="62">
        <v>0.23</v>
      </c>
      <c r="G214" s="37">
        <v>12</v>
      </c>
      <c r="H214" s="62">
        <v>2.76</v>
      </c>
      <c r="I214" s="62">
        <v>2.98</v>
      </c>
      <c r="J214" s="37">
        <v>70</v>
      </c>
      <c r="K214" s="37" t="s">
        <v>118</v>
      </c>
      <c r="L214" s="37" t="s">
        <v>119</v>
      </c>
      <c r="M214" s="38" t="s">
        <v>86</v>
      </c>
      <c r="N214" s="38"/>
      <c r="O214" s="37">
        <v>180</v>
      </c>
      <c r="P214" s="3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4" s="304"/>
      <c r="R214" s="304"/>
      <c r="S214" s="304"/>
      <c r="T214" s="305"/>
      <c r="U214" s="39" t="s">
        <v>46</v>
      </c>
      <c r="V214" s="39" t="s">
        <v>46</v>
      </c>
      <c r="W214" s="40" t="s">
        <v>39</v>
      </c>
      <c r="X214" s="58">
        <v>70</v>
      </c>
      <c r="Y214" s="55">
        <f>IFERROR(IF(X214="","",X214),"")</f>
        <v>70</v>
      </c>
      <c r="Z214" s="41">
        <f>IFERROR(IF(X214="","",X214*0.01788),"")</f>
        <v>1.2516</v>
      </c>
      <c r="AA214" s="68" t="s">
        <v>46</v>
      </c>
      <c r="AB214" s="69" t="s">
        <v>46</v>
      </c>
      <c r="AC214" s="239" t="s">
        <v>320</v>
      </c>
      <c r="AG214" s="81"/>
      <c r="AJ214" s="87" t="s">
        <v>120</v>
      </c>
      <c r="AK214" s="87">
        <v>14</v>
      </c>
      <c r="BB214" s="240" t="s">
        <v>117</v>
      </c>
      <c r="BM214" s="81">
        <f>IFERROR(X214*I214,"0")</f>
        <v>208.6</v>
      </c>
      <c r="BN214" s="81">
        <f>IFERROR(Y214*I214,"0")</f>
        <v>208.6</v>
      </c>
      <c r="BO214" s="81">
        <f>IFERROR(X214/J214,"0")</f>
        <v>1</v>
      </c>
      <c r="BP214" s="81">
        <f>IFERROR(Y214/J214,"0")</f>
        <v>1</v>
      </c>
    </row>
    <row r="215" spans="1:68" x14ac:dyDescent="0.2">
      <c r="A215" s="299"/>
      <c r="B215" s="299"/>
      <c r="C215" s="299"/>
      <c r="D215" s="299"/>
      <c r="E215" s="299"/>
      <c r="F215" s="299"/>
      <c r="G215" s="299"/>
      <c r="H215" s="299"/>
      <c r="I215" s="299"/>
      <c r="J215" s="299"/>
      <c r="K215" s="299"/>
      <c r="L215" s="299"/>
      <c r="M215" s="299"/>
      <c r="N215" s="299"/>
      <c r="O215" s="311"/>
      <c r="P215" s="308" t="s">
        <v>40</v>
      </c>
      <c r="Q215" s="309"/>
      <c r="R215" s="309"/>
      <c r="S215" s="309"/>
      <c r="T215" s="309"/>
      <c r="U215" s="309"/>
      <c r="V215" s="310"/>
      <c r="W215" s="42" t="s">
        <v>39</v>
      </c>
      <c r="X215" s="43">
        <f>IFERROR(SUM(X214:X214),"0")</f>
        <v>70</v>
      </c>
      <c r="Y215" s="43">
        <f>IFERROR(SUM(Y214:Y214),"0")</f>
        <v>70</v>
      </c>
      <c r="Z215" s="43">
        <f>IFERROR(IF(Z214="",0,Z214),"0")</f>
        <v>1.2516</v>
      </c>
      <c r="AA215" s="67"/>
      <c r="AB215" s="67"/>
      <c r="AC215" s="67"/>
    </row>
    <row r="216" spans="1:68" x14ac:dyDescent="0.2">
      <c r="A216" s="299"/>
      <c r="B216" s="299"/>
      <c r="C216" s="299"/>
      <c r="D216" s="299"/>
      <c r="E216" s="299"/>
      <c r="F216" s="299"/>
      <c r="G216" s="299"/>
      <c r="H216" s="299"/>
      <c r="I216" s="299"/>
      <c r="J216" s="299"/>
      <c r="K216" s="299"/>
      <c r="L216" s="299"/>
      <c r="M216" s="299"/>
      <c r="N216" s="299"/>
      <c r="O216" s="311"/>
      <c r="P216" s="308" t="s">
        <v>40</v>
      </c>
      <c r="Q216" s="309"/>
      <c r="R216" s="309"/>
      <c r="S216" s="309"/>
      <c r="T216" s="309"/>
      <c r="U216" s="309"/>
      <c r="V216" s="310"/>
      <c r="W216" s="42" t="s">
        <v>0</v>
      </c>
      <c r="X216" s="43">
        <f>IFERROR(SUMPRODUCT(X214:X214*H214:H214),"0")</f>
        <v>193.2</v>
      </c>
      <c r="Y216" s="43">
        <f>IFERROR(SUMPRODUCT(Y214:Y214*H214:H214),"0")</f>
        <v>193.2</v>
      </c>
      <c r="Z216" s="42"/>
      <c r="AA216" s="67"/>
      <c r="AB216" s="67"/>
      <c r="AC216" s="67"/>
    </row>
    <row r="217" spans="1:68" ht="14.25" hidden="1" customHeight="1" x14ac:dyDescent="0.25">
      <c r="A217" s="318" t="s">
        <v>149</v>
      </c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  <c r="AA217" s="66"/>
      <c r="AB217" s="66"/>
      <c r="AC217" s="83"/>
    </row>
    <row r="218" spans="1:68" ht="27" hidden="1" customHeight="1" x14ac:dyDescent="0.25">
      <c r="A218" s="63" t="s">
        <v>321</v>
      </c>
      <c r="B218" s="63" t="s">
        <v>322</v>
      </c>
      <c r="C218" s="36">
        <v>4301135834</v>
      </c>
      <c r="D218" s="302">
        <v>4620207491188</v>
      </c>
      <c r="E218" s="302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118</v>
      </c>
      <c r="L218" s="37" t="s">
        <v>88</v>
      </c>
      <c r="M218" s="38" t="s">
        <v>86</v>
      </c>
      <c r="N218" s="38"/>
      <c r="O218" s="37">
        <v>180</v>
      </c>
      <c r="P218" s="33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8" s="304"/>
      <c r="R218" s="304"/>
      <c r="S218" s="304"/>
      <c r="T218" s="305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41" t="s">
        <v>323</v>
      </c>
      <c r="AG218" s="81"/>
      <c r="AJ218" s="87" t="s">
        <v>89</v>
      </c>
      <c r="AK218" s="87">
        <v>1</v>
      </c>
      <c r="BB218" s="242" t="s">
        <v>117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324</v>
      </c>
      <c r="B219" s="63" t="s">
        <v>325</v>
      </c>
      <c r="C219" s="36">
        <v>4301135696</v>
      </c>
      <c r="D219" s="302">
        <v>4620207490235</v>
      </c>
      <c r="E219" s="302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118</v>
      </c>
      <c r="L219" s="37" t="s">
        <v>119</v>
      </c>
      <c r="M219" s="38" t="s">
        <v>86</v>
      </c>
      <c r="N219" s="38"/>
      <c r="O219" s="37">
        <v>180</v>
      </c>
      <c r="P219" s="33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9" s="304"/>
      <c r="R219" s="304"/>
      <c r="S219" s="304"/>
      <c r="T219" s="305"/>
      <c r="U219" s="39" t="s">
        <v>46</v>
      </c>
      <c r="V219" s="39" t="s">
        <v>46</v>
      </c>
      <c r="W219" s="40" t="s">
        <v>39</v>
      </c>
      <c r="X219" s="58">
        <v>14</v>
      </c>
      <c r="Y219" s="55">
        <f>IFERROR(IF(X219="","",X219),"")</f>
        <v>14</v>
      </c>
      <c r="Z219" s="41">
        <f>IFERROR(IF(X219="","",X219*0.01788),"")</f>
        <v>0.25031999999999999</v>
      </c>
      <c r="AA219" s="68" t="s">
        <v>46</v>
      </c>
      <c r="AB219" s="69" t="s">
        <v>46</v>
      </c>
      <c r="AC219" s="243" t="s">
        <v>326</v>
      </c>
      <c r="AG219" s="81"/>
      <c r="AJ219" s="87" t="s">
        <v>120</v>
      </c>
      <c r="AK219" s="87">
        <v>14</v>
      </c>
      <c r="BB219" s="244" t="s">
        <v>117</v>
      </c>
      <c r="BM219" s="81">
        <f>IFERROR(X219*I219,"0")</f>
        <v>43.450400000000002</v>
      </c>
      <c r="BN219" s="81">
        <f>IFERROR(Y219*I219,"0")</f>
        <v>43.450400000000002</v>
      </c>
      <c r="BO219" s="81">
        <f>IFERROR(X219/J219,"0")</f>
        <v>0.2</v>
      </c>
      <c r="BP219" s="81">
        <f>IFERROR(Y219/J219,"0")</f>
        <v>0.2</v>
      </c>
    </row>
    <row r="220" spans="1:68" ht="27" hidden="1" customHeight="1" x14ac:dyDescent="0.25">
      <c r="A220" s="63" t="s">
        <v>327</v>
      </c>
      <c r="B220" s="63" t="s">
        <v>328</v>
      </c>
      <c r="C220" s="36">
        <v>4301135697</v>
      </c>
      <c r="D220" s="302">
        <v>4620207490259</v>
      </c>
      <c r="E220" s="302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118</v>
      </c>
      <c r="L220" s="37" t="s">
        <v>119</v>
      </c>
      <c r="M220" s="38" t="s">
        <v>86</v>
      </c>
      <c r="N220" s="38"/>
      <c r="O220" s="37">
        <v>180</v>
      </c>
      <c r="P220" s="3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0" s="304"/>
      <c r="R220" s="304"/>
      <c r="S220" s="304"/>
      <c r="T220" s="305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5" t="s">
        <v>329</v>
      </c>
      <c r="AG220" s="81"/>
      <c r="AJ220" s="87" t="s">
        <v>120</v>
      </c>
      <c r="AK220" s="87">
        <v>14</v>
      </c>
      <c r="BB220" s="246" t="s">
        <v>117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299"/>
      <c r="B221" s="299"/>
      <c r="C221" s="299"/>
      <c r="D221" s="299"/>
      <c r="E221" s="299"/>
      <c r="F221" s="299"/>
      <c r="G221" s="299"/>
      <c r="H221" s="299"/>
      <c r="I221" s="299"/>
      <c r="J221" s="299"/>
      <c r="K221" s="299"/>
      <c r="L221" s="299"/>
      <c r="M221" s="299"/>
      <c r="N221" s="299"/>
      <c r="O221" s="311"/>
      <c r="P221" s="308" t="s">
        <v>40</v>
      </c>
      <c r="Q221" s="309"/>
      <c r="R221" s="309"/>
      <c r="S221" s="309"/>
      <c r="T221" s="309"/>
      <c r="U221" s="309"/>
      <c r="V221" s="310"/>
      <c r="W221" s="42" t="s">
        <v>39</v>
      </c>
      <c r="X221" s="43">
        <f>IFERROR(SUM(X218:X220),"0")</f>
        <v>14</v>
      </c>
      <c r="Y221" s="43">
        <f>IFERROR(SUM(Y218:Y220),"0")</f>
        <v>14</v>
      </c>
      <c r="Z221" s="43">
        <f>IFERROR(IF(Z218="",0,Z218),"0")+IFERROR(IF(Z219="",0,Z219),"0")+IFERROR(IF(Z220="",0,Z220),"0")</f>
        <v>0.25031999999999999</v>
      </c>
      <c r="AA221" s="67"/>
      <c r="AB221" s="67"/>
      <c r="AC221" s="67"/>
    </row>
    <row r="222" spans="1:68" x14ac:dyDescent="0.2">
      <c r="A222" s="299"/>
      <c r="B222" s="299"/>
      <c r="C222" s="299"/>
      <c r="D222" s="299"/>
      <c r="E222" s="299"/>
      <c r="F222" s="299"/>
      <c r="G222" s="299"/>
      <c r="H222" s="299"/>
      <c r="I222" s="299"/>
      <c r="J222" s="299"/>
      <c r="K222" s="299"/>
      <c r="L222" s="299"/>
      <c r="M222" s="299"/>
      <c r="N222" s="299"/>
      <c r="O222" s="311"/>
      <c r="P222" s="308" t="s">
        <v>40</v>
      </c>
      <c r="Q222" s="309"/>
      <c r="R222" s="309"/>
      <c r="S222" s="309"/>
      <c r="T222" s="309"/>
      <c r="U222" s="309"/>
      <c r="V222" s="310"/>
      <c r="W222" s="42" t="s">
        <v>0</v>
      </c>
      <c r="X222" s="43">
        <f>IFERROR(SUMPRODUCT(X218:X220*H218:H220),"0")</f>
        <v>33.6</v>
      </c>
      <c r="Y222" s="43">
        <f>IFERROR(SUMPRODUCT(Y218:Y220*H218:H220),"0")</f>
        <v>33.6</v>
      </c>
      <c r="Z222" s="42"/>
      <c r="AA222" s="67"/>
      <c r="AB222" s="67"/>
      <c r="AC222" s="67"/>
    </row>
    <row r="223" spans="1:68" ht="16.5" hidden="1" customHeight="1" x14ac:dyDescent="0.25">
      <c r="A223" s="326" t="s">
        <v>330</v>
      </c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  <c r="W223" s="326"/>
      <c r="X223" s="326"/>
      <c r="Y223" s="326"/>
      <c r="Z223" s="326"/>
      <c r="AA223" s="65"/>
      <c r="AB223" s="65"/>
      <c r="AC223" s="82"/>
    </row>
    <row r="224" spans="1:68" ht="14.25" hidden="1" customHeight="1" x14ac:dyDescent="0.25">
      <c r="A224" s="318" t="s">
        <v>149</v>
      </c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66"/>
      <c r="AB224" s="66"/>
      <c r="AC224" s="83"/>
    </row>
    <row r="225" spans="1:68" ht="27" hidden="1" customHeight="1" x14ac:dyDescent="0.25">
      <c r="A225" s="63" t="s">
        <v>331</v>
      </c>
      <c r="B225" s="63" t="s">
        <v>332</v>
      </c>
      <c r="C225" s="36">
        <v>4301135854</v>
      </c>
      <c r="D225" s="302">
        <v>4620207491706</v>
      </c>
      <c r="E225" s="302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118</v>
      </c>
      <c r="L225" s="37" t="s">
        <v>88</v>
      </c>
      <c r="M225" s="38" t="s">
        <v>86</v>
      </c>
      <c r="N225" s="38"/>
      <c r="O225" s="37">
        <v>180</v>
      </c>
      <c r="P225" s="33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5" s="304"/>
      <c r="R225" s="304"/>
      <c r="S225" s="304"/>
      <c r="T225" s="305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7" t="s">
        <v>333</v>
      </c>
      <c r="AG225" s="81"/>
      <c r="AJ225" s="87" t="s">
        <v>89</v>
      </c>
      <c r="AK225" s="87">
        <v>1</v>
      </c>
      <c r="BB225" s="248" t="s">
        <v>117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27" hidden="1" customHeight="1" x14ac:dyDescent="0.25">
      <c r="A226" s="63" t="s">
        <v>334</v>
      </c>
      <c r="B226" s="63" t="s">
        <v>335</v>
      </c>
      <c r="C226" s="36">
        <v>4301135895</v>
      </c>
      <c r="D226" s="302">
        <v>4620207491522</v>
      </c>
      <c r="E226" s="302"/>
      <c r="F226" s="62">
        <v>0.28000000000000003</v>
      </c>
      <c r="G226" s="37">
        <v>12</v>
      </c>
      <c r="H226" s="62">
        <v>3.36</v>
      </c>
      <c r="I226" s="62">
        <v>4.0636000000000001</v>
      </c>
      <c r="J226" s="37">
        <v>70</v>
      </c>
      <c r="K226" s="37" t="s">
        <v>118</v>
      </c>
      <c r="L226" s="37" t="s">
        <v>88</v>
      </c>
      <c r="M226" s="38" t="s">
        <v>86</v>
      </c>
      <c r="N226" s="38"/>
      <c r="O226" s="37">
        <v>180</v>
      </c>
      <c r="P226" s="33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6" s="304"/>
      <c r="R226" s="304"/>
      <c r="S226" s="304"/>
      <c r="T226" s="305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49" t="s">
        <v>336</v>
      </c>
      <c r="AG226" s="81"/>
      <c r="AJ226" s="87" t="s">
        <v>89</v>
      </c>
      <c r="AK226" s="87">
        <v>1</v>
      </c>
      <c r="BB226" s="250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311"/>
      <c r="P227" s="308" t="s">
        <v>40</v>
      </c>
      <c r="Q227" s="309"/>
      <c r="R227" s="309"/>
      <c r="S227" s="309"/>
      <c r="T227" s="309"/>
      <c r="U227" s="309"/>
      <c r="V227" s="310"/>
      <c r="W227" s="42" t="s">
        <v>39</v>
      </c>
      <c r="X227" s="43">
        <f>IFERROR(SUM(X225:X226),"0")</f>
        <v>0</v>
      </c>
      <c r="Y227" s="43">
        <f>IFERROR(SUM(Y225:Y226),"0")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hidden="1" x14ac:dyDescent="0.2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311"/>
      <c r="P228" s="308" t="s">
        <v>40</v>
      </c>
      <c r="Q228" s="309"/>
      <c r="R228" s="309"/>
      <c r="S228" s="309"/>
      <c r="T228" s="309"/>
      <c r="U228" s="309"/>
      <c r="V228" s="310"/>
      <c r="W228" s="42" t="s">
        <v>0</v>
      </c>
      <c r="X228" s="43">
        <f>IFERROR(SUMPRODUCT(X225:X226*H225:H226),"0")</f>
        <v>0</v>
      </c>
      <c r="Y228" s="43">
        <f>IFERROR(SUMPRODUCT(Y225:Y226*H225:H226),"0")</f>
        <v>0</v>
      </c>
      <c r="Z228" s="42"/>
      <c r="AA228" s="67"/>
      <c r="AB228" s="67"/>
      <c r="AC228" s="67"/>
    </row>
    <row r="229" spans="1:68" ht="16.5" hidden="1" customHeight="1" x14ac:dyDescent="0.25">
      <c r="A229" s="326" t="s">
        <v>337</v>
      </c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  <c r="W229" s="326"/>
      <c r="X229" s="326"/>
      <c r="Y229" s="326"/>
      <c r="Z229" s="326"/>
      <c r="AA229" s="65"/>
      <c r="AB229" s="65"/>
      <c r="AC229" s="82"/>
    </row>
    <row r="230" spans="1:68" ht="14.25" hidden="1" customHeight="1" x14ac:dyDescent="0.25">
      <c r="A230" s="318" t="s">
        <v>82</v>
      </c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66"/>
      <c r="AB230" s="66"/>
      <c r="AC230" s="83"/>
    </row>
    <row r="231" spans="1:68" ht="27" customHeight="1" x14ac:dyDescent="0.25">
      <c r="A231" s="63" t="s">
        <v>338</v>
      </c>
      <c r="B231" s="63" t="s">
        <v>339</v>
      </c>
      <c r="C231" s="36">
        <v>4301071097</v>
      </c>
      <c r="D231" s="302">
        <v>4620207491096</v>
      </c>
      <c r="E231" s="302"/>
      <c r="F231" s="62">
        <v>1</v>
      </c>
      <c r="G231" s="37">
        <v>5</v>
      </c>
      <c r="H231" s="62">
        <v>5</v>
      </c>
      <c r="I231" s="62">
        <v>5.23</v>
      </c>
      <c r="J231" s="37">
        <v>84</v>
      </c>
      <c r="K231" s="37" t="s">
        <v>87</v>
      </c>
      <c r="L231" s="37" t="s">
        <v>119</v>
      </c>
      <c r="M231" s="38" t="s">
        <v>86</v>
      </c>
      <c r="N231" s="38"/>
      <c r="O231" s="37">
        <v>180</v>
      </c>
      <c r="P231" s="3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1" s="304"/>
      <c r="R231" s="304"/>
      <c r="S231" s="304"/>
      <c r="T231" s="305"/>
      <c r="U231" s="39" t="s">
        <v>46</v>
      </c>
      <c r="V231" s="39" t="s">
        <v>46</v>
      </c>
      <c r="W231" s="40" t="s">
        <v>39</v>
      </c>
      <c r="X231" s="58">
        <v>72</v>
      </c>
      <c r="Y231" s="55">
        <f>IFERROR(IF(X231="","",X231),"")</f>
        <v>72</v>
      </c>
      <c r="Z231" s="41">
        <f>IFERROR(IF(X231="","",X231*0.0155),"")</f>
        <v>1.1160000000000001</v>
      </c>
      <c r="AA231" s="68" t="s">
        <v>46</v>
      </c>
      <c r="AB231" s="69" t="s">
        <v>46</v>
      </c>
      <c r="AC231" s="251" t="s">
        <v>340</v>
      </c>
      <c r="AG231" s="81"/>
      <c r="AJ231" s="87" t="s">
        <v>120</v>
      </c>
      <c r="AK231" s="87">
        <v>12</v>
      </c>
      <c r="BB231" s="252" t="s">
        <v>70</v>
      </c>
      <c r="BM231" s="81">
        <f>IFERROR(X231*I231,"0")</f>
        <v>376.56000000000006</v>
      </c>
      <c r="BN231" s="81">
        <f>IFERROR(Y231*I231,"0")</f>
        <v>376.56000000000006</v>
      </c>
      <c r="BO231" s="81">
        <f>IFERROR(X231/J231,"0")</f>
        <v>0.8571428571428571</v>
      </c>
      <c r="BP231" s="81">
        <f>IFERROR(Y231/J231,"0")</f>
        <v>0.8571428571428571</v>
      </c>
    </row>
    <row r="232" spans="1:68" x14ac:dyDescent="0.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311"/>
      <c r="P232" s="308" t="s">
        <v>40</v>
      </c>
      <c r="Q232" s="309"/>
      <c r="R232" s="309"/>
      <c r="S232" s="309"/>
      <c r="T232" s="309"/>
      <c r="U232" s="309"/>
      <c r="V232" s="310"/>
      <c r="W232" s="42" t="s">
        <v>39</v>
      </c>
      <c r="X232" s="43">
        <f>IFERROR(SUM(X231:X231),"0")</f>
        <v>72</v>
      </c>
      <c r="Y232" s="43">
        <f>IFERROR(SUM(Y231:Y231),"0")</f>
        <v>72</v>
      </c>
      <c r="Z232" s="43">
        <f>IFERROR(IF(Z231="",0,Z231),"0")</f>
        <v>1.1160000000000001</v>
      </c>
      <c r="AA232" s="67"/>
      <c r="AB232" s="67"/>
      <c r="AC232" s="67"/>
    </row>
    <row r="233" spans="1:68" x14ac:dyDescent="0.2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311"/>
      <c r="P233" s="308" t="s">
        <v>40</v>
      </c>
      <c r="Q233" s="309"/>
      <c r="R233" s="309"/>
      <c r="S233" s="309"/>
      <c r="T233" s="309"/>
      <c r="U233" s="309"/>
      <c r="V233" s="310"/>
      <c r="W233" s="42" t="s">
        <v>0</v>
      </c>
      <c r="X233" s="43">
        <f>IFERROR(SUMPRODUCT(X231:X231*H231:H231),"0")</f>
        <v>360</v>
      </c>
      <c r="Y233" s="43">
        <f>IFERROR(SUMPRODUCT(Y231:Y231*H231:H231),"0")</f>
        <v>360</v>
      </c>
      <c r="Z233" s="42"/>
      <c r="AA233" s="67"/>
      <c r="AB233" s="67"/>
      <c r="AC233" s="67"/>
    </row>
    <row r="234" spans="1:68" ht="27.75" hidden="1" customHeight="1" x14ac:dyDescent="0.2">
      <c r="A234" s="325" t="s">
        <v>341</v>
      </c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  <c r="AA234" s="54"/>
      <c r="AB234" s="54"/>
      <c r="AC234" s="54"/>
    </row>
    <row r="235" spans="1:68" ht="16.5" hidden="1" customHeight="1" x14ac:dyDescent="0.25">
      <c r="A235" s="326" t="s">
        <v>342</v>
      </c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  <c r="AA235" s="65"/>
      <c r="AB235" s="65"/>
      <c r="AC235" s="82"/>
    </row>
    <row r="236" spans="1:68" ht="14.25" hidden="1" customHeight="1" x14ac:dyDescent="0.25">
      <c r="A236" s="318" t="s">
        <v>82</v>
      </c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  <c r="AA236" s="66"/>
      <c r="AB236" s="66"/>
      <c r="AC236" s="83"/>
    </row>
    <row r="237" spans="1:68" ht="27" hidden="1" customHeight="1" x14ac:dyDescent="0.25">
      <c r="A237" s="63" t="s">
        <v>343</v>
      </c>
      <c r="B237" s="63" t="s">
        <v>344</v>
      </c>
      <c r="C237" s="36">
        <v>4301071036</v>
      </c>
      <c r="D237" s="302">
        <v>4607111036162</v>
      </c>
      <c r="E237" s="302"/>
      <c r="F237" s="62">
        <v>0.8</v>
      </c>
      <c r="G237" s="37">
        <v>8</v>
      </c>
      <c r="H237" s="62">
        <v>6.4</v>
      </c>
      <c r="I237" s="62">
        <v>6.6811999999999996</v>
      </c>
      <c r="J237" s="37">
        <v>84</v>
      </c>
      <c r="K237" s="37" t="s">
        <v>87</v>
      </c>
      <c r="L237" s="37" t="s">
        <v>88</v>
      </c>
      <c r="M237" s="38" t="s">
        <v>86</v>
      </c>
      <c r="N237" s="38"/>
      <c r="O237" s="37">
        <v>90</v>
      </c>
      <c r="P237" s="33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7" s="304"/>
      <c r="R237" s="304"/>
      <c r="S237" s="304"/>
      <c r="T237" s="305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IFERROR(IF(X237="","",X237*0.0155),"")</f>
        <v>0</v>
      </c>
      <c r="AA237" s="68" t="s">
        <v>46</v>
      </c>
      <c r="AB237" s="69" t="s">
        <v>46</v>
      </c>
      <c r="AC237" s="253" t="s">
        <v>345</v>
      </c>
      <c r="AG237" s="81"/>
      <c r="AJ237" s="87" t="s">
        <v>89</v>
      </c>
      <c r="AK237" s="87">
        <v>1</v>
      </c>
      <c r="BB237" s="254" t="s">
        <v>70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311"/>
      <c r="P238" s="308" t="s">
        <v>40</v>
      </c>
      <c r="Q238" s="309"/>
      <c r="R238" s="309"/>
      <c r="S238" s="309"/>
      <c r="T238" s="309"/>
      <c r="U238" s="309"/>
      <c r="V238" s="310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311"/>
      <c r="P239" s="308" t="s">
        <v>40</v>
      </c>
      <c r="Q239" s="309"/>
      <c r="R239" s="309"/>
      <c r="S239" s="309"/>
      <c r="T239" s="309"/>
      <c r="U239" s="309"/>
      <c r="V239" s="310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25" t="s">
        <v>346</v>
      </c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  <c r="AA240" s="54"/>
      <c r="AB240" s="54"/>
      <c r="AC240" s="54"/>
    </row>
    <row r="241" spans="1:68" ht="16.5" hidden="1" customHeight="1" x14ac:dyDescent="0.25">
      <c r="A241" s="326" t="s">
        <v>347</v>
      </c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  <c r="AA241" s="65"/>
      <c r="AB241" s="65"/>
      <c r="AC241" s="82"/>
    </row>
    <row r="242" spans="1:68" ht="14.25" hidden="1" customHeight="1" x14ac:dyDescent="0.25">
      <c r="A242" s="318" t="s">
        <v>348</v>
      </c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  <c r="AA242" s="66"/>
      <c r="AB242" s="66"/>
      <c r="AC242" s="83"/>
    </row>
    <row r="243" spans="1:68" ht="27" hidden="1" customHeight="1" x14ac:dyDescent="0.25">
      <c r="A243" s="63" t="s">
        <v>349</v>
      </c>
      <c r="B243" s="63" t="s">
        <v>350</v>
      </c>
      <c r="C243" s="36">
        <v>4301133004</v>
      </c>
      <c r="D243" s="302">
        <v>4607111039774</v>
      </c>
      <c r="E243" s="302"/>
      <c r="F243" s="62">
        <v>0.25</v>
      </c>
      <c r="G243" s="37">
        <v>12</v>
      </c>
      <c r="H243" s="62">
        <v>3</v>
      </c>
      <c r="I243" s="62">
        <v>3.22</v>
      </c>
      <c r="J243" s="37">
        <v>70</v>
      </c>
      <c r="K243" s="37" t="s">
        <v>118</v>
      </c>
      <c r="L243" s="37" t="s">
        <v>88</v>
      </c>
      <c r="M243" s="38" t="s">
        <v>86</v>
      </c>
      <c r="N243" s="38"/>
      <c r="O243" s="37">
        <v>180</v>
      </c>
      <c r="P243" s="32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3" s="304"/>
      <c r="R243" s="304"/>
      <c r="S243" s="304"/>
      <c r="T243" s="305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5" t="s">
        <v>351</v>
      </c>
      <c r="AG243" s="81"/>
      <c r="AJ243" s="87" t="s">
        <v>89</v>
      </c>
      <c r="AK243" s="87">
        <v>1</v>
      </c>
      <c r="BB243" s="256" t="s">
        <v>117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311"/>
      <c r="P244" s="308" t="s">
        <v>40</v>
      </c>
      <c r="Q244" s="309"/>
      <c r="R244" s="309"/>
      <c r="S244" s="309"/>
      <c r="T244" s="309"/>
      <c r="U244" s="309"/>
      <c r="V244" s="310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311"/>
      <c r="P245" s="308" t="s">
        <v>40</v>
      </c>
      <c r="Q245" s="309"/>
      <c r="R245" s="309"/>
      <c r="S245" s="309"/>
      <c r="T245" s="309"/>
      <c r="U245" s="309"/>
      <c r="V245" s="310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hidden="1" customHeight="1" x14ac:dyDescent="0.25">
      <c r="A246" s="318" t="s">
        <v>149</v>
      </c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  <c r="AA246" s="66"/>
      <c r="AB246" s="66"/>
      <c r="AC246" s="83"/>
    </row>
    <row r="247" spans="1:68" ht="37.5" hidden="1" customHeight="1" x14ac:dyDescent="0.25">
      <c r="A247" s="63" t="s">
        <v>352</v>
      </c>
      <c r="B247" s="63" t="s">
        <v>353</v>
      </c>
      <c r="C247" s="36">
        <v>4301135400</v>
      </c>
      <c r="D247" s="302">
        <v>4607111039361</v>
      </c>
      <c r="E247" s="302"/>
      <c r="F247" s="62">
        <v>0.25</v>
      </c>
      <c r="G247" s="37">
        <v>12</v>
      </c>
      <c r="H247" s="62">
        <v>3</v>
      </c>
      <c r="I247" s="62">
        <v>3.7035999999999998</v>
      </c>
      <c r="J247" s="37">
        <v>70</v>
      </c>
      <c r="K247" s="37" t="s">
        <v>118</v>
      </c>
      <c r="L247" s="37" t="s">
        <v>88</v>
      </c>
      <c r="M247" s="38" t="s">
        <v>86</v>
      </c>
      <c r="N247" s="38"/>
      <c r="O247" s="37">
        <v>180</v>
      </c>
      <c r="P247" s="3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7" s="304"/>
      <c r="R247" s="304"/>
      <c r="S247" s="304"/>
      <c r="T247" s="305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57" t="s">
        <v>351</v>
      </c>
      <c r="AG247" s="81"/>
      <c r="AJ247" s="87" t="s">
        <v>89</v>
      </c>
      <c r="AK247" s="87">
        <v>1</v>
      </c>
      <c r="BB247" s="258" t="s">
        <v>117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311"/>
      <c r="P248" s="308" t="s">
        <v>40</v>
      </c>
      <c r="Q248" s="309"/>
      <c r="R248" s="309"/>
      <c r="S248" s="309"/>
      <c r="T248" s="309"/>
      <c r="U248" s="309"/>
      <c r="V248" s="310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311"/>
      <c r="P249" s="308" t="s">
        <v>40</v>
      </c>
      <c r="Q249" s="309"/>
      <c r="R249" s="309"/>
      <c r="S249" s="309"/>
      <c r="T249" s="309"/>
      <c r="U249" s="309"/>
      <c r="V249" s="310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25" t="s">
        <v>354</v>
      </c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  <c r="X250" s="325"/>
      <c r="Y250" s="325"/>
      <c r="Z250" s="325"/>
      <c r="AA250" s="54"/>
      <c r="AB250" s="54"/>
      <c r="AC250" s="54"/>
    </row>
    <row r="251" spans="1:68" ht="16.5" hidden="1" customHeight="1" x14ac:dyDescent="0.25">
      <c r="A251" s="326" t="s">
        <v>354</v>
      </c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  <c r="AA251" s="65"/>
      <c r="AB251" s="65"/>
      <c r="AC251" s="82"/>
    </row>
    <row r="252" spans="1:68" ht="14.25" hidden="1" customHeight="1" x14ac:dyDescent="0.25">
      <c r="A252" s="318" t="s">
        <v>113</v>
      </c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66"/>
      <c r="AB252" s="66"/>
      <c r="AC252" s="83"/>
    </row>
    <row r="253" spans="1:68" ht="27" hidden="1" customHeight="1" x14ac:dyDescent="0.25">
      <c r="A253" s="63" t="s">
        <v>355</v>
      </c>
      <c r="B253" s="63" t="s">
        <v>356</v>
      </c>
      <c r="C253" s="36">
        <v>4301132228</v>
      </c>
      <c r="D253" s="302">
        <v>4640242181950</v>
      </c>
      <c r="E253" s="302"/>
      <c r="F253" s="62">
        <v>0.23</v>
      </c>
      <c r="G253" s="37">
        <v>12</v>
      </c>
      <c r="H253" s="62">
        <v>2.76</v>
      </c>
      <c r="I253" s="62">
        <v>3.22</v>
      </c>
      <c r="J253" s="37">
        <v>70</v>
      </c>
      <c r="K253" s="37" t="s">
        <v>118</v>
      </c>
      <c r="L253" s="37" t="s">
        <v>88</v>
      </c>
      <c r="M253" s="38" t="s">
        <v>86</v>
      </c>
      <c r="N253" s="38"/>
      <c r="O253" s="37">
        <v>365</v>
      </c>
      <c r="P253" s="32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3" s="304"/>
      <c r="R253" s="304"/>
      <c r="S253" s="304"/>
      <c r="T253" s="305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IFERROR(IF(X253="","",X253*0.01788),"")</f>
        <v>0</v>
      </c>
      <c r="AA253" s="68" t="s">
        <v>46</v>
      </c>
      <c r="AB253" s="69" t="s">
        <v>46</v>
      </c>
      <c r="AC253" s="259" t="s">
        <v>357</v>
      </c>
      <c r="AG253" s="81"/>
      <c r="AJ253" s="87" t="s">
        <v>89</v>
      </c>
      <c r="AK253" s="87">
        <v>1</v>
      </c>
      <c r="BB253" s="260" t="s">
        <v>117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311"/>
      <c r="P254" s="308" t="s">
        <v>40</v>
      </c>
      <c r="Q254" s="309"/>
      <c r="R254" s="309"/>
      <c r="S254" s="309"/>
      <c r="T254" s="309"/>
      <c r="U254" s="309"/>
      <c r="V254" s="310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hidden="1" x14ac:dyDescent="0.2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311"/>
      <c r="P255" s="308" t="s">
        <v>40</v>
      </c>
      <c r="Q255" s="309"/>
      <c r="R255" s="309"/>
      <c r="S255" s="309"/>
      <c r="T255" s="309"/>
      <c r="U255" s="309"/>
      <c r="V255" s="310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14.25" hidden="1" customHeight="1" x14ac:dyDescent="0.25">
      <c r="A256" s="318" t="s">
        <v>145</v>
      </c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  <c r="AA256" s="66"/>
      <c r="AB256" s="66"/>
      <c r="AC256" s="83"/>
    </row>
    <row r="257" spans="1:68" ht="27" hidden="1" customHeight="1" x14ac:dyDescent="0.25">
      <c r="A257" s="63" t="s">
        <v>358</v>
      </c>
      <c r="B257" s="63" t="s">
        <v>359</v>
      </c>
      <c r="C257" s="36">
        <v>4301136098</v>
      </c>
      <c r="D257" s="302">
        <v>4640242181943</v>
      </c>
      <c r="E257" s="302"/>
      <c r="F257" s="62">
        <v>0.09</v>
      </c>
      <c r="G257" s="37">
        <v>24</v>
      </c>
      <c r="H257" s="62">
        <v>2.16</v>
      </c>
      <c r="I257" s="62">
        <v>2.34</v>
      </c>
      <c r="J257" s="37">
        <v>126</v>
      </c>
      <c r="K257" s="37" t="s">
        <v>118</v>
      </c>
      <c r="L257" s="37" t="s">
        <v>88</v>
      </c>
      <c r="M257" s="38" t="s">
        <v>86</v>
      </c>
      <c r="N257" s="38"/>
      <c r="O257" s="37">
        <v>180</v>
      </c>
      <c r="P257" s="32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7" s="304"/>
      <c r="R257" s="304"/>
      <c r="S257" s="304"/>
      <c r="T257" s="305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61" t="s">
        <v>360</v>
      </c>
      <c r="AG257" s="81"/>
      <c r="AJ257" s="87" t="s">
        <v>89</v>
      </c>
      <c r="AK257" s="87">
        <v>1</v>
      </c>
      <c r="BB257" s="262" t="s">
        <v>117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idden="1" x14ac:dyDescent="0.2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311"/>
      <c r="P258" s="308" t="s">
        <v>40</v>
      </c>
      <c r="Q258" s="309"/>
      <c r="R258" s="309"/>
      <c r="S258" s="309"/>
      <c r="T258" s="309"/>
      <c r="U258" s="309"/>
      <c r="V258" s="310"/>
      <c r="W258" s="42" t="s">
        <v>39</v>
      </c>
      <c r="X258" s="43">
        <f>IFERROR(SUM(X257:X257),"0")</f>
        <v>0</v>
      </c>
      <c r="Y258" s="43">
        <f>IFERROR(SUM(Y257:Y257),"0")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311"/>
      <c r="P259" s="308" t="s">
        <v>40</v>
      </c>
      <c r="Q259" s="309"/>
      <c r="R259" s="309"/>
      <c r="S259" s="309"/>
      <c r="T259" s="309"/>
      <c r="U259" s="309"/>
      <c r="V259" s="310"/>
      <c r="W259" s="42" t="s">
        <v>0</v>
      </c>
      <c r="X259" s="43">
        <f>IFERROR(SUMPRODUCT(X257:X257*H257:H257),"0")</f>
        <v>0</v>
      </c>
      <c r="Y259" s="43">
        <f>IFERROR(SUMPRODUCT(Y257:Y257*H257:H257),"0")</f>
        <v>0</v>
      </c>
      <c r="Z259" s="42"/>
      <c r="AA259" s="67"/>
      <c r="AB259" s="67"/>
      <c r="AC259" s="67"/>
    </row>
    <row r="260" spans="1:68" ht="27.75" hidden="1" customHeight="1" x14ac:dyDescent="0.2">
      <c r="A260" s="325" t="s">
        <v>276</v>
      </c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  <c r="X260" s="325"/>
      <c r="Y260" s="325"/>
      <c r="Z260" s="325"/>
      <c r="AA260" s="54"/>
      <c r="AB260" s="54"/>
      <c r="AC260" s="54"/>
    </row>
    <row r="261" spans="1:68" ht="16.5" hidden="1" customHeight="1" x14ac:dyDescent="0.25">
      <c r="A261" s="326" t="s">
        <v>276</v>
      </c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  <c r="AA261" s="65"/>
      <c r="AB261" s="65"/>
      <c r="AC261" s="82"/>
    </row>
    <row r="262" spans="1:68" ht="14.25" hidden="1" customHeight="1" x14ac:dyDescent="0.25">
      <c r="A262" s="318" t="s">
        <v>82</v>
      </c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  <c r="AA262" s="66"/>
      <c r="AB262" s="66"/>
      <c r="AC262" s="83"/>
    </row>
    <row r="263" spans="1:68" ht="27" hidden="1" customHeight="1" x14ac:dyDescent="0.25">
      <c r="A263" s="63" t="s">
        <v>361</v>
      </c>
      <c r="B263" s="63" t="s">
        <v>362</v>
      </c>
      <c r="C263" s="36">
        <v>4301071014</v>
      </c>
      <c r="D263" s="302">
        <v>4640242181264</v>
      </c>
      <c r="E263" s="302"/>
      <c r="F263" s="62">
        <v>0.7</v>
      </c>
      <c r="G263" s="37">
        <v>10</v>
      </c>
      <c r="H263" s="62">
        <v>7</v>
      </c>
      <c r="I263" s="62">
        <v>7.28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32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3" s="304"/>
      <c r="R263" s="304"/>
      <c r="S263" s="304"/>
      <c r="T263" s="305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363</v>
      </c>
      <c r="AG263" s="81"/>
      <c r="AJ263" s="87" t="s">
        <v>89</v>
      </c>
      <c r="AK263" s="87">
        <v>1</v>
      </c>
      <c r="BB263" s="264" t="s">
        <v>70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hidden="1" customHeight="1" x14ac:dyDescent="0.25">
      <c r="A264" s="63" t="s">
        <v>364</v>
      </c>
      <c r="B264" s="63" t="s">
        <v>365</v>
      </c>
      <c r="C264" s="36">
        <v>4301071141</v>
      </c>
      <c r="D264" s="302">
        <v>4620207491980</v>
      </c>
      <c r="E264" s="302"/>
      <c r="F264" s="62">
        <v>0.7</v>
      </c>
      <c r="G264" s="37">
        <v>10</v>
      </c>
      <c r="H264" s="62">
        <v>7</v>
      </c>
      <c r="I264" s="62">
        <v>7.28</v>
      </c>
      <c r="J264" s="37">
        <v>84</v>
      </c>
      <c r="K264" s="37" t="s">
        <v>87</v>
      </c>
      <c r="L264" s="37" t="s">
        <v>88</v>
      </c>
      <c r="M264" s="38" t="s">
        <v>86</v>
      </c>
      <c r="N264" s="38"/>
      <c r="O264" s="37">
        <v>180</v>
      </c>
      <c r="P264" s="32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4" s="304"/>
      <c r="R264" s="304"/>
      <c r="S264" s="304"/>
      <c r="T264" s="30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5" t="s">
        <v>366</v>
      </c>
      <c r="AG264" s="81"/>
      <c r="AJ264" s="87" t="s">
        <v>89</v>
      </c>
      <c r="AK264" s="87">
        <v>1</v>
      </c>
      <c r="BB264" s="266" t="s">
        <v>70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idden="1" x14ac:dyDescent="0.2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311"/>
      <c r="P265" s="308" t="s">
        <v>40</v>
      </c>
      <c r="Q265" s="309"/>
      <c r="R265" s="309"/>
      <c r="S265" s="309"/>
      <c r="T265" s="309"/>
      <c r="U265" s="309"/>
      <c r="V265" s="310"/>
      <c r="W265" s="42" t="s">
        <v>39</v>
      </c>
      <c r="X265" s="43">
        <f>IFERROR(SUM(X263:X264),"0")</f>
        <v>0</v>
      </c>
      <c r="Y265" s="43">
        <f>IFERROR(SUM(Y263:Y264),"0")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311"/>
      <c r="P266" s="308" t="s">
        <v>40</v>
      </c>
      <c r="Q266" s="309"/>
      <c r="R266" s="309"/>
      <c r="S266" s="309"/>
      <c r="T266" s="309"/>
      <c r="U266" s="309"/>
      <c r="V266" s="310"/>
      <c r="W266" s="42" t="s">
        <v>0</v>
      </c>
      <c r="X266" s="43">
        <f>IFERROR(SUMPRODUCT(X263:X264*H263:H264),"0")</f>
        <v>0</v>
      </c>
      <c r="Y266" s="43">
        <f>IFERROR(SUMPRODUCT(Y263:Y264*H263:H264),"0")</f>
        <v>0</v>
      </c>
      <c r="Z266" s="42"/>
      <c r="AA266" s="67"/>
      <c r="AB266" s="67"/>
      <c r="AC266" s="67"/>
    </row>
    <row r="267" spans="1:68" ht="14.25" hidden="1" customHeight="1" x14ac:dyDescent="0.25">
      <c r="A267" s="318" t="s">
        <v>145</v>
      </c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  <c r="AA267" s="66"/>
      <c r="AB267" s="66"/>
      <c r="AC267" s="83"/>
    </row>
    <row r="268" spans="1:68" ht="27" hidden="1" customHeight="1" x14ac:dyDescent="0.25">
      <c r="A268" s="63" t="s">
        <v>367</v>
      </c>
      <c r="B268" s="63" t="s">
        <v>368</v>
      </c>
      <c r="C268" s="36">
        <v>4301136116</v>
      </c>
      <c r="D268" s="302">
        <v>4620207492147</v>
      </c>
      <c r="E268" s="302"/>
      <c r="F268" s="62">
        <v>2.7</v>
      </c>
      <c r="G268" s="37">
        <v>1</v>
      </c>
      <c r="H268" s="62">
        <v>2.7</v>
      </c>
      <c r="I268" s="62">
        <v>2.8906000000000001</v>
      </c>
      <c r="J268" s="37">
        <v>126</v>
      </c>
      <c r="K268" s="37" t="s">
        <v>118</v>
      </c>
      <c r="L268" s="37" t="s">
        <v>88</v>
      </c>
      <c r="M268" s="38" t="s">
        <v>86</v>
      </c>
      <c r="N268" s="38"/>
      <c r="O268" s="37">
        <v>180</v>
      </c>
      <c r="P268" s="322" t="s">
        <v>369</v>
      </c>
      <c r="Q268" s="304"/>
      <c r="R268" s="304"/>
      <c r="S268" s="304"/>
      <c r="T268" s="305"/>
      <c r="U268" s="39" t="s">
        <v>46</v>
      </c>
      <c r="V268" s="39" t="s">
        <v>46</v>
      </c>
      <c r="W268" s="40" t="s">
        <v>39</v>
      </c>
      <c r="X268" s="58">
        <v>0</v>
      </c>
      <c r="Y268" s="55">
        <f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195</v>
      </c>
      <c r="AG268" s="81"/>
      <c r="AJ268" s="87" t="s">
        <v>89</v>
      </c>
      <c r="AK268" s="87">
        <v>1</v>
      </c>
      <c r="BB268" s="268" t="s">
        <v>117</v>
      </c>
      <c r="BM268" s="81">
        <f>IFERROR(X268*I268,"0")</f>
        <v>0</v>
      </c>
      <c r="BN268" s="81">
        <f>IFERROR(Y268*I268,"0")</f>
        <v>0</v>
      </c>
      <c r="BO268" s="81">
        <f>IFERROR(X268/J268,"0")</f>
        <v>0</v>
      </c>
      <c r="BP268" s="81">
        <f>IFERROR(Y268/J268,"0")</f>
        <v>0</v>
      </c>
    </row>
    <row r="269" spans="1:68" ht="27" customHeight="1" x14ac:dyDescent="0.25">
      <c r="A269" s="63" t="s">
        <v>370</v>
      </c>
      <c r="B269" s="63" t="s">
        <v>371</v>
      </c>
      <c r="C269" s="36">
        <v>4301136112</v>
      </c>
      <c r="D269" s="302">
        <v>4620207492154</v>
      </c>
      <c r="E269" s="302"/>
      <c r="F269" s="62">
        <v>5</v>
      </c>
      <c r="G269" s="37">
        <v>1</v>
      </c>
      <c r="H269" s="62">
        <v>5</v>
      </c>
      <c r="I269" s="62">
        <v>5.2350000000000003</v>
      </c>
      <c r="J269" s="37">
        <v>84</v>
      </c>
      <c r="K269" s="37" t="s">
        <v>87</v>
      </c>
      <c r="L269" s="37" t="s">
        <v>88</v>
      </c>
      <c r="M269" s="38" t="s">
        <v>86</v>
      </c>
      <c r="N269" s="38"/>
      <c r="O269" s="37">
        <v>180</v>
      </c>
      <c r="P269" s="323" t="s">
        <v>372</v>
      </c>
      <c r="Q269" s="304"/>
      <c r="R269" s="304"/>
      <c r="S269" s="304"/>
      <c r="T269" s="305"/>
      <c r="U269" s="39" t="s">
        <v>46</v>
      </c>
      <c r="V269" s="39" t="s">
        <v>46</v>
      </c>
      <c r="W269" s="40" t="s">
        <v>39</v>
      </c>
      <c r="X269" s="58">
        <v>276</v>
      </c>
      <c r="Y269" s="55">
        <f>IFERROR(IF(X269="","",X269),"")</f>
        <v>276</v>
      </c>
      <c r="Z269" s="41">
        <f>IFERROR(IF(X269="","",X269*0.0155),"")</f>
        <v>4.2779999999999996</v>
      </c>
      <c r="AA269" s="68" t="s">
        <v>46</v>
      </c>
      <c r="AB269" s="69" t="s">
        <v>46</v>
      </c>
      <c r="AC269" s="269" t="s">
        <v>195</v>
      </c>
      <c r="AG269" s="81"/>
      <c r="AJ269" s="87" t="s">
        <v>89</v>
      </c>
      <c r="AK269" s="87">
        <v>1</v>
      </c>
      <c r="BB269" s="270" t="s">
        <v>117</v>
      </c>
      <c r="BM269" s="81">
        <f>IFERROR(X269*I269,"0")</f>
        <v>1444.8600000000001</v>
      </c>
      <c r="BN269" s="81">
        <f>IFERROR(Y269*I269,"0")</f>
        <v>1444.8600000000001</v>
      </c>
      <c r="BO269" s="81">
        <f>IFERROR(X269/J269,"0")</f>
        <v>3.2857142857142856</v>
      </c>
      <c r="BP269" s="81">
        <f>IFERROR(Y269/J269,"0")</f>
        <v>3.2857142857142856</v>
      </c>
    </row>
    <row r="270" spans="1:68" ht="27" customHeight="1" x14ac:dyDescent="0.25">
      <c r="A270" s="63" t="s">
        <v>373</v>
      </c>
      <c r="B270" s="63" t="s">
        <v>374</v>
      </c>
      <c r="C270" s="36">
        <v>4301136114</v>
      </c>
      <c r="D270" s="302">
        <v>4620207492086</v>
      </c>
      <c r="E270" s="302"/>
      <c r="F270" s="62">
        <v>2.2400000000000002</v>
      </c>
      <c r="G270" s="37">
        <v>1</v>
      </c>
      <c r="H270" s="62">
        <v>2.2400000000000002</v>
      </c>
      <c r="I270" s="62">
        <v>2.4319999999999999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17" t="s">
        <v>375</v>
      </c>
      <c r="Q270" s="304"/>
      <c r="R270" s="304"/>
      <c r="S270" s="304"/>
      <c r="T270" s="305"/>
      <c r="U270" s="39" t="s">
        <v>46</v>
      </c>
      <c r="V270" s="39" t="s">
        <v>46</v>
      </c>
      <c r="W270" s="40" t="s">
        <v>39</v>
      </c>
      <c r="X270" s="58">
        <v>14</v>
      </c>
      <c r="Y270" s="55">
        <f>IFERROR(IF(X270="","",X270),"")</f>
        <v>14</v>
      </c>
      <c r="Z270" s="41">
        <f>IFERROR(IF(X270="","",X270*0.00936),"")</f>
        <v>0.13103999999999999</v>
      </c>
      <c r="AA270" s="68" t="s">
        <v>46</v>
      </c>
      <c r="AB270" s="69" t="s">
        <v>46</v>
      </c>
      <c r="AC270" s="271" t="s">
        <v>195</v>
      </c>
      <c r="AG270" s="81"/>
      <c r="AJ270" s="87" t="s">
        <v>89</v>
      </c>
      <c r="AK270" s="87">
        <v>1</v>
      </c>
      <c r="BB270" s="272" t="s">
        <v>117</v>
      </c>
      <c r="BM270" s="81">
        <f>IFERROR(X270*I270,"0")</f>
        <v>34.048000000000002</v>
      </c>
      <c r="BN270" s="81">
        <f>IFERROR(Y270*I270,"0")</f>
        <v>34.048000000000002</v>
      </c>
      <c r="BO270" s="81">
        <f>IFERROR(X270/J270,"0")</f>
        <v>0.1111111111111111</v>
      </c>
      <c r="BP270" s="81">
        <f>IFERROR(Y270/J270,"0")</f>
        <v>0.1111111111111111</v>
      </c>
    </row>
    <row r="271" spans="1:68" x14ac:dyDescent="0.2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311"/>
      <c r="P271" s="308" t="s">
        <v>40</v>
      </c>
      <c r="Q271" s="309"/>
      <c r="R271" s="309"/>
      <c r="S271" s="309"/>
      <c r="T271" s="309"/>
      <c r="U271" s="309"/>
      <c r="V271" s="310"/>
      <c r="W271" s="42" t="s">
        <v>39</v>
      </c>
      <c r="X271" s="43">
        <f>IFERROR(SUM(X268:X270),"0")</f>
        <v>290</v>
      </c>
      <c r="Y271" s="43">
        <f>IFERROR(SUM(Y268:Y270),"0")</f>
        <v>290</v>
      </c>
      <c r="Z271" s="43">
        <f>IFERROR(IF(Z268="",0,Z268),"0")+IFERROR(IF(Z269="",0,Z269),"0")+IFERROR(IF(Z270="",0,Z270),"0")</f>
        <v>4.4090399999999992</v>
      </c>
      <c r="AA271" s="67"/>
      <c r="AB271" s="67"/>
      <c r="AC271" s="67"/>
    </row>
    <row r="272" spans="1:68" x14ac:dyDescent="0.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311"/>
      <c r="P272" s="308" t="s">
        <v>40</v>
      </c>
      <c r="Q272" s="309"/>
      <c r="R272" s="309"/>
      <c r="S272" s="309"/>
      <c r="T272" s="309"/>
      <c r="U272" s="309"/>
      <c r="V272" s="310"/>
      <c r="W272" s="42" t="s">
        <v>0</v>
      </c>
      <c r="X272" s="43">
        <f>IFERROR(SUMPRODUCT(X268:X270*H268:H270),"0")</f>
        <v>1411.36</v>
      </c>
      <c r="Y272" s="43">
        <f>IFERROR(SUMPRODUCT(Y268:Y270*H268:H270),"0")</f>
        <v>1411.36</v>
      </c>
      <c r="Z272" s="42"/>
      <c r="AA272" s="67"/>
      <c r="AB272" s="67"/>
      <c r="AC272" s="67"/>
    </row>
    <row r="273" spans="1:68" ht="14.25" hidden="1" customHeight="1" x14ac:dyDescent="0.25">
      <c r="A273" s="318" t="s">
        <v>149</v>
      </c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  <c r="AA273" s="66"/>
      <c r="AB273" s="66"/>
      <c r="AC273" s="83"/>
    </row>
    <row r="274" spans="1:68" ht="37.5" customHeight="1" x14ac:dyDescent="0.25">
      <c r="A274" s="63" t="s">
        <v>376</v>
      </c>
      <c r="B274" s="63" t="s">
        <v>377</v>
      </c>
      <c r="C274" s="36">
        <v>4301137068</v>
      </c>
      <c r="D274" s="302">
        <v>4620207492161</v>
      </c>
      <c r="E274" s="302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319" t="s">
        <v>378</v>
      </c>
      <c r="Q274" s="304"/>
      <c r="R274" s="304"/>
      <c r="S274" s="304"/>
      <c r="T274" s="305"/>
      <c r="U274" s="39" t="s">
        <v>46</v>
      </c>
      <c r="V274" s="39" t="s">
        <v>46</v>
      </c>
      <c r="W274" s="40" t="s">
        <v>39</v>
      </c>
      <c r="X274" s="58">
        <v>28</v>
      </c>
      <c r="Y274" s="55">
        <f t="shared" ref="Y274:Y283" si="18">IFERROR(IF(X274="","",X274),"")</f>
        <v>28</v>
      </c>
      <c r="Z274" s="41">
        <f>IFERROR(IF(X274="","",X274*0.00936),"")</f>
        <v>0.26207999999999998</v>
      </c>
      <c r="AA274" s="68" t="s">
        <v>46</v>
      </c>
      <c r="AB274" s="69" t="s">
        <v>46</v>
      </c>
      <c r="AC274" s="273" t="s">
        <v>379</v>
      </c>
      <c r="AG274" s="81"/>
      <c r="AJ274" s="87" t="s">
        <v>89</v>
      </c>
      <c r="AK274" s="87">
        <v>1</v>
      </c>
      <c r="BB274" s="274" t="s">
        <v>117</v>
      </c>
      <c r="BM274" s="81">
        <f t="shared" ref="BM274:BM283" si="19">IFERROR(X274*I274,"0")</f>
        <v>89.376000000000005</v>
      </c>
      <c r="BN274" s="81">
        <f t="shared" ref="BN274:BN283" si="20">IFERROR(Y274*I274,"0")</f>
        <v>89.376000000000005</v>
      </c>
      <c r="BO274" s="81">
        <f t="shared" ref="BO274:BO283" si="21">IFERROR(X274/J274,"0")</f>
        <v>0.22222222222222221</v>
      </c>
      <c r="BP274" s="81">
        <f t="shared" ref="BP274:BP283" si="22">IFERROR(Y274/J274,"0")</f>
        <v>0.22222222222222221</v>
      </c>
    </row>
    <row r="275" spans="1:68" ht="27" hidden="1" customHeight="1" x14ac:dyDescent="0.25">
      <c r="A275" s="63" t="s">
        <v>380</v>
      </c>
      <c r="B275" s="63" t="s">
        <v>381</v>
      </c>
      <c r="C275" s="36">
        <v>4301137046</v>
      </c>
      <c r="D275" s="302">
        <v>4620207492093</v>
      </c>
      <c r="E275" s="30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320" t="s">
        <v>382</v>
      </c>
      <c r="Q275" s="304"/>
      <c r="R275" s="304"/>
      <c r="S275" s="304"/>
      <c r="T275" s="305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>IFERROR(IF(X275="","",X275*0.00936),"")</f>
        <v>0</v>
      </c>
      <c r="AA275" s="68" t="s">
        <v>46</v>
      </c>
      <c r="AB275" s="69" t="s">
        <v>46</v>
      </c>
      <c r="AC275" s="275" t="s">
        <v>291</v>
      </c>
      <c r="AG275" s="81"/>
      <c r="AJ275" s="87" t="s">
        <v>89</v>
      </c>
      <c r="AK275" s="87">
        <v>1</v>
      </c>
      <c r="BB275" s="276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383</v>
      </c>
      <c r="B276" s="63" t="s">
        <v>384</v>
      </c>
      <c r="C276" s="36">
        <v>4301137066</v>
      </c>
      <c r="D276" s="302">
        <v>4620207492109</v>
      </c>
      <c r="E276" s="302"/>
      <c r="F276" s="62">
        <v>5.5</v>
      </c>
      <c r="G276" s="37">
        <v>1</v>
      </c>
      <c r="H276" s="62">
        <v>5.5</v>
      </c>
      <c r="I276" s="62">
        <v>5.7350000000000003</v>
      </c>
      <c r="J276" s="37">
        <v>84</v>
      </c>
      <c r="K276" s="37" t="s">
        <v>87</v>
      </c>
      <c r="L276" s="37" t="s">
        <v>88</v>
      </c>
      <c r="M276" s="38" t="s">
        <v>86</v>
      </c>
      <c r="N276" s="38"/>
      <c r="O276" s="37">
        <v>180</v>
      </c>
      <c r="P276" s="312" t="s">
        <v>385</v>
      </c>
      <c r="Q276" s="304"/>
      <c r="R276" s="304"/>
      <c r="S276" s="304"/>
      <c r="T276" s="305"/>
      <c r="U276" s="39" t="s">
        <v>46</v>
      </c>
      <c r="V276" s="39" t="s">
        <v>46</v>
      </c>
      <c r="W276" s="40" t="s">
        <v>39</v>
      </c>
      <c r="X276" s="58">
        <v>12</v>
      </c>
      <c r="Y276" s="55">
        <f t="shared" si="18"/>
        <v>12</v>
      </c>
      <c r="Z276" s="41">
        <f>IFERROR(IF(X276="","",X276*0.0155),"")</f>
        <v>0.186</v>
      </c>
      <c r="AA276" s="68" t="s">
        <v>46</v>
      </c>
      <c r="AB276" s="69" t="s">
        <v>46</v>
      </c>
      <c r="AC276" s="277" t="s">
        <v>285</v>
      </c>
      <c r="AG276" s="81"/>
      <c r="AJ276" s="87" t="s">
        <v>89</v>
      </c>
      <c r="AK276" s="87">
        <v>1</v>
      </c>
      <c r="BB276" s="278" t="s">
        <v>117</v>
      </c>
      <c r="BM276" s="81">
        <f t="shared" si="19"/>
        <v>68.820000000000007</v>
      </c>
      <c r="BN276" s="81">
        <f t="shared" si="20"/>
        <v>68.820000000000007</v>
      </c>
      <c r="BO276" s="81">
        <f t="shared" si="21"/>
        <v>0.14285714285714285</v>
      </c>
      <c r="BP276" s="81">
        <f t="shared" si="22"/>
        <v>0.14285714285714285</v>
      </c>
    </row>
    <row r="277" spans="1:68" ht="27" customHeight="1" x14ac:dyDescent="0.25">
      <c r="A277" s="63" t="s">
        <v>386</v>
      </c>
      <c r="B277" s="63" t="s">
        <v>387</v>
      </c>
      <c r="C277" s="36">
        <v>4301137074</v>
      </c>
      <c r="D277" s="302">
        <v>4620207492116</v>
      </c>
      <c r="E277" s="302"/>
      <c r="F277" s="62">
        <v>3</v>
      </c>
      <c r="G277" s="37">
        <v>1</v>
      </c>
      <c r="H277" s="62">
        <v>3</v>
      </c>
      <c r="I277" s="62">
        <v>3.1920000000000002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3" t="s">
        <v>388</v>
      </c>
      <c r="Q277" s="304"/>
      <c r="R277" s="304"/>
      <c r="S277" s="304"/>
      <c r="T277" s="305"/>
      <c r="U277" s="39" t="s">
        <v>46</v>
      </c>
      <c r="V277" s="39" t="s">
        <v>46</v>
      </c>
      <c r="W277" s="40" t="s">
        <v>39</v>
      </c>
      <c r="X277" s="58">
        <v>112</v>
      </c>
      <c r="Y277" s="55">
        <f t="shared" si="18"/>
        <v>112</v>
      </c>
      <c r="Z277" s="41">
        <f t="shared" ref="Z277:Z283" si="23">IFERROR(IF(X277="","",X277*0.00936),"")</f>
        <v>1.0483199999999999</v>
      </c>
      <c r="AA277" s="68" t="s">
        <v>46</v>
      </c>
      <c r="AB277" s="69" t="s">
        <v>46</v>
      </c>
      <c r="AC277" s="279" t="s">
        <v>285</v>
      </c>
      <c r="AG277" s="81"/>
      <c r="AJ277" s="87" t="s">
        <v>89</v>
      </c>
      <c r="AK277" s="87">
        <v>1</v>
      </c>
      <c r="BB277" s="280" t="s">
        <v>117</v>
      </c>
      <c r="BM277" s="81">
        <f t="shared" si="19"/>
        <v>357.50400000000002</v>
      </c>
      <c r="BN277" s="81">
        <f t="shared" si="20"/>
        <v>357.50400000000002</v>
      </c>
      <c r="BO277" s="81">
        <f t="shared" si="21"/>
        <v>0.88888888888888884</v>
      </c>
      <c r="BP277" s="81">
        <f t="shared" si="22"/>
        <v>0.88888888888888884</v>
      </c>
    </row>
    <row r="278" spans="1:68" ht="27" hidden="1" customHeight="1" x14ac:dyDescent="0.25">
      <c r="A278" s="63" t="s">
        <v>389</v>
      </c>
      <c r="B278" s="63" t="s">
        <v>390</v>
      </c>
      <c r="C278" s="36">
        <v>4301135375</v>
      </c>
      <c r="D278" s="302">
        <v>4640242181486</v>
      </c>
      <c r="E278" s="302"/>
      <c r="F278" s="62">
        <v>3.7</v>
      </c>
      <c r="G278" s="37">
        <v>1</v>
      </c>
      <c r="H278" s="62">
        <v>3.7</v>
      </c>
      <c r="I278" s="62">
        <v>3.8919999999999999</v>
      </c>
      <c r="J278" s="37">
        <v>126</v>
      </c>
      <c r="K278" s="37" t="s">
        <v>118</v>
      </c>
      <c r="L278" s="37" t="s">
        <v>119</v>
      </c>
      <c r="M278" s="38" t="s">
        <v>86</v>
      </c>
      <c r="N278" s="38"/>
      <c r="O278" s="37">
        <v>180</v>
      </c>
      <c r="P278" s="31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8" s="304"/>
      <c r="R278" s="304"/>
      <c r="S278" s="304"/>
      <c r="T278" s="30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1" t="s">
        <v>391</v>
      </c>
      <c r="AG278" s="81"/>
      <c r="AJ278" s="87" t="s">
        <v>120</v>
      </c>
      <c r="AK278" s="87">
        <v>14</v>
      </c>
      <c r="BB278" s="282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37.5" hidden="1" customHeight="1" x14ac:dyDescent="0.25">
      <c r="A279" s="63" t="s">
        <v>392</v>
      </c>
      <c r="B279" s="63" t="s">
        <v>393</v>
      </c>
      <c r="C279" s="36">
        <v>4301135402</v>
      </c>
      <c r="D279" s="302">
        <v>4640242181493</v>
      </c>
      <c r="E279" s="302"/>
      <c r="F279" s="62">
        <v>3.7</v>
      </c>
      <c r="G279" s="37">
        <v>1</v>
      </c>
      <c r="H279" s="62">
        <v>3.7</v>
      </c>
      <c r="I279" s="62">
        <v>3.8919999999999999</v>
      </c>
      <c r="J279" s="37">
        <v>126</v>
      </c>
      <c r="K279" s="37" t="s">
        <v>118</v>
      </c>
      <c r="L279" s="37" t="s">
        <v>88</v>
      </c>
      <c r="M279" s="38" t="s">
        <v>86</v>
      </c>
      <c r="N279" s="38"/>
      <c r="O279" s="37">
        <v>180</v>
      </c>
      <c r="P279" s="31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9" s="304"/>
      <c r="R279" s="304"/>
      <c r="S279" s="304"/>
      <c r="T279" s="30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3" t="s">
        <v>391</v>
      </c>
      <c r="AG279" s="81"/>
      <c r="AJ279" s="87" t="s">
        <v>89</v>
      </c>
      <c r="AK279" s="87">
        <v>1</v>
      </c>
      <c r="BB279" s="284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37.5" hidden="1" customHeight="1" x14ac:dyDescent="0.25">
      <c r="A280" s="63" t="s">
        <v>394</v>
      </c>
      <c r="B280" s="63" t="s">
        <v>395</v>
      </c>
      <c r="C280" s="36">
        <v>4301135403</v>
      </c>
      <c r="D280" s="302">
        <v>4640242181509</v>
      </c>
      <c r="E280" s="302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118</v>
      </c>
      <c r="L280" s="37" t="s">
        <v>88</v>
      </c>
      <c r="M280" s="38" t="s">
        <v>86</v>
      </c>
      <c r="N280" s="38"/>
      <c r="O280" s="37">
        <v>180</v>
      </c>
      <c r="P280" s="31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0" s="304"/>
      <c r="R280" s="304"/>
      <c r="S280" s="304"/>
      <c r="T280" s="305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5" t="s">
        <v>391</v>
      </c>
      <c r="AG280" s="81"/>
      <c r="AJ280" s="87" t="s">
        <v>89</v>
      </c>
      <c r="AK280" s="87">
        <v>1</v>
      </c>
      <c r="BB280" s="286" t="s">
        <v>117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27" hidden="1" customHeight="1" x14ac:dyDescent="0.25">
      <c r="A281" s="63" t="s">
        <v>396</v>
      </c>
      <c r="B281" s="63" t="s">
        <v>397</v>
      </c>
      <c r="C281" s="36">
        <v>4301135304</v>
      </c>
      <c r="D281" s="302">
        <v>4640242181240</v>
      </c>
      <c r="E281" s="302"/>
      <c r="F281" s="62">
        <v>0.3</v>
      </c>
      <c r="G281" s="37">
        <v>9</v>
      </c>
      <c r="H281" s="62">
        <v>2.7</v>
      </c>
      <c r="I281" s="62">
        <v>2.88</v>
      </c>
      <c r="J281" s="37">
        <v>126</v>
      </c>
      <c r="K281" s="37" t="s">
        <v>118</v>
      </c>
      <c r="L281" s="37" t="s">
        <v>88</v>
      </c>
      <c r="M281" s="38" t="s">
        <v>86</v>
      </c>
      <c r="N281" s="38"/>
      <c r="O281" s="37">
        <v>180</v>
      </c>
      <c r="P281" s="30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1" s="304"/>
      <c r="R281" s="304"/>
      <c r="S281" s="304"/>
      <c r="T281" s="305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87" t="s">
        <v>391</v>
      </c>
      <c r="AG281" s="81"/>
      <c r="AJ281" s="87" t="s">
        <v>89</v>
      </c>
      <c r="AK281" s="87">
        <v>1</v>
      </c>
      <c r="BB281" s="288" t="s">
        <v>117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hidden="1" customHeight="1" x14ac:dyDescent="0.25">
      <c r="A282" s="63" t="s">
        <v>398</v>
      </c>
      <c r="B282" s="63" t="s">
        <v>399</v>
      </c>
      <c r="C282" s="36">
        <v>4301135610</v>
      </c>
      <c r="D282" s="302">
        <v>4640242181318</v>
      </c>
      <c r="E282" s="302"/>
      <c r="F282" s="62">
        <v>0.3</v>
      </c>
      <c r="G282" s="37">
        <v>9</v>
      </c>
      <c r="H282" s="62">
        <v>2.7</v>
      </c>
      <c r="I282" s="62">
        <v>2.988</v>
      </c>
      <c r="J282" s="37">
        <v>126</v>
      </c>
      <c r="K282" s="37" t="s">
        <v>118</v>
      </c>
      <c r="L282" s="37" t="s">
        <v>88</v>
      </c>
      <c r="M282" s="38" t="s">
        <v>86</v>
      </c>
      <c r="N282" s="38"/>
      <c r="O282" s="37">
        <v>180</v>
      </c>
      <c r="P282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2" s="304"/>
      <c r="R282" s="304"/>
      <c r="S282" s="304"/>
      <c r="T282" s="305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89" t="s">
        <v>400</v>
      </c>
      <c r="AG282" s="81"/>
      <c r="AJ282" s="87" t="s">
        <v>89</v>
      </c>
      <c r="AK282" s="87">
        <v>1</v>
      </c>
      <c r="BB282" s="290" t="s">
        <v>117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27" hidden="1" customHeight="1" x14ac:dyDescent="0.25">
      <c r="A283" s="63" t="s">
        <v>401</v>
      </c>
      <c r="B283" s="63" t="s">
        <v>402</v>
      </c>
      <c r="C283" s="36">
        <v>4301137012</v>
      </c>
      <c r="D283" s="302">
        <v>4620207491935</v>
      </c>
      <c r="E283" s="302"/>
      <c r="F283" s="62">
        <v>0.3</v>
      </c>
      <c r="G283" s="37">
        <v>9</v>
      </c>
      <c r="H283" s="62">
        <v>2.7</v>
      </c>
      <c r="I283" s="62">
        <v>2.9249999999999998</v>
      </c>
      <c r="J283" s="37">
        <v>126</v>
      </c>
      <c r="K283" s="37" t="s">
        <v>118</v>
      </c>
      <c r="L283" s="37" t="s">
        <v>88</v>
      </c>
      <c r="M283" s="38" t="s">
        <v>86</v>
      </c>
      <c r="N283" s="38"/>
      <c r="O283" s="37">
        <v>180</v>
      </c>
      <c r="P283" s="30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3" s="304"/>
      <c r="R283" s="304"/>
      <c r="S283" s="304"/>
      <c r="T283" s="305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 t="shared" si="23"/>
        <v>0</v>
      </c>
      <c r="AA283" s="68" t="s">
        <v>46</v>
      </c>
      <c r="AB283" s="69" t="s">
        <v>46</v>
      </c>
      <c r="AC283" s="291" t="s">
        <v>285</v>
      </c>
      <c r="AG283" s="81"/>
      <c r="AJ283" s="87" t="s">
        <v>89</v>
      </c>
      <c r="AK283" s="87">
        <v>1</v>
      </c>
      <c r="BB283" s="292" t="s">
        <v>117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x14ac:dyDescent="0.2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311"/>
      <c r="P284" s="308" t="s">
        <v>40</v>
      </c>
      <c r="Q284" s="309"/>
      <c r="R284" s="309"/>
      <c r="S284" s="309"/>
      <c r="T284" s="309"/>
      <c r="U284" s="309"/>
      <c r="V284" s="310"/>
      <c r="W284" s="42" t="s">
        <v>39</v>
      </c>
      <c r="X284" s="43">
        <f>IFERROR(SUM(X274:X283),"0")</f>
        <v>152</v>
      </c>
      <c r="Y284" s="43">
        <f>IFERROR(SUM(Y274:Y283),"0")</f>
        <v>152</v>
      </c>
      <c r="Z284" s="43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</f>
        <v>1.4964</v>
      </c>
      <c r="AA284" s="67"/>
      <c r="AB284" s="67"/>
      <c r="AC284" s="67"/>
    </row>
    <row r="285" spans="1:68" x14ac:dyDescent="0.2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311"/>
      <c r="P285" s="308" t="s">
        <v>40</v>
      </c>
      <c r="Q285" s="309"/>
      <c r="R285" s="309"/>
      <c r="S285" s="309"/>
      <c r="T285" s="309"/>
      <c r="U285" s="309"/>
      <c r="V285" s="310"/>
      <c r="W285" s="42" t="s">
        <v>0</v>
      </c>
      <c r="X285" s="43">
        <f>IFERROR(SUMPRODUCT(X274:X283*H274:H283),"0")</f>
        <v>486</v>
      </c>
      <c r="Y285" s="43">
        <f>IFERROR(SUMPRODUCT(Y274:Y283*H274:H283),"0")</f>
        <v>486</v>
      </c>
      <c r="Z285" s="42"/>
      <c r="AA285" s="67"/>
      <c r="AB285" s="67"/>
      <c r="AC285" s="67"/>
    </row>
    <row r="286" spans="1:68" ht="15" customHeight="1" x14ac:dyDescent="0.2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300"/>
      <c r="P286" s="296" t="s">
        <v>33</v>
      </c>
      <c r="Q286" s="297"/>
      <c r="R286" s="297"/>
      <c r="S286" s="297"/>
      <c r="T286" s="297"/>
      <c r="U286" s="297"/>
      <c r="V286" s="298"/>
      <c r="W286" s="42" t="s">
        <v>0</v>
      </c>
      <c r="X286" s="43">
        <f>IFERROR(X31+X37+X44+X50+X58+X63+X67+X73+X79+X84+X90+X100+X106+X118+X122+X126+X134+X140+X146+X152+X159+X164+X169+X174+X180+X184+X190+X196+X201+X210+X216+X222+X228+X233+X239+X245+X249+X255+X259+X266+X272+X285,"0")</f>
        <v>13975.440000000002</v>
      </c>
      <c r="Y286" s="43">
        <f>IFERROR(Y31+Y37+Y44+Y50+Y58+Y63+Y67+Y73+Y79+Y84+Y90+Y100+Y106+Y118+Y122+Y126+Y134+Y140+Y146+Y152+Y159+Y164+Y169+Y174+Y180+Y184+Y190+Y196+Y201+Y210+Y216+Y222+Y228+Y233+Y239+Y245+Y249+Y255+Y259+Y266+Y272+Y285,"0")</f>
        <v>13975.440000000002</v>
      </c>
      <c r="Z286" s="42"/>
      <c r="AA286" s="67"/>
      <c r="AB286" s="67"/>
      <c r="AC286" s="67"/>
    </row>
    <row r="287" spans="1:68" x14ac:dyDescent="0.2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300"/>
      <c r="P287" s="296" t="s">
        <v>34</v>
      </c>
      <c r="Q287" s="297"/>
      <c r="R287" s="297"/>
      <c r="S287" s="297"/>
      <c r="T287" s="297"/>
      <c r="U287" s="297"/>
      <c r="V287" s="298"/>
      <c r="W287" s="42" t="s">
        <v>0</v>
      </c>
      <c r="X287" s="43">
        <f>IFERROR(SUM(BM22:BM283),"0")</f>
        <v>15311.928400000001</v>
      </c>
      <c r="Y287" s="43">
        <f>IFERROR(SUM(BN22:BN283),"0")</f>
        <v>15311.928400000001</v>
      </c>
      <c r="Z287" s="42"/>
      <c r="AA287" s="67"/>
      <c r="AB287" s="67"/>
      <c r="AC287" s="67"/>
    </row>
    <row r="288" spans="1:68" x14ac:dyDescent="0.2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300"/>
      <c r="P288" s="296" t="s">
        <v>35</v>
      </c>
      <c r="Q288" s="297"/>
      <c r="R288" s="297"/>
      <c r="S288" s="297"/>
      <c r="T288" s="297"/>
      <c r="U288" s="297"/>
      <c r="V288" s="298"/>
      <c r="W288" s="42" t="s">
        <v>20</v>
      </c>
      <c r="X288" s="44">
        <f>ROUNDUP(SUM(BO22:BO283),0)</f>
        <v>39</v>
      </c>
      <c r="Y288" s="44">
        <f>ROUNDUP(SUM(BP22:BP283),0)</f>
        <v>39</v>
      </c>
      <c r="Z288" s="42"/>
      <c r="AA288" s="67"/>
      <c r="AB288" s="67"/>
      <c r="AC288" s="67"/>
    </row>
    <row r="289" spans="1:32" x14ac:dyDescent="0.2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300"/>
      <c r="P289" s="296" t="s">
        <v>36</v>
      </c>
      <c r="Q289" s="297"/>
      <c r="R289" s="297"/>
      <c r="S289" s="297"/>
      <c r="T289" s="297"/>
      <c r="U289" s="297"/>
      <c r="V289" s="298"/>
      <c r="W289" s="42" t="s">
        <v>0</v>
      </c>
      <c r="X289" s="43">
        <f>GrossWeightTotal+PalletQtyTotal*25</f>
        <v>16286.928400000001</v>
      </c>
      <c r="Y289" s="43">
        <f>GrossWeightTotalR+PalletQtyTotalR*25</f>
        <v>16286.928400000001</v>
      </c>
      <c r="Z289" s="42"/>
      <c r="AA289" s="67"/>
      <c r="AB289" s="67"/>
      <c r="AC289" s="67"/>
    </row>
    <row r="290" spans="1:32" x14ac:dyDescent="0.2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300"/>
      <c r="P290" s="296" t="s">
        <v>37</v>
      </c>
      <c r="Q290" s="297"/>
      <c r="R290" s="297"/>
      <c r="S290" s="297"/>
      <c r="T290" s="297"/>
      <c r="U290" s="297"/>
      <c r="V290" s="298"/>
      <c r="W290" s="42" t="s">
        <v>20</v>
      </c>
      <c r="X290" s="43">
        <f>IFERROR(X30+X36+X43+X49+X57+X62+X66+X72+X78+X83+X89+X99+X105+X117+X121+X125+X133+X139+X145+X151+X158+X163+X168+X173+X179+X183+X189+X195+X200+X209+X215+X221+X227+X232+X238+X244+X248+X254+X258+X265+X271+X284,"0")</f>
        <v>3538</v>
      </c>
      <c r="Y290" s="43">
        <f>IFERROR(Y30+Y36+Y43+Y49+Y57+Y62+Y66+Y72+Y78+Y83+Y89+Y99+Y105+Y117+Y121+Y125+Y133+Y139+Y145+Y151+Y158+Y163+Y168+Y173+Y179+Y183+Y189+Y195+Y200+Y209+Y215+Y221+Y227+Y232+Y238+Y244+Y248+Y254+Y258+Y265+Y271+Y284,"0")</f>
        <v>3538</v>
      </c>
      <c r="Z290" s="42"/>
      <c r="AA290" s="67"/>
      <c r="AB290" s="67"/>
      <c r="AC290" s="67"/>
    </row>
    <row r="291" spans="1:32" ht="14.25" hidden="1" x14ac:dyDescent="0.2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300"/>
      <c r="P291" s="296" t="s">
        <v>38</v>
      </c>
      <c r="Q291" s="297"/>
      <c r="R291" s="297"/>
      <c r="S291" s="297"/>
      <c r="T291" s="297"/>
      <c r="U291" s="297"/>
      <c r="V291" s="298"/>
      <c r="W291" s="45" t="s">
        <v>52</v>
      </c>
      <c r="X291" s="42"/>
      <c r="Y291" s="42"/>
      <c r="Z291" s="42">
        <f>IFERROR(Z30+Z36+Z43+Z49+Z57+Z62+Z66+Z72+Z78+Z83+Z89+Z99+Z105+Z117+Z121+Z125+Z133+Z139+Z145+Z151+Z158+Z163+Z168+Z173+Z179+Z183+Z189+Z195+Z200+Z209+Z215+Z221+Z227+Z232+Z238+Z244+Z248+Z254+Z258+Z265+Z271+Z284,"0")</f>
        <v>49.401539999999997</v>
      </c>
      <c r="AA291" s="67"/>
      <c r="AB291" s="67"/>
      <c r="AC291" s="67"/>
    </row>
    <row r="292" spans="1:32" ht="13.5" thickBot="1" x14ac:dyDescent="0.25"/>
    <row r="293" spans="1:32" ht="27" thickTop="1" thickBot="1" x14ac:dyDescent="0.25">
      <c r="A293" s="46" t="s">
        <v>9</v>
      </c>
      <c r="B293" s="293" t="s">
        <v>81</v>
      </c>
      <c r="C293" s="293" t="s">
        <v>81</v>
      </c>
      <c r="D293" s="293" t="s">
        <v>45</v>
      </c>
      <c r="E293" s="293" t="s">
        <v>45</v>
      </c>
      <c r="F293" s="293" t="s">
        <v>45</v>
      </c>
      <c r="G293" s="293" t="s">
        <v>45</v>
      </c>
      <c r="H293" s="293" t="s">
        <v>45</v>
      </c>
      <c r="I293" s="293" t="s">
        <v>45</v>
      </c>
      <c r="J293" s="293" t="s">
        <v>45</v>
      </c>
      <c r="K293" s="293" t="s">
        <v>45</v>
      </c>
      <c r="L293" s="293" t="s">
        <v>45</v>
      </c>
      <c r="M293" s="293" t="s">
        <v>45</v>
      </c>
      <c r="N293" s="301"/>
      <c r="O293" s="293" t="s">
        <v>45</v>
      </c>
      <c r="P293" s="293" t="s">
        <v>45</v>
      </c>
      <c r="Q293" s="293" t="s">
        <v>45</v>
      </c>
      <c r="R293" s="293" t="s">
        <v>45</v>
      </c>
      <c r="S293" s="293" t="s">
        <v>45</v>
      </c>
      <c r="T293" s="293" t="s">
        <v>45</v>
      </c>
      <c r="U293" s="293" t="s">
        <v>45</v>
      </c>
      <c r="V293" s="293" t="s">
        <v>275</v>
      </c>
      <c r="W293" s="293" t="s">
        <v>275</v>
      </c>
      <c r="X293" s="293" t="s">
        <v>275</v>
      </c>
      <c r="Y293" s="88" t="s">
        <v>302</v>
      </c>
      <c r="Z293" s="293" t="s">
        <v>316</v>
      </c>
      <c r="AA293" s="293" t="s">
        <v>316</v>
      </c>
      <c r="AB293" s="293" t="s">
        <v>316</v>
      </c>
      <c r="AC293" s="88" t="s">
        <v>341</v>
      </c>
      <c r="AD293" s="88" t="s">
        <v>346</v>
      </c>
      <c r="AE293" s="88" t="s">
        <v>354</v>
      </c>
      <c r="AF293" s="88" t="s">
        <v>276</v>
      </c>
    </row>
    <row r="294" spans="1:32" ht="14.25" customHeight="1" thickTop="1" x14ac:dyDescent="0.2">
      <c r="A294" s="294" t="s">
        <v>10</v>
      </c>
      <c r="B294" s="293" t="s">
        <v>81</v>
      </c>
      <c r="C294" s="293" t="s">
        <v>106</v>
      </c>
      <c r="D294" s="293" t="s">
        <v>112</v>
      </c>
      <c r="E294" s="293" t="s">
        <v>123</v>
      </c>
      <c r="F294" s="293" t="s">
        <v>130</v>
      </c>
      <c r="G294" s="293" t="s">
        <v>141</v>
      </c>
      <c r="H294" s="293" t="s">
        <v>157</v>
      </c>
      <c r="I294" s="293" t="s">
        <v>164</v>
      </c>
      <c r="J294" s="293" t="s">
        <v>168</v>
      </c>
      <c r="K294" s="293" t="s">
        <v>176</v>
      </c>
      <c r="L294" s="293" t="s">
        <v>192</v>
      </c>
      <c r="M294" s="293" t="s">
        <v>198</v>
      </c>
      <c r="N294" s="1"/>
      <c r="O294" s="293" t="s">
        <v>226</v>
      </c>
      <c r="P294" s="293" t="s">
        <v>244</v>
      </c>
      <c r="Q294" s="293" t="s">
        <v>251</v>
      </c>
      <c r="R294" s="293" t="s">
        <v>257</v>
      </c>
      <c r="S294" s="293" t="s">
        <v>265</v>
      </c>
      <c r="T294" s="293" t="s">
        <v>268</v>
      </c>
      <c r="U294" s="293" t="s">
        <v>272</v>
      </c>
      <c r="V294" s="293" t="s">
        <v>276</v>
      </c>
      <c r="W294" s="293" t="s">
        <v>292</v>
      </c>
      <c r="X294" s="293" t="s">
        <v>299</v>
      </c>
      <c r="Y294" s="293" t="s">
        <v>303</v>
      </c>
      <c r="Z294" s="293" t="s">
        <v>317</v>
      </c>
      <c r="AA294" s="293" t="s">
        <v>330</v>
      </c>
      <c r="AB294" s="293" t="s">
        <v>337</v>
      </c>
      <c r="AC294" s="293" t="s">
        <v>342</v>
      </c>
      <c r="AD294" s="293" t="s">
        <v>347</v>
      </c>
      <c r="AE294" s="293" t="s">
        <v>354</v>
      </c>
      <c r="AF294" s="293" t="s">
        <v>276</v>
      </c>
    </row>
    <row r="295" spans="1:32" ht="13.5" thickBot="1" x14ac:dyDescent="0.25">
      <c r="A295" s="295"/>
      <c r="B295" s="293"/>
      <c r="C295" s="293"/>
      <c r="D295" s="293"/>
      <c r="E295" s="293"/>
      <c r="F295" s="293"/>
      <c r="G295" s="293"/>
      <c r="H295" s="293"/>
      <c r="I295" s="293"/>
      <c r="J295" s="293"/>
      <c r="K295" s="293"/>
      <c r="L295" s="293"/>
      <c r="M295" s="293"/>
      <c r="N295" s="1"/>
      <c r="O295" s="293"/>
      <c r="P295" s="293"/>
      <c r="Q295" s="293"/>
      <c r="R295" s="293"/>
      <c r="S295" s="293"/>
      <c r="T295" s="293"/>
      <c r="U295" s="293"/>
      <c r="V295" s="293"/>
      <c r="W295" s="293"/>
      <c r="X295" s="293"/>
      <c r="Y295" s="293"/>
      <c r="Z295" s="293"/>
      <c r="AA295" s="293"/>
      <c r="AB295" s="293"/>
      <c r="AC295" s="293"/>
      <c r="AD295" s="293"/>
      <c r="AE295" s="293"/>
      <c r="AF295" s="293"/>
    </row>
    <row r="296" spans="1:32" ht="18" thickTop="1" thickBot="1" x14ac:dyDescent="0.25">
      <c r="A296" s="46" t="s">
        <v>13</v>
      </c>
      <c r="B296" s="52">
        <f>IFERROR(X22*H22,"0")+IFERROR(X23*H23,"0")+IFERROR(X24*H24,"0")+IFERROR(X25*H25,"0")+IFERROR(X26*H26,"0")+IFERROR(X27*H27,"0")+IFERROR(X28*H28,"0")+IFERROR(X29*H29,"0")</f>
        <v>412.8</v>
      </c>
      <c r="C296" s="52">
        <f>IFERROR(X34*H34,"0")+IFERROR(X35*H35,"0")</f>
        <v>0</v>
      </c>
      <c r="D296" s="52">
        <f>IFERROR(X41*H41,"0")+IFERROR(X42*H42,"0")</f>
        <v>378</v>
      </c>
      <c r="E296" s="52">
        <f>IFERROR(X47*H47,"0")+IFERROR(X48*H48,"0")</f>
        <v>0</v>
      </c>
      <c r="F296" s="52">
        <f>IFERROR(X53*H53,"0")+IFERROR(X54*H54,"0")+IFERROR(X55*H55,"0")+IFERROR(X56*H56,"0")</f>
        <v>76.800000000000011</v>
      </c>
      <c r="G296" s="52">
        <f>IFERROR(X61*H61,"0")+IFERROR(X65*H65,"0")+IFERROR(X69*H69,"0")+IFERROR(X70*H70,"0")+IFERROR(X71*H71,"0")</f>
        <v>50.400000000000006</v>
      </c>
      <c r="H296" s="52">
        <f>IFERROR(X76*H76,"0")+IFERROR(X77*H77,"0")</f>
        <v>1620</v>
      </c>
      <c r="I296" s="52">
        <f>IFERROR(X82*H82,"0")</f>
        <v>151.20000000000002</v>
      </c>
      <c r="J296" s="52">
        <f>IFERROR(X87*H87,"0")+IFERROR(X88*H88,"0")</f>
        <v>302.39999999999998</v>
      </c>
      <c r="K296" s="52">
        <f>IFERROR(X93*H93,"0")+IFERROR(X94*H94,"0")+IFERROR(X95*H95,"0")+IFERROR(X96*H96,"0")+IFERROR(X97*H97,"0")+IFERROR(X98*H98,"0")</f>
        <v>483.84000000000003</v>
      </c>
      <c r="L296" s="52">
        <f>IFERROR(X103*H103,"0")+IFERROR(X104*H104,"0")</f>
        <v>60.480000000000004</v>
      </c>
      <c r="M296" s="52">
        <f>IFERROR(X109*H109,"0")+IFERROR(X110*H110,"0")+IFERROR(X111*H111,"0")+IFERROR(X112*H112,"0")+IFERROR(X113*H113,"0")+IFERROR(X114*H114,"0")+IFERROR(X115*H115,"0")+IFERROR(X116*H116,"0")+IFERROR(X120*H120,"0")+IFERROR(X124*H124,"0")</f>
        <v>1924.8</v>
      </c>
      <c r="N296" s="1"/>
      <c r="O296" s="52">
        <f>IFERROR(X129*H129,"0")+IFERROR(X130*H130,"0")+IFERROR(X131*H131,"0")+IFERROR(X132*H132,"0")+IFERROR(X136*H136,"0")+IFERROR(X137*H137,"0")+IFERROR(X138*H138,"0")</f>
        <v>327.59999999999997</v>
      </c>
      <c r="P296" s="52">
        <f>IFERROR(X143*H143,"0")+IFERROR(X144*H144,"0")</f>
        <v>756</v>
      </c>
      <c r="Q296" s="52">
        <f>IFERROR(X149*H149,"0")+IFERROR(X150*H150,"0")</f>
        <v>210</v>
      </c>
      <c r="R296" s="52">
        <f>IFERROR(X155*H155,"0")+IFERROR(X156*H156,"0")+IFERROR(X157*H157,"0")</f>
        <v>134.4</v>
      </c>
      <c r="S296" s="52">
        <f>IFERROR(X162*H162,"0")</f>
        <v>126</v>
      </c>
      <c r="T296" s="52">
        <f>IFERROR(X167*H167,"0")</f>
        <v>37.800000000000004</v>
      </c>
      <c r="U296" s="52">
        <f>IFERROR(X172*H172,"0")</f>
        <v>23.52</v>
      </c>
      <c r="V296" s="52">
        <f>IFERROR(X178*H178,"0")+IFERROR(X182*H182,"0")+IFERROR(X186*H186,"0")+IFERROR(X187*H187,"0")+IFERROR(X188*H188,"0")</f>
        <v>2378.6</v>
      </c>
      <c r="W296" s="52">
        <f>IFERROR(X193*H193,"0")+IFERROR(X194*H194,"0")</f>
        <v>480</v>
      </c>
      <c r="X296" s="52">
        <f>IFERROR(X199*H199,"0")</f>
        <v>720</v>
      </c>
      <c r="Y296" s="52">
        <f>IFERROR(X205*H205,"0")+IFERROR(X206*H206,"0")+IFERROR(X207*H207,"0")+IFERROR(X208*H208,"0")</f>
        <v>836.64</v>
      </c>
      <c r="Z296" s="52">
        <f>IFERROR(X214*H214,"0")+IFERROR(X218*H218,"0")+IFERROR(X219*H219,"0")+IFERROR(X220*H220,"0")</f>
        <v>226.79999999999998</v>
      </c>
      <c r="AA296" s="52">
        <f>IFERROR(X225*H225,"0")+IFERROR(X226*H226,"0")</f>
        <v>0</v>
      </c>
      <c r="AB296" s="52">
        <f>IFERROR(X231*H231,"0")</f>
        <v>360</v>
      </c>
      <c r="AC296" s="52">
        <f>IFERROR(X237*H237,"0")</f>
        <v>0</v>
      </c>
      <c r="AD296" s="52">
        <f>IFERROR(X243*H243,"0")+IFERROR(X247*H247,"0")</f>
        <v>0</v>
      </c>
      <c r="AE296" s="52">
        <f>IFERROR(X253*H253,"0")+IFERROR(X257*H257,"0")</f>
        <v>0</v>
      </c>
      <c r="AF296" s="52">
        <f>IFERROR(X263*H263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</f>
        <v>1897.36</v>
      </c>
    </row>
    <row r="297" spans="1:32" ht="13.5" thickTop="1" x14ac:dyDescent="0.2">
      <c r="C297" s="1"/>
    </row>
    <row r="298" spans="1:32" ht="19.5" customHeight="1" x14ac:dyDescent="0.2">
      <c r="A298" s="70" t="s">
        <v>62</v>
      </c>
      <c r="B298" s="70" t="s">
        <v>63</v>
      </c>
      <c r="C298" s="70" t="s">
        <v>65</v>
      </c>
    </row>
    <row r="299" spans="1:32" x14ac:dyDescent="0.2">
      <c r="A299" s="71">
        <f>SUMPRODUCT(--(BB:BB="ЗПФ"),--(W:W="кор"),H:H,Y:Y)+SUMPRODUCT(--(BB:BB="ЗПФ"),--(W:W="кг"),Y:Y)</f>
        <v>5522.4</v>
      </c>
      <c r="B299" s="72">
        <f>SUMPRODUCT(--(BB:BB="ПГП"),--(W:W="кор"),H:H,Y:Y)+SUMPRODUCT(--(BB:BB="ПГП"),--(W:W="кг"),Y:Y)</f>
        <v>8453.0400000000009</v>
      </c>
      <c r="C299" s="72">
        <f>SUMPRODUCT(--(BB:BB="КИЗ"),--(W:W="кор"),H:H,Y:Y)+SUMPRODUCT(--(BB:BB="КИЗ"),--(W:W="кг"),Y:Y)</f>
        <v>0</v>
      </c>
    </row>
  </sheetData>
  <sheetProtection algorithmName="SHA-512" hashValue="ofFKSS2ywIOBzf/QutpP4bXbA+os7UwYc3MX3NRMkfgFR64BiNtCi5MQNoqJmbShk13cVrnAoELhBxCOkjnZSQ==" saltValue="ckRqYRwYCnKA7x9xkd9I+Q==" spinCount="100000" sheet="1" objects="1" scenarios="1" sort="0" autoFilter="0" pivotTables="0"/>
  <autoFilter ref="A18:AF29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11,36"/>
        <filter val="1 620,00"/>
        <filter val="1 852,80"/>
        <filter val="112,00"/>
        <filter val="12,00"/>
        <filter val="126,00"/>
        <filter val="13 975,44"/>
        <filter val="134,40"/>
        <filter val="14,00"/>
        <filter val="144,00"/>
        <filter val="15 311,93"/>
        <filter val="151,20"/>
        <filter val="152,00"/>
        <filter val="154,00"/>
        <filter val="16 286,93"/>
        <filter val="168,00"/>
        <filter val="193,20"/>
        <filter val="196,00"/>
        <filter val="2 016,00"/>
        <filter val="210,00"/>
        <filter val="23,52"/>
        <filter val="238,00"/>
        <filter val="24,00"/>
        <filter val="252,00"/>
        <filter val="276,00"/>
        <filter val="28,00"/>
        <filter val="280,00"/>
        <filter val="290,00"/>
        <filter val="3 538,00"/>
        <filter val="302,40"/>
        <filter val="324,00"/>
        <filter val="327,60"/>
        <filter val="33,60"/>
        <filter val="336,00"/>
        <filter val="36,00"/>
        <filter val="360,00"/>
        <filter val="362,60"/>
        <filter val="37,80"/>
        <filter val="378,00"/>
        <filter val="39"/>
        <filter val="412,80"/>
        <filter val="42,00"/>
        <filter val="480,00"/>
        <filter val="483,84"/>
        <filter val="486,00"/>
        <filter val="50,40"/>
        <filter val="56,00"/>
        <filter val="60,00"/>
        <filter val="60,48"/>
        <filter val="70,00"/>
        <filter val="72,00"/>
        <filter val="720,00"/>
        <filter val="756,00"/>
        <filter val="76,80"/>
        <filter val="836,64"/>
        <filter val="84,00"/>
        <filter val="96,00"/>
        <filter val="98,00"/>
      </filters>
    </filterColumn>
    <filterColumn colId="29" showButton="0"/>
    <filterColumn colId="30" showButton="0"/>
  </autoFilter>
  <dataConsolidate/>
  <mergeCells count="51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T294:T295"/>
    <mergeCell ref="U294:U295"/>
    <mergeCell ref="V294:V295"/>
    <mergeCell ref="W294:W295"/>
    <mergeCell ref="X294:X295"/>
    <mergeCell ref="P286:V286"/>
    <mergeCell ref="A286:O291"/>
    <mergeCell ref="P287:V287"/>
    <mergeCell ref="P288:V288"/>
    <mergeCell ref="P289:V289"/>
    <mergeCell ref="P290:V290"/>
    <mergeCell ref="P291:V291"/>
    <mergeCell ref="B293:C293"/>
    <mergeCell ref="D293:U293"/>
    <mergeCell ref="V293:X293"/>
    <mergeCell ref="J294:J295"/>
    <mergeCell ref="K294:K295"/>
    <mergeCell ref="L294:L295"/>
    <mergeCell ref="M294:M295"/>
    <mergeCell ref="O294:O295"/>
    <mergeCell ref="P294:P295"/>
    <mergeCell ref="Q294:Q295"/>
    <mergeCell ref="R294:R295"/>
    <mergeCell ref="S294:S295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Y294:Y295"/>
    <mergeCell ref="Z294:Z295"/>
    <mergeCell ref="AA294:AA295"/>
    <mergeCell ref="AB294:AB295"/>
    <mergeCell ref="AC294:AC295"/>
    <mergeCell ref="AD294:AD295"/>
    <mergeCell ref="AE294:AE295"/>
    <mergeCell ref="AF294:AF295"/>
    <mergeCell ref="Z293:AB29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9:X283 X274:X277 X268:X270 X263:X264 X257 X253 X247 X243 X237 X225:X226 X218 X208 X199 X186:X188 X182 X178 X172 X162 X155:X157 X149:X150 X144 X136:X138 X129:X132 X124 X120 X113:X114 X110 X103:X104 X94:X97 X82 X69 X65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8 X231 X219:X220 X214 X205:X207 X193:X194 X167 X143 X115:X116 X111:X112 X109 X98 X93 X87:X88 X76:X77 X70:X71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403</v>
      </c>
      <c r="H1" s="9"/>
    </row>
    <row r="3" spans="2:8" x14ac:dyDescent="0.2">
      <c r="B3" s="53" t="s">
        <v>404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405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406</v>
      </c>
      <c r="D6" s="53" t="s">
        <v>407</v>
      </c>
      <c r="E6" s="53" t="s">
        <v>46</v>
      </c>
    </row>
    <row r="8" spans="2:8" x14ac:dyDescent="0.2">
      <c r="B8" s="53" t="s">
        <v>80</v>
      </c>
      <c r="C8" s="53" t="s">
        <v>406</v>
      </c>
      <c r="D8" s="53" t="s">
        <v>46</v>
      </c>
      <c r="E8" s="53" t="s">
        <v>46</v>
      </c>
    </row>
    <row r="10" spans="2:8" x14ac:dyDescent="0.2">
      <c r="B10" s="53" t="s">
        <v>408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409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410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411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412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413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414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415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416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417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418</v>
      </c>
      <c r="C20" s="53" t="s">
        <v>46</v>
      </c>
      <c r="D20" s="53" t="s">
        <v>46</v>
      </c>
      <c r="E20" s="53" t="s">
        <v>46</v>
      </c>
    </row>
  </sheetData>
  <sheetProtection algorithmName="SHA-512" hashValue="F2MugdeEC/y0UIiem93k/2umnhLZT8ihqJ4EuOTdDC05XeaktxRBQ/OaYj091XWMPfiawx8NxG7CUQM59aF4Vw==" saltValue="pzeRxKSh3LGc+R/cJvC1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449</vt:i4>
      </vt:variant>
    </vt:vector>
  </HeadingPairs>
  <TitlesOfParts>
    <vt:vector size="4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2026-09-24T12:59:14Z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