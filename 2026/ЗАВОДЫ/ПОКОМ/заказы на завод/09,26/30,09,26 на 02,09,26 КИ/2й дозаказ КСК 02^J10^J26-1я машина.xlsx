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DFCB4D8-3070-7D45-81F8-88073F40EE2E}" xr6:coauthVersionLast="47" xr6:coauthVersionMax="47" xr10:uidLastSave="{00000000-0000-0000-0000-000000000000}"/>
  <bookViews>
    <workbookView xWindow="3300" yWindow="120" windowWidth="25035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/>
  <c r="P558" i="2"/>
  <c r="X555" i="2"/>
  <c r="X554" i="2"/>
  <c r="BO553" i="2"/>
  <c r="BM553" i="2"/>
  <c r="Y553" i="2"/>
  <c r="BP553" i="2"/>
  <c r="P553" i="2"/>
  <c r="BO552" i="2"/>
  <c r="BM552" i="2"/>
  <c r="Z552" i="2"/>
  <c r="Y552" i="2"/>
  <c r="BP552" i="2"/>
  <c r="P552" i="2"/>
  <c r="X550" i="2"/>
  <c r="X549" i="2"/>
  <c r="BO548" i="2"/>
  <c r="BM548" i="2"/>
  <c r="Z548" i="2"/>
  <c r="Z549" i="2"/>
  <c r="Y548" i="2"/>
  <c r="Y549" i="2"/>
  <c r="P548" i="2"/>
  <c r="X546" i="2"/>
  <c r="X545" i="2"/>
  <c r="BO544" i="2"/>
  <c r="BM544" i="2"/>
  <c r="Y544" i="2"/>
  <c r="Z544" i="2"/>
  <c r="Z545" i="2"/>
  <c r="P544" i="2"/>
  <c r="X542" i="2"/>
  <c r="X541" i="2"/>
  <c r="BO540" i="2"/>
  <c r="BM540" i="2"/>
  <c r="Z540" i="2"/>
  <c r="Z541" i="2"/>
  <c r="Y540" i="2"/>
  <c r="Y541" i="2"/>
  <c r="P540" i="2"/>
  <c r="Y538" i="2"/>
  <c r="X538" i="2"/>
  <c r="X537" i="2"/>
  <c r="BO536" i="2"/>
  <c r="BM536" i="2"/>
  <c r="Y536" i="2"/>
  <c r="P536" i="2"/>
  <c r="X532" i="2"/>
  <c r="X531" i="2"/>
  <c r="BO530" i="2"/>
  <c r="BM530" i="2"/>
  <c r="Y530" i="2"/>
  <c r="Z530" i="2"/>
  <c r="P530" i="2"/>
  <c r="BO529" i="2"/>
  <c r="BN529" i="2"/>
  <c r="BM529" i="2"/>
  <c r="Y529" i="2"/>
  <c r="Z529" i="2"/>
  <c r="P529" i="2"/>
  <c r="BO528" i="2"/>
  <c r="BM528" i="2"/>
  <c r="Y528" i="2"/>
  <c r="BP528" i="2"/>
  <c r="P528" i="2"/>
  <c r="BO527" i="2"/>
  <c r="BM527" i="2"/>
  <c r="Y527" i="2"/>
  <c r="P527" i="2"/>
  <c r="BO526" i="2"/>
  <c r="BN526" i="2"/>
  <c r="BM526" i="2"/>
  <c r="Y526" i="2"/>
  <c r="Z526" i="2"/>
  <c r="P526" i="2"/>
  <c r="BP525" i="2"/>
  <c r="BO525" i="2"/>
  <c r="BM525" i="2"/>
  <c r="Y525" i="2"/>
  <c r="P525" i="2"/>
  <c r="BP524" i="2"/>
  <c r="BO524" i="2"/>
  <c r="BN524" i="2"/>
  <c r="BM524" i="2"/>
  <c r="Z524" i="2"/>
  <c r="Y524" i="2"/>
  <c r="P524" i="2"/>
  <c r="Y522" i="2"/>
  <c r="X522" i="2"/>
  <c r="X521" i="2"/>
  <c r="BO520" i="2"/>
  <c r="BM520" i="2"/>
  <c r="Y520" i="2"/>
  <c r="Z520" i="2"/>
  <c r="P520" i="2"/>
  <c r="BO519" i="2"/>
  <c r="BM519" i="2"/>
  <c r="Y519" i="2"/>
  <c r="P519" i="2"/>
  <c r="BO518" i="2"/>
  <c r="BM518" i="2"/>
  <c r="Y518" i="2"/>
  <c r="BP518" i="2"/>
  <c r="P518" i="2"/>
  <c r="X516" i="2"/>
  <c r="X515" i="2"/>
  <c r="BO514" i="2"/>
  <c r="BM514" i="2"/>
  <c r="Y514" i="2"/>
  <c r="BP514" i="2"/>
  <c r="P514" i="2"/>
  <c r="BO513" i="2"/>
  <c r="BM513" i="2"/>
  <c r="Y513" i="2"/>
  <c r="BN513" i="2"/>
  <c r="P513" i="2"/>
  <c r="BO512" i="2"/>
  <c r="BM512" i="2"/>
  <c r="Y512" i="2"/>
  <c r="BP512" i="2"/>
  <c r="P512" i="2"/>
  <c r="BO511" i="2"/>
  <c r="BN511" i="2"/>
  <c r="BM511" i="2"/>
  <c r="Y511" i="2"/>
  <c r="BP511" i="2"/>
  <c r="P511" i="2"/>
  <c r="BO510" i="2"/>
  <c r="BM510" i="2"/>
  <c r="Y510" i="2"/>
  <c r="Z510" i="2"/>
  <c r="P510" i="2"/>
  <c r="BO509" i="2"/>
  <c r="BM509" i="2"/>
  <c r="Y509" i="2"/>
  <c r="BP509" i="2"/>
  <c r="P509" i="2"/>
  <c r="BO508" i="2"/>
  <c r="BM508" i="2"/>
  <c r="Y508" i="2"/>
  <c r="Y515" i="2"/>
  <c r="P508" i="2"/>
  <c r="BO507" i="2"/>
  <c r="BM507" i="2"/>
  <c r="Z507" i="2"/>
  <c r="Y507" i="2"/>
  <c r="BP507" i="2"/>
  <c r="P507" i="2"/>
  <c r="BO506" i="2"/>
  <c r="BM506" i="2"/>
  <c r="Y506" i="2"/>
  <c r="P506" i="2"/>
  <c r="X502" i="2"/>
  <c r="X501" i="2"/>
  <c r="BO500" i="2"/>
  <c r="BM500" i="2"/>
  <c r="Y500" i="2"/>
  <c r="BP500" i="2"/>
  <c r="P500" i="2"/>
  <c r="BO499" i="2"/>
  <c r="BN499" i="2"/>
  <c r="BM499" i="2"/>
  <c r="Y499" i="2"/>
  <c r="BP499" i="2"/>
  <c r="P499" i="2"/>
  <c r="BO498" i="2"/>
  <c r="BM498" i="2"/>
  <c r="Y498" i="2"/>
  <c r="Z498" i="2"/>
  <c r="P498" i="2"/>
  <c r="X496" i="2"/>
  <c r="X495" i="2"/>
  <c r="BO494" i="2"/>
  <c r="BM494" i="2"/>
  <c r="Y494" i="2"/>
  <c r="P494" i="2"/>
  <c r="X491" i="2"/>
  <c r="Y490" i="2"/>
  <c r="X490" i="2"/>
  <c r="BP489" i="2"/>
  <c r="BO489" i="2"/>
  <c r="BN489" i="2"/>
  <c r="BM489" i="2"/>
  <c r="Z489" i="2"/>
  <c r="Y489" i="2"/>
  <c r="P489" i="2"/>
  <c r="BP488" i="2"/>
  <c r="BO488" i="2"/>
  <c r="BM488" i="2"/>
  <c r="Z488" i="2"/>
  <c r="Z490" i="2"/>
  <c r="Y488" i="2"/>
  <c r="Y491" i="2"/>
  <c r="P488" i="2"/>
  <c r="X486" i="2"/>
  <c r="X485" i="2"/>
  <c r="BO484" i="2"/>
  <c r="BN484" i="2"/>
  <c r="BM484" i="2"/>
  <c r="Y484" i="2"/>
  <c r="Z484" i="2"/>
  <c r="P484" i="2"/>
  <c r="BO483" i="2"/>
  <c r="BM483" i="2"/>
  <c r="Y483" i="2"/>
  <c r="P483" i="2"/>
  <c r="BO482" i="2"/>
  <c r="BM482" i="2"/>
  <c r="Y482" i="2"/>
  <c r="BN482" i="2"/>
  <c r="P482" i="2"/>
  <c r="BO481" i="2"/>
  <c r="BN481" i="2"/>
  <c r="BM481" i="2"/>
  <c r="Y481" i="2"/>
  <c r="Z481" i="2"/>
  <c r="P481" i="2"/>
  <c r="BP480" i="2"/>
  <c r="BO480" i="2"/>
  <c r="BM480" i="2"/>
  <c r="Y480" i="2"/>
  <c r="P480" i="2"/>
  <c r="BP479" i="2"/>
  <c r="BO479" i="2"/>
  <c r="BN479" i="2"/>
  <c r="BM479" i="2"/>
  <c r="Z479" i="2"/>
  <c r="Y479" i="2"/>
  <c r="P479" i="2"/>
  <c r="Y475" i="2"/>
  <c r="X475" i="2"/>
  <c r="X474" i="2"/>
  <c r="BO473" i="2"/>
  <c r="BM473" i="2"/>
  <c r="Y473" i="2"/>
  <c r="Z473" i="2"/>
  <c r="P473" i="2"/>
  <c r="BP472" i="2"/>
  <c r="BO472" i="2"/>
  <c r="BM472" i="2"/>
  <c r="Y472" i="2"/>
  <c r="P472" i="2"/>
  <c r="BO471" i="2"/>
  <c r="BM471" i="2"/>
  <c r="Y471" i="2"/>
  <c r="BP471" i="2"/>
  <c r="P471" i="2"/>
  <c r="X469" i="2"/>
  <c r="X468" i="2"/>
  <c r="BO467" i="2"/>
  <c r="BM467" i="2"/>
  <c r="Y467" i="2"/>
  <c r="Y468" i="2"/>
  <c r="P467" i="2"/>
  <c r="X465" i="2"/>
  <c r="X464" i="2"/>
  <c r="BO463" i="2"/>
  <c r="BM463" i="2"/>
  <c r="Y463" i="2"/>
  <c r="BN463" i="2"/>
  <c r="P463" i="2"/>
  <c r="BO462" i="2"/>
  <c r="BM462" i="2"/>
  <c r="Z462" i="2"/>
  <c r="Y462" i="2"/>
  <c r="P462" i="2"/>
  <c r="Y459" i="2"/>
  <c r="X459" i="2"/>
  <c r="X458" i="2"/>
  <c r="BO457" i="2"/>
  <c r="BN457" i="2"/>
  <c r="BM457" i="2"/>
  <c r="Y457" i="2"/>
  <c r="P457" i="2"/>
  <c r="BO456" i="2"/>
  <c r="BN456" i="2"/>
  <c r="BM456" i="2"/>
  <c r="Y456" i="2"/>
  <c r="Z456" i="2"/>
  <c r="P456" i="2"/>
  <c r="X454" i="2"/>
  <c r="X453" i="2"/>
  <c r="BO452" i="2"/>
  <c r="BM452" i="2"/>
  <c r="Y452" i="2"/>
  <c r="BP452" i="2"/>
  <c r="P452" i="2"/>
  <c r="BO451" i="2"/>
  <c r="BM451" i="2"/>
  <c r="Y451" i="2"/>
  <c r="P451" i="2"/>
  <c r="BO450" i="2"/>
  <c r="BM450" i="2"/>
  <c r="Y450" i="2"/>
  <c r="Z450" i="2"/>
  <c r="P450" i="2"/>
  <c r="X448" i="2"/>
  <c r="X447" i="2"/>
  <c r="BO446" i="2"/>
  <c r="BM446" i="2"/>
  <c r="Y446" i="2"/>
  <c r="P446" i="2"/>
  <c r="BO445" i="2"/>
  <c r="BM445" i="2"/>
  <c r="Z445" i="2"/>
  <c r="Y445" i="2"/>
  <c r="BN445" i="2"/>
  <c r="P445" i="2"/>
  <c r="BO444" i="2"/>
  <c r="BM444" i="2"/>
  <c r="Y444" i="2"/>
  <c r="P444" i="2"/>
  <c r="X442" i="2"/>
  <c r="X441" i="2"/>
  <c r="BO440" i="2"/>
  <c r="BM440" i="2"/>
  <c r="Y440" i="2"/>
  <c r="BN440" i="2"/>
  <c r="P440" i="2"/>
  <c r="BO439" i="2"/>
  <c r="BM439" i="2"/>
  <c r="Z439" i="2"/>
  <c r="Y439" i="2"/>
  <c r="BN439" i="2"/>
  <c r="P439" i="2"/>
  <c r="BO438" i="2"/>
  <c r="BM438" i="2"/>
  <c r="Z438" i="2"/>
  <c r="Y438" i="2"/>
  <c r="BN438" i="2"/>
  <c r="P438" i="2"/>
  <c r="BO437" i="2"/>
  <c r="BM437" i="2"/>
  <c r="Y437" i="2"/>
  <c r="BN437" i="2"/>
  <c r="P437" i="2"/>
  <c r="BO436" i="2"/>
  <c r="BM436" i="2"/>
  <c r="Y436" i="2"/>
  <c r="BP436" i="2"/>
  <c r="P436" i="2"/>
  <c r="BO435" i="2"/>
  <c r="BM435" i="2"/>
  <c r="Y435" i="2"/>
  <c r="BN435" i="2"/>
  <c r="P435" i="2"/>
  <c r="BO434" i="2"/>
  <c r="BM434" i="2"/>
  <c r="Y434" i="2"/>
  <c r="BP434" i="2"/>
  <c r="P434" i="2"/>
  <c r="BP433" i="2"/>
  <c r="BO433" i="2"/>
  <c r="BM433" i="2"/>
  <c r="Z433" i="2"/>
  <c r="Y433" i="2"/>
  <c r="BN433" i="2"/>
  <c r="P433" i="2"/>
  <c r="X429" i="2"/>
  <c r="X428" i="2"/>
  <c r="BO427" i="2"/>
  <c r="BM427" i="2"/>
  <c r="Z427" i="2"/>
  <c r="Y427" i="2"/>
  <c r="BN427" i="2"/>
  <c r="P427" i="2"/>
  <c r="BP426" i="2"/>
  <c r="BO426" i="2"/>
  <c r="BM426" i="2"/>
  <c r="Z426" i="2"/>
  <c r="Y426" i="2"/>
  <c r="BN426" i="2"/>
  <c r="P426" i="2"/>
  <c r="BO425" i="2"/>
  <c r="BM425" i="2"/>
  <c r="Y425" i="2"/>
  <c r="P425" i="2"/>
  <c r="X422" i="2"/>
  <c r="Y421" i="2"/>
  <c r="X421" i="2"/>
  <c r="BO420" i="2"/>
  <c r="BN420" i="2"/>
  <c r="BM420" i="2"/>
  <c r="Y420" i="2"/>
  <c r="Z420" i="2"/>
  <c r="P420" i="2"/>
  <c r="BP419" i="2"/>
  <c r="BO419" i="2"/>
  <c r="BM419" i="2"/>
  <c r="Z419" i="2"/>
  <c r="Z421" i="2"/>
  <c r="Y419" i="2"/>
  <c r="U571" i="2"/>
  <c r="P419" i="2"/>
  <c r="X416" i="2"/>
  <c r="X415" i="2"/>
  <c r="BO414" i="2"/>
  <c r="BM414" i="2"/>
  <c r="Y414" i="2"/>
  <c r="Z414" i="2"/>
  <c r="P414" i="2"/>
  <c r="BO413" i="2"/>
  <c r="BN413" i="2"/>
  <c r="BM413" i="2"/>
  <c r="Y413" i="2"/>
  <c r="Z413" i="2"/>
  <c r="P413" i="2"/>
  <c r="BO412" i="2"/>
  <c r="BM412" i="2"/>
  <c r="Y412" i="2"/>
  <c r="BP412" i="2"/>
  <c r="P412" i="2"/>
  <c r="X410" i="2"/>
  <c r="X409" i="2"/>
  <c r="BO408" i="2"/>
  <c r="BM408" i="2"/>
  <c r="Y408" i="2"/>
  <c r="BP408" i="2"/>
  <c r="P408" i="2"/>
  <c r="BO407" i="2"/>
  <c r="BM407" i="2"/>
  <c r="Y407" i="2"/>
  <c r="BN407" i="2"/>
  <c r="P407" i="2"/>
  <c r="BO406" i="2"/>
  <c r="BM406" i="2"/>
  <c r="Y406" i="2"/>
  <c r="BP406" i="2"/>
  <c r="P406" i="2"/>
  <c r="X404" i="2"/>
  <c r="X403" i="2"/>
  <c r="BO402" i="2"/>
  <c r="BM402" i="2"/>
  <c r="Y402" i="2"/>
  <c r="BN402" i="2"/>
  <c r="P402" i="2"/>
  <c r="BO401" i="2"/>
  <c r="BM401" i="2"/>
  <c r="Y401" i="2"/>
  <c r="BN401" i="2"/>
  <c r="P401" i="2"/>
  <c r="BO400" i="2"/>
  <c r="BM400" i="2"/>
  <c r="Z400" i="2"/>
  <c r="Y400" i="2"/>
  <c r="BP400" i="2"/>
  <c r="P400" i="2"/>
  <c r="BO399" i="2"/>
  <c r="BM399" i="2"/>
  <c r="Z399" i="2"/>
  <c r="Y399" i="2"/>
  <c r="P399" i="2"/>
  <c r="X397" i="2"/>
  <c r="X396" i="2"/>
  <c r="BO395" i="2"/>
  <c r="BN395" i="2"/>
  <c r="BM395" i="2"/>
  <c r="Y395" i="2"/>
  <c r="P395" i="2"/>
  <c r="BO394" i="2"/>
  <c r="BM394" i="2"/>
  <c r="Y394" i="2"/>
  <c r="BN394" i="2"/>
  <c r="P394" i="2"/>
  <c r="BO393" i="2"/>
  <c r="BM393" i="2"/>
  <c r="Z393" i="2"/>
  <c r="Y393" i="2"/>
  <c r="P393" i="2"/>
  <c r="X391" i="2"/>
  <c r="X390" i="2"/>
  <c r="BO389" i="2"/>
  <c r="BN389" i="2"/>
  <c r="BM389" i="2"/>
  <c r="Y389" i="2"/>
  <c r="P389" i="2"/>
  <c r="BO388" i="2"/>
  <c r="BN388" i="2"/>
  <c r="BM388" i="2"/>
  <c r="Y388" i="2"/>
  <c r="Z388" i="2"/>
  <c r="P388" i="2"/>
  <c r="BO387" i="2"/>
  <c r="BM387" i="2"/>
  <c r="Y387" i="2"/>
  <c r="BP387" i="2"/>
  <c r="P387" i="2"/>
  <c r="BP386" i="2"/>
  <c r="BO386" i="2"/>
  <c r="BN386" i="2"/>
  <c r="BM386" i="2"/>
  <c r="Z386" i="2"/>
  <c r="Y386" i="2"/>
  <c r="P386" i="2"/>
  <c r="X384" i="2"/>
  <c r="X383" i="2"/>
  <c r="BO382" i="2"/>
  <c r="BM382" i="2"/>
  <c r="Y382" i="2"/>
  <c r="Z382" i="2"/>
  <c r="P382" i="2"/>
  <c r="BP381" i="2"/>
  <c r="BO381" i="2"/>
  <c r="BM381" i="2"/>
  <c r="Y381" i="2"/>
  <c r="P381" i="2"/>
  <c r="BO380" i="2"/>
  <c r="BM380" i="2"/>
  <c r="Y380" i="2"/>
  <c r="BP380" i="2"/>
  <c r="P380" i="2"/>
  <c r="BO379" i="2"/>
  <c r="BM379" i="2"/>
  <c r="Z379" i="2"/>
  <c r="Y379" i="2"/>
  <c r="BP379" i="2"/>
  <c r="P379" i="2"/>
  <c r="BO378" i="2"/>
  <c r="BM378" i="2"/>
  <c r="Y378" i="2"/>
  <c r="BP378" i="2"/>
  <c r="P378" i="2"/>
  <c r="BO377" i="2"/>
  <c r="BN377" i="2"/>
  <c r="BM377" i="2"/>
  <c r="Y377" i="2"/>
  <c r="Z377" i="2"/>
  <c r="P377" i="2"/>
  <c r="BO376" i="2"/>
  <c r="BM376" i="2"/>
  <c r="Y376" i="2"/>
  <c r="BN376" i="2"/>
  <c r="P376" i="2"/>
  <c r="X374" i="2"/>
  <c r="X373" i="2"/>
  <c r="BO372" i="2"/>
  <c r="BM372" i="2"/>
  <c r="Y372" i="2"/>
  <c r="Z372" i="2"/>
  <c r="P372" i="2"/>
  <c r="BO371" i="2"/>
  <c r="BN371" i="2"/>
  <c r="BM371" i="2"/>
  <c r="Y371" i="2"/>
  <c r="Z371" i="2"/>
  <c r="P371" i="2"/>
  <c r="BO370" i="2"/>
  <c r="BM370" i="2"/>
  <c r="Y370" i="2"/>
  <c r="P370" i="2"/>
  <c r="BO369" i="2"/>
  <c r="BM369" i="2"/>
  <c r="Y369" i="2"/>
  <c r="BN369" i="2"/>
  <c r="P369" i="2"/>
  <c r="BO368" i="2"/>
  <c r="BN368" i="2"/>
  <c r="BM368" i="2"/>
  <c r="Y368" i="2"/>
  <c r="Z368" i="2"/>
  <c r="P368" i="2"/>
  <c r="BP367" i="2"/>
  <c r="BO367" i="2"/>
  <c r="BM367" i="2"/>
  <c r="Y367" i="2"/>
  <c r="P367" i="2"/>
  <c r="BP366" i="2"/>
  <c r="BO366" i="2"/>
  <c r="BN366" i="2"/>
  <c r="BM366" i="2"/>
  <c r="Z366" i="2"/>
  <c r="Y366" i="2"/>
  <c r="P366" i="2"/>
  <c r="Y363" i="2"/>
  <c r="X363" i="2"/>
  <c r="X362" i="2"/>
  <c r="BO361" i="2"/>
  <c r="BM361" i="2"/>
  <c r="Y361" i="2"/>
  <c r="Z361" i="2"/>
  <c r="P361" i="2"/>
  <c r="BO360" i="2"/>
  <c r="BM360" i="2"/>
  <c r="Y360" i="2"/>
  <c r="BP360" i="2"/>
  <c r="P360" i="2"/>
  <c r="BO359" i="2"/>
  <c r="BM359" i="2"/>
  <c r="Y359" i="2"/>
  <c r="S571" i="2"/>
  <c r="P359" i="2"/>
  <c r="X356" i="2"/>
  <c r="X355" i="2"/>
  <c r="BO354" i="2"/>
  <c r="BM354" i="2"/>
  <c r="Y354" i="2"/>
  <c r="P354" i="2"/>
  <c r="BO353" i="2"/>
  <c r="BM353" i="2"/>
  <c r="Z353" i="2"/>
  <c r="Y353" i="2"/>
  <c r="P353" i="2"/>
  <c r="X351" i="2"/>
  <c r="X350" i="2"/>
  <c r="BO349" i="2"/>
  <c r="BM349" i="2"/>
  <c r="Z349" i="2"/>
  <c r="Y349" i="2"/>
  <c r="BN349" i="2"/>
  <c r="P349" i="2"/>
  <c r="BO348" i="2"/>
  <c r="BM348" i="2"/>
  <c r="Y348" i="2"/>
  <c r="BN348" i="2"/>
  <c r="P348" i="2"/>
  <c r="BO347" i="2"/>
  <c r="BM347" i="2"/>
  <c r="Y347" i="2"/>
  <c r="BN347" i="2"/>
  <c r="P347" i="2"/>
  <c r="BO346" i="2"/>
  <c r="BM346" i="2"/>
  <c r="Z346" i="2"/>
  <c r="Y346" i="2"/>
  <c r="BN346" i="2"/>
  <c r="P346" i="2"/>
  <c r="BP345" i="2"/>
  <c r="BO345" i="2"/>
  <c r="BM345" i="2"/>
  <c r="Y345" i="2"/>
  <c r="P345" i="2"/>
  <c r="X342" i="2"/>
  <c r="X341" i="2"/>
  <c r="BO340" i="2"/>
  <c r="BM340" i="2"/>
  <c r="Z340" i="2"/>
  <c r="Y340" i="2"/>
  <c r="BN340" i="2"/>
  <c r="P340" i="2"/>
  <c r="BO339" i="2"/>
  <c r="BM339" i="2"/>
  <c r="Y339" i="2"/>
  <c r="BN339" i="2"/>
  <c r="P339" i="2"/>
  <c r="BO338" i="2"/>
  <c r="BM338" i="2"/>
  <c r="Z338" i="2"/>
  <c r="Y338" i="2"/>
  <c r="P338" i="2"/>
  <c r="X335" i="2"/>
  <c r="X334" i="2"/>
  <c r="BO333" i="2"/>
  <c r="BN333" i="2"/>
  <c r="BM333" i="2"/>
  <c r="Y333" i="2"/>
  <c r="P333" i="2"/>
  <c r="BO332" i="2"/>
  <c r="BN332" i="2"/>
  <c r="BM332" i="2"/>
  <c r="Y332" i="2"/>
  <c r="Z332" i="2"/>
  <c r="P332" i="2"/>
  <c r="BO331" i="2"/>
  <c r="BM331" i="2"/>
  <c r="Y331" i="2"/>
  <c r="BP331" i="2"/>
  <c r="P331" i="2"/>
  <c r="BP330" i="2"/>
  <c r="BO330" i="2"/>
  <c r="BN330" i="2"/>
  <c r="BM330" i="2"/>
  <c r="Z330" i="2"/>
  <c r="Y330" i="2"/>
  <c r="P330" i="2"/>
  <c r="BP329" i="2"/>
  <c r="BO329" i="2"/>
  <c r="BM329" i="2"/>
  <c r="Z329" i="2"/>
  <c r="Y329" i="2"/>
  <c r="BN329" i="2"/>
  <c r="P329" i="2"/>
  <c r="BO328" i="2"/>
  <c r="BM328" i="2"/>
  <c r="Y328" i="2"/>
  <c r="BN328" i="2"/>
  <c r="P328" i="2"/>
  <c r="X325" i="2"/>
  <c r="X324" i="2"/>
  <c r="BO323" i="2"/>
  <c r="BM323" i="2"/>
  <c r="Y323" i="2"/>
  <c r="Y325" i="2"/>
  <c r="P323" i="2"/>
  <c r="BO322" i="2"/>
  <c r="BM322" i="2"/>
  <c r="Z322" i="2"/>
  <c r="Y322" i="2"/>
  <c r="BP322" i="2"/>
  <c r="P322" i="2"/>
  <c r="X320" i="2"/>
  <c r="X319" i="2"/>
  <c r="BO318" i="2"/>
  <c r="BM318" i="2"/>
  <c r="Z318" i="2"/>
  <c r="Z319" i="2"/>
  <c r="Y318" i="2"/>
  <c r="Y320" i="2"/>
  <c r="P318" i="2"/>
  <c r="X316" i="2"/>
  <c r="Y315" i="2"/>
  <c r="X315" i="2"/>
  <c r="BO314" i="2"/>
  <c r="BM314" i="2"/>
  <c r="Y314" i="2"/>
  <c r="BN314" i="2"/>
  <c r="P314" i="2"/>
  <c r="X312" i="2"/>
  <c r="X311" i="2"/>
  <c r="BO310" i="2"/>
  <c r="BM310" i="2"/>
  <c r="Y310" i="2"/>
  <c r="BP310" i="2"/>
  <c r="P310" i="2"/>
  <c r="BO309" i="2"/>
  <c r="BN309" i="2"/>
  <c r="BM309" i="2"/>
  <c r="Y309" i="2"/>
  <c r="Z309" i="2"/>
  <c r="P309" i="2"/>
  <c r="BP308" i="2"/>
  <c r="BO308" i="2"/>
  <c r="BM308" i="2"/>
  <c r="Y308" i="2"/>
  <c r="P308" i="2"/>
  <c r="BO307" i="2"/>
  <c r="BM307" i="2"/>
  <c r="Y307" i="2"/>
  <c r="BN307" i="2"/>
  <c r="P307" i="2"/>
  <c r="BP306" i="2"/>
  <c r="BO306" i="2"/>
  <c r="BN306" i="2"/>
  <c r="BM306" i="2"/>
  <c r="Z306" i="2"/>
  <c r="Y306" i="2"/>
  <c r="P306" i="2"/>
  <c r="BO305" i="2"/>
  <c r="BM305" i="2"/>
  <c r="Y305" i="2"/>
  <c r="BN305" i="2"/>
  <c r="P305" i="2"/>
  <c r="BO304" i="2"/>
  <c r="BM304" i="2"/>
  <c r="Y304" i="2"/>
  <c r="P304" i="2"/>
  <c r="X301" i="2"/>
  <c r="Y300" i="2"/>
  <c r="X300" i="2"/>
  <c r="BO299" i="2"/>
  <c r="BN299" i="2"/>
  <c r="BM299" i="2"/>
  <c r="Z299" i="2"/>
  <c r="Y299" i="2"/>
  <c r="BP299" i="2"/>
  <c r="P299" i="2"/>
  <c r="BP298" i="2"/>
  <c r="BO298" i="2"/>
  <c r="BM298" i="2"/>
  <c r="Y298" i="2"/>
  <c r="P298" i="2"/>
  <c r="X296" i="2"/>
  <c r="X295" i="2"/>
  <c r="BO294" i="2"/>
  <c r="BM294" i="2"/>
  <c r="Y294" i="2"/>
  <c r="BP294" i="2"/>
  <c r="P294" i="2"/>
  <c r="BO293" i="2"/>
  <c r="BN293" i="2"/>
  <c r="BM293" i="2"/>
  <c r="Y293" i="2"/>
  <c r="BP293" i="2"/>
  <c r="P293" i="2"/>
  <c r="BO292" i="2"/>
  <c r="BM292" i="2"/>
  <c r="Y292" i="2"/>
  <c r="Z292" i="2"/>
  <c r="P292" i="2"/>
  <c r="BO291" i="2"/>
  <c r="BM291" i="2"/>
  <c r="Y291" i="2"/>
  <c r="Z291" i="2"/>
  <c r="P291" i="2"/>
  <c r="BO290" i="2"/>
  <c r="BM290" i="2"/>
  <c r="Y290" i="2"/>
  <c r="BP290" i="2"/>
  <c r="P290" i="2"/>
  <c r="BO289" i="2"/>
  <c r="BM289" i="2"/>
  <c r="Y289" i="2"/>
  <c r="BN289" i="2"/>
  <c r="P289" i="2"/>
  <c r="BO288" i="2"/>
  <c r="BN288" i="2"/>
  <c r="BM288" i="2"/>
  <c r="Y288" i="2"/>
  <c r="Z288" i="2"/>
  <c r="P288" i="2"/>
  <c r="BO287" i="2"/>
  <c r="BM287" i="2"/>
  <c r="Y287" i="2"/>
  <c r="Z287" i="2"/>
  <c r="P287" i="2"/>
  <c r="BP286" i="2"/>
  <c r="BO286" i="2"/>
  <c r="BN286" i="2"/>
  <c r="BM286" i="2"/>
  <c r="Z286" i="2"/>
  <c r="Y286" i="2"/>
  <c r="P286" i="2"/>
  <c r="BO285" i="2"/>
  <c r="BM285" i="2"/>
  <c r="Z285" i="2"/>
  <c r="Y285" i="2"/>
  <c r="BN285" i="2"/>
  <c r="P285" i="2"/>
  <c r="BO284" i="2"/>
  <c r="BM284" i="2"/>
  <c r="Y284" i="2"/>
  <c r="Z284" i="2"/>
  <c r="P284" i="2"/>
  <c r="BP283" i="2"/>
  <c r="BO283" i="2"/>
  <c r="BM283" i="2"/>
  <c r="Y283" i="2"/>
  <c r="P283" i="2"/>
  <c r="X281" i="2"/>
  <c r="X280" i="2"/>
  <c r="BO279" i="2"/>
  <c r="BN279" i="2"/>
  <c r="BM279" i="2"/>
  <c r="Z279" i="2"/>
  <c r="Y279" i="2"/>
  <c r="BP279" i="2"/>
  <c r="P279" i="2"/>
  <c r="BO278" i="2"/>
  <c r="BM278" i="2"/>
  <c r="Y278" i="2"/>
  <c r="BP278" i="2"/>
  <c r="P278" i="2"/>
  <c r="BO277" i="2"/>
  <c r="BN277" i="2"/>
  <c r="BM277" i="2"/>
  <c r="Y277" i="2"/>
  <c r="Z277" i="2"/>
  <c r="P277" i="2"/>
  <c r="BP276" i="2"/>
  <c r="BO276" i="2"/>
  <c r="BN276" i="2"/>
  <c r="BM276" i="2"/>
  <c r="Z276" i="2"/>
  <c r="Y276" i="2"/>
  <c r="P276" i="2"/>
  <c r="BO275" i="2"/>
  <c r="BM275" i="2"/>
  <c r="Z275" i="2"/>
  <c r="Y275" i="2"/>
  <c r="BN275" i="2"/>
  <c r="P275" i="2"/>
  <c r="BO274" i="2"/>
  <c r="BM274" i="2"/>
  <c r="Y274" i="2"/>
  <c r="BN274" i="2"/>
  <c r="P274" i="2"/>
  <c r="BP273" i="2"/>
  <c r="BO273" i="2"/>
  <c r="BM273" i="2"/>
  <c r="Y273" i="2"/>
  <c r="P273" i="2"/>
  <c r="BP272" i="2"/>
  <c r="BO272" i="2"/>
  <c r="BN272" i="2"/>
  <c r="BM272" i="2"/>
  <c r="Z272" i="2"/>
  <c r="Y272" i="2"/>
  <c r="P272" i="2"/>
  <c r="Y270" i="2"/>
  <c r="X270" i="2"/>
  <c r="X269" i="2"/>
  <c r="BO268" i="2"/>
  <c r="BN268" i="2"/>
  <c r="BM268" i="2"/>
  <c r="Y268" i="2"/>
  <c r="P268" i="2"/>
  <c r="BP267" i="2"/>
  <c r="BO267" i="2"/>
  <c r="BM267" i="2"/>
  <c r="Y267" i="2"/>
  <c r="P267" i="2"/>
  <c r="X265" i="2"/>
  <c r="X264" i="2"/>
  <c r="BO263" i="2"/>
  <c r="BM263" i="2"/>
  <c r="Y263" i="2"/>
  <c r="P263" i="2"/>
  <c r="BO262" i="2"/>
  <c r="BM262" i="2"/>
  <c r="Y262" i="2"/>
  <c r="Z262" i="2"/>
  <c r="P262" i="2"/>
  <c r="X259" i="2"/>
  <c r="X258" i="2"/>
  <c r="BO257" i="2"/>
  <c r="BM257" i="2"/>
  <c r="Z257" i="2"/>
  <c r="Z258" i="2"/>
  <c r="Y257" i="2"/>
  <c r="P257" i="2"/>
  <c r="Y255" i="2"/>
  <c r="X255" i="2"/>
  <c r="X254" i="2"/>
  <c r="BO253" i="2"/>
  <c r="BN253" i="2"/>
  <c r="BM253" i="2"/>
  <c r="Y253" i="2"/>
  <c r="P253" i="2"/>
  <c r="BP252" i="2"/>
  <c r="BO252" i="2"/>
  <c r="BN252" i="2"/>
  <c r="BM252" i="2"/>
  <c r="Z252" i="2"/>
  <c r="Y252" i="2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N246" i="2"/>
  <c r="BM246" i="2"/>
  <c r="Z246" i="2"/>
  <c r="Y246" i="2"/>
  <c r="BP246" i="2"/>
  <c r="P246" i="2"/>
  <c r="BO245" i="2"/>
  <c r="BN245" i="2"/>
  <c r="BM245" i="2"/>
  <c r="Y245" i="2"/>
  <c r="BP245" i="2"/>
  <c r="P245" i="2"/>
  <c r="BO244" i="2"/>
  <c r="BM244" i="2"/>
  <c r="Y244" i="2"/>
  <c r="Z244" i="2"/>
  <c r="P244" i="2"/>
  <c r="BO243" i="2"/>
  <c r="BN243" i="2"/>
  <c r="BM243" i="2"/>
  <c r="Y243" i="2"/>
  <c r="BP243" i="2"/>
  <c r="P243" i="2"/>
  <c r="BO242" i="2"/>
  <c r="BM242" i="2"/>
  <c r="Y242" i="2"/>
  <c r="BN242" i="2"/>
  <c r="P242" i="2"/>
  <c r="BO241" i="2"/>
  <c r="BM241" i="2"/>
  <c r="Y241" i="2"/>
  <c r="BN241" i="2"/>
  <c r="P241" i="2"/>
  <c r="BO240" i="2"/>
  <c r="BM240" i="2"/>
  <c r="Y240" i="2"/>
  <c r="BN240" i="2"/>
  <c r="P240" i="2"/>
  <c r="BP239" i="2"/>
  <c r="BO239" i="2"/>
  <c r="BN239" i="2"/>
  <c r="BM239" i="2"/>
  <c r="Z239" i="2"/>
  <c r="Y239" i="2"/>
  <c r="P239" i="2"/>
  <c r="X237" i="2"/>
  <c r="X236" i="2"/>
  <c r="BO235" i="2"/>
  <c r="BM235" i="2"/>
  <c r="Y235" i="2"/>
  <c r="BP235" i="2"/>
  <c r="P235" i="2"/>
  <c r="BO234" i="2"/>
  <c r="BN234" i="2"/>
  <c r="BM234" i="2"/>
  <c r="Y234" i="2"/>
  <c r="Z234" i="2"/>
  <c r="P234" i="2"/>
  <c r="BP233" i="2"/>
  <c r="BO233" i="2"/>
  <c r="BN233" i="2"/>
  <c r="BM233" i="2"/>
  <c r="Z233" i="2"/>
  <c r="Y233" i="2"/>
  <c r="P233" i="2"/>
  <c r="BO232" i="2"/>
  <c r="BN232" i="2"/>
  <c r="BM232" i="2"/>
  <c r="Y232" i="2"/>
  <c r="P232" i="2"/>
  <c r="BO231" i="2"/>
  <c r="BM231" i="2"/>
  <c r="Y231" i="2"/>
  <c r="BN231" i="2"/>
  <c r="P231" i="2"/>
  <c r="BO230" i="2"/>
  <c r="BM230" i="2"/>
  <c r="Y230" i="2"/>
  <c r="BN230" i="2"/>
  <c r="P230" i="2"/>
  <c r="BO229" i="2"/>
  <c r="BN229" i="2"/>
  <c r="BM229" i="2"/>
  <c r="Y229" i="2"/>
  <c r="BP229" i="2"/>
  <c r="P229" i="2"/>
  <c r="BO228" i="2"/>
  <c r="BM228" i="2"/>
  <c r="Y228" i="2"/>
  <c r="BN228" i="2"/>
  <c r="P228" i="2"/>
  <c r="BO227" i="2"/>
  <c r="BM227" i="2"/>
  <c r="Z227" i="2"/>
  <c r="Y227" i="2"/>
  <c r="BP227" i="2"/>
  <c r="P227" i="2"/>
  <c r="BO226" i="2"/>
  <c r="BM226" i="2"/>
  <c r="Z226" i="2"/>
  <c r="Y226" i="2"/>
  <c r="BN226" i="2"/>
  <c r="P226" i="2"/>
  <c r="BO225" i="2"/>
  <c r="BM225" i="2"/>
  <c r="Y225" i="2"/>
  <c r="BP225" i="2"/>
  <c r="P225" i="2"/>
  <c r="BO224" i="2"/>
  <c r="BM224" i="2"/>
  <c r="Y224" i="2"/>
  <c r="BN224" i="2"/>
  <c r="P224" i="2"/>
  <c r="BO223" i="2"/>
  <c r="BM223" i="2"/>
  <c r="Y223" i="2"/>
  <c r="BN223" i="2"/>
  <c r="P223" i="2"/>
  <c r="BO222" i="2"/>
  <c r="BN222" i="2"/>
  <c r="BM222" i="2"/>
  <c r="Y222" i="2"/>
  <c r="BP222" i="2"/>
  <c r="P222" i="2"/>
  <c r="BO221" i="2"/>
  <c r="BM221" i="2"/>
  <c r="Y221" i="2"/>
  <c r="Z221" i="2"/>
  <c r="P221" i="2"/>
  <c r="X219" i="2"/>
  <c r="X218" i="2"/>
  <c r="BO217" i="2"/>
  <c r="BM217" i="2"/>
  <c r="Y217" i="2"/>
  <c r="P217" i="2"/>
  <c r="X214" i="2"/>
  <c r="X213" i="2"/>
  <c r="BO212" i="2"/>
  <c r="BN212" i="2"/>
  <c r="BM212" i="2"/>
  <c r="Y212" i="2"/>
  <c r="BP212" i="2"/>
  <c r="P212" i="2"/>
  <c r="BP211" i="2"/>
  <c r="BO211" i="2"/>
  <c r="BN211" i="2"/>
  <c r="BM211" i="2"/>
  <c r="Z211" i="2"/>
  <c r="Y211" i="2"/>
  <c r="P211" i="2"/>
  <c r="BO210" i="2"/>
  <c r="BM210" i="2"/>
  <c r="Y210" i="2"/>
  <c r="BN210" i="2"/>
  <c r="P210" i="2"/>
  <c r="BO209" i="2"/>
  <c r="BM209" i="2"/>
  <c r="Y209" i="2"/>
  <c r="BN209" i="2"/>
  <c r="P209" i="2"/>
  <c r="BO208" i="2"/>
  <c r="BN208" i="2"/>
  <c r="BM208" i="2"/>
  <c r="Y208" i="2"/>
  <c r="BP208" i="2"/>
  <c r="P208" i="2"/>
  <c r="BP207" i="2"/>
  <c r="BO207" i="2"/>
  <c r="BN207" i="2"/>
  <c r="BM207" i="2"/>
  <c r="Z207" i="2"/>
  <c r="Y207" i="2"/>
  <c r="P207" i="2"/>
  <c r="BO206" i="2"/>
  <c r="BM206" i="2"/>
  <c r="Y206" i="2"/>
  <c r="BP206" i="2"/>
  <c r="P206" i="2"/>
  <c r="Y202" i="2"/>
  <c r="X202" i="2"/>
  <c r="Y201" i="2"/>
  <c r="X201" i="2"/>
  <c r="BP200" i="2"/>
  <c r="BO200" i="2"/>
  <c r="BN200" i="2"/>
  <c r="BM200" i="2"/>
  <c r="Z200" i="2"/>
  <c r="Z201" i="2"/>
  <c r="Y200" i="2"/>
  <c r="P200" i="2"/>
  <c r="Y198" i="2"/>
  <c r="X198" i="2"/>
  <c r="X197" i="2"/>
  <c r="BO196" i="2"/>
  <c r="BM196" i="2"/>
  <c r="Y196" i="2"/>
  <c r="Z196" i="2"/>
  <c r="Z197" i="2"/>
  <c r="P196" i="2"/>
  <c r="X194" i="2"/>
  <c r="X193" i="2"/>
  <c r="BO192" i="2"/>
  <c r="BM192" i="2"/>
  <c r="Y192" i="2"/>
  <c r="BP192" i="2"/>
  <c r="P192" i="2"/>
  <c r="BO191" i="2"/>
  <c r="BM191" i="2"/>
  <c r="Y191" i="2"/>
  <c r="BN191" i="2"/>
  <c r="P191" i="2"/>
  <c r="BO190" i="2"/>
  <c r="BM190" i="2"/>
  <c r="Y190" i="2"/>
  <c r="P190" i="2"/>
  <c r="X188" i="2"/>
  <c r="X187" i="2"/>
  <c r="BO186" i="2"/>
  <c r="BM186" i="2"/>
  <c r="Y186" i="2"/>
  <c r="Z186" i="2"/>
  <c r="P186" i="2"/>
  <c r="BO185" i="2"/>
  <c r="BM185" i="2"/>
  <c r="Y185" i="2"/>
  <c r="BN185" i="2"/>
  <c r="P185" i="2"/>
  <c r="BP184" i="2"/>
  <c r="BO184" i="2"/>
  <c r="BM184" i="2"/>
  <c r="Z184" i="2"/>
  <c r="Y184" i="2"/>
  <c r="BN184" i="2"/>
  <c r="P184" i="2"/>
  <c r="BO183" i="2"/>
  <c r="BM183" i="2"/>
  <c r="Y183" i="2"/>
  <c r="BP183" i="2"/>
  <c r="P183" i="2"/>
  <c r="BO182" i="2"/>
  <c r="BM182" i="2"/>
  <c r="Z182" i="2"/>
  <c r="Y182" i="2"/>
  <c r="BP182" i="2"/>
  <c r="P182" i="2"/>
  <c r="BO181" i="2"/>
  <c r="BM181" i="2"/>
  <c r="Y181" i="2"/>
  <c r="BN181" i="2"/>
  <c r="P181" i="2"/>
  <c r="BO180" i="2"/>
  <c r="BM180" i="2"/>
  <c r="Y180" i="2"/>
  <c r="BP180" i="2"/>
  <c r="P180" i="2"/>
  <c r="BO179" i="2"/>
  <c r="BN179" i="2"/>
  <c r="BM179" i="2"/>
  <c r="Y179" i="2"/>
  <c r="BP179" i="2"/>
  <c r="P179" i="2"/>
  <c r="BO178" i="2"/>
  <c r="BM178" i="2"/>
  <c r="Y178" i="2"/>
  <c r="BN178" i="2"/>
  <c r="P178" i="2"/>
  <c r="BO177" i="2"/>
  <c r="BM177" i="2"/>
  <c r="Y177" i="2"/>
  <c r="BP177" i="2"/>
  <c r="P177" i="2"/>
  <c r="BO176" i="2"/>
  <c r="BM176" i="2"/>
  <c r="Y176" i="2"/>
  <c r="P176" i="2"/>
  <c r="X174" i="2"/>
  <c r="X173" i="2"/>
  <c r="BO172" i="2"/>
  <c r="BM172" i="2"/>
  <c r="Y172" i="2"/>
  <c r="BP172" i="2"/>
  <c r="P172" i="2"/>
  <c r="BO171" i="2"/>
  <c r="BM171" i="2"/>
  <c r="Y171" i="2"/>
  <c r="Y173" i="2"/>
  <c r="P171" i="2"/>
  <c r="X169" i="2"/>
  <c r="X168" i="2"/>
  <c r="BP167" i="2"/>
  <c r="BO167" i="2"/>
  <c r="BM167" i="2"/>
  <c r="Z167" i="2"/>
  <c r="Y167" i="2"/>
  <c r="BN167" i="2"/>
  <c r="P167" i="2"/>
  <c r="BO166" i="2"/>
  <c r="BM166" i="2"/>
  <c r="Y166" i="2"/>
  <c r="BN166" i="2"/>
  <c r="P166" i="2"/>
  <c r="BO165" i="2"/>
  <c r="BM165" i="2"/>
  <c r="Y165" i="2"/>
  <c r="Y168" i="2"/>
  <c r="P165" i="2"/>
  <c r="BO164" i="2"/>
  <c r="BN164" i="2"/>
  <c r="BM164" i="2"/>
  <c r="Y164" i="2"/>
  <c r="P164" i="2"/>
  <c r="Y161" i="2"/>
  <c r="X161" i="2"/>
  <c r="X160" i="2"/>
  <c r="BO159" i="2"/>
  <c r="BN159" i="2"/>
  <c r="BM159" i="2"/>
  <c r="Y159" i="2"/>
  <c r="Y160" i="2"/>
  <c r="P159" i="2"/>
  <c r="X157" i="2"/>
  <c r="X156" i="2"/>
  <c r="BO155" i="2"/>
  <c r="BM155" i="2"/>
  <c r="Y155" i="2"/>
  <c r="BP155" i="2"/>
  <c r="P155" i="2"/>
  <c r="BO154" i="2"/>
  <c r="BN154" i="2"/>
  <c r="BM154" i="2"/>
  <c r="Y154" i="2"/>
  <c r="BP154" i="2"/>
  <c r="P154" i="2"/>
  <c r="BO153" i="2"/>
  <c r="BM153" i="2"/>
  <c r="Y153" i="2"/>
  <c r="Z153" i="2"/>
  <c r="P153" i="2"/>
  <c r="BO152" i="2"/>
  <c r="BM152" i="2"/>
  <c r="Y152" i="2"/>
  <c r="Z152" i="2"/>
  <c r="P152" i="2"/>
  <c r="BO151" i="2"/>
  <c r="BM151" i="2"/>
  <c r="Y151" i="2"/>
  <c r="BP151" i="2"/>
  <c r="P151" i="2"/>
  <c r="BO150" i="2"/>
  <c r="BN150" i="2"/>
  <c r="BM150" i="2"/>
  <c r="Z150" i="2"/>
  <c r="Y150" i="2"/>
  <c r="P150" i="2"/>
  <c r="X147" i="2"/>
  <c r="Y146" i="2"/>
  <c r="X146" i="2"/>
  <c r="BO145" i="2"/>
  <c r="BN145" i="2"/>
  <c r="BM145" i="2"/>
  <c r="Y145" i="2"/>
  <c r="BP145" i="2"/>
  <c r="P145" i="2"/>
  <c r="BO144" i="2"/>
  <c r="BM144" i="2"/>
  <c r="Y144" i="2"/>
  <c r="BP144" i="2"/>
  <c r="P144" i="2"/>
  <c r="X142" i="2"/>
  <c r="X141" i="2"/>
  <c r="BP140" i="2"/>
  <c r="BO140" i="2"/>
  <c r="BM140" i="2"/>
  <c r="Z140" i="2"/>
  <c r="Y140" i="2"/>
  <c r="BN140" i="2"/>
  <c r="P140" i="2"/>
  <c r="BO139" i="2"/>
  <c r="BM139" i="2"/>
  <c r="Y139" i="2"/>
  <c r="Y142" i="2"/>
  <c r="P139" i="2"/>
  <c r="X137" i="2"/>
  <c r="Y136" i="2"/>
  <c r="X136" i="2"/>
  <c r="BO135" i="2"/>
  <c r="BN135" i="2"/>
  <c r="BM135" i="2"/>
  <c r="Y135" i="2"/>
  <c r="Z135" i="2"/>
  <c r="P135" i="2"/>
  <c r="BP134" i="2"/>
  <c r="BO134" i="2"/>
  <c r="BM134" i="2"/>
  <c r="Z134" i="2"/>
  <c r="Z136" i="2"/>
  <c r="Y134" i="2"/>
  <c r="Y137" i="2"/>
  <c r="P134" i="2"/>
  <c r="Y131" i="2"/>
  <c r="X131" i="2"/>
  <c r="X130" i="2"/>
  <c r="BO129" i="2"/>
  <c r="BM129" i="2"/>
  <c r="Y129" i="2"/>
  <c r="BP129" i="2"/>
  <c r="P129" i="2"/>
  <c r="X127" i="2"/>
  <c r="X126" i="2"/>
  <c r="BO125" i="2"/>
  <c r="BM125" i="2"/>
  <c r="Y125" i="2"/>
  <c r="BP125" i="2"/>
  <c r="P125" i="2"/>
  <c r="BO124" i="2"/>
  <c r="BM124" i="2"/>
  <c r="Y124" i="2"/>
  <c r="Z124" i="2"/>
  <c r="P124" i="2"/>
  <c r="BO123" i="2"/>
  <c r="BM123" i="2"/>
  <c r="Y123" i="2"/>
  <c r="Y127" i="2"/>
  <c r="P123" i="2"/>
  <c r="BO122" i="2"/>
  <c r="BN122" i="2"/>
  <c r="BM122" i="2"/>
  <c r="Y122" i="2"/>
  <c r="BP122" i="2"/>
  <c r="P122" i="2"/>
  <c r="X120" i="2"/>
  <c r="X119" i="2"/>
  <c r="BO118" i="2"/>
  <c r="BM118" i="2"/>
  <c r="Y118" i="2"/>
  <c r="BN118" i="2"/>
  <c r="P118" i="2"/>
  <c r="BO117" i="2"/>
  <c r="BN117" i="2"/>
  <c r="BM117" i="2"/>
  <c r="Y117" i="2"/>
  <c r="BP117" i="2"/>
  <c r="P117" i="2"/>
  <c r="BO116" i="2"/>
  <c r="BN116" i="2"/>
  <c r="BM116" i="2"/>
  <c r="Z116" i="2"/>
  <c r="Y116" i="2"/>
  <c r="P116" i="2"/>
  <c r="X114" i="2"/>
  <c r="X113" i="2"/>
  <c r="BO112" i="2"/>
  <c r="BN112" i="2"/>
  <c r="BM112" i="2"/>
  <c r="Y112" i="2"/>
  <c r="Z112" i="2"/>
  <c r="P112" i="2"/>
  <c r="BP111" i="2"/>
  <c r="BO111" i="2"/>
  <c r="BM111" i="2"/>
  <c r="Z111" i="2"/>
  <c r="Y111" i="2"/>
  <c r="BN111" i="2"/>
  <c r="P111" i="2"/>
  <c r="BO110" i="2"/>
  <c r="BM110" i="2"/>
  <c r="Y110" i="2"/>
  <c r="BP110" i="2"/>
  <c r="P110" i="2"/>
  <c r="BO109" i="2"/>
  <c r="BM109" i="2"/>
  <c r="Y109" i="2"/>
  <c r="BN109" i="2"/>
  <c r="P109" i="2"/>
  <c r="BO108" i="2"/>
  <c r="BM108" i="2"/>
  <c r="Z108" i="2"/>
  <c r="Y108" i="2"/>
  <c r="BN108" i="2"/>
  <c r="P108" i="2"/>
  <c r="BP107" i="2"/>
  <c r="BO107" i="2"/>
  <c r="BM107" i="2"/>
  <c r="Z107" i="2"/>
  <c r="Y107" i="2"/>
  <c r="BN107" i="2"/>
  <c r="P107" i="2"/>
  <c r="BO106" i="2"/>
  <c r="BM106" i="2"/>
  <c r="Y106" i="2"/>
  <c r="BP106" i="2"/>
  <c r="P106" i="2"/>
  <c r="BO105" i="2"/>
  <c r="BM105" i="2"/>
  <c r="Y105" i="2"/>
  <c r="BP105" i="2"/>
  <c r="P105" i="2"/>
  <c r="BO104" i="2"/>
  <c r="BM104" i="2"/>
  <c r="Y104" i="2"/>
  <c r="BP104" i="2"/>
  <c r="P104" i="2"/>
  <c r="X101" i="2"/>
  <c r="X100" i="2"/>
  <c r="BP99" i="2"/>
  <c r="BO99" i="2"/>
  <c r="BN99" i="2"/>
  <c r="BM99" i="2"/>
  <c r="Z99" i="2"/>
  <c r="Y99" i="2"/>
  <c r="P99" i="2"/>
  <c r="BO98" i="2"/>
  <c r="BM98" i="2"/>
  <c r="Y98" i="2"/>
  <c r="BN98" i="2"/>
  <c r="P98" i="2"/>
  <c r="BO97" i="2"/>
  <c r="BM97" i="2"/>
  <c r="Y97" i="2"/>
  <c r="Y100" i="2"/>
  <c r="P97" i="2"/>
  <c r="BO96" i="2"/>
  <c r="BN96" i="2"/>
  <c r="BM96" i="2"/>
  <c r="Y96" i="2"/>
  <c r="BP96" i="2"/>
  <c r="P96" i="2"/>
  <c r="X94" i="2"/>
  <c r="X93" i="2"/>
  <c r="BO92" i="2"/>
  <c r="BM92" i="2"/>
  <c r="Y92" i="2"/>
  <c r="Z92" i="2"/>
  <c r="P92" i="2"/>
  <c r="BO91" i="2"/>
  <c r="BN91" i="2"/>
  <c r="BM91" i="2"/>
  <c r="Y91" i="2"/>
  <c r="Z91" i="2"/>
  <c r="P91" i="2"/>
  <c r="BO90" i="2"/>
  <c r="BM90" i="2"/>
  <c r="Y90" i="2"/>
  <c r="BP90" i="2"/>
  <c r="P90" i="2"/>
  <c r="BO89" i="2"/>
  <c r="BN89" i="2"/>
  <c r="BM89" i="2"/>
  <c r="Y89" i="2"/>
  <c r="BP89" i="2"/>
  <c r="P89" i="2"/>
  <c r="BO88" i="2"/>
  <c r="BM88" i="2"/>
  <c r="Y88" i="2"/>
  <c r="BN88" i="2"/>
  <c r="P88" i="2"/>
  <c r="BO87" i="2"/>
  <c r="BM87" i="2"/>
  <c r="Z87" i="2"/>
  <c r="Y87" i="2"/>
  <c r="P87" i="2"/>
  <c r="X84" i="2"/>
  <c r="X83" i="2"/>
  <c r="BO82" i="2"/>
  <c r="BN82" i="2"/>
  <c r="BM82" i="2"/>
  <c r="Y82" i="2"/>
  <c r="BP82" i="2"/>
  <c r="P82" i="2"/>
  <c r="BO81" i="2"/>
  <c r="BN81" i="2"/>
  <c r="BM81" i="2"/>
  <c r="Y81" i="2"/>
  <c r="Z81" i="2"/>
  <c r="P81" i="2"/>
  <c r="BO80" i="2"/>
  <c r="BM80" i="2"/>
  <c r="Y80" i="2"/>
  <c r="Z80" i="2"/>
  <c r="P80" i="2"/>
  <c r="X78" i="2"/>
  <c r="X77" i="2"/>
  <c r="BO76" i="2"/>
  <c r="BM76" i="2"/>
  <c r="Y76" i="2"/>
  <c r="P76" i="2"/>
  <c r="BO75" i="2"/>
  <c r="BM75" i="2"/>
  <c r="Y75" i="2"/>
  <c r="Z75" i="2"/>
  <c r="P75" i="2"/>
  <c r="X73" i="2"/>
  <c r="X72" i="2"/>
  <c r="BO71" i="2"/>
  <c r="BM71" i="2"/>
  <c r="Y71" i="2"/>
  <c r="BP71" i="2"/>
  <c r="P71" i="2"/>
  <c r="BP70" i="2"/>
  <c r="BO70" i="2"/>
  <c r="BM70" i="2"/>
  <c r="Y70" i="2"/>
  <c r="Z70" i="2"/>
  <c r="P70" i="2"/>
  <c r="BO69" i="2"/>
  <c r="BM69" i="2"/>
  <c r="Y69" i="2"/>
  <c r="BP69" i="2"/>
  <c r="P69" i="2"/>
  <c r="BP68" i="2"/>
  <c r="BO68" i="2"/>
  <c r="BN68" i="2"/>
  <c r="BM68" i="2"/>
  <c r="Z68" i="2"/>
  <c r="Y68" i="2"/>
  <c r="P68" i="2"/>
  <c r="BO67" i="2"/>
  <c r="BM67" i="2"/>
  <c r="Y67" i="2"/>
  <c r="Z67" i="2"/>
  <c r="P67" i="2"/>
  <c r="X65" i="2"/>
  <c r="X64" i="2"/>
  <c r="BO63" i="2"/>
  <c r="BN63" i="2"/>
  <c r="BM63" i="2"/>
  <c r="Y63" i="2"/>
  <c r="BP63" i="2"/>
  <c r="P63" i="2"/>
  <c r="BP62" i="2"/>
  <c r="BO62" i="2"/>
  <c r="BN62" i="2"/>
  <c r="BM62" i="2"/>
  <c r="Z62" i="2"/>
  <c r="Y62" i="2"/>
  <c r="P62" i="2"/>
  <c r="BO61" i="2"/>
  <c r="BM61" i="2"/>
  <c r="Y61" i="2"/>
  <c r="BP61" i="2"/>
  <c r="P61" i="2"/>
  <c r="BP60" i="2"/>
  <c r="BO60" i="2"/>
  <c r="BM60" i="2"/>
  <c r="Y60" i="2"/>
  <c r="Z60" i="2"/>
  <c r="P60" i="2"/>
  <c r="BO59" i="2"/>
  <c r="BM59" i="2"/>
  <c r="Y59" i="2"/>
  <c r="BP59" i="2"/>
  <c r="P59" i="2"/>
  <c r="BP58" i="2"/>
  <c r="BO58" i="2"/>
  <c r="BN58" i="2"/>
  <c r="BM58" i="2"/>
  <c r="Z58" i="2"/>
  <c r="Y58" i="2"/>
  <c r="P58" i="2"/>
  <c r="BO57" i="2"/>
  <c r="BM57" i="2"/>
  <c r="Y57" i="2"/>
  <c r="BP57" i="2"/>
  <c r="P57" i="2"/>
  <c r="BO56" i="2"/>
  <c r="BN56" i="2"/>
  <c r="BM56" i="2"/>
  <c r="Y56" i="2"/>
  <c r="BP56" i="2"/>
  <c r="P56" i="2"/>
  <c r="BO55" i="2"/>
  <c r="BM55" i="2"/>
  <c r="Y55" i="2"/>
  <c r="P55" i="2"/>
  <c r="X52" i="2"/>
  <c r="X51" i="2"/>
  <c r="BO50" i="2"/>
  <c r="BM50" i="2"/>
  <c r="Y50" i="2"/>
  <c r="BP50" i="2"/>
  <c r="P50" i="2"/>
  <c r="BP49" i="2"/>
  <c r="BO49" i="2"/>
  <c r="BM49" i="2"/>
  <c r="Y49" i="2"/>
  <c r="Z49" i="2"/>
  <c r="P49" i="2"/>
  <c r="BO48" i="2"/>
  <c r="BM48" i="2"/>
  <c r="Y48" i="2"/>
  <c r="P48" i="2"/>
  <c r="BO47" i="2"/>
  <c r="BM47" i="2"/>
  <c r="Y47" i="2"/>
  <c r="D571" i="2"/>
  <c r="P47" i="2"/>
  <c r="X43" i="2"/>
  <c r="X42" i="2"/>
  <c r="BO41" i="2"/>
  <c r="BM41" i="2"/>
  <c r="Y41" i="2"/>
  <c r="BN41" i="2"/>
  <c r="P41" i="2"/>
  <c r="BO40" i="2"/>
  <c r="BN40" i="2"/>
  <c r="BM40" i="2"/>
  <c r="Y40" i="2"/>
  <c r="BP40" i="2"/>
  <c r="P40" i="2"/>
  <c r="BO39" i="2"/>
  <c r="BN39" i="2"/>
  <c r="BM39" i="2"/>
  <c r="Y39" i="2"/>
  <c r="BP39" i="2"/>
  <c r="P39" i="2"/>
  <c r="BO38" i="2"/>
  <c r="BM38" i="2"/>
  <c r="Y38" i="2"/>
  <c r="BP38" i="2"/>
  <c r="P38" i="2"/>
  <c r="BP37" i="2"/>
  <c r="BO37" i="2"/>
  <c r="BM37" i="2"/>
  <c r="Y37" i="2"/>
  <c r="P37" i="2"/>
  <c r="X33" i="2"/>
  <c r="X32" i="2"/>
  <c r="BO31" i="2"/>
  <c r="BM31" i="2"/>
  <c r="Y31" i="2"/>
  <c r="BP31" i="2"/>
  <c r="P31" i="2"/>
  <c r="BO30" i="2"/>
  <c r="BM30" i="2"/>
  <c r="Y30" i="2"/>
  <c r="Z30" i="2"/>
  <c r="P30" i="2"/>
  <c r="BO29" i="2"/>
  <c r="BM29" i="2"/>
  <c r="Y29" i="2"/>
  <c r="BN29" i="2"/>
  <c r="P29" i="2"/>
  <c r="BP28" i="2"/>
  <c r="BO28" i="2"/>
  <c r="BN28" i="2"/>
  <c r="BM28" i="2"/>
  <c r="Z28" i="2"/>
  <c r="Y28" i="2"/>
  <c r="P28" i="2"/>
  <c r="BO27" i="2"/>
  <c r="BM27" i="2"/>
  <c r="Y27" i="2"/>
  <c r="Y33" i="2"/>
  <c r="P27" i="2"/>
  <c r="X25" i="2"/>
  <c r="Y24" i="2"/>
  <c r="X24" i="2"/>
  <c r="BO23" i="2"/>
  <c r="BN23" i="2"/>
  <c r="BM23" i="2"/>
  <c r="Y23" i="2"/>
  <c r="Z23" i="2"/>
  <c r="P23" i="2"/>
  <c r="BP22" i="2"/>
  <c r="BO22" i="2"/>
  <c r="BN22" i="2"/>
  <c r="BM22" i="2"/>
  <c r="Z22" i="2"/>
  <c r="Z24" i="2"/>
  <c r="Y22" i="2"/>
  <c r="Y25" i="2"/>
  <c r="P22" i="2"/>
  <c r="H10" i="2"/>
  <c r="A9" i="2"/>
  <c r="F10" i="2"/>
  <c r="D7" i="2"/>
  <c r="Q6" i="2"/>
  <c r="P2" i="2"/>
  <c r="Z436" i="2"/>
  <c r="Z435" i="2"/>
  <c r="X562" i="2"/>
  <c r="Z27" i="2"/>
  <c r="Z31" i="2"/>
  <c r="C571" i="2"/>
  <c r="Z41" i="2"/>
  <c r="Y78" i="2"/>
  <c r="BP80" i="2"/>
  <c r="BP23" i="2"/>
  <c r="BP29" i="2"/>
  <c r="Z40" i="2"/>
  <c r="E571" i="2"/>
  <c r="Y77" i="2"/>
  <c r="Z82" i="2"/>
  <c r="Z89" i="2"/>
  <c r="Z96" i="2"/>
  <c r="BP108" i="2"/>
  <c r="BP112" i="2"/>
  <c r="Y120" i="2"/>
  <c r="Z117" i="2"/>
  <c r="Y119" i="2"/>
  <c r="Z122" i="2"/>
  <c r="BN134" i="2"/>
  <c r="BP135" i="2"/>
  <c r="Z145" i="2"/>
  <c r="J571" i="2"/>
  <c r="Z165" i="2"/>
  <c r="Z181" i="2"/>
  <c r="BP185" i="2"/>
  <c r="Y194" i="2"/>
  <c r="BP191" i="2"/>
  <c r="Z209" i="2"/>
  <c r="Y214" i="2"/>
  <c r="Z229" i="2"/>
  <c r="BP232" i="2"/>
  <c r="Z232" i="2"/>
  <c r="BP234" i="2"/>
  <c r="BN235" i="2"/>
  <c r="BP240" i="2"/>
  <c r="Z243" i="2"/>
  <c r="BN244" i="2"/>
  <c r="BP253" i="2"/>
  <c r="Z253" i="2"/>
  <c r="Y258" i="2"/>
  <c r="Y259" i="2"/>
  <c r="BP263" i="2"/>
  <c r="BN263" i="2"/>
  <c r="Y264" i="2"/>
  <c r="Y280" i="2"/>
  <c r="BP275" i="2"/>
  <c r="BN283" i="2"/>
  <c r="Z283" i="2"/>
  <c r="BN287" i="2"/>
  <c r="BP288" i="2"/>
  <c r="Z298" i="2"/>
  <c r="Z300" i="2"/>
  <c r="Y301" i="2"/>
  <c r="BN298" i="2"/>
  <c r="Z308" i="2"/>
  <c r="BN308" i="2"/>
  <c r="BP333" i="2"/>
  <c r="Z333" i="2"/>
  <c r="BP340" i="2"/>
  <c r="Y351" i="2"/>
  <c r="Z345" i="2"/>
  <c r="Z348" i="2"/>
  <c r="Z367" i="2"/>
  <c r="BN367" i="2"/>
  <c r="BP389" i="2"/>
  <c r="Z389" i="2"/>
  <c r="Z402" i="2"/>
  <c r="Y416" i="2"/>
  <c r="Y429" i="2"/>
  <c r="BN425" i="2"/>
  <c r="BP425" i="2"/>
  <c r="BP437" i="2"/>
  <c r="Z437" i="2"/>
  <c r="BP457" i="2"/>
  <c r="Z457" i="2"/>
  <c r="Z480" i="2"/>
  <c r="BN480" i="2"/>
  <c r="AA571" i="2"/>
  <c r="BN506" i="2"/>
  <c r="BP513" i="2"/>
  <c r="Z519" i="2"/>
  <c r="BN519" i="2"/>
  <c r="Y532" i="2"/>
  <c r="B571" i="2"/>
  <c r="X563" i="2"/>
  <c r="X565" i="2"/>
  <c r="BN27" i="2"/>
  <c r="Z29" i="2"/>
  <c r="BN31" i="2"/>
  <c r="Z39" i="2"/>
  <c r="BN47" i="2"/>
  <c r="Y52" i="2"/>
  <c r="Z63" i="2"/>
  <c r="BN76" i="2"/>
  <c r="BN80" i="2"/>
  <c r="BP81" i="2"/>
  <c r="Y83" i="2"/>
  <c r="F571" i="2"/>
  <c r="BP87" i="2"/>
  <c r="BN90" i="2"/>
  <c r="BP91" i="2"/>
  <c r="BN92" i="2"/>
  <c r="G571" i="2"/>
  <c r="BN106" i="2"/>
  <c r="BN110" i="2"/>
  <c r="BP116" i="2"/>
  <c r="BP124" i="2"/>
  <c r="Y130" i="2"/>
  <c r="H571" i="2"/>
  <c r="BN139" i="2"/>
  <c r="I571" i="2"/>
  <c r="BN152" i="2"/>
  <c r="Z164" i="2"/>
  <c r="BP164" i="2"/>
  <c r="Y174" i="2"/>
  <c r="BN177" i="2"/>
  <c r="Z179" i="2"/>
  <c r="BN183" i="2"/>
  <c r="Z185" i="2"/>
  <c r="Z191" i="2"/>
  <c r="Y197" i="2"/>
  <c r="Z206" i="2"/>
  <c r="Z208" i="2"/>
  <c r="Z212" i="2"/>
  <c r="Z240" i="2"/>
  <c r="BP277" i="2"/>
  <c r="BN278" i="2"/>
  <c r="BP285" i="2"/>
  <c r="BN291" i="2"/>
  <c r="BN310" i="2"/>
  <c r="Y319" i="2"/>
  <c r="BN318" i="2"/>
  <c r="BP318" i="2"/>
  <c r="Y356" i="2"/>
  <c r="BN353" i="2"/>
  <c r="BP353" i="2"/>
  <c r="Z360" i="2"/>
  <c r="BN360" i="2"/>
  <c r="Y374" i="2"/>
  <c r="Z378" i="2"/>
  <c r="BN378" i="2"/>
  <c r="Y384" i="2"/>
  <c r="BP395" i="2"/>
  <c r="Z395" i="2"/>
  <c r="Z425" i="2"/>
  <c r="Z428" i="2"/>
  <c r="Y428" i="2"/>
  <c r="BP438" i="2"/>
  <c r="BP451" i="2"/>
  <c r="BN451" i="2"/>
  <c r="Z472" i="2"/>
  <c r="BN472" i="2"/>
  <c r="Z513" i="2"/>
  <c r="BP527" i="2"/>
  <c r="Z527" i="2"/>
  <c r="Y537" i="2"/>
  <c r="BN536" i="2"/>
  <c r="BP536" i="2"/>
  <c r="Z536" i="2"/>
  <c r="Z537" i="2"/>
  <c r="BP41" i="2"/>
  <c r="BP97" i="2"/>
  <c r="BP118" i="2"/>
  <c r="BP171" i="2"/>
  <c r="Y218" i="2"/>
  <c r="Z217" i="2"/>
  <c r="Z218" i="2"/>
  <c r="BP224" i="2"/>
  <c r="BP228" i="2"/>
  <c r="Z228" i="2"/>
  <c r="BP230" i="2"/>
  <c r="BP242" i="2"/>
  <c r="Z242" i="2"/>
  <c r="BP244" i="2"/>
  <c r="BP287" i="2"/>
  <c r="BP289" i="2"/>
  <c r="Z289" i="2"/>
  <c r="BN304" i="2"/>
  <c r="Y311" i="2"/>
  <c r="BP304" i="2"/>
  <c r="Z331" i="2"/>
  <c r="BN331" i="2"/>
  <c r="BP347" i="2"/>
  <c r="Z347" i="2"/>
  <c r="Y350" i="2"/>
  <c r="BP369" i="2"/>
  <c r="Z369" i="2"/>
  <c r="Z373" i="2"/>
  <c r="BP376" i="2"/>
  <c r="Z387" i="2"/>
  <c r="Z390" i="2"/>
  <c r="Y390" i="2"/>
  <c r="BN387" i="2"/>
  <c r="Y391" i="2"/>
  <c r="BP401" i="2"/>
  <c r="Z401" i="2"/>
  <c r="Z403" i="2"/>
  <c r="BP482" i="2"/>
  <c r="Z482" i="2"/>
  <c r="Z571" i="2"/>
  <c r="Z494" i="2"/>
  <c r="Z495" i="2"/>
  <c r="Z509" i="2"/>
  <c r="BN509" i="2"/>
  <c r="X561" i="2"/>
  <c r="BP27" i="2"/>
  <c r="Z47" i="2"/>
  <c r="BP47" i="2"/>
  <c r="Y84" i="2"/>
  <c r="Z90" i="2"/>
  <c r="BP92" i="2"/>
  <c r="Z97" i="2"/>
  <c r="Z106" i="2"/>
  <c r="Z110" i="2"/>
  <c r="Z118" i="2"/>
  <c r="Z119" i="2"/>
  <c r="Z139" i="2"/>
  <c r="Z141" i="2"/>
  <c r="BP139" i="2"/>
  <c r="BP152" i="2"/>
  <c r="BP165" i="2"/>
  <c r="Z171" i="2"/>
  <c r="Y188" i="2"/>
  <c r="BP181" i="2"/>
  <c r="Z183" i="2"/>
  <c r="Z192" i="2"/>
  <c r="BP209" i="2"/>
  <c r="Y219" i="2"/>
  <c r="Z224" i="2"/>
  <c r="Z230" i="2"/>
  <c r="Y249" i="2"/>
  <c r="Z267" i="2"/>
  <c r="BN267" i="2"/>
  <c r="BN273" i="2"/>
  <c r="Z273" i="2"/>
  <c r="BP291" i="2"/>
  <c r="Z304" i="2"/>
  <c r="BP307" i="2"/>
  <c r="Z307" i="2"/>
  <c r="Z310" i="2"/>
  <c r="BP348" i="2"/>
  <c r="Z376" i="2"/>
  <c r="Z381" i="2"/>
  <c r="BN381" i="2"/>
  <c r="BP402" i="2"/>
  <c r="BP407" i="2"/>
  <c r="Z407" i="2"/>
  <c r="BP446" i="2"/>
  <c r="Z446" i="2"/>
  <c r="Y496" i="2"/>
  <c r="BP506" i="2"/>
  <c r="BP519" i="2"/>
  <c r="Z525" i="2"/>
  <c r="BN525" i="2"/>
  <c r="BN527" i="2"/>
  <c r="Y542" i="2"/>
  <c r="Y546" i="2"/>
  <c r="BN558" i="2"/>
  <c r="BP314" i="2"/>
  <c r="Y316" i="2"/>
  <c r="BN322" i="2"/>
  <c r="Y341" i="2"/>
  <c r="BP338" i="2"/>
  <c r="BN379" i="2"/>
  <c r="Y404" i="2"/>
  <c r="BP399" i="2"/>
  <c r="BP413" i="2"/>
  <c r="BN419" i="2"/>
  <c r="BP420" i="2"/>
  <c r="Y422" i="2"/>
  <c r="BP427" i="2"/>
  <c r="BP435" i="2"/>
  <c r="Y571" i="2"/>
  <c r="BN488" i="2"/>
  <c r="BN507" i="2"/>
  <c r="BN548" i="2"/>
  <c r="BN553" i="2"/>
  <c r="BP226" i="2"/>
  <c r="Y254" i="2"/>
  <c r="Y269" i="2"/>
  <c r="BP309" i="2"/>
  <c r="Z314" i="2"/>
  <c r="Z315" i="2"/>
  <c r="BP332" i="2"/>
  <c r="Y334" i="2"/>
  <c r="BP346" i="2"/>
  <c r="BP349" i="2"/>
  <c r="Y355" i="2"/>
  <c r="BP368" i="2"/>
  <c r="T571" i="2"/>
  <c r="BP371" i="2"/>
  <c r="BP377" i="2"/>
  <c r="BP388" i="2"/>
  <c r="Y397" i="2"/>
  <c r="BP393" i="2"/>
  <c r="W571" i="2"/>
  <c r="BP439" i="2"/>
  <c r="Y448" i="2"/>
  <c r="BP445" i="2"/>
  <c r="Z458" i="2"/>
  <c r="BP456" i="2"/>
  <c r="Y458" i="2"/>
  <c r="X571" i="2"/>
  <c r="BP462" i="2"/>
  <c r="BP481" i="2"/>
  <c r="Y485" i="2"/>
  <c r="BP484" i="2"/>
  <c r="BP526" i="2"/>
  <c r="BP529" i="2"/>
  <c r="Y545" i="2"/>
  <c r="Z83" i="2"/>
  <c r="Y73" i="2"/>
  <c r="BN30" i="2"/>
  <c r="Y43" i="2"/>
  <c r="Z55" i="2"/>
  <c r="BP67" i="2"/>
  <c r="Z129" i="2"/>
  <c r="Z130" i="2"/>
  <c r="Z176" i="2"/>
  <c r="BP178" i="2"/>
  <c r="BN186" i="2"/>
  <c r="Y213" i="2"/>
  <c r="BP223" i="2"/>
  <c r="BN284" i="2"/>
  <c r="BN37" i="2"/>
  <c r="BN49" i="2"/>
  <c r="BN60" i="2"/>
  <c r="BN70" i="2"/>
  <c r="BN104" i="2"/>
  <c r="BN124" i="2"/>
  <c r="BP150" i="2"/>
  <c r="BN171" i="2"/>
  <c r="BN345" i="2"/>
  <c r="BN399" i="2"/>
  <c r="Y410" i="2"/>
  <c r="Y469" i="2"/>
  <c r="Y516" i="2"/>
  <c r="Y554" i="2"/>
  <c r="K571" i="2"/>
  <c r="Y42" i="2"/>
  <c r="BN67" i="2"/>
  <c r="Z37" i="2"/>
  <c r="Z104" i="2"/>
  <c r="BP30" i="2"/>
  <c r="BN55" i="2"/>
  <c r="BN75" i="2"/>
  <c r="BP88" i="2"/>
  <c r="BP98" i="2"/>
  <c r="BP109" i="2"/>
  <c r="BN129" i="2"/>
  <c r="BN153" i="2"/>
  <c r="Y156" i="2"/>
  <c r="BP166" i="2"/>
  <c r="BN176" i="2"/>
  <c r="BP186" i="2"/>
  <c r="BN196" i="2"/>
  <c r="BP210" i="2"/>
  <c r="BN221" i="2"/>
  <c r="BP231" i="2"/>
  <c r="BP241" i="2"/>
  <c r="BP251" i="2"/>
  <c r="BN262" i="2"/>
  <c r="BP274" i="2"/>
  <c r="BP284" i="2"/>
  <c r="BN292" i="2"/>
  <c r="Y295" i="2"/>
  <c r="BP305" i="2"/>
  <c r="BP328" i="2"/>
  <c r="BP339" i="2"/>
  <c r="BN361" i="2"/>
  <c r="BN372" i="2"/>
  <c r="BN382" i="2"/>
  <c r="BP394" i="2"/>
  <c r="BN414" i="2"/>
  <c r="BP440" i="2"/>
  <c r="BN450" i="2"/>
  <c r="Y453" i="2"/>
  <c r="BP463" i="2"/>
  <c r="BN473" i="2"/>
  <c r="Y486" i="2"/>
  <c r="BN498" i="2"/>
  <c r="Y501" i="2"/>
  <c r="BN510" i="2"/>
  <c r="BN520" i="2"/>
  <c r="BN530" i="2"/>
  <c r="BN544" i="2"/>
  <c r="L571" i="2"/>
  <c r="Y550" i="2"/>
  <c r="M571" i="2"/>
  <c r="F9" i="2"/>
  <c r="BP55" i="2"/>
  <c r="BP75" i="2"/>
  <c r="Z151" i="2"/>
  <c r="BP153" i="2"/>
  <c r="BP176" i="2"/>
  <c r="Y187" i="2"/>
  <c r="BP196" i="2"/>
  <c r="BP221" i="2"/>
  <c r="Z247" i="2"/>
  <c r="BP262" i="2"/>
  <c r="Z290" i="2"/>
  <c r="BP292" i="2"/>
  <c r="Z323" i="2"/>
  <c r="Z324" i="2"/>
  <c r="Z359" i="2"/>
  <c r="Z362" i="2"/>
  <c r="BP361" i="2"/>
  <c r="Z370" i="2"/>
  <c r="BP372" i="2"/>
  <c r="Z380" i="2"/>
  <c r="Z383" i="2"/>
  <c r="BP382" i="2"/>
  <c r="Z412" i="2"/>
  <c r="Z415" i="2"/>
  <c r="BP414" i="2"/>
  <c r="Y441" i="2"/>
  <c r="BP450" i="2"/>
  <c r="Y464" i="2"/>
  <c r="Z471" i="2"/>
  <c r="Z474" i="2"/>
  <c r="BP473" i="2"/>
  <c r="Z483" i="2"/>
  <c r="Z485" i="2"/>
  <c r="BP498" i="2"/>
  <c r="Z508" i="2"/>
  <c r="BP510" i="2"/>
  <c r="Z518" i="2"/>
  <c r="Z521" i="2"/>
  <c r="BP520" i="2"/>
  <c r="Z528" i="2"/>
  <c r="Z531" i="2"/>
  <c r="BP530" i="2"/>
  <c r="BP544" i="2"/>
  <c r="Y555" i="2"/>
  <c r="O571" i="2"/>
  <c r="Y157" i="2"/>
  <c r="Y296" i="2"/>
  <c r="Y454" i="2"/>
  <c r="Y502" i="2"/>
  <c r="P571" i="2"/>
  <c r="H9" i="2"/>
  <c r="Z50" i="2"/>
  <c r="Z61" i="2"/>
  <c r="Z105" i="2"/>
  <c r="Z125" i="2"/>
  <c r="BN151" i="2"/>
  <c r="BN247" i="2"/>
  <c r="Y281" i="2"/>
  <c r="BN290" i="2"/>
  <c r="Y312" i="2"/>
  <c r="BN323" i="2"/>
  <c r="Y335" i="2"/>
  <c r="BN359" i="2"/>
  <c r="Y362" i="2"/>
  <c r="BN370" i="2"/>
  <c r="Y373" i="2"/>
  <c r="BN380" i="2"/>
  <c r="Y383" i="2"/>
  <c r="BN412" i="2"/>
  <c r="Y415" i="2"/>
  <c r="BN471" i="2"/>
  <c r="Y474" i="2"/>
  <c r="BN483" i="2"/>
  <c r="BN508" i="2"/>
  <c r="BN518" i="2"/>
  <c r="Y521" i="2"/>
  <c r="BN528" i="2"/>
  <c r="Y531" i="2"/>
  <c r="Q571" i="2"/>
  <c r="Z38" i="2"/>
  <c r="A10" i="2"/>
  <c r="Y113" i="2"/>
  <c r="Z154" i="2"/>
  <c r="Z222" i="2"/>
  <c r="Z263" i="2"/>
  <c r="Z264" i="2"/>
  <c r="Z293" i="2"/>
  <c r="Y442" i="2"/>
  <c r="Z451" i="2"/>
  <c r="Z453" i="2"/>
  <c r="Y465" i="2"/>
  <c r="Z499" i="2"/>
  <c r="Z511" i="2"/>
  <c r="Z558" i="2"/>
  <c r="Z559" i="2"/>
  <c r="R571" i="2"/>
  <c r="J9" i="2"/>
  <c r="Z71" i="2"/>
  <c r="Z172" i="2"/>
  <c r="Z173" i="2"/>
  <c r="Z56" i="2"/>
  <c r="Z76" i="2"/>
  <c r="Z77" i="2"/>
  <c r="Z177" i="2"/>
  <c r="BN38" i="2"/>
  <c r="BN50" i="2"/>
  <c r="BN61" i="2"/>
  <c r="Y64" i="2"/>
  <c r="BN71" i="2"/>
  <c r="BN105" i="2"/>
  <c r="BN125" i="2"/>
  <c r="Y141" i="2"/>
  <c r="Z159" i="2"/>
  <c r="Z160" i="2"/>
  <c r="BN172" i="2"/>
  <c r="BN182" i="2"/>
  <c r="BN192" i="2"/>
  <c r="BN206" i="2"/>
  <c r="BN217" i="2"/>
  <c r="BN227" i="2"/>
  <c r="Z235" i="2"/>
  <c r="Z245" i="2"/>
  <c r="BP247" i="2"/>
  <c r="BN257" i="2"/>
  <c r="Z268" i="2"/>
  <c r="Z269" i="2"/>
  <c r="Z278" i="2"/>
  <c r="BP323" i="2"/>
  <c r="BP359" i="2"/>
  <c r="BP370" i="2"/>
  <c r="BN400" i="2"/>
  <c r="Y403" i="2"/>
  <c r="BN436" i="2"/>
  <c r="BN446" i="2"/>
  <c r="BP483" i="2"/>
  <c r="BN494" i="2"/>
  <c r="Z506" i="2"/>
  <c r="BP508" i="2"/>
  <c r="BN540" i="2"/>
  <c r="BN552" i="2"/>
  <c r="Z69" i="2"/>
  <c r="Z72" i="2"/>
  <c r="Z123" i="2"/>
  <c r="BP217" i="2"/>
  <c r="BP257" i="2"/>
  <c r="Y324" i="2"/>
  <c r="Z354" i="2"/>
  <c r="Z355" i="2"/>
  <c r="Z408" i="2"/>
  <c r="Z434" i="2"/>
  <c r="Z444" i="2"/>
  <c r="Z447" i="2"/>
  <c r="Z467" i="2"/>
  <c r="Z468" i="2"/>
  <c r="BP494" i="2"/>
  <c r="Z514" i="2"/>
  <c r="BP540" i="2"/>
  <c r="Z48" i="2"/>
  <c r="Z59" i="2"/>
  <c r="Y114" i="2"/>
  <c r="Z180" i="2"/>
  <c r="Z190" i="2"/>
  <c r="Z193" i="2"/>
  <c r="Z225" i="2"/>
  <c r="Y248" i="2"/>
  <c r="Y32" i="2"/>
  <c r="Y65" i="2"/>
  <c r="BP76" i="2"/>
  <c r="BN87" i="2"/>
  <c r="BN97" i="2"/>
  <c r="BN165" i="2"/>
  <c r="BN338" i="2"/>
  <c r="BN393" i="2"/>
  <c r="Y396" i="2"/>
  <c r="BN462" i="2"/>
  <c r="BP558" i="2"/>
  <c r="V571" i="2"/>
  <c r="BN48" i="2"/>
  <c r="Y51" i="2"/>
  <c r="BN59" i="2"/>
  <c r="BN69" i="2"/>
  <c r="Y72" i="2"/>
  <c r="BN123" i="2"/>
  <c r="Y126" i="2"/>
  <c r="Y147" i="2"/>
  <c r="BP159" i="2"/>
  <c r="BN180" i="2"/>
  <c r="BN190" i="2"/>
  <c r="Y193" i="2"/>
  <c r="BN225" i="2"/>
  <c r="BP268" i="2"/>
  <c r="BN354" i="2"/>
  <c r="BN408" i="2"/>
  <c r="BN434" i="2"/>
  <c r="BN444" i="2"/>
  <c r="Y447" i="2"/>
  <c r="BN467" i="2"/>
  <c r="Y495" i="2"/>
  <c r="BN514" i="2"/>
  <c r="Z553" i="2"/>
  <c r="Z554" i="2"/>
  <c r="Y559" i="2"/>
  <c r="BP48" i="2"/>
  <c r="Z57" i="2"/>
  <c r="Y93" i="2"/>
  <c r="Y101" i="2"/>
  <c r="BP123" i="2"/>
  <c r="Z144" i="2"/>
  <c r="Z146" i="2"/>
  <c r="Z155" i="2"/>
  <c r="Y169" i="2"/>
  <c r="Z178" i="2"/>
  <c r="BP190" i="2"/>
  <c r="Z223" i="2"/>
  <c r="Y236" i="2"/>
  <c r="Z294" i="2"/>
  <c r="Y342" i="2"/>
  <c r="BP354" i="2"/>
  <c r="Z406" i="2"/>
  <c r="BP444" i="2"/>
  <c r="Z452" i="2"/>
  <c r="BP467" i="2"/>
  <c r="Z500" i="2"/>
  <c r="Z512" i="2"/>
  <c r="Z88" i="2"/>
  <c r="Z93" i="2"/>
  <c r="Z98" i="2"/>
  <c r="Z100" i="2"/>
  <c r="Z109" i="2"/>
  <c r="BN144" i="2"/>
  <c r="BN155" i="2"/>
  <c r="Z166" i="2"/>
  <c r="Z168" i="2"/>
  <c r="Z210" i="2"/>
  <c r="Z213" i="2"/>
  <c r="Z231" i="2"/>
  <c r="Z241" i="2"/>
  <c r="Z251" i="2"/>
  <c r="Z254" i="2"/>
  <c r="Y265" i="2"/>
  <c r="Z274" i="2"/>
  <c r="Z280" i="2"/>
  <c r="BN294" i="2"/>
  <c r="Z305" i="2"/>
  <c r="Z311" i="2"/>
  <c r="Z328" i="2"/>
  <c r="Z334" i="2"/>
  <c r="Z339" i="2"/>
  <c r="Z341" i="2"/>
  <c r="Z394" i="2"/>
  <c r="Z396" i="2"/>
  <c r="BN406" i="2"/>
  <c r="Y409" i="2"/>
  <c r="Z440" i="2"/>
  <c r="BN452" i="2"/>
  <c r="Z463" i="2"/>
  <c r="Z464" i="2"/>
  <c r="BN500" i="2"/>
  <c r="BN512" i="2"/>
  <c r="BP548" i="2"/>
  <c r="Y560" i="2"/>
  <c r="AB571" i="2"/>
  <c r="BN57" i="2"/>
  <c r="Y94" i="2"/>
  <c r="Y237" i="2"/>
  <c r="BN251" i="2"/>
  <c r="X564" i="2"/>
  <c r="Z501" i="2"/>
  <c r="Y563" i="2"/>
  <c r="Z42" i="2"/>
  <c r="Z441" i="2"/>
  <c r="Z350" i="2"/>
  <c r="Z32" i="2"/>
  <c r="Z236" i="2"/>
  <c r="Z248" i="2"/>
  <c r="Z51" i="2"/>
  <c r="Y565" i="2"/>
  <c r="Z126" i="2"/>
  <c r="Z295" i="2"/>
  <c r="Y562" i="2"/>
  <c r="Y561" i="2"/>
  <c r="Z113" i="2"/>
  <c r="Z156" i="2"/>
  <c r="Z187" i="2"/>
  <c r="Z409" i="2"/>
  <c r="Z64" i="2"/>
  <c r="Z515" i="2"/>
  <c r="Y564" i="2"/>
  <c r="Z566" i="2"/>
</calcChain>
</file>

<file path=xl/sharedStrings.xml><?xml version="1.0" encoding="utf-8"?>
<sst xmlns="http://schemas.openxmlformats.org/spreadsheetml/2006/main" count="4313" uniqueCount="897">
  <si>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</si>
  <si>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</si>
  <si>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</si>
  <si>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</si>
  <si>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</si>
  <si>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</si>
  <si>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</si>
  <si>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</si>
  <si>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</si>
  <si>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</si>
  <si>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</si>
  <si>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</si>
  <si>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</si>
  <si>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</si>
  <si>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</si>
  <si>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</si>
  <si>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</si>
  <si>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</si>
  <si>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</si>
  <si>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</si>
  <si>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</si>
  <si>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</si>
  <si>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</si>
  <si>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</si>
  <si>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</si>
  <si>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</si>
  <si>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</si>
  <si>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</si>
  <si>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</si>
  <si>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</si>
  <si>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</si>
  <si>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</si>
  <si>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</si>
  <si>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</si>
  <si>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</si>
  <si>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</si>
  <si>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</si>
  <si>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</si>
  <si>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</si>
  <si>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</si>
  <si>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</si>
  <si>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</si>
  <si>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</si>
  <si>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</si>
  <si>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</si>
  <si>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</si>
  <si>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</si>
  <si>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</si>
  <si>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</si>
  <si>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</si>
  <si>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</si>
  <si>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</si>
  <si>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</si>
  <si>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</si>
  <si>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</si>
  <si>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</si>
  <si>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</si>
  <si>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</si>
  <si>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</si>
  <si>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</si>
  <si>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</si>
  <si>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</si>
  <si>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</si>
  <si>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</si>
  <si>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</si>
  <si>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</si>
  <si>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</si>
  <si>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</si>
  <si>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</si>
  <si>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</si>
  <si>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</si>
  <si>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</si>
  <si>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</si>
  <si>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</si>
  <si>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</si>
  <si>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</si>
  <si>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</si>
  <si>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</si>
  <si>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</si>
  <si>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</si>
  <si>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</si>
  <si>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</si>
  <si>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</si>
  <si>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</si>
  <si>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</si>
  <si>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</si>
  <si>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</si>
  <si>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</si>
  <si>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</si>
  <si>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</si>
  <si>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</si>
  <si>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</si>
  <si>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</si>
  <si>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</si>
  <si>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</si>
  <si>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</si>
  <si>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</si>
  <si>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</si>
  <si>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</si>
  <si>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</si>
  <si>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</si>
  <si>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</si>
  <si>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</si>
  <si>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</si>
  <si>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</si>
  <si>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</si>
  <si>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</si>
  <si>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</si>
  <si>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</si>
  <si>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</si>
  <si>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</si>
  <si>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</si>
  <si>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</si>
  <si>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</si>
  <si>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</si>
  <si>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</si>
  <si>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</si>
  <si>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</si>
  <si>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</si>
  <si>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</si>
  <si>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</si>
  <si>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</si>
  <si>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</si>
  <si>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</si>
  <si>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</si>
  <si>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</si>
  <si>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</si>
  <si>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</si>
  <si>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</si>
  <si>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</si>
  <si>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</si>
  <si>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</si>
  <si>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</si>
  <si>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</si>
  <si>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</si>
  <si>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</si>
  <si>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</si>
  <si>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</si>
  <si>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</si>
  <si>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</si>
  <si>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</si>
  <si>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</si>
  <si>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</si>
  <si>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</si>
  <si>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</si>
  <si>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</si>
  <si>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</si>
  <si>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</si>
  <si>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</si>
  <si>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</si>
  <si>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</si>
  <si>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</si>
  <si>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</si>
  <si>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</si>
  <si>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</si>
  <si>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</si>
  <si>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</si>
  <si>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</si>
  <si>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</si>
  <si>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</si>
  <si>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</si>
  <si>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</si>
  <si>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</si>
  <si>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</si>
  <si>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</si>
  <si>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</si>
  <si>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</si>
  <si>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</si>
  <si>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</si>
  <si>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</si>
  <si>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</si>
  <si>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</si>
  <si>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</si>
  <si>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</si>
  <si>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</si>
  <si>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</si>
  <si>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</si>
  <si>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</si>
  <si>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</si>
  <si>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</si>
  <si>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</si>
  <si>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</si>
  <si>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</si>
  <si>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</si>
  <si>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</si>
  <si>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</si>
  <si>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</si>
  <si>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</si>
  <si>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</si>
  <si>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</si>
  <si>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</si>
  <si>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</si>
  <si>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</si>
  <si>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</si>
  <si>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</si>
  <si>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</si>
  <si>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</si>
  <si>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</si>
  <si>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</si>
  <si>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</si>
  <si>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</si>
  <si>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</si>
  <si>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</si>
  <si>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</si>
  <si>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</si>
  <si>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</si>
  <si>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</si>
  <si>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</si>
  <si>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</si>
  <si>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</si>
  <si>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</si>
  <si>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</si>
  <si>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</si>
  <si>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</si>
  <si>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</si>
  <si>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</si>
  <si>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</si>
  <si>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</si>
  <si>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</si>
  <si>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</si>
  <si>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</si>
  <si>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</si>
  <si>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</si>
  <si>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</si>
  <si>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</si>
  <si>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</si>
  <si>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</si>
  <si>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</si>
  <si>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</si>
  <si>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</si>
  <si>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</si>
  <si>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</si>
  <si>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</si>
  <si>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</si>
  <si>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</si>
  <si>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</si>
  <si>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</si>
  <si>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</si>
  <si>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</si>
  <si>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</si>
  <si>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</si>
  <si>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</si>
  <si>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</si>
  <si>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</si>
  <si>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</si>
  <si>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</si>
  <si>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</si>
  <si>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</si>
  <si>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</si>
  <si>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</si>
  <si>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</si>
  <si>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</si>
  <si>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</si>
  <si>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</si>
  <si>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</si>
  <si>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</si>
  <si>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</si>
  <si>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</si>
  <si>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</si>
  <si>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</si>
  <si>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</si>
  <si>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</si>
  <si>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</si>
  <si>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</si>
  <si>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</si>
  <si>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</si>
  <si>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</si>
  <si>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</si>
  <si>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</si>
  <si>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</si>
  <si>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</si>
  <si>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</si>
  <si>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</si>
  <si>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</si>
  <si>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</si>
  <si>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</si>
  <si>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</si>
  <si>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</si>
  <si>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</si>
  <si>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</si>
  <si>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</si>
  <si>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</si>
  <si>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</si>
  <si>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</si>
  <si>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</si>
  <si>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</si>
  <si>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</si>
  <si>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</si>
  <si>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</si>
  <si>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</si>
  <si>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</si>
  <si>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</si>
  <si>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</si>
  <si>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</si>
  <si>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</si>
  <si>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</si>
  <si>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</si>
  <si>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</si>
  <si>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</si>
  <si>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</si>
  <si>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</si>
  <si>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</si>
  <si>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</si>
  <si>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</si>
  <si>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</si>
  <si>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</si>
  <si>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</si>
  <si>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</si>
  <si>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</si>
  <si>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</si>
  <si>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</si>
  <si>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</si>
  <si>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</si>
  <si>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</si>
  <si>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</si>
  <si>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</si>
  <si>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</si>
  <si>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</si>
  <si>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</si>
  <si>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</si>
  <si>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</si>
  <si>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</si>
  <si>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</si>
  <si>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</si>
  <si>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</si>
  <si>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</si>
  <si>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</si>
  <si>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</si>
  <si>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</si>
  <si>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</si>
  <si>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</si>
  <si>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</si>
  <si>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</si>
  <si>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</si>
  <si>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</si>
  <si>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</si>
  <si>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</si>
  <si>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</si>
  <si>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</si>
  <si>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</si>
  <si>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</si>
  <si>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</si>
  <si>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</si>
  <si>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</si>
  <si>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</si>
  <si>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</si>
  <si>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</si>
  <si>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</si>
  <si>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</si>
  <si>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</si>
  <si>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</si>
  <si>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</si>
  <si>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</si>
  <si>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</si>
  <si>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</si>
  <si>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</si>
  <si>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</si>
  <si>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</si>
  <si>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</si>
  <si>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</si>
  <si>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</si>
  <si>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</si>
  <si>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</si>
  <si>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</si>
  <si>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</si>
  <si>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</si>
  <si>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</si>
  <si>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</si>
  <si>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</si>
  <si>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</si>
  <si>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</si>
  <si>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</si>
  <si>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</si>
  <si>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</si>
  <si>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</si>
  <si>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</si>
  <si>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</si>
  <si>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</si>
  <si>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</si>
  <si>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</si>
  <si>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</si>
  <si>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</si>
  <si>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</si>
  <si>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</si>
  <si>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</si>
  <si>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</si>
  <si>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</si>
  <si>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</si>
  <si>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</si>
  <si>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</si>
  <si>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</si>
  <si>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</si>
  <si>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</si>
  <si>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</si>
  <si>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</si>
  <si>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</si>
  <si>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</si>
  <si>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</si>
  <si>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</si>
  <si>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</si>
  <si>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</si>
  <si>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</si>
  <si>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</si>
  <si>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</si>
  <si>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</si>
  <si>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</si>
  <si>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</si>
  <si>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</si>
  <si>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</si>
  <si>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</si>
  <si>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</si>
  <si>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</si>
  <si>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</si>
  <si>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</si>
  <si>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</si>
  <si>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</si>
  <si>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</si>
  <si>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</si>
  <si>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</si>
  <si>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</si>
  <si>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</si>
  <si>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</si>
  <si>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</si>
  <si>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</si>
  <si>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</si>
  <si>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</si>
  <si>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</si>
  <si>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</si>
  <si>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</si>
  <si>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</si>
  <si>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</si>
  <si>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</si>
  <si>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</si>
  <si>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</si>
  <si>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</si>
  <si>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</si>
  <si>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</si>
  <si>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</si>
  <si>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</si>
  <si>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</si>
  <si>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</si>
  <si>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</si>
  <si>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</si>
  <si>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</si>
  <si>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</si>
  <si>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</si>
  <si>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</si>
  <si>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</si>
  <si>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</si>
  <si>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</si>
  <si>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</si>
  <si>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</si>
  <si>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</si>
  <si>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</si>
  <si>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</si>
  <si>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</si>
  <si>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</si>
  <si>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</si>
  <si>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</si>
  <si>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</si>
  <si>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</si>
  <si>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</si>
  <si>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</si>
  <si>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</si>
  <si>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</si>
  <si>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</si>
  <si>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</si>
  <si>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</si>
  <si>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</si>
  <si>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</si>
  <si>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</si>
  <si>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</si>
  <si>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</si>
  <si>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</si>
  <si>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</si>
  <si>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</si>
  <si>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</si>
  <si>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</si>
  <si>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</si>
  <si>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</si>
  <si>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</si>
  <si>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</si>
  <si>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</si>
  <si>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</si>
  <si>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</si>
  <si>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</si>
  <si>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</si>
  <si>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</si>
  <si>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</si>
  <si>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</si>
  <si>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</si>
  <si>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</si>
  <si>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</si>
  <si>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</si>
  <si>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</si>
  <si>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</si>
  <si>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</si>
  <si>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</si>
  <si>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</si>
  <si>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</si>
  <si>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</si>
  <si>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</si>
  <si>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</si>
  <si>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</si>
  <si>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</si>
  <si>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</si>
  <si>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</si>
  <si>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</si>
  <si>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</si>
  <si>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</si>
  <si>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</si>
  <si>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</si>
  <si>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</si>
  <si>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</si>
  <si>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</si>
  <si>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</si>
  <si>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</si>
  <si>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</si>
  <si>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</si>
  <si>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</si>
  <si>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</si>
  <si>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</si>
  <si>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</si>
  <si>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</si>
  <si>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</si>
  <si>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</si>
  <si>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</si>
  <si>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</si>
  <si>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</si>
  <si>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</si>
  <si>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</si>
  <si>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</si>
  <si>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</si>
  <si>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</si>
  <si>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</si>
  <si>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</si>
  <si>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</si>
  <si>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</si>
  <si>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</si>
  <si>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</si>
  <si>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</si>
  <si>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</si>
  <si>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</si>
  <si>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</si>
  <si>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</si>
  <si>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</si>
  <si>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</si>
  <si>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</si>
  <si>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</si>
  <si>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</si>
  <si>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</si>
  <si>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</si>
  <si>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</si>
  <si>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</si>
  <si>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</si>
  <si>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</si>
  <si>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</si>
  <si>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</si>
  <si>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</si>
  <si>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</si>
  <si>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</si>
  <si>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</si>
  <si>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</si>
  <si>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</si>
  <si>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</si>
  <si>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</si>
  <si>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</si>
  <si>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</si>
  <si>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</si>
  <si>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</si>
  <si>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</si>
  <si>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</si>
  <si>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</si>
  <si>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</si>
  <si>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</si>
  <si>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</si>
  <si>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</si>
  <si>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</si>
  <si>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</si>
  <si>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</si>
  <si>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</si>
  <si>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</si>
  <si>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</si>
  <si>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</si>
  <si>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</si>
  <si>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</si>
  <si>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</si>
  <si>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</si>
  <si>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</si>
  <si>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</si>
  <si>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</si>
  <si>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</si>
  <si>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</si>
  <si>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</si>
  <si>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</si>
  <si>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</si>
  <si>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</si>
  <si>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</si>
  <si>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</si>
  <si>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</si>
  <si>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</si>
  <si>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</si>
  <si>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</si>
  <si>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</si>
  <si>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</si>
  <si>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</si>
  <si>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</si>
  <si>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</si>
  <si>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</si>
  <si>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</si>
  <si>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</si>
  <si>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</si>
  <si>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</si>
  <si>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</si>
  <si>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</si>
  <si>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</si>
  <si>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</si>
  <si>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</si>
  <si>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</si>
  <si>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</si>
  <si>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</si>
  <si>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</si>
  <si>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</si>
  <si>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</si>
  <si>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</si>
  <si>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</si>
  <si>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</si>
  <si>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</si>
  <si>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</si>
  <si>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</si>
  <si>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</si>
  <si>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</si>
  <si>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</si>
  <si>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</si>
  <si>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</si>
  <si>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</si>
  <si>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</si>
  <si>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</si>
  <si>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</si>
  <si>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</si>
  <si>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</si>
  <si>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</si>
  <si>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</si>
  <si>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</si>
  <si>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</si>
  <si>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</si>
  <si>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</si>
  <si>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</si>
  <si>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</si>
  <si>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</si>
  <si>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</si>
  <si>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</si>
  <si>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</si>
  <si>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</si>
  <si>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</si>
  <si>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</si>
  <si>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</si>
  <si>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</si>
  <si>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</si>
  <si>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</si>
  <si>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</si>
  <si>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</si>
  <si>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</si>
  <si>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</si>
  <si>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</si>
  <si>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</si>
  <si>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</si>
  <si>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</si>
  <si>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</si>
  <si>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</si>
  <si>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</si>
  <si>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</si>
  <si>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</si>
  <si>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</si>
  <si>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</si>
  <si>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</si>
  <si>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</si>
  <si>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</si>
  <si>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</si>
  <si>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</si>
  <si>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</si>
  <si>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</si>
  <si>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</si>
  <si>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</si>
  <si>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</si>
  <si>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</si>
  <si>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</si>
  <si>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</si>
  <si>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</si>
  <si>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</si>
  <si>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</si>
  <si>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</si>
  <si>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</si>
  <si>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</si>
  <si>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</si>
  <si>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</si>
  <si>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</si>
  <si>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</si>
  <si>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</si>
  <si>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</si>
  <si>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</si>
  <si>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</si>
  <si>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</si>
  <si>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</si>
  <si>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</si>
  <si>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</si>
  <si>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</si>
  <si>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</si>
  <si>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</si>
  <si>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</si>
  <si>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</si>
  <si>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</si>
  <si>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</si>
  <si>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</si>
  <si>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</si>
  <si>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</si>
  <si>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</si>
  <si>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</si>
  <si>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</si>
  <si>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</si>
  <si>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</si>
  <si>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</si>
  <si>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</si>
  <si>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</si>
  <si>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</si>
  <si>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</si>
  <si>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</si>
  <si>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</si>
  <si>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</si>
  <si>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</si>
  <si>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</si>
  <si>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</si>
  <si>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</si>
  <si>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</si>
  <si>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</si>
  <si>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</si>
  <si>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</si>
  <si>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</si>
  <si>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</si>
  <si>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</si>
  <si>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</si>
  <si>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</si>
  <si>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</si>
  <si>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</si>
  <si>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</si>
  <si>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</si>
  <si>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</si>
  <si>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</si>
  <si>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</si>
  <si>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</si>
  <si>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</si>
  <si>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</si>
  <si>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</si>
  <si>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</si>
  <si>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</si>
  <si>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</si>
  <si>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</si>
  <si>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</si>
  <si>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</si>
  <si>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</si>
  <si>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</si>
  <si>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</si>
  <si>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</si>
  <si>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</si>
  <si>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</si>
  <si>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</si>
  <si>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</si>
  <si>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</si>
  <si>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</si>
  <si>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</si>
  <si>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</si>
  <si>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</si>
  <si>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</si>
  <si>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</si>
  <si>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</si>
  <si>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</si>
  <si>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</si>
  <si>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</si>
  <si>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</si>
  <si>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</si>
  <si>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</si>
  <si>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</si>
  <si>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</si>
  <si>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</si>
  <si>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</si>
  <si>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</si>
  <si>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</si>
  <si>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</si>
  <si>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</si>
  <si>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</si>
  <si>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</si>
  <si>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</si>
  <si>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</si>
  <si>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</si>
  <si>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</si>
  <si>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</si>
  <si>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</si>
  <si>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</si>
  <si>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</si>
  <si>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</si>
  <si>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</si>
  <si>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</si>
  <si>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</si>
  <si>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</si>
  <si>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</si>
  <si>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</si>
  <si>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</si>
  <si>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</si>
  <si>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</si>
  <si>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</si>
  <si>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</si>
  <si>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</si>
  <si>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</si>
  <si>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</si>
  <si>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</si>
  <si>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</si>
  <si>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</si>
  <si>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</si>
  <si>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</si>
  <si>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</si>
  <si>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</si>
  <si>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</si>
  <si>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</si>
  <si>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</si>
  <si>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</si>
  <si>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</si>
  <si>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</si>
  <si>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</si>
  <si>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</si>
  <si>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</si>
  <si>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</si>
  <si>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</si>
  <si>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</si>
  <si>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</si>
  <si>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</si>
  <si>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</si>
  <si>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</si>
  <si>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</si>
  <si>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</si>
  <si>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</si>
  <si>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</si>
  <si>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</si>
  <si>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</si>
  <si>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</si>
  <si>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</si>
  <si>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</si>
  <si>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</si>
  <si>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</si>
  <si>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</si>
  <si>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</si>
  <si>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</si>
  <si>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</si>
  <si>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</si>
  <si>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</si>
  <si>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</si>
  <si>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</si>
  <si>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</si>
  <si>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</si>
  <si>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</si>
  <si>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</si>
  <si>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</si>
  <si>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</si>
  <si>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</si>
  <si>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</si>
  <si>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</si>
  <si>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</si>
  <si>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</si>
  <si>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</si>
  <si>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</si>
  <si>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</si>
  <si>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</si>
  <si>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</si>
  <si>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</si>
  <si>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</si>
  <si>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</si>
  <si>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</si>
  <si>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</si>
  <si>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</si>
  <si>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</si>
  <si>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</si>
  <si>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</si>
  <si>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</si>
  <si>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</si>
  <si>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</si>
  <si>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</si>
  <si>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</si>
  <si>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</si>
  <si>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</si>
  <si>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</si>
  <si>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</si>
  <si>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</si>
  <si>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</si>
  <si>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</si>
  <si>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</si>
  <si>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</si>
  <si>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</si>
  <si>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2й дозаказ в машину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</si>
</sst>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1"/>
  <sheetViews>
    <sheetView showGridLines="0" tabSelected="1" topLeftCell="V554" zoomScale="85" zoomScaleNormal="85" zoomScaleSheetLayoutView="100" workbookViewId="0">
      <selection activeCell="X444" sqref="X444"/>
    </sheetView>
  </sheetViews>
  <sheetFormatPr defaultColWidth="9.16796875" defaultRowHeight="12.75" x14ac:dyDescent="0.15"/>
  <cols>
    <col min="1" max="1" width="9.16796875" style="1"/>
    <col min="2" max="2" width="10.78515625" style="4" customWidth="1"/>
    <col min="3" max="3" width="12.5390625" style="4" customWidth="1"/>
    <col min="4" max="4" width="6.47265625" style="4" customWidth="1"/>
    <col min="5" max="5" width="6.875" style="4" customWidth="1"/>
    <col min="6" max="6" width="8.359375" style="4" customWidth="1"/>
    <col min="7" max="7" width="9.4375" style="4" customWidth="1"/>
    <col min="8" max="8" width="11.8671875" style="4" customWidth="1"/>
    <col min="9" max="9" width="9.4375" style="4" customWidth="1"/>
    <col min="10" max="10" width="9.16796875" style="5" customWidth="1"/>
    <col min="11" max="12" width="13.88671875" style="5" customWidth="1"/>
    <col min="13" max="13" width="9.4375" style="5" customWidth="1"/>
    <col min="14" max="14" width="15.91015625" style="5" hidden="1" customWidth="1"/>
    <col min="15" max="15" width="10.3828125" style="4" customWidth="1"/>
    <col min="16" max="16" width="7.4140625" style="2" customWidth="1"/>
    <col min="17" max="17" width="15.5078125" style="2" customWidth="1"/>
    <col min="18" max="18" width="8.08984375" style="1" customWidth="1"/>
    <col min="19" max="19" width="6.203125" style="1" customWidth="1"/>
    <col min="20" max="20" width="10.78515625" style="3" customWidth="1"/>
    <col min="21" max="21" width="10.3828125" style="3" customWidth="1"/>
    <col min="22" max="22" width="9.4375" style="3" customWidth="1"/>
    <col min="23" max="23" width="8.359375" style="3" customWidth="1"/>
    <col min="24" max="24" width="9.9765625" style="1" customWidth="1"/>
    <col min="25" max="25" width="11.0546875" style="1" customWidth="1"/>
    <col min="26" max="26" width="9.9765625" style="1" customWidth="1"/>
    <col min="27" max="27" width="11.59375" style="1" customWidth="1"/>
    <col min="28" max="28" width="10.3828125" style="1" customWidth="1"/>
    <col min="29" max="29" width="29.9375" style="1" customWidth="1"/>
    <col min="30" max="30" width="11.4609375" style="60" bestFit="1" customWidth="1"/>
    <col min="31" max="31" width="9.16796875" style="60"/>
    <col min="32" max="32" width="8.8984375" style="60" customWidth="1"/>
    <col min="33" max="33" width="13.6171875" style="1" customWidth="1"/>
    <col min="34" max="16384" width="9.16796875" style="1"/>
  </cols>
  <sheetData>
    <row r="1" spans="1:32" s="17" customFormat="1" ht="45" customHeight="1" x14ac:dyDescent="0.15">
      <c r="A1" s="47"/>
      <c r="B1" s="47"/>
      <c r="C1" s="47"/>
      <c r="D1" s="656" t="s">
        <v>26</v>
      </c>
      <c r="E1" s="656"/>
      <c r="F1" s="656"/>
      <c r="G1" s="14" t="s">
        <v>66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67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1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1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15">
      <c r="A5" s="660" t="s">
        <v>8</v>
      </c>
      <c r="B5" s="660"/>
      <c r="C5" s="660"/>
      <c r="D5" s="661"/>
      <c r="E5" s="661"/>
      <c r="F5" s="662" t="s">
        <v>14</v>
      </c>
      <c r="G5" s="662"/>
      <c r="H5" s="661" t="s">
        <v>896</v>
      </c>
      <c r="I5" s="661"/>
      <c r="J5" s="661"/>
      <c r="K5" s="661"/>
      <c r="L5" s="661"/>
      <c r="M5" s="661"/>
      <c r="N5" s="72"/>
      <c r="P5" s="27" t="s">
        <v>4</v>
      </c>
      <c r="Q5" s="663">
        <v>46298</v>
      </c>
      <c r="R5" s="663"/>
      <c r="T5" s="664" t="s">
        <v>3</v>
      </c>
      <c r="U5" s="665"/>
      <c r="V5" s="666" t="s">
        <v>876</v>
      </c>
      <c r="W5" s="667"/>
      <c r="AB5" s="59"/>
      <c r="AC5" s="59"/>
      <c r="AD5" s="59"/>
      <c r="AE5" s="59"/>
    </row>
    <row r="6" spans="1:32" s="17" customFormat="1" ht="24" customHeight="1" x14ac:dyDescent="0.15">
      <c r="A6" s="660" t="s">
        <v>1</v>
      </c>
      <c r="B6" s="660"/>
      <c r="C6" s="660"/>
      <c r="D6" s="668" t="s">
        <v>877</v>
      </c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Суббота</v>
      </c>
      <c r="R6" s="669"/>
      <c r="T6" s="670" t="s">
        <v>5</v>
      </c>
      <c r="U6" s="671"/>
      <c r="V6" s="672" t="s">
        <v>69</v>
      </c>
      <c r="W6" s="673"/>
      <c r="AB6" s="59"/>
      <c r="AC6" s="59"/>
      <c r="AD6" s="59"/>
      <c r="AE6" s="59"/>
    </row>
    <row r="7" spans="1:32" s="17" customFormat="1" ht="21.75" hidden="1" customHeight="1" x14ac:dyDescent="0.15">
      <c r="A7" s="64"/>
      <c r="B7" s="64"/>
      <c r="C7" s="64"/>
      <c r="D7" s="678" t="str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15">
      <c r="A8" s="681" t="s">
        <v>57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0.66666666666666663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15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15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70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1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895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15">
      <c r="A12" s="695" t="s">
        <v>71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15">
      <c r="A13" s="695" t="s">
        <v>72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15">
      <c r="A14" s="695" t="s">
        <v>73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15">
      <c r="A15" s="697" t="s">
        <v>74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60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1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15">
      <c r="A17" s="702" t="s">
        <v>58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65</v>
      </c>
      <c r="L17" s="702" t="s">
        <v>63</v>
      </c>
      <c r="M17" s="702" t="s">
        <v>2</v>
      </c>
      <c r="N17" s="702" t="s">
        <v>62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55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59</v>
      </c>
      <c r="AB17" s="716" t="s">
        <v>19</v>
      </c>
      <c r="AC17" s="716" t="s">
        <v>64</v>
      </c>
      <c r="AD17" s="718" t="s">
        <v>56</v>
      </c>
      <c r="AE17" s="719"/>
      <c r="AF17" s="720"/>
      <c r="AG17" s="82"/>
      <c r="BD17" s="81" t="s">
        <v>61</v>
      </c>
    </row>
    <row r="18" spans="1:68" ht="14.25" customHeight="1" x14ac:dyDescent="0.15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customHeight="1" x14ac:dyDescent="0.15">
      <c r="A19" s="724" t="s">
        <v>75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customHeight="1" x14ac:dyDescent="0.15">
      <c r="A20" s="725" t="s">
        <v>75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customHeight="1" x14ac:dyDescent="0.15">
      <c r="A21" s="726" t="s">
        <v>76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15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15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15">
      <c r="A26" s="726" t="s">
        <v>85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customHeight="1" x14ac:dyDescent="0.25">
      <c r="A27" s="63" t="s">
        <v>86</v>
      </c>
      <c r="B27" s="63" t="s">
        <v>87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15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15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15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customHeight="1" x14ac:dyDescent="0.15">
      <c r="A35" s="725" t="s">
        <v>103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customHeight="1" x14ac:dyDescent="0.15">
      <c r="A36" s="726" t="s">
        <v>85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customHeight="1" x14ac:dyDescent="0.25">
      <c r="A37" s="63" t="s">
        <v>104</v>
      </c>
      <c r="B37" s="63" t="s">
        <v>105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107</v>
      </c>
      <c r="B38" s="63" t="s">
        <v>108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110</v>
      </c>
      <c r="B39" s="63" t="s">
        <v>111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113</v>
      </c>
      <c r="B40" s="63" t="s">
        <v>114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116</v>
      </c>
      <c r="B41" s="63" t="s">
        <v>117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15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15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15">
      <c r="A44" s="724" t="s">
        <v>119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customHeight="1" x14ac:dyDescent="0.15">
      <c r="A45" s="725" t="s">
        <v>120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customHeight="1" x14ac:dyDescent="0.15">
      <c r="A46" s="726" t="s">
        <v>121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customHeight="1" x14ac:dyDescent="0.25">
      <c r="A47" s="63" t="s">
        <v>122</v>
      </c>
      <c r="B47" s="63" t="s">
        <v>123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131</v>
      </c>
      <c r="B49" s="63" t="s">
        <v>132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134</v>
      </c>
      <c r="B50" s="63" t="s">
        <v>135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15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15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15">
      <c r="A53" s="725" t="s">
        <v>136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customHeight="1" x14ac:dyDescent="0.15">
      <c r="A54" s="726" t="s">
        <v>121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customHeight="1" x14ac:dyDescent="0.25">
      <c r="A55" s="63" t="s">
        <v>137</v>
      </c>
      <c r="B55" s="63" t="s">
        <v>138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140</v>
      </c>
      <c r="B56" s="63" t="s">
        <v>141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140</v>
      </c>
      <c r="B57" s="63" t="s">
        <v>143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145</v>
      </c>
      <c r="B58" s="63" t="s">
        <v>146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148</v>
      </c>
      <c r="B59" s="63" t="s">
        <v>149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148</v>
      </c>
      <c r="B60" s="63" t="s">
        <v>151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144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152</v>
      </c>
      <c r="B61" s="63" t="s">
        <v>153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139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154</v>
      </c>
      <c r="B62" s="63" t="s">
        <v>155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154</v>
      </c>
      <c r="B63" s="63" t="s">
        <v>157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133</v>
      </c>
      <c r="L63" s="37" t="s">
        <v>46</v>
      </c>
      <c r="M63" s="38" t="s">
        <v>125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144</v>
      </c>
      <c r="AG63" s="78"/>
      <c r="AJ63" s="84" t="s">
        <v>46</v>
      </c>
      <c r="AK63" s="84">
        <v>0</v>
      </c>
      <c r="BB63" s="135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15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x14ac:dyDescent="0.15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customHeight="1" x14ac:dyDescent="0.15">
      <c r="A66" s="726" t="s">
        <v>158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customHeight="1" x14ac:dyDescent="0.25">
      <c r="A67" s="63" t="s">
        <v>159</v>
      </c>
      <c r="B67" s="63" t="s">
        <v>160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126</v>
      </c>
      <c r="L67" s="37" t="s">
        <v>46</v>
      </c>
      <c r="M67" s="38" t="s">
        <v>125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162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126</v>
      </c>
      <c r="L68" s="37" t="s">
        <v>46</v>
      </c>
      <c r="M68" s="38" t="s">
        <v>125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163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customHeight="1" x14ac:dyDescent="0.25">
      <c r="A69" s="63" t="s">
        <v>164</v>
      </c>
      <c r="B69" s="63" t="s">
        <v>165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90</v>
      </c>
      <c r="L69" s="37" t="s">
        <v>46</v>
      </c>
      <c r="M69" s="38" t="s">
        <v>89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customHeight="1" x14ac:dyDescent="0.25">
      <c r="A70" s="63" t="s">
        <v>166</v>
      </c>
      <c r="B70" s="63" t="s">
        <v>167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130</v>
      </c>
      <c r="L70" s="37" t="s">
        <v>46</v>
      </c>
      <c r="M70" s="38" t="s">
        <v>80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168</v>
      </c>
      <c r="AG70" s="78"/>
      <c r="AJ70" s="84" t="s">
        <v>46</v>
      </c>
      <c r="AK70" s="84">
        <v>0</v>
      </c>
      <c r="BB70" s="143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169</v>
      </c>
      <c r="B71" s="63" t="s">
        <v>170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90</v>
      </c>
      <c r="L71" s="37" t="s">
        <v>46</v>
      </c>
      <c r="M71" s="38" t="s">
        <v>125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163</v>
      </c>
      <c r="AG71" s="78"/>
      <c r="AJ71" s="84" t="s">
        <v>46</v>
      </c>
      <c r="AK71" s="84">
        <v>0</v>
      </c>
      <c r="BB71" s="145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15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x14ac:dyDescent="0.15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customHeight="1" x14ac:dyDescent="0.15">
      <c r="A74" s="726" t="s">
        <v>85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customHeight="1" x14ac:dyDescent="0.25">
      <c r="A75" s="63" t="s">
        <v>171</v>
      </c>
      <c r="B75" s="63" t="s">
        <v>172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90</v>
      </c>
      <c r="L75" s="37" t="s">
        <v>46</v>
      </c>
      <c r="M75" s="38" t="s">
        <v>89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173</v>
      </c>
      <c r="AG75" s="78"/>
      <c r="AJ75" s="84" t="s">
        <v>46</v>
      </c>
      <c r="AK75" s="84">
        <v>0</v>
      </c>
      <c r="BB75" s="147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174</v>
      </c>
      <c r="B76" s="63" t="s">
        <v>175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176</v>
      </c>
      <c r="AG76" s="78"/>
      <c r="AJ76" s="84" t="s">
        <v>46</v>
      </c>
      <c r="AK76" s="84">
        <v>0</v>
      </c>
      <c r="BB76" s="149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15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x14ac:dyDescent="0.15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customHeight="1" x14ac:dyDescent="0.15">
      <c r="A79" s="726" t="s">
        <v>177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customHeight="1" x14ac:dyDescent="0.25">
      <c r="A80" s="63" t="s">
        <v>178</v>
      </c>
      <c r="B80" s="63" t="s">
        <v>179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126</v>
      </c>
      <c r="L80" s="37" t="s">
        <v>46</v>
      </c>
      <c r="M80" s="38" t="s">
        <v>96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178</v>
      </c>
      <c r="B81" s="63" t="s">
        <v>181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126</v>
      </c>
      <c r="L81" s="37" t="s">
        <v>46</v>
      </c>
      <c r="M81" s="38" t="s">
        <v>96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180</v>
      </c>
      <c r="AG81" s="78"/>
      <c r="AJ81" s="84" t="s">
        <v>46</v>
      </c>
      <c r="AK81" s="84">
        <v>0</v>
      </c>
      <c r="BB81" s="153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182</v>
      </c>
      <c r="B82" s="63" t="s">
        <v>183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133</v>
      </c>
      <c r="L82" s="37" t="s">
        <v>46</v>
      </c>
      <c r="M82" s="38" t="s">
        <v>89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184</v>
      </c>
      <c r="AG82" s="78"/>
      <c r="AJ82" s="84" t="s">
        <v>46</v>
      </c>
      <c r="AK82" s="84">
        <v>0</v>
      </c>
      <c r="BB82" s="155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15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x14ac:dyDescent="0.15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customHeight="1" x14ac:dyDescent="0.15">
      <c r="A85" s="725" t="s">
        <v>185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customHeight="1" x14ac:dyDescent="0.15">
      <c r="A86" s="726" t="s">
        <v>121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customHeight="1" x14ac:dyDescent="0.25">
      <c r="A87" s="63" t="s">
        <v>186</v>
      </c>
      <c r="B87" s="63" t="s">
        <v>187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126</v>
      </c>
      <c r="L87" s="37" t="s">
        <v>46</v>
      </c>
      <c r="M87" s="38" t="s">
        <v>96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ref="Y87:Y92" si="5"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66</v>
      </c>
      <c r="BM87" s="78">
        <f t="shared" ref="BM87:BM92" si="6">IFERROR(X87*I87/H87,"0")</f>
        <v>0</v>
      </c>
      <c r="BN87" s="78">
        <f t="shared" ref="BN87:BN92" si="7">IFERROR(Y87*I87/H87,"0")</f>
        <v>0</v>
      </c>
      <c r="BO87" s="78">
        <f t="shared" ref="BO87:BO92" si="8">IFERROR(1/J87*(X87/H87),"0")</f>
        <v>0</v>
      </c>
      <c r="BP87" s="78">
        <f t="shared" ref="BP87:BP92" si="9">IFERROR(1/J87*(Y87/H87),"0")</f>
        <v>0</v>
      </c>
    </row>
    <row r="88" spans="1:68" ht="27" customHeight="1" x14ac:dyDescent="0.25">
      <c r="A88" s="63" t="s">
        <v>186</v>
      </c>
      <c r="B88" s="63" t="s">
        <v>189</v>
      </c>
      <c r="C88" s="36">
        <v>4301012251</v>
      </c>
      <c r="D88" s="727">
        <v>4680115881327</v>
      </c>
      <c r="E88" s="72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126</v>
      </c>
      <c r="L88" s="37" t="s">
        <v>46</v>
      </c>
      <c r="M88" s="38" t="s">
        <v>125</v>
      </c>
      <c r="N88" s="38"/>
      <c r="O88" s="37">
        <v>50</v>
      </c>
      <c r="P88" s="77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188</v>
      </c>
      <c r="AG88" s="78"/>
      <c r="AJ88" s="84" t="s">
        <v>46</v>
      </c>
      <c r="AK88" s="84">
        <v>0</v>
      </c>
      <c r="BB88" s="159" t="s">
        <v>66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190</v>
      </c>
      <c r="B89" s="63" t="s">
        <v>191</v>
      </c>
      <c r="C89" s="36">
        <v>4301012392</v>
      </c>
      <c r="D89" s="727">
        <v>4680115887732</v>
      </c>
      <c r="E89" s="72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130</v>
      </c>
      <c r="L89" s="37" t="s">
        <v>46</v>
      </c>
      <c r="M89" s="38" t="s">
        <v>80</v>
      </c>
      <c r="N89" s="38"/>
      <c r="O89" s="37">
        <v>30</v>
      </c>
      <c r="P89" s="77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192</v>
      </c>
      <c r="AG89" s="78"/>
      <c r="AJ89" s="84" t="s">
        <v>46</v>
      </c>
      <c r="AK89" s="84">
        <v>0</v>
      </c>
      <c r="BB89" s="161" t="s">
        <v>66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193</v>
      </c>
      <c r="B90" s="63" t="s">
        <v>194</v>
      </c>
      <c r="C90" s="36">
        <v>4301011476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133</v>
      </c>
      <c r="L90" s="37" t="s">
        <v>46</v>
      </c>
      <c r="M90" s="38" t="s">
        <v>89</v>
      </c>
      <c r="N90" s="38"/>
      <c r="O90" s="37">
        <v>50</v>
      </c>
      <c r="P90" s="7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188</v>
      </c>
      <c r="AG90" s="78"/>
      <c r="AJ90" s="84" t="s">
        <v>46</v>
      </c>
      <c r="AK90" s="84">
        <v>0</v>
      </c>
      <c r="BB90" s="163" t="s">
        <v>66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customHeight="1" x14ac:dyDescent="0.25">
      <c r="A91" s="63" t="s">
        <v>193</v>
      </c>
      <c r="B91" s="63" t="s">
        <v>195</v>
      </c>
      <c r="C91" s="36">
        <v>4301012252</v>
      </c>
      <c r="D91" s="727">
        <v>4680115881518</v>
      </c>
      <c r="E91" s="72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133</v>
      </c>
      <c r="L91" s="37" t="s">
        <v>46</v>
      </c>
      <c r="M91" s="38" t="s">
        <v>125</v>
      </c>
      <c r="N91" s="38"/>
      <c r="O91" s="37">
        <v>50</v>
      </c>
      <c r="P91" s="7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188</v>
      </c>
      <c r="AG91" s="78"/>
      <c r="AJ91" s="84" t="s">
        <v>46</v>
      </c>
      <c r="AK91" s="84">
        <v>0</v>
      </c>
      <c r="BB91" s="165" t="s">
        <v>66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4301012250</v>
      </c>
      <c r="D92" s="727">
        <v>4680115881303</v>
      </c>
      <c r="E92" s="72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133</v>
      </c>
      <c r="L92" s="37" t="s">
        <v>46</v>
      </c>
      <c r="M92" s="38" t="s">
        <v>125</v>
      </c>
      <c r="N92" s="38"/>
      <c r="O92" s="37">
        <v>50</v>
      </c>
      <c r="P92" s="77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9"/>
      <c r="R92" s="729"/>
      <c r="S92" s="729"/>
      <c r="T92" s="73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188</v>
      </c>
      <c r="AG92" s="78"/>
      <c r="AJ92" s="84" t="s">
        <v>46</v>
      </c>
      <c r="AK92" s="84">
        <v>0</v>
      </c>
      <c r="BB92" s="167" t="s">
        <v>66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x14ac:dyDescent="0.15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39</v>
      </c>
      <c r="X93" s="43">
        <f>IFERROR(X87/H87,"0")+IFERROR(X88/H88,"0")+IFERROR(X89/H89,"0")+IFERROR(X90/H90,"0")+IFERROR(X91/H91,"0")+IFERROR(X92/H92,"0")</f>
        <v>0</v>
      </c>
      <c r="Y93" s="43">
        <f>IFERROR(Y87/H87,"0")+IFERROR(Y88/H88,"0")+IFERROR(Y89/H89,"0")+IFERROR(Y90/H90,"0")+IFERROR(Y91/H91,"0")+IFERROR(Y92/H92,"0")</f>
        <v>0</v>
      </c>
      <c r="Z93" s="43">
        <f>IFERROR(IF(Z87="",0,Z87),"0")+IFERROR(IF(Z88="",0,Z88),"0")+IFERROR(IF(Z89="",0,Z89),"0")+IFERROR(IF(Z90="",0,Z90),"0")+IFERROR(IF(Z91="",0,Z91),"0")+IFERROR(IF(Z92="",0,Z92),"0")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x14ac:dyDescent="0.15">
      <c r="A94" s="735"/>
      <c r="B94" s="735"/>
      <c r="C94" s="735"/>
      <c r="D94" s="735"/>
      <c r="E94" s="735"/>
      <c r="F94" s="735"/>
      <c r="G94" s="735"/>
      <c r="H94" s="735"/>
      <c r="I94" s="735"/>
      <c r="J94" s="735"/>
      <c r="K94" s="735"/>
      <c r="L94" s="735"/>
      <c r="M94" s="735"/>
      <c r="N94" s="735"/>
      <c r="O94" s="736"/>
      <c r="P94" s="732" t="s">
        <v>40</v>
      </c>
      <c r="Q94" s="733"/>
      <c r="R94" s="733"/>
      <c r="S94" s="733"/>
      <c r="T94" s="733"/>
      <c r="U94" s="733"/>
      <c r="V94" s="734"/>
      <c r="W94" s="42" t="s">
        <v>0</v>
      </c>
      <c r="X94" s="43">
        <f>IFERROR(SUM(X87:X92),"0")</f>
        <v>0</v>
      </c>
      <c r="Y94" s="43">
        <f>IFERROR(SUM(Y87:Y92),"0")</f>
        <v>0</v>
      </c>
      <c r="Z94" s="42"/>
      <c r="AA94" s="67"/>
      <c r="AB94" s="67"/>
      <c r="AC94" s="67"/>
    </row>
    <row r="95" spans="1:68" ht="14.25" customHeight="1" x14ac:dyDescent="0.15">
      <c r="A95" s="726" t="s">
        <v>85</v>
      </c>
      <c r="B95" s="726"/>
      <c r="C95" s="726"/>
      <c r="D95" s="726"/>
      <c r="E95" s="726"/>
      <c r="F95" s="726"/>
      <c r="G95" s="726"/>
      <c r="H95" s="726"/>
      <c r="I95" s="726"/>
      <c r="J95" s="726"/>
      <c r="K95" s="726"/>
      <c r="L95" s="726"/>
      <c r="M95" s="726"/>
      <c r="N95" s="726"/>
      <c r="O95" s="726"/>
      <c r="P95" s="726"/>
      <c r="Q95" s="726"/>
      <c r="R95" s="726"/>
      <c r="S95" s="726"/>
      <c r="T95" s="726"/>
      <c r="U95" s="726"/>
      <c r="V95" s="726"/>
      <c r="W95" s="726"/>
      <c r="X95" s="726"/>
      <c r="Y95" s="726"/>
      <c r="Z95" s="726"/>
      <c r="AA95" s="66"/>
      <c r="AB95" s="66"/>
      <c r="AC95" s="80"/>
    </row>
    <row r="96" spans="1:68" ht="27" customHeight="1" x14ac:dyDescent="0.25">
      <c r="A96" s="63" t="s">
        <v>198</v>
      </c>
      <c r="B96" s="63" t="s">
        <v>199</v>
      </c>
      <c r="C96" s="36">
        <v>4301052101</v>
      </c>
      <c r="D96" s="727">
        <v>4607091386967</v>
      </c>
      <c r="E96" s="72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126</v>
      </c>
      <c r="L96" s="37" t="s">
        <v>46</v>
      </c>
      <c r="M96" s="38" t="s">
        <v>96</v>
      </c>
      <c r="N96" s="38"/>
      <c r="O96" s="37">
        <v>45</v>
      </c>
      <c r="P96" s="77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200</v>
      </c>
      <c r="AG96" s="78"/>
      <c r="AJ96" s="84" t="s">
        <v>46</v>
      </c>
      <c r="AK96" s="84">
        <v>0</v>
      </c>
      <c r="BB96" s="169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201</v>
      </c>
      <c r="B97" s="63" t="s">
        <v>202</v>
      </c>
      <c r="C97" s="36">
        <v>4301052090</v>
      </c>
      <c r="D97" s="727">
        <v>4680115884953</v>
      </c>
      <c r="E97" s="72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90</v>
      </c>
      <c r="L97" s="37" t="s">
        <v>46</v>
      </c>
      <c r="M97" s="38" t="s">
        <v>89</v>
      </c>
      <c r="N97" s="38"/>
      <c r="O97" s="37">
        <v>45</v>
      </c>
      <c r="P97" s="77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203</v>
      </c>
      <c r="AG97" s="78"/>
      <c r="AJ97" s="84" t="s">
        <v>46</v>
      </c>
      <c r="AK97" s="84">
        <v>0</v>
      </c>
      <c r="BB97" s="171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204</v>
      </c>
      <c r="B98" s="63" t="s">
        <v>205</v>
      </c>
      <c r="C98" s="36">
        <v>4301052094</v>
      </c>
      <c r="D98" s="727">
        <v>4607091385731</v>
      </c>
      <c r="E98" s="72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90</v>
      </c>
      <c r="L98" s="37" t="s">
        <v>46</v>
      </c>
      <c r="M98" s="38" t="s">
        <v>96</v>
      </c>
      <c r="N98" s="38"/>
      <c r="O98" s="37">
        <v>45</v>
      </c>
      <c r="P98" s="77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200</v>
      </c>
      <c r="AG98" s="78"/>
      <c r="AJ98" s="84" t="s">
        <v>46</v>
      </c>
      <c r="AK98" s="84">
        <v>0</v>
      </c>
      <c r="BB98" s="173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customHeight="1" x14ac:dyDescent="0.25">
      <c r="A99" s="63" t="s">
        <v>206</v>
      </c>
      <c r="B99" s="63" t="s">
        <v>207</v>
      </c>
      <c r="C99" s="36">
        <v>4301052092</v>
      </c>
      <c r="D99" s="727">
        <v>4680115880894</v>
      </c>
      <c r="E99" s="72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90</v>
      </c>
      <c r="L99" s="37" t="s">
        <v>46</v>
      </c>
      <c r="M99" s="38" t="s">
        <v>89</v>
      </c>
      <c r="N99" s="38"/>
      <c r="O99" s="37">
        <v>45</v>
      </c>
      <c r="P99" s="77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9"/>
      <c r="R99" s="729"/>
      <c r="S99" s="729"/>
      <c r="T99" s="73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208</v>
      </c>
      <c r="AG99" s="78"/>
      <c r="AJ99" s="84" t="s">
        <v>46</v>
      </c>
      <c r="AK99" s="84">
        <v>0</v>
      </c>
      <c r="BB99" s="175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15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15">
      <c r="A101" s="735"/>
      <c r="B101" s="735"/>
      <c r="C101" s="735"/>
      <c r="D101" s="735"/>
      <c r="E101" s="735"/>
      <c r="F101" s="735"/>
      <c r="G101" s="735"/>
      <c r="H101" s="735"/>
      <c r="I101" s="735"/>
      <c r="J101" s="735"/>
      <c r="K101" s="735"/>
      <c r="L101" s="735"/>
      <c r="M101" s="735"/>
      <c r="N101" s="735"/>
      <c r="O101" s="736"/>
      <c r="P101" s="732" t="s">
        <v>40</v>
      </c>
      <c r="Q101" s="733"/>
      <c r="R101" s="733"/>
      <c r="S101" s="733"/>
      <c r="T101" s="733"/>
      <c r="U101" s="733"/>
      <c r="V101" s="734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customHeight="1" x14ac:dyDescent="0.15">
      <c r="A102" s="725" t="s">
        <v>209</v>
      </c>
      <c r="B102" s="725"/>
      <c r="C102" s="725"/>
      <c r="D102" s="725"/>
      <c r="E102" s="725"/>
      <c r="F102" s="725"/>
      <c r="G102" s="725"/>
      <c r="H102" s="725"/>
      <c r="I102" s="725"/>
      <c r="J102" s="725"/>
      <c r="K102" s="725"/>
      <c r="L102" s="725"/>
      <c r="M102" s="725"/>
      <c r="N102" s="725"/>
      <c r="O102" s="725"/>
      <c r="P102" s="725"/>
      <c r="Q102" s="725"/>
      <c r="R102" s="725"/>
      <c r="S102" s="725"/>
      <c r="T102" s="725"/>
      <c r="U102" s="725"/>
      <c r="V102" s="725"/>
      <c r="W102" s="725"/>
      <c r="X102" s="725"/>
      <c r="Y102" s="725"/>
      <c r="Z102" s="725"/>
      <c r="AA102" s="65"/>
      <c r="AB102" s="65"/>
      <c r="AC102" s="79"/>
    </row>
    <row r="103" spans="1:68" ht="14.25" customHeight="1" x14ac:dyDescent="0.15">
      <c r="A103" s="726" t="s">
        <v>121</v>
      </c>
      <c r="B103" s="726"/>
      <c r="C103" s="726"/>
      <c r="D103" s="726"/>
      <c r="E103" s="726"/>
      <c r="F103" s="726"/>
      <c r="G103" s="726"/>
      <c r="H103" s="726"/>
      <c r="I103" s="726"/>
      <c r="J103" s="726"/>
      <c r="K103" s="726"/>
      <c r="L103" s="726"/>
      <c r="M103" s="726"/>
      <c r="N103" s="726"/>
      <c r="O103" s="726"/>
      <c r="P103" s="726"/>
      <c r="Q103" s="726"/>
      <c r="R103" s="726"/>
      <c r="S103" s="726"/>
      <c r="T103" s="726"/>
      <c r="U103" s="726"/>
      <c r="V103" s="726"/>
      <c r="W103" s="726"/>
      <c r="X103" s="726"/>
      <c r="Y103" s="726"/>
      <c r="Z103" s="726"/>
      <c r="AA103" s="66"/>
      <c r="AB103" s="66"/>
      <c r="AC103" s="80"/>
    </row>
    <row r="104" spans="1:68" ht="37.5" customHeight="1" x14ac:dyDescent="0.25">
      <c r="A104" s="63" t="s">
        <v>210</v>
      </c>
      <c r="B104" s="63" t="s">
        <v>211</v>
      </c>
      <c r="C104" s="36">
        <v>4301011514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7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212</v>
      </c>
      <c r="AG104" s="78"/>
      <c r="AJ104" s="84" t="s">
        <v>46</v>
      </c>
      <c r="AK104" s="84">
        <v>0</v>
      </c>
      <c r="BB104" s="177" t="s">
        <v>66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customHeight="1" x14ac:dyDescent="0.25">
      <c r="A105" s="63" t="s">
        <v>210</v>
      </c>
      <c r="B105" s="63" t="s">
        <v>213</v>
      </c>
      <c r="C105" s="36">
        <v>4301012256</v>
      </c>
      <c r="D105" s="727">
        <v>4680115882133</v>
      </c>
      <c r="E105" s="72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126</v>
      </c>
      <c r="L105" s="37" t="s">
        <v>46</v>
      </c>
      <c r="M105" s="38" t="s">
        <v>125</v>
      </c>
      <c r="N105" s="38"/>
      <c r="O105" s="37">
        <v>50</v>
      </c>
      <c r="P105" s="78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215</v>
      </c>
      <c r="B106" s="63" t="s">
        <v>216</v>
      </c>
      <c r="C106" s="36">
        <v>4301012379</v>
      </c>
      <c r="D106" s="727">
        <v>4680115887718</v>
      </c>
      <c r="E106" s="72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217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218</v>
      </c>
      <c r="B107" s="63" t="s">
        <v>219</v>
      </c>
      <c r="C107" s="36">
        <v>4301011417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218</v>
      </c>
      <c r="B108" s="63" t="s">
        <v>220</v>
      </c>
      <c r="C108" s="36">
        <v>4301012253</v>
      </c>
      <c r="D108" s="727">
        <v>4680115880269</v>
      </c>
      <c r="E108" s="72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133</v>
      </c>
      <c r="L108" s="37" t="s">
        <v>46</v>
      </c>
      <c r="M108" s="38" t="s">
        <v>125</v>
      </c>
      <c r="N108" s="38"/>
      <c r="O108" s="37">
        <v>50</v>
      </c>
      <c r="P108" s="78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221</v>
      </c>
      <c r="B109" s="63" t="s">
        <v>222</v>
      </c>
      <c r="C109" s="36">
        <v>4301012254</v>
      </c>
      <c r="D109" s="727">
        <v>4680115880429</v>
      </c>
      <c r="E109" s="72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214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customHeight="1" x14ac:dyDescent="0.25">
      <c r="A110" s="63" t="s">
        <v>223</v>
      </c>
      <c r="B110" s="63" t="s">
        <v>224</v>
      </c>
      <c r="C110" s="36">
        <v>4301011462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223</v>
      </c>
      <c r="B111" s="63" t="s">
        <v>225</v>
      </c>
      <c r="C111" s="36">
        <v>4301012255</v>
      </c>
      <c r="D111" s="727">
        <v>4680115881457</v>
      </c>
      <c r="E111" s="72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133</v>
      </c>
      <c r="L111" s="37" t="s">
        <v>46</v>
      </c>
      <c r="M111" s="38" t="s">
        <v>125</v>
      </c>
      <c r="N111" s="38"/>
      <c r="O111" s="37">
        <v>50</v>
      </c>
      <c r="P111" s="78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214</v>
      </c>
      <c r="AG111" s="78"/>
      <c r="AJ111" s="84" t="s">
        <v>46</v>
      </c>
      <c r="AK111" s="84">
        <v>0</v>
      </c>
      <c r="BB111" s="191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4301012366</v>
      </c>
      <c r="D112" s="727">
        <v>4680115889477</v>
      </c>
      <c r="E112" s="72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125</v>
      </c>
      <c r="N112" s="38"/>
      <c r="O112" s="37">
        <v>55</v>
      </c>
      <c r="P112" s="7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9"/>
      <c r="R112" s="729"/>
      <c r="S112" s="729"/>
      <c r="T112" s="73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228</v>
      </c>
      <c r="AG112" s="78"/>
      <c r="AJ112" s="84" t="s">
        <v>46</v>
      </c>
      <c r="AK112" s="84">
        <v>0</v>
      </c>
      <c r="BB112" s="193" t="s">
        <v>66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15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15">
      <c r="A114" s="735"/>
      <c r="B114" s="735"/>
      <c r="C114" s="735"/>
      <c r="D114" s="735"/>
      <c r="E114" s="735"/>
      <c r="F114" s="735"/>
      <c r="G114" s="735"/>
      <c r="H114" s="735"/>
      <c r="I114" s="735"/>
      <c r="J114" s="735"/>
      <c r="K114" s="735"/>
      <c r="L114" s="735"/>
      <c r="M114" s="735"/>
      <c r="N114" s="735"/>
      <c r="O114" s="736"/>
      <c r="P114" s="732" t="s">
        <v>40</v>
      </c>
      <c r="Q114" s="733"/>
      <c r="R114" s="733"/>
      <c r="S114" s="733"/>
      <c r="T114" s="733"/>
      <c r="U114" s="733"/>
      <c r="V114" s="734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customHeight="1" x14ac:dyDescent="0.15">
      <c r="A115" s="726" t="s">
        <v>158</v>
      </c>
      <c r="B115" s="726"/>
      <c r="C115" s="726"/>
      <c r="D115" s="726"/>
      <c r="E115" s="726"/>
      <c r="F115" s="726"/>
      <c r="G115" s="726"/>
      <c r="H115" s="726"/>
      <c r="I115" s="726"/>
      <c r="J115" s="726"/>
      <c r="K115" s="726"/>
      <c r="L115" s="726"/>
      <c r="M115" s="726"/>
      <c r="N115" s="726"/>
      <c r="O115" s="726"/>
      <c r="P115" s="726"/>
      <c r="Q115" s="726"/>
      <c r="R115" s="726"/>
      <c r="S115" s="726"/>
      <c r="T115" s="726"/>
      <c r="U115" s="726"/>
      <c r="V115" s="726"/>
      <c r="W115" s="726"/>
      <c r="X115" s="726"/>
      <c r="Y115" s="726"/>
      <c r="Z115" s="726"/>
      <c r="AA115" s="66"/>
      <c r="AB115" s="66"/>
      <c r="AC115" s="80"/>
    </row>
    <row r="116" spans="1:68" ht="27" customHeight="1" x14ac:dyDescent="0.25">
      <c r="A116" s="63" t="s">
        <v>229</v>
      </c>
      <c r="B116" s="63" t="s">
        <v>230</v>
      </c>
      <c r="C116" s="36">
        <v>4301020391</v>
      </c>
      <c r="D116" s="727">
        <v>4680115881488</v>
      </c>
      <c r="E116" s="72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126</v>
      </c>
      <c r="L116" s="37" t="s">
        <v>46</v>
      </c>
      <c r="M116" s="38" t="s">
        <v>125</v>
      </c>
      <c r="N116" s="38"/>
      <c r="O116" s="37">
        <v>55</v>
      </c>
      <c r="P116" s="7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9"/>
      <c r="R116" s="729"/>
      <c r="S116" s="729"/>
      <c r="T116" s="73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232</v>
      </c>
      <c r="B117" s="63" t="s">
        <v>233</v>
      </c>
      <c r="C117" s="36">
        <v>4301020393</v>
      </c>
      <c r="D117" s="727">
        <v>4680115882775</v>
      </c>
      <c r="E117" s="72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9"/>
      <c r="R117" s="729"/>
      <c r="S117" s="729"/>
      <c r="T117" s="73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234</v>
      </c>
      <c r="B118" s="63" t="s">
        <v>235</v>
      </c>
      <c r="C118" s="36">
        <v>4301020392</v>
      </c>
      <c r="D118" s="727">
        <v>4680115880658</v>
      </c>
      <c r="E118" s="72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231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15">
      <c r="A119" s="735"/>
      <c r="B119" s="735"/>
      <c r="C119" s="735"/>
      <c r="D119" s="735"/>
      <c r="E119" s="735"/>
      <c r="F119" s="735"/>
      <c r="G119" s="735"/>
      <c r="H119" s="735"/>
      <c r="I119" s="735"/>
      <c r="J119" s="735"/>
      <c r="K119" s="735"/>
      <c r="L119" s="735"/>
      <c r="M119" s="735"/>
      <c r="N119" s="735"/>
      <c r="O119" s="736"/>
      <c r="P119" s="732" t="s">
        <v>40</v>
      </c>
      <c r="Q119" s="733"/>
      <c r="R119" s="733"/>
      <c r="S119" s="733"/>
      <c r="T119" s="733"/>
      <c r="U119" s="733"/>
      <c r="V119" s="734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x14ac:dyDescent="0.15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customHeight="1" x14ac:dyDescent="0.15">
      <c r="A121" s="726" t="s">
        <v>85</v>
      </c>
      <c r="B121" s="726"/>
      <c r="C121" s="726"/>
      <c r="D121" s="726"/>
      <c r="E121" s="726"/>
      <c r="F121" s="726"/>
      <c r="G121" s="726"/>
      <c r="H121" s="726"/>
      <c r="I121" s="726"/>
      <c r="J121" s="726"/>
      <c r="K121" s="726"/>
      <c r="L121" s="726"/>
      <c r="M121" s="726"/>
      <c r="N121" s="726"/>
      <c r="O121" s="726"/>
      <c r="P121" s="726"/>
      <c r="Q121" s="726"/>
      <c r="R121" s="726"/>
      <c r="S121" s="726"/>
      <c r="T121" s="726"/>
      <c r="U121" s="726"/>
      <c r="V121" s="726"/>
      <c r="W121" s="726"/>
      <c r="X121" s="726"/>
      <c r="Y121" s="726"/>
      <c r="Z121" s="726"/>
      <c r="AA121" s="66"/>
      <c r="AB121" s="66"/>
      <c r="AC121" s="80"/>
    </row>
    <row r="122" spans="1:68" ht="27" customHeight="1" x14ac:dyDescent="0.25">
      <c r="A122" s="63" t="s">
        <v>236</v>
      </c>
      <c r="B122" s="63" t="s">
        <v>237</v>
      </c>
      <c r="C122" s="36">
        <v>4301052088</v>
      </c>
      <c r="D122" s="727">
        <v>4607091385168</v>
      </c>
      <c r="E122" s="72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89</v>
      </c>
      <c r="N122" s="38"/>
      <c r="O122" s="37">
        <v>45</v>
      </c>
      <c r="P122" s="7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9"/>
      <c r="R122" s="729"/>
      <c r="S122" s="729"/>
      <c r="T122" s="73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239</v>
      </c>
      <c r="B123" s="63" t="s">
        <v>240</v>
      </c>
      <c r="C123" s="36">
        <v>4301052087</v>
      </c>
      <c r="D123" s="727">
        <v>4607091383256</v>
      </c>
      <c r="E123" s="72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241</v>
      </c>
      <c r="B124" s="63" t="s">
        <v>242</v>
      </c>
      <c r="C124" s="36">
        <v>4301052086</v>
      </c>
      <c r="D124" s="727">
        <v>4607091385748</v>
      </c>
      <c r="E124" s="72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45</v>
      </c>
      <c r="P124" s="7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238</v>
      </c>
      <c r="AG124" s="78"/>
      <c r="AJ124" s="84" t="s">
        <v>46</v>
      </c>
      <c r="AK124" s="84">
        <v>0</v>
      </c>
      <c r="BB124" s="205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243</v>
      </c>
      <c r="B125" s="63" t="s">
        <v>244</v>
      </c>
      <c r="C125" s="36">
        <v>4301052085</v>
      </c>
      <c r="D125" s="727">
        <v>4680115884533</v>
      </c>
      <c r="E125" s="72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7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245</v>
      </c>
      <c r="AG125" s="78"/>
      <c r="AJ125" s="84" t="s">
        <v>46</v>
      </c>
      <c r="AK125" s="84">
        <v>0</v>
      </c>
      <c r="BB125" s="207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15">
      <c r="A126" s="735"/>
      <c r="B126" s="735"/>
      <c r="C126" s="735"/>
      <c r="D126" s="735"/>
      <c r="E126" s="735"/>
      <c r="F126" s="735"/>
      <c r="G126" s="735"/>
      <c r="H126" s="735"/>
      <c r="I126" s="735"/>
      <c r="J126" s="735"/>
      <c r="K126" s="735"/>
      <c r="L126" s="735"/>
      <c r="M126" s="735"/>
      <c r="N126" s="735"/>
      <c r="O126" s="736"/>
      <c r="P126" s="732" t="s">
        <v>40</v>
      </c>
      <c r="Q126" s="733"/>
      <c r="R126" s="733"/>
      <c r="S126" s="733"/>
      <c r="T126" s="733"/>
      <c r="U126" s="733"/>
      <c r="V126" s="734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15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15">
      <c r="A128" s="726" t="s">
        <v>177</v>
      </c>
      <c r="B128" s="726"/>
      <c r="C128" s="726"/>
      <c r="D128" s="726"/>
      <c r="E128" s="726"/>
      <c r="F128" s="726"/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  <c r="AA128" s="66"/>
      <c r="AB128" s="66"/>
      <c r="AC128" s="80"/>
    </row>
    <row r="129" spans="1:68" ht="16.5" customHeight="1" x14ac:dyDescent="0.25">
      <c r="A129" s="63" t="s">
        <v>246</v>
      </c>
      <c r="B129" s="63" t="s">
        <v>247</v>
      </c>
      <c r="C129" s="36">
        <v>4301060525</v>
      </c>
      <c r="D129" s="727">
        <v>4680115880238</v>
      </c>
      <c r="E129" s="72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90</v>
      </c>
      <c r="L129" s="37" t="s">
        <v>46</v>
      </c>
      <c r="M129" s="38" t="s">
        <v>89</v>
      </c>
      <c r="N129" s="38"/>
      <c r="O129" s="37">
        <v>40</v>
      </c>
      <c r="P129" s="7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9"/>
      <c r="R129" s="729"/>
      <c r="S129" s="729"/>
      <c r="T129" s="73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248</v>
      </c>
      <c r="AG129" s="78"/>
      <c r="AJ129" s="84" t="s">
        <v>46</v>
      </c>
      <c r="AK129" s="84">
        <v>0</v>
      </c>
      <c r="BB129" s="209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15">
      <c r="A130" s="735"/>
      <c r="B130" s="735"/>
      <c r="C130" s="735"/>
      <c r="D130" s="735"/>
      <c r="E130" s="735"/>
      <c r="F130" s="735"/>
      <c r="G130" s="735"/>
      <c r="H130" s="735"/>
      <c r="I130" s="735"/>
      <c r="J130" s="735"/>
      <c r="K130" s="735"/>
      <c r="L130" s="735"/>
      <c r="M130" s="735"/>
      <c r="N130" s="735"/>
      <c r="O130" s="736"/>
      <c r="P130" s="732" t="s">
        <v>40</v>
      </c>
      <c r="Q130" s="733"/>
      <c r="R130" s="733"/>
      <c r="S130" s="733"/>
      <c r="T130" s="733"/>
      <c r="U130" s="733"/>
      <c r="V130" s="73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15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15">
      <c r="A132" s="725" t="s">
        <v>249</v>
      </c>
      <c r="B132" s="725"/>
      <c r="C132" s="725"/>
      <c r="D132" s="725"/>
      <c r="E132" s="725"/>
      <c r="F132" s="725"/>
      <c r="G132" s="725"/>
      <c r="H132" s="725"/>
      <c r="I132" s="725"/>
      <c r="J132" s="725"/>
      <c r="K132" s="725"/>
      <c r="L132" s="725"/>
      <c r="M132" s="725"/>
      <c r="N132" s="725"/>
      <c r="O132" s="725"/>
      <c r="P132" s="725"/>
      <c r="Q132" s="725"/>
      <c r="R132" s="725"/>
      <c r="S132" s="725"/>
      <c r="T132" s="725"/>
      <c r="U132" s="725"/>
      <c r="V132" s="725"/>
      <c r="W132" s="725"/>
      <c r="X132" s="725"/>
      <c r="Y132" s="725"/>
      <c r="Z132" s="725"/>
      <c r="AA132" s="65"/>
      <c r="AB132" s="65"/>
      <c r="AC132" s="79"/>
    </row>
    <row r="133" spans="1:68" ht="14.25" customHeight="1" x14ac:dyDescent="0.15">
      <c r="A133" s="726" t="s">
        <v>121</v>
      </c>
      <c r="B133" s="726"/>
      <c r="C133" s="726"/>
      <c r="D133" s="726"/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66"/>
      <c r="AB133" s="66"/>
      <c r="AC133" s="80"/>
    </row>
    <row r="134" spans="1:68" ht="27" customHeight="1" x14ac:dyDescent="0.25">
      <c r="A134" s="63" t="s">
        <v>250</v>
      </c>
      <c r="B134" s="63" t="s">
        <v>251</v>
      </c>
      <c r="C134" s="36">
        <v>4301011562</v>
      </c>
      <c r="D134" s="727">
        <v>4680115882577</v>
      </c>
      <c r="E134" s="72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253</v>
      </c>
      <c r="N134" s="38"/>
      <c r="O134" s="37">
        <v>90</v>
      </c>
      <c r="P134" s="7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9"/>
      <c r="R134" s="729"/>
      <c r="S134" s="729"/>
      <c r="T134" s="73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250</v>
      </c>
      <c r="B135" s="63" t="s">
        <v>254</v>
      </c>
      <c r="C135" s="36">
        <v>4301011564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253</v>
      </c>
      <c r="N135" s="38"/>
      <c r="O135" s="37">
        <v>90</v>
      </c>
      <c r="P135" s="7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252</v>
      </c>
      <c r="AG135" s="78"/>
      <c r="AJ135" s="84" t="s">
        <v>46</v>
      </c>
      <c r="AK135" s="84">
        <v>0</v>
      </c>
      <c r="BB135" s="21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15">
      <c r="A136" s="735"/>
      <c r="B136" s="735"/>
      <c r="C136" s="735"/>
      <c r="D136" s="735"/>
      <c r="E136" s="735"/>
      <c r="F136" s="735"/>
      <c r="G136" s="735"/>
      <c r="H136" s="735"/>
      <c r="I136" s="735"/>
      <c r="J136" s="735"/>
      <c r="K136" s="735"/>
      <c r="L136" s="735"/>
      <c r="M136" s="735"/>
      <c r="N136" s="735"/>
      <c r="O136" s="736"/>
      <c r="P136" s="732" t="s">
        <v>40</v>
      </c>
      <c r="Q136" s="733"/>
      <c r="R136" s="733"/>
      <c r="S136" s="733"/>
      <c r="T136" s="733"/>
      <c r="U136" s="733"/>
      <c r="V136" s="734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15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15">
      <c r="A138" s="726" t="s">
        <v>76</v>
      </c>
      <c r="B138" s="726"/>
      <c r="C138" s="726"/>
      <c r="D138" s="726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66"/>
      <c r="AB138" s="66"/>
      <c r="AC138" s="80"/>
    </row>
    <row r="139" spans="1:68" ht="27" customHeight="1" x14ac:dyDescent="0.25">
      <c r="A139" s="63" t="s">
        <v>255</v>
      </c>
      <c r="B139" s="63" t="s">
        <v>256</v>
      </c>
      <c r="C139" s="36">
        <v>4301031234</v>
      </c>
      <c r="D139" s="727">
        <v>4680115883444</v>
      </c>
      <c r="E139" s="72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90</v>
      </c>
      <c r="L139" s="37" t="s">
        <v>46</v>
      </c>
      <c r="M139" s="38" t="s">
        <v>253</v>
      </c>
      <c r="N139" s="38"/>
      <c r="O139" s="37">
        <v>90</v>
      </c>
      <c r="P139" s="7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9"/>
      <c r="R139" s="729"/>
      <c r="S139" s="729"/>
      <c r="T139" s="73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255</v>
      </c>
      <c r="B140" s="63" t="s">
        <v>258</v>
      </c>
      <c r="C140" s="36">
        <v>4301031235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253</v>
      </c>
      <c r="N140" s="38"/>
      <c r="O140" s="37">
        <v>90</v>
      </c>
      <c r="P140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257</v>
      </c>
      <c r="AG140" s="78"/>
      <c r="AJ140" s="84" t="s">
        <v>46</v>
      </c>
      <c r="AK140" s="84">
        <v>0</v>
      </c>
      <c r="BB140" s="217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15">
      <c r="A141" s="735"/>
      <c r="B141" s="735"/>
      <c r="C141" s="735"/>
      <c r="D141" s="735"/>
      <c r="E141" s="735"/>
      <c r="F141" s="735"/>
      <c r="G141" s="735"/>
      <c r="H141" s="735"/>
      <c r="I141" s="735"/>
      <c r="J141" s="735"/>
      <c r="K141" s="735"/>
      <c r="L141" s="735"/>
      <c r="M141" s="735"/>
      <c r="N141" s="735"/>
      <c r="O141" s="736"/>
      <c r="P141" s="732" t="s">
        <v>40</v>
      </c>
      <c r="Q141" s="733"/>
      <c r="R141" s="733"/>
      <c r="S141" s="733"/>
      <c r="T141" s="733"/>
      <c r="U141" s="733"/>
      <c r="V141" s="734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15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15">
      <c r="A143" s="726" t="s">
        <v>85</v>
      </c>
      <c r="B143" s="726"/>
      <c r="C143" s="726"/>
      <c r="D143" s="726"/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  <c r="AA143" s="66"/>
      <c r="AB143" s="66"/>
      <c r="AC143" s="80"/>
    </row>
    <row r="144" spans="1:68" ht="16.5" customHeight="1" x14ac:dyDescent="0.25">
      <c r="A144" s="63" t="s">
        <v>259</v>
      </c>
      <c r="B144" s="63" t="s">
        <v>260</v>
      </c>
      <c r="C144" s="36">
        <v>4301051476</v>
      </c>
      <c r="D144" s="727">
        <v>4680115882584</v>
      </c>
      <c r="E144" s="72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253</v>
      </c>
      <c r="N144" s="38"/>
      <c r="O144" s="37">
        <v>60</v>
      </c>
      <c r="P144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9"/>
      <c r="R144" s="729"/>
      <c r="S144" s="729"/>
      <c r="T144" s="73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259</v>
      </c>
      <c r="B145" s="63" t="s">
        <v>261</v>
      </c>
      <c r="C145" s="36">
        <v>4301051477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253</v>
      </c>
      <c r="N145" s="38"/>
      <c r="O145" s="37">
        <v>60</v>
      </c>
      <c r="P145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252</v>
      </c>
      <c r="AG145" s="78"/>
      <c r="AJ145" s="84" t="s">
        <v>46</v>
      </c>
      <c r="AK145" s="84">
        <v>0</v>
      </c>
      <c r="BB145" s="221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15">
      <c r="A146" s="735"/>
      <c r="B146" s="735"/>
      <c r="C146" s="735"/>
      <c r="D146" s="735"/>
      <c r="E146" s="735"/>
      <c r="F146" s="735"/>
      <c r="G146" s="735"/>
      <c r="H146" s="735"/>
      <c r="I146" s="735"/>
      <c r="J146" s="735"/>
      <c r="K146" s="735"/>
      <c r="L146" s="735"/>
      <c r="M146" s="735"/>
      <c r="N146" s="735"/>
      <c r="O146" s="736"/>
      <c r="P146" s="732" t="s">
        <v>40</v>
      </c>
      <c r="Q146" s="733"/>
      <c r="R146" s="733"/>
      <c r="S146" s="733"/>
      <c r="T146" s="733"/>
      <c r="U146" s="733"/>
      <c r="V146" s="73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15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15">
      <c r="A148" s="725" t="s">
        <v>262</v>
      </c>
      <c r="B148" s="725"/>
      <c r="C148" s="725"/>
      <c r="D148" s="725"/>
      <c r="E148" s="725"/>
      <c r="F148" s="725"/>
      <c r="G148" s="725"/>
      <c r="H148" s="725"/>
      <c r="I148" s="725"/>
      <c r="J148" s="725"/>
      <c r="K148" s="725"/>
      <c r="L148" s="725"/>
      <c r="M148" s="725"/>
      <c r="N148" s="725"/>
      <c r="O148" s="725"/>
      <c r="P148" s="725"/>
      <c r="Q148" s="725"/>
      <c r="R148" s="725"/>
      <c r="S148" s="725"/>
      <c r="T148" s="725"/>
      <c r="U148" s="725"/>
      <c r="V148" s="725"/>
      <c r="W148" s="725"/>
      <c r="X148" s="725"/>
      <c r="Y148" s="725"/>
      <c r="Z148" s="725"/>
      <c r="AA148" s="65"/>
      <c r="AB148" s="65"/>
      <c r="AC148" s="79"/>
    </row>
    <row r="149" spans="1:68" ht="14.25" customHeight="1" x14ac:dyDescent="0.15">
      <c r="A149" s="726" t="s">
        <v>85</v>
      </c>
      <c r="B149" s="726"/>
      <c r="C149" s="726"/>
      <c r="D149" s="726"/>
      <c r="E149" s="726"/>
      <c r="F149" s="726"/>
      <c r="G149" s="726"/>
      <c r="H149" s="726"/>
      <c r="I149" s="726"/>
      <c r="J149" s="726"/>
      <c r="K149" s="726"/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  <c r="AA149" s="66"/>
      <c r="AB149" s="66"/>
      <c r="AC149" s="80"/>
    </row>
    <row r="150" spans="1:68" ht="27" customHeight="1" x14ac:dyDescent="0.25">
      <c r="A150" s="63" t="s">
        <v>263</v>
      </c>
      <c r="B150" s="63" t="s">
        <v>264</v>
      </c>
      <c r="C150" s="36">
        <v>4301052254</v>
      </c>
      <c r="D150" s="727">
        <v>4680115888203</v>
      </c>
      <c r="E150" s="72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9"/>
      <c r="R150" s="729"/>
      <c r="S150" s="729"/>
      <c r="T150" s="73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265</v>
      </c>
      <c r="AG150" s="78"/>
      <c r="AJ150" s="84" t="s">
        <v>46</v>
      </c>
      <c r="AK150" s="84">
        <v>0</v>
      </c>
      <c r="BB150" s="223" t="s">
        <v>66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customHeight="1" x14ac:dyDescent="0.25">
      <c r="A151" s="63" t="s">
        <v>266</v>
      </c>
      <c r="B151" s="63" t="s">
        <v>267</v>
      </c>
      <c r="C151" s="36">
        <v>4301052172</v>
      </c>
      <c r="D151" s="727">
        <v>4680115888180</v>
      </c>
      <c r="E151" s="72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66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customHeight="1" x14ac:dyDescent="0.25">
      <c r="A152" s="63" t="s">
        <v>266</v>
      </c>
      <c r="B152" s="63" t="s">
        <v>269</v>
      </c>
      <c r="C152" s="36">
        <v>4301052252</v>
      </c>
      <c r="D152" s="727">
        <v>4680115888180</v>
      </c>
      <c r="E152" s="72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268</v>
      </c>
      <c r="AG152" s="78"/>
      <c r="AJ152" s="84" t="s">
        <v>46</v>
      </c>
      <c r="AK152" s="84">
        <v>0</v>
      </c>
      <c r="BB152" s="227" t="s">
        <v>66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customHeight="1" x14ac:dyDescent="0.25">
      <c r="A153" s="63" t="s">
        <v>270</v>
      </c>
      <c r="B153" s="63" t="s">
        <v>271</v>
      </c>
      <c r="C153" s="36">
        <v>4301052253</v>
      </c>
      <c r="D153" s="727">
        <v>4680115888197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0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272</v>
      </c>
      <c r="AG153" s="78"/>
      <c r="AJ153" s="84" t="s">
        <v>46</v>
      </c>
      <c r="AK153" s="84">
        <v>0</v>
      </c>
      <c r="BB153" s="229" t="s">
        <v>66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customHeight="1" x14ac:dyDescent="0.25">
      <c r="A154" s="63" t="s">
        <v>273</v>
      </c>
      <c r="B154" s="63" t="s">
        <v>274</v>
      </c>
      <c r="C154" s="36">
        <v>4301052175</v>
      </c>
      <c r="D154" s="727">
        <v>4680115888210</v>
      </c>
      <c r="E154" s="72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customHeight="1" x14ac:dyDescent="0.25">
      <c r="A155" s="63" t="s">
        <v>273</v>
      </c>
      <c r="B155" s="63" t="s">
        <v>276</v>
      </c>
      <c r="C155" s="36">
        <v>4301052255</v>
      </c>
      <c r="D155" s="727">
        <v>4680115888210</v>
      </c>
      <c r="E155" s="72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275</v>
      </c>
      <c r="AG155" s="78"/>
      <c r="AJ155" s="84" t="s">
        <v>46</v>
      </c>
      <c r="AK155" s="84">
        <v>0</v>
      </c>
      <c r="BB155" s="233" t="s">
        <v>66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x14ac:dyDescent="0.15">
      <c r="A156" s="735"/>
      <c r="B156" s="735"/>
      <c r="C156" s="735"/>
      <c r="D156" s="735"/>
      <c r="E156" s="735"/>
      <c r="F156" s="735"/>
      <c r="G156" s="735"/>
      <c r="H156" s="735"/>
      <c r="I156" s="735"/>
      <c r="J156" s="735"/>
      <c r="K156" s="735"/>
      <c r="L156" s="735"/>
      <c r="M156" s="735"/>
      <c r="N156" s="735"/>
      <c r="O156" s="736"/>
      <c r="P156" s="732" t="s">
        <v>40</v>
      </c>
      <c r="Q156" s="733"/>
      <c r="R156" s="733"/>
      <c r="S156" s="733"/>
      <c r="T156" s="733"/>
      <c r="U156" s="733"/>
      <c r="V156" s="734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15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customHeight="1" x14ac:dyDescent="0.15">
      <c r="A158" s="726" t="s">
        <v>277</v>
      </c>
      <c r="B158" s="726"/>
      <c r="C158" s="726"/>
      <c r="D158" s="726"/>
      <c r="E158" s="726"/>
      <c r="F158" s="726"/>
      <c r="G158" s="726"/>
      <c r="H158" s="726"/>
      <c r="I158" s="726"/>
      <c r="J158" s="726"/>
      <c r="K158" s="726"/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  <c r="AA158" s="66"/>
      <c r="AB158" s="66"/>
      <c r="AC158" s="80"/>
    </row>
    <row r="159" spans="1:68" ht="27" customHeight="1" x14ac:dyDescent="0.25">
      <c r="A159" s="63" t="s">
        <v>278</v>
      </c>
      <c r="B159" s="63" t="s">
        <v>279</v>
      </c>
      <c r="C159" s="36">
        <v>4301032067</v>
      </c>
      <c r="D159" s="727">
        <v>4680115889132</v>
      </c>
      <c r="E159" s="72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283</v>
      </c>
      <c r="L159" s="37" t="s">
        <v>46</v>
      </c>
      <c r="M159" s="38" t="s">
        <v>282</v>
      </c>
      <c r="N159" s="38"/>
      <c r="O159" s="37">
        <v>120</v>
      </c>
      <c r="P159" s="80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9"/>
      <c r="R159" s="729"/>
      <c r="S159" s="729"/>
      <c r="T159" s="73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280</v>
      </c>
      <c r="AG159" s="78"/>
      <c r="AJ159" s="84" t="s">
        <v>46</v>
      </c>
      <c r="AK159" s="84">
        <v>0</v>
      </c>
      <c r="BB159" s="235" t="s">
        <v>281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15">
      <c r="A160" s="735"/>
      <c r="B160" s="735"/>
      <c r="C160" s="735"/>
      <c r="D160" s="735"/>
      <c r="E160" s="735"/>
      <c r="F160" s="735"/>
      <c r="G160" s="735"/>
      <c r="H160" s="735"/>
      <c r="I160" s="735"/>
      <c r="J160" s="735"/>
      <c r="K160" s="735"/>
      <c r="L160" s="735"/>
      <c r="M160" s="735"/>
      <c r="N160" s="735"/>
      <c r="O160" s="736"/>
      <c r="P160" s="732" t="s">
        <v>40</v>
      </c>
      <c r="Q160" s="733"/>
      <c r="R160" s="733"/>
      <c r="S160" s="733"/>
      <c r="T160" s="733"/>
      <c r="U160" s="733"/>
      <c r="V160" s="734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15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15">
      <c r="A162" s="725" t="s">
        <v>119</v>
      </c>
      <c r="B162" s="725"/>
      <c r="C162" s="725"/>
      <c r="D162" s="725"/>
      <c r="E162" s="725"/>
      <c r="F162" s="725"/>
      <c r="G162" s="725"/>
      <c r="H162" s="725"/>
      <c r="I162" s="725"/>
      <c r="J162" s="725"/>
      <c r="K162" s="725"/>
      <c r="L162" s="725"/>
      <c r="M162" s="725"/>
      <c r="N162" s="725"/>
      <c r="O162" s="725"/>
      <c r="P162" s="725"/>
      <c r="Q162" s="725"/>
      <c r="R162" s="725"/>
      <c r="S162" s="725"/>
      <c r="T162" s="725"/>
      <c r="U162" s="725"/>
      <c r="V162" s="725"/>
      <c r="W162" s="725"/>
      <c r="X162" s="725"/>
      <c r="Y162" s="725"/>
      <c r="Z162" s="725"/>
      <c r="AA162" s="65"/>
      <c r="AB162" s="65"/>
      <c r="AC162" s="79"/>
    </row>
    <row r="163" spans="1:68" ht="14.25" customHeight="1" x14ac:dyDescent="0.15">
      <c r="A163" s="726" t="s">
        <v>121</v>
      </c>
      <c r="B163" s="726"/>
      <c r="C163" s="726"/>
      <c r="D163" s="726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66"/>
      <c r="AB163" s="66"/>
      <c r="AC163" s="80"/>
    </row>
    <row r="164" spans="1:68" ht="27" customHeight="1" x14ac:dyDescent="0.25">
      <c r="A164" s="63" t="s">
        <v>284</v>
      </c>
      <c r="B164" s="63" t="s">
        <v>285</v>
      </c>
      <c r="C164" s="36">
        <v>4301012338</v>
      </c>
      <c r="D164" s="727">
        <v>4680115887374</v>
      </c>
      <c r="E164" s="72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126</v>
      </c>
      <c r="L164" s="37" t="s">
        <v>46</v>
      </c>
      <c r="M164" s="38" t="s">
        <v>125</v>
      </c>
      <c r="N164" s="38"/>
      <c r="O164" s="37">
        <v>55</v>
      </c>
      <c r="P164" s="81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9"/>
      <c r="R164" s="729"/>
      <c r="S164" s="729"/>
      <c r="T164" s="73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286</v>
      </c>
      <c r="AG164" s="78"/>
      <c r="AJ164" s="84" t="s">
        <v>46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287</v>
      </c>
      <c r="B165" s="63" t="s">
        <v>288</v>
      </c>
      <c r="C165" s="36">
        <v>4301011705</v>
      </c>
      <c r="D165" s="727">
        <v>4607091384604</v>
      </c>
      <c r="E165" s="72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133</v>
      </c>
      <c r="L165" s="37" t="s">
        <v>46</v>
      </c>
      <c r="M165" s="38" t="s">
        <v>125</v>
      </c>
      <c r="N165" s="38"/>
      <c r="O165" s="37">
        <v>50</v>
      </c>
      <c r="P165" s="81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customHeight="1" x14ac:dyDescent="0.25">
      <c r="A166" s="63" t="s">
        <v>287</v>
      </c>
      <c r="B166" s="63" t="s">
        <v>290</v>
      </c>
      <c r="C166" s="36">
        <v>4301012258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133</v>
      </c>
      <c r="L166" s="37" t="s">
        <v>46</v>
      </c>
      <c r="M166" s="38" t="s">
        <v>125</v>
      </c>
      <c r="N166" s="38"/>
      <c r="O166" s="37">
        <v>50</v>
      </c>
      <c r="P166" s="81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289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customHeight="1" x14ac:dyDescent="0.25">
      <c r="A167" s="63" t="s">
        <v>291</v>
      </c>
      <c r="B167" s="63" t="s">
        <v>292</v>
      </c>
      <c r="C167" s="36">
        <v>4301012344</v>
      </c>
      <c r="D167" s="727">
        <v>4680115888876</v>
      </c>
      <c r="E167" s="72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90</v>
      </c>
      <c r="L167" s="37" t="s">
        <v>46</v>
      </c>
      <c r="M167" s="38" t="s">
        <v>89</v>
      </c>
      <c r="N167" s="38"/>
      <c r="O167" s="37">
        <v>55</v>
      </c>
      <c r="P167" s="81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293</v>
      </c>
      <c r="AG167" s="78"/>
      <c r="AJ167" s="84" t="s">
        <v>46</v>
      </c>
      <c r="AK167" s="84">
        <v>0</v>
      </c>
      <c r="BB167" s="243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15">
      <c r="A168" s="735"/>
      <c r="B168" s="735"/>
      <c r="C168" s="735"/>
      <c r="D168" s="735"/>
      <c r="E168" s="735"/>
      <c r="F168" s="735"/>
      <c r="G168" s="735"/>
      <c r="H168" s="735"/>
      <c r="I168" s="735"/>
      <c r="J168" s="735"/>
      <c r="K168" s="735"/>
      <c r="L168" s="735"/>
      <c r="M168" s="735"/>
      <c r="N168" s="735"/>
      <c r="O168" s="736"/>
      <c r="P168" s="732" t="s">
        <v>40</v>
      </c>
      <c r="Q168" s="733"/>
      <c r="R168" s="733"/>
      <c r="S168" s="733"/>
      <c r="T168" s="733"/>
      <c r="U168" s="733"/>
      <c r="V168" s="734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x14ac:dyDescent="0.15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customHeight="1" x14ac:dyDescent="0.15">
      <c r="A170" s="726" t="s">
        <v>158</v>
      </c>
      <c r="B170" s="726"/>
      <c r="C170" s="726"/>
      <c r="D170" s="726"/>
      <c r="E170" s="726"/>
      <c r="F170" s="726"/>
      <c r="G170" s="726"/>
      <c r="H170" s="726"/>
      <c r="I170" s="726"/>
      <c r="J170" s="726"/>
      <c r="K170" s="726"/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  <c r="AA170" s="66"/>
      <c r="AB170" s="66"/>
      <c r="AC170" s="80"/>
    </row>
    <row r="171" spans="1:68" ht="16.5" customHeight="1" x14ac:dyDescent="0.25">
      <c r="A171" s="63" t="s">
        <v>294</v>
      </c>
      <c r="B171" s="63" t="s">
        <v>295</v>
      </c>
      <c r="C171" s="36">
        <v>4301020410</v>
      </c>
      <c r="D171" s="727">
        <v>4680115887695</v>
      </c>
      <c r="E171" s="72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81</v>
      </c>
      <c r="L171" s="37" t="s">
        <v>46</v>
      </c>
      <c r="M171" s="38" t="s">
        <v>80</v>
      </c>
      <c r="N171" s="38"/>
      <c r="O171" s="37">
        <v>30</v>
      </c>
      <c r="P171" s="8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9"/>
      <c r="R171" s="729"/>
      <c r="S171" s="729"/>
      <c r="T171" s="73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296</v>
      </c>
      <c r="AG171" s="78"/>
      <c r="AJ171" s="84" t="s">
        <v>46</v>
      </c>
      <c r="AK171" s="84">
        <v>0</v>
      </c>
      <c r="BB171" s="245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customHeight="1" x14ac:dyDescent="0.25">
      <c r="A172" s="63" t="s">
        <v>297</v>
      </c>
      <c r="B172" s="63" t="s">
        <v>298</v>
      </c>
      <c r="C172" s="36">
        <v>4301020439</v>
      </c>
      <c r="D172" s="727">
        <v>4680115889491</v>
      </c>
      <c r="E172" s="72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125</v>
      </c>
      <c r="N172" s="38"/>
      <c r="O172" s="37">
        <v>55</v>
      </c>
      <c r="P172" s="81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299</v>
      </c>
      <c r="AG172" s="78"/>
      <c r="AJ172" s="84" t="s">
        <v>46</v>
      </c>
      <c r="AK172" s="84">
        <v>0</v>
      </c>
      <c r="BB172" s="247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x14ac:dyDescent="0.15">
      <c r="A173" s="735"/>
      <c r="B173" s="735"/>
      <c r="C173" s="735"/>
      <c r="D173" s="735"/>
      <c r="E173" s="735"/>
      <c r="F173" s="735"/>
      <c r="G173" s="735"/>
      <c r="H173" s="735"/>
      <c r="I173" s="735"/>
      <c r="J173" s="735"/>
      <c r="K173" s="735"/>
      <c r="L173" s="735"/>
      <c r="M173" s="735"/>
      <c r="N173" s="735"/>
      <c r="O173" s="736"/>
      <c r="P173" s="732" t="s">
        <v>40</v>
      </c>
      <c r="Q173" s="733"/>
      <c r="R173" s="733"/>
      <c r="S173" s="733"/>
      <c r="T173" s="733"/>
      <c r="U173" s="733"/>
      <c r="V173" s="734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15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customHeight="1" x14ac:dyDescent="0.15">
      <c r="A175" s="726" t="s">
        <v>76</v>
      </c>
      <c r="B175" s="726"/>
      <c r="C175" s="726"/>
      <c r="D175" s="726"/>
      <c r="E175" s="726"/>
      <c r="F175" s="726"/>
      <c r="G175" s="726"/>
      <c r="H175" s="726"/>
      <c r="I175" s="726"/>
      <c r="J175" s="726"/>
      <c r="K175" s="726"/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  <c r="AA175" s="66"/>
      <c r="AB175" s="66"/>
      <c r="AC175" s="80"/>
    </row>
    <row r="176" spans="1:68" ht="27" customHeight="1" x14ac:dyDescent="0.25">
      <c r="A176" s="63" t="s">
        <v>300</v>
      </c>
      <c r="B176" s="63" t="s">
        <v>301</v>
      </c>
      <c r="C176" s="36">
        <v>4301031496</v>
      </c>
      <c r="D176" s="727">
        <v>4680115887428</v>
      </c>
      <c r="E176" s="72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133</v>
      </c>
      <c r="L176" s="37" t="s">
        <v>46</v>
      </c>
      <c r="M176" s="38" t="s">
        <v>80</v>
      </c>
      <c r="N176" s="38"/>
      <c r="O176" s="37">
        <v>40</v>
      </c>
      <c r="P176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9"/>
      <c r="R176" s="729"/>
      <c r="S176" s="729"/>
      <c r="T176" s="73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302</v>
      </c>
      <c r="AG176" s="78"/>
      <c r="AJ176" s="84" t="s">
        <v>46</v>
      </c>
      <c r="AK176" s="84">
        <v>0</v>
      </c>
      <c r="BB176" s="249" t="s">
        <v>66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customHeight="1" x14ac:dyDescent="0.25">
      <c r="A177" s="63" t="s">
        <v>303</v>
      </c>
      <c r="B177" s="63" t="s">
        <v>304</v>
      </c>
      <c r="C177" s="36">
        <v>4301031509</v>
      </c>
      <c r="D177" s="727">
        <v>4680115889170</v>
      </c>
      <c r="E177" s="72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45</v>
      </c>
      <c r="P177" s="8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305</v>
      </c>
      <c r="AG177" s="78"/>
      <c r="AJ177" s="84" t="s">
        <v>46</v>
      </c>
      <c r="AK177" s="84">
        <v>0</v>
      </c>
      <c r="BB177" s="251" t="s">
        <v>66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306</v>
      </c>
      <c r="B178" s="63" t="s">
        <v>307</v>
      </c>
      <c r="C178" s="36">
        <v>4301031522</v>
      </c>
      <c r="D178" s="727">
        <v>4680115887398</v>
      </c>
      <c r="E178" s="72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45</v>
      </c>
      <c r="P178" s="81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308</v>
      </c>
      <c r="AG178" s="78"/>
      <c r="AJ178" s="84" t="s">
        <v>46</v>
      </c>
      <c r="AK178" s="84">
        <v>0</v>
      </c>
      <c r="BB178" s="253" t="s">
        <v>66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309</v>
      </c>
      <c r="B179" s="63" t="s">
        <v>310</v>
      </c>
      <c r="C179" s="36">
        <v>4301031520</v>
      </c>
      <c r="D179" s="727">
        <v>4680115887336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133</v>
      </c>
      <c r="L179" s="37" t="s">
        <v>46</v>
      </c>
      <c r="M179" s="38" t="s">
        <v>80</v>
      </c>
      <c r="N179" s="38"/>
      <c r="O179" s="37">
        <v>45</v>
      </c>
      <c r="P179" s="81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311</v>
      </c>
      <c r="AG179" s="78"/>
      <c r="AJ179" s="84" t="s">
        <v>46</v>
      </c>
      <c r="AK179" s="84">
        <v>0</v>
      </c>
      <c r="BB179" s="255" t="s">
        <v>66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customHeight="1" x14ac:dyDescent="0.25">
      <c r="A180" s="63" t="s">
        <v>312</v>
      </c>
      <c r="B180" s="63" t="s">
        <v>313</v>
      </c>
      <c r="C180" s="36">
        <v>4301032049</v>
      </c>
      <c r="D180" s="727">
        <v>4680115887787</v>
      </c>
      <c r="E180" s="72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130</v>
      </c>
      <c r="L180" s="37" t="s">
        <v>46</v>
      </c>
      <c r="M180" s="38" t="s">
        <v>80</v>
      </c>
      <c r="N180" s="38"/>
      <c r="O180" s="37">
        <v>45</v>
      </c>
      <c r="P180" s="82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66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customHeight="1" x14ac:dyDescent="0.25">
      <c r="A181" s="63" t="s">
        <v>312</v>
      </c>
      <c r="B181" s="63" t="s">
        <v>315</v>
      </c>
      <c r="C181" s="36">
        <v>4301031528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2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314</v>
      </c>
      <c r="AG181" s="78"/>
      <c r="AJ181" s="84" t="s">
        <v>46</v>
      </c>
      <c r="AK181" s="84">
        <v>0</v>
      </c>
      <c r="BB181" s="259" t="s">
        <v>66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customHeight="1" x14ac:dyDescent="0.25">
      <c r="A182" s="63" t="s">
        <v>316</v>
      </c>
      <c r="B182" s="63" t="s">
        <v>317</v>
      </c>
      <c r="C182" s="36">
        <v>4301031448</v>
      </c>
      <c r="D182" s="727">
        <v>4680115887503</v>
      </c>
      <c r="E182" s="72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2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302</v>
      </c>
      <c r="AG182" s="78"/>
      <c r="AJ182" s="84" t="s">
        <v>46</v>
      </c>
      <c r="AK182" s="84">
        <v>0</v>
      </c>
      <c r="BB182" s="261" t="s">
        <v>66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customHeight="1" x14ac:dyDescent="0.25">
      <c r="A183" s="63" t="s">
        <v>318</v>
      </c>
      <c r="B183" s="63" t="s">
        <v>319</v>
      </c>
      <c r="C183" s="36">
        <v>4301031389</v>
      </c>
      <c r="D183" s="727">
        <v>4680115887763</v>
      </c>
      <c r="E183" s="72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130</v>
      </c>
      <c r="L183" s="37" t="s">
        <v>46</v>
      </c>
      <c r="M183" s="38" t="s">
        <v>80</v>
      </c>
      <c r="N183" s="38"/>
      <c r="O183" s="37">
        <v>45</v>
      </c>
      <c r="P183" s="82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320</v>
      </c>
      <c r="AG183" s="78"/>
      <c r="AJ183" s="84" t="s">
        <v>46</v>
      </c>
      <c r="AK183" s="84">
        <v>0</v>
      </c>
      <c r="BB183" s="263" t="s">
        <v>66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customHeight="1" x14ac:dyDescent="0.25">
      <c r="A184" s="63" t="s">
        <v>321</v>
      </c>
      <c r="B184" s="63" t="s">
        <v>322</v>
      </c>
      <c r="C184" s="36">
        <v>4301031521</v>
      </c>
      <c r="D184" s="727">
        <v>4680115887480</v>
      </c>
      <c r="E184" s="72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2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308</v>
      </c>
      <c r="AG184" s="78"/>
      <c r="AJ184" s="84" t="s">
        <v>46</v>
      </c>
      <c r="AK184" s="84">
        <v>0</v>
      </c>
      <c r="BB184" s="265" t="s">
        <v>66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customHeight="1" x14ac:dyDescent="0.25">
      <c r="A185" s="63" t="s">
        <v>323</v>
      </c>
      <c r="B185" s="63" t="s">
        <v>324</v>
      </c>
      <c r="C185" s="36">
        <v>4301031434</v>
      </c>
      <c r="D185" s="727">
        <v>4680115888067</v>
      </c>
      <c r="E185" s="72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325</v>
      </c>
      <c r="AG185" s="78"/>
      <c r="AJ185" s="84" t="s">
        <v>46</v>
      </c>
      <c r="AK185" s="84">
        <v>0</v>
      </c>
      <c r="BB185" s="267" t="s">
        <v>66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4301031519</v>
      </c>
      <c r="D186" s="727">
        <v>4680115887435</v>
      </c>
      <c r="E186" s="72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81</v>
      </c>
      <c r="L186" s="37" t="s">
        <v>46</v>
      </c>
      <c r="M186" s="38" t="s">
        <v>80</v>
      </c>
      <c r="N186" s="38"/>
      <c r="O186" s="37">
        <v>45</v>
      </c>
      <c r="P186" s="82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311</v>
      </c>
      <c r="AG186" s="78"/>
      <c r="AJ186" s="84" t="s">
        <v>46</v>
      </c>
      <c r="AK186" s="84">
        <v>0</v>
      </c>
      <c r="BB186" s="269" t="s">
        <v>66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x14ac:dyDescent="0.15">
      <c r="A187" s="735"/>
      <c r="B187" s="735"/>
      <c r="C187" s="735"/>
      <c r="D187" s="735"/>
      <c r="E187" s="735"/>
      <c r="F187" s="735"/>
      <c r="G187" s="735"/>
      <c r="H187" s="735"/>
      <c r="I187" s="735"/>
      <c r="J187" s="735"/>
      <c r="K187" s="735"/>
      <c r="L187" s="735"/>
      <c r="M187" s="735"/>
      <c r="N187" s="735"/>
      <c r="O187" s="736"/>
      <c r="P187" s="732" t="s">
        <v>40</v>
      </c>
      <c r="Q187" s="733"/>
      <c r="R187" s="733"/>
      <c r="S187" s="733"/>
      <c r="T187" s="733"/>
      <c r="U187" s="733"/>
      <c r="V187" s="734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15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customHeight="1" x14ac:dyDescent="0.15">
      <c r="A189" s="726" t="s">
        <v>85</v>
      </c>
      <c r="B189" s="726"/>
      <c r="C189" s="726"/>
      <c r="D189" s="726"/>
      <c r="E189" s="726"/>
      <c r="F189" s="726"/>
      <c r="G189" s="726"/>
      <c r="H189" s="726"/>
      <c r="I189" s="726"/>
      <c r="J189" s="726"/>
      <c r="K189" s="726"/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  <c r="AA189" s="66"/>
      <c r="AB189" s="66"/>
      <c r="AC189" s="80"/>
    </row>
    <row r="190" spans="1:68" ht="16.5" customHeight="1" x14ac:dyDescent="0.25">
      <c r="A190" s="63" t="s">
        <v>328</v>
      </c>
      <c r="B190" s="63" t="s">
        <v>329</v>
      </c>
      <c r="C190" s="36">
        <v>4301052193</v>
      </c>
      <c r="D190" s="727">
        <v>4680115888395</v>
      </c>
      <c r="E190" s="72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90</v>
      </c>
      <c r="L190" s="37" t="s">
        <v>46</v>
      </c>
      <c r="M190" s="38" t="s">
        <v>96</v>
      </c>
      <c r="N190" s="38"/>
      <c r="O190" s="37">
        <v>40</v>
      </c>
      <c r="P190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9"/>
      <c r="R190" s="729"/>
      <c r="S190" s="729"/>
      <c r="T190" s="73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330</v>
      </c>
      <c r="AG190" s="78"/>
      <c r="AJ190" s="84" t="s">
        <v>46</v>
      </c>
      <c r="AK190" s="84">
        <v>0</v>
      </c>
      <c r="BB190" s="27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331</v>
      </c>
      <c r="B191" s="63" t="s">
        <v>332</v>
      </c>
      <c r="C191" s="36">
        <v>4301052191</v>
      </c>
      <c r="D191" s="727">
        <v>4680115888371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333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customHeight="1" x14ac:dyDescent="0.25">
      <c r="A192" s="63" t="s">
        <v>334</v>
      </c>
      <c r="B192" s="63" t="s">
        <v>335</v>
      </c>
      <c r="C192" s="36">
        <v>4301052064</v>
      </c>
      <c r="D192" s="727">
        <v>4680115887459</v>
      </c>
      <c r="E192" s="72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90</v>
      </c>
      <c r="L192" s="37" t="s">
        <v>46</v>
      </c>
      <c r="M192" s="38" t="s">
        <v>89</v>
      </c>
      <c r="N192" s="38"/>
      <c r="O192" s="37">
        <v>45</v>
      </c>
      <c r="P192" s="82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336</v>
      </c>
      <c r="AG192" s="78"/>
      <c r="AJ192" s="84" t="s">
        <v>46</v>
      </c>
      <c r="AK192" s="84">
        <v>0</v>
      </c>
      <c r="BB192" s="27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15">
      <c r="A193" s="735"/>
      <c r="B193" s="735"/>
      <c r="C193" s="735"/>
      <c r="D193" s="735"/>
      <c r="E193" s="735"/>
      <c r="F193" s="735"/>
      <c r="G193" s="735"/>
      <c r="H193" s="735"/>
      <c r="I193" s="735"/>
      <c r="J193" s="735"/>
      <c r="K193" s="735"/>
      <c r="L193" s="735"/>
      <c r="M193" s="735"/>
      <c r="N193" s="735"/>
      <c r="O193" s="736"/>
      <c r="P193" s="732" t="s">
        <v>40</v>
      </c>
      <c r="Q193" s="733"/>
      <c r="R193" s="733"/>
      <c r="S193" s="733"/>
      <c r="T193" s="733"/>
      <c r="U193" s="733"/>
      <c r="V193" s="734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x14ac:dyDescent="0.15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customHeight="1" x14ac:dyDescent="0.15">
      <c r="A195" s="726" t="s">
        <v>277</v>
      </c>
      <c r="B195" s="726"/>
      <c r="C195" s="726"/>
      <c r="D195" s="726"/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  <c r="AA195" s="66"/>
      <c r="AB195" s="66"/>
      <c r="AC195" s="80"/>
    </row>
    <row r="196" spans="1:68" ht="16.5" customHeight="1" x14ac:dyDescent="0.25">
      <c r="A196" s="63" t="s">
        <v>337</v>
      </c>
      <c r="B196" s="63" t="s">
        <v>338</v>
      </c>
      <c r="C196" s="36">
        <v>4301032058</v>
      </c>
      <c r="D196" s="727">
        <v>4680115889026</v>
      </c>
      <c r="E196" s="72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340</v>
      </c>
      <c r="L196" s="37" t="s">
        <v>46</v>
      </c>
      <c r="M196" s="38" t="s">
        <v>282</v>
      </c>
      <c r="N196" s="38"/>
      <c r="O196" s="37">
        <v>60</v>
      </c>
      <c r="P196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9"/>
      <c r="R196" s="729"/>
      <c r="S196" s="729"/>
      <c r="T196" s="73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339</v>
      </c>
      <c r="AG196" s="78"/>
      <c r="AJ196" s="84" t="s">
        <v>46</v>
      </c>
      <c r="AK196" s="84">
        <v>0</v>
      </c>
      <c r="BB196" s="277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15">
      <c r="A197" s="735"/>
      <c r="B197" s="735"/>
      <c r="C197" s="735"/>
      <c r="D197" s="735"/>
      <c r="E197" s="735"/>
      <c r="F197" s="735"/>
      <c r="G197" s="735"/>
      <c r="H197" s="735"/>
      <c r="I197" s="735"/>
      <c r="J197" s="735"/>
      <c r="K197" s="735"/>
      <c r="L197" s="735"/>
      <c r="M197" s="735"/>
      <c r="N197" s="735"/>
      <c r="O197" s="736"/>
      <c r="P197" s="732" t="s">
        <v>40</v>
      </c>
      <c r="Q197" s="733"/>
      <c r="R197" s="733"/>
      <c r="S197" s="733"/>
      <c r="T197" s="733"/>
      <c r="U197" s="733"/>
      <c r="V197" s="734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x14ac:dyDescent="0.15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customHeight="1" x14ac:dyDescent="0.15">
      <c r="A199" s="726" t="s">
        <v>341</v>
      </c>
      <c r="B199" s="726"/>
      <c r="C199" s="726"/>
      <c r="D199" s="726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  <c r="AA199" s="66"/>
      <c r="AB199" s="66"/>
      <c r="AC199" s="80"/>
    </row>
    <row r="200" spans="1:68" ht="27" customHeight="1" x14ac:dyDescent="0.25">
      <c r="A200" s="63" t="s">
        <v>342</v>
      </c>
      <c r="B200" s="63" t="s">
        <v>343</v>
      </c>
      <c r="C200" s="36">
        <v>4301041009</v>
      </c>
      <c r="D200" s="727">
        <v>4680115889033</v>
      </c>
      <c r="E200" s="72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340</v>
      </c>
      <c r="L200" s="37" t="s">
        <v>46</v>
      </c>
      <c r="M200" s="38" t="s">
        <v>282</v>
      </c>
      <c r="N200" s="38"/>
      <c r="O200" s="37">
        <v>60</v>
      </c>
      <c r="P200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9"/>
      <c r="R200" s="729"/>
      <c r="S200" s="729"/>
      <c r="T200" s="73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344</v>
      </c>
      <c r="AG200" s="78"/>
      <c r="AJ200" s="84" t="s">
        <v>46</v>
      </c>
      <c r="AK200" s="84">
        <v>0</v>
      </c>
      <c r="BB200" s="279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15">
      <c r="A201" s="735"/>
      <c r="B201" s="735"/>
      <c r="C201" s="735"/>
      <c r="D201" s="735"/>
      <c r="E201" s="735"/>
      <c r="F201" s="735"/>
      <c r="G201" s="735"/>
      <c r="H201" s="735"/>
      <c r="I201" s="735"/>
      <c r="J201" s="735"/>
      <c r="K201" s="735"/>
      <c r="L201" s="735"/>
      <c r="M201" s="735"/>
      <c r="N201" s="735"/>
      <c r="O201" s="736"/>
      <c r="P201" s="732" t="s">
        <v>40</v>
      </c>
      <c r="Q201" s="733"/>
      <c r="R201" s="733"/>
      <c r="S201" s="733"/>
      <c r="T201" s="733"/>
      <c r="U201" s="733"/>
      <c r="V201" s="734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15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15">
      <c r="A203" s="724" t="s">
        <v>345</v>
      </c>
      <c r="B203" s="724"/>
      <c r="C203" s="724"/>
      <c r="D203" s="724"/>
      <c r="E203" s="724"/>
      <c r="F203" s="724"/>
      <c r="G203" s="724"/>
      <c r="H203" s="724"/>
      <c r="I203" s="724"/>
      <c r="J203" s="724"/>
      <c r="K203" s="724"/>
      <c r="L203" s="724"/>
      <c r="M203" s="724"/>
      <c r="N203" s="724"/>
      <c r="O203" s="724"/>
      <c r="P203" s="724"/>
      <c r="Q203" s="724"/>
      <c r="R203" s="724"/>
      <c r="S203" s="724"/>
      <c r="T203" s="724"/>
      <c r="U203" s="724"/>
      <c r="V203" s="724"/>
      <c r="W203" s="724"/>
      <c r="X203" s="724"/>
      <c r="Y203" s="724"/>
      <c r="Z203" s="724"/>
      <c r="AA203" s="54"/>
      <c r="AB203" s="54"/>
      <c r="AC203" s="54"/>
    </row>
    <row r="204" spans="1:68" ht="16.5" customHeight="1" x14ac:dyDescent="0.15">
      <c r="A204" s="725" t="s">
        <v>346</v>
      </c>
      <c r="B204" s="725"/>
      <c r="C204" s="725"/>
      <c r="D204" s="725"/>
      <c r="E204" s="725"/>
      <c r="F204" s="725"/>
      <c r="G204" s="725"/>
      <c r="H204" s="725"/>
      <c r="I204" s="725"/>
      <c r="J204" s="725"/>
      <c r="K204" s="725"/>
      <c r="L204" s="725"/>
      <c r="M204" s="725"/>
      <c r="N204" s="725"/>
      <c r="O204" s="725"/>
      <c r="P204" s="725"/>
      <c r="Q204" s="725"/>
      <c r="R204" s="725"/>
      <c r="S204" s="725"/>
      <c r="T204" s="725"/>
      <c r="U204" s="725"/>
      <c r="V204" s="725"/>
      <c r="W204" s="725"/>
      <c r="X204" s="725"/>
      <c r="Y204" s="725"/>
      <c r="Z204" s="725"/>
      <c r="AA204" s="65"/>
      <c r="AB204" s="65"/>
      <c r="AC204" s="79"/>
    </row>
    <row r="205" spans="1:68" ht="14.25" customHeight="1" x14ac:dyDescent="0.15">
      <c r="A205" s="726" t="s">
        <v>121</v>
      </c>
      <c r="B205" s="726"/>
      <c r="C205" s="726"/>
      <c r="D205" s="726"/>
      <c r="E205" s="726"/>
      <c r="F205" s="726"/>
      <c r="G205" s="726"/>
      <c r="H205" s="726"/>
      <c r="I205" s="726"/>
      <c r="J205" s="726"/>
      <c r="K205" s="726"/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  <c r="AA205" s="66"/>
      <c r="AB205" s="66"/>
      <c r="AC205" s="80"/>
    </row>
    <row r="206" spans="1:68" ht="27" customHeight="1" x14ac:dyDescent="0.25">
      <c r="A206" s="63" t="s">
        <v>347</v>
      </c>
      <c r="B206" s="63" t="s">
        <v>348</v>
      </c>
      <c r="C206" s="36">
        <v>4301011223</v>
      </c>
      <c r="D206" s="727">
        <v>4607091383423</v>
      </c>
      <c r="E206" s="72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126</v>
      </c>
      <c r="L206" s="37" t="s">
        <v>46</v>
      </c>
      <c r="M206" s="38" t="s">
        <v>89</v>
      </c>
      <c r="N206" s="38"/>
      <c r="O206" s="37">
        <v>35</v>
      </c>
      <c r="P206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9"/>
      <c r="R206" s="729"/>
      <c r="S206" s="729"/>
      <c r="T206" s="73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124</v>
      </c>
      <c r="AG206" s="78"/>
      <c r="AJ206" s="84" t="s">
        <v>46</v>
      </c>
      <c r="AK206" s="84">
        <v>0</v>
      </c>
      <c r="BB206" s="281" t="s">
        <v>66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customHeight="1" x14ac:dyDescent="0.25">
      <c r="A207" s="63" t="s">
        <v>349</v>
      </c>
      <c r="B207" s="63" t="s">
        <v>350</v>
      </c>
      <c r="C207" s="36">
        <v>4301012340</v>
      </c>
      <c r="D207" s="727">
        <v>4680115888760</v>
      </c>
      <c r="E207" s="72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351</v>
      </c>
      <c r="AG207" s="78"/>
      <c r="AJ207" s="84" t="s">
        <v>46</v>
      </c>
      <c r="AK207" s="84">
        <v>0</v>
      </c>
      <c r="BB207" s="283" t="s">
        <v>66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customHeight="1" x14ac:dyDescent="0.25">
      <c r="A208" s="63" t="s">
        <v>352</v>
      </c>
      <c r="B208" s="63" t="s">
        <v>353</v>
      </c>
      <c r="C208" s="36">
        <v>4301012341</v>
      </c>
      <c r="D208" s="727">
        <v>4680115888807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354</v>
      </c>
      <c r="AG208" s="78"/>
      <c r="AJ208" s="84" t="s">
        <v>46</v>
      </c>
      <c r="AK208" s="84">
        <v>0</v>
      </c>
      <c r="BB208" s="285" t="s">
        <v>66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customHeight="1" x14ac:dyDescent="0.25">
      <c r="A209" s="63" t="s">
        <v>355</v>
      </c>
      <c r="B209" s="63" t="s">
        <v>356</v>
      </c>
      <c r="C209" s="36">
        <v>4301012342</v>
      </c>
      <c r="D209" s="727">
        <v>4680115888852</v>
      </c>
      <c r="E209" s="72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357</v>
      </c>
      <c r="AG209" s="78"/>
      <c r="AJ209" s="84" t="s">
        <v>46</v>
      </c>
      <c r="AK209" s="84">
        <v>0</v>
      </c>
      <c r="BB209" s="287" t="s">
        <v>66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customHeight="1" x14ac:dyDescent="0.25">
      <c r="A210" s="63" t="s">
        <v>358</v>
      </c>
      <c r="B210" s="63" t="s">
        <v>359</v>
      </c>
      <c r="C210" s="36">
        <v>4301012370</v>
      </c>
      <c r="D210" s="727">
        <v>4680115886957</v>
      </c>
      <c r="E210" s="72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360</v>
      </c>
      <c r="AG210" s="78"/>
      <c r="AJ210" s="84" t="s">
        <v>46</v>
      </c>
      <c r="AK210" s="84">
        <v>0</v>
      </c>
      <c r="BB210" s="289" t="s">
        <v>66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customHeight="1" x14ac:dyDescent="0.25">
      <c r="A211" s="63" t="s">
        <v>361</v>
      </c>
      <c r="B211" s="63" t="s">
        <v>362</v>
      </c>
      <c r="C211" s="36">
        <v>4301012098</v>
      </c>
      <c r="D211" s="727">
        <v>4680115885660</v>
      </c>
      <c r="E211" s="72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363</v>
      </c>
      <c r="AG211" s="78"/>
      <c r="AJ211" s="84" t="s">
        <v>46</v>
      </c>
      <c r="AK211" s="84">
        <v>0</v>
      </c>
      <c r="BB211" s="291" t="s">
        <v>66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customHeight="1" x14ac:dyDescent="0.25">
      <c r="A212" s="63" t="s">
        <v>364</v>
      </c>
      <c r="B212" s="63" t="s">
        <v>365</v>
      </c>
      <c r="C212" s="36">
        <v>4301012369</v>
      </c>
      <c r="D212" s="727">
        <v>4680115886773</v>
      </c>
      <c r="E212" s="72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66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x14ac:dyDescent="0.15">
      <c r="A213" s="735"/>
      <c r="B213" s="735"/>
      <c r="C213" s="735"/>
      <c r="D213" s="735"/>
      <c r="E213" s="735"/>
      <c r="F213" s="735"/>
      <c r="G213" s="735"/>
      <c r="H213" s="735"/>
      <c r="I213" s="735"/>
      <c r="J213" s="735"/>
      <c r="K213" s="735"/>
      <c r="L213" s="735"/>
      <c r="M213" s="735"/>
      <c r="N213" s="735"/>
      <c r="O213" s="736"/>
      <c r="P213" s="732" t="s">
        <v>40</v>
      </c>
      <c r="Q213" s="733"/>
      <c r="R213" s="733"/>
      <c r="S213" s="733"/>
      <c r="T213" s="733"/>
      <c r="U213" s="733"/>
      <c r="V213" s="734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15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15">
      <c r="A215" s="725" t="s">
        <v>367</v>
      </c>
      <c r="B215" s="725"/>
      <c r="C215" s="725"/>
      <c r="D215" s="725"/>
      <c r="E215" s="725"/>
      <c r="F215" s="725"/>
      <c r="G215" s="725"/>
      <c r="H215" s="725"/>
      <c r="I215" s="725"/>
      <c r="J215" s="725"/>
      <c r="K215" s="725"/>
      <c r="L215" s="725"/>
      <c r="M215" s="725"/>
      <c r="N215" s="725"/>
      <c r="O215" s="725"/>
      <c r="P215" s="725"/>
      <c r="Q215" s="725"/>
      <c r="R215" s="725"/>
      <c r="S215" s="725"/>
      <c r="T215" s="725"/>
      <c r="U215" s="725"/>
      <c r="V215" s="725"/>
      <c r="W215" s="725"/>
      <c r="X215" s="725"/>
      <c r="Y215" s="725"/>
      <c r="Z215" s="725"/>
      <c r="AA215" s="65"/>
      <c r="AB215" s="65"/>
      <c r="AC215" s="79"/>
    </row>
    <row r="216" spans="1:68" ht="14.25" customHeight="1" x14ac:dyDescent="0.15">
      <c r="A216" s="726" t="s">
        <v>158</v>
      </c>
      <c r="B216" s="726"/>
      <c r="C216" s="726"/>
      <c r="D216" s="726"/>
      <c r="E216" s="726"/>
      <c r="F216" s="726"/>
      <c r="G216" s="726"/>
      <c r="H216" s="726"/>
      <c r="I216" s="726"/>
      <c r="J216" s="726"/>
      <c r="K216" s="726"/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  <c r="AA216" s="66"/>
      <c r="AB216" s="66"/>
      <c r="AC216" s="80"/>
    </row>
    <row r="217" spans="1:68" ht="27" customHeight="1" x14ac:dyDescent="0.25">
      <c r="A217" s="63" t="s">
        <v>368</v>
      </c>
      <c r="B217" s="63" t="s">
        <v>369</v>
      </c>
      <c r="C217" s="36">
        <v>4301020323</v>
      </c>
      <c r="D217" s="727">
        <v>4680115886223</v>
      </c>
      <c r="E217" s="72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9"/>
      <c r="R217" s="729"/>
      <c r="S217" s="729"/>
      <c r="T217" s="73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370</v>
      </c>
      <c r="AG217" s="78"/>
      <c r="AJ217" s="84" t="s">
        <v>46</v>
      </c>
      <c r="AK217" s="84">
        <v>0</v>
      </c>
      <c r="BB217" s="295" t="s">
        <v>66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15">
      <c r="A218" s="735"/>
      <c r="B218" s="735"/>
      <c r="C218" s="735"/>
      <c r="D218" s="735"/>
      <c r="E218" s="735"/>
      <c r="F218" s="735"/>
      <c r="G218" s="735"/>
      <c r="H218" s="735"/>
      <c r="I218" s="735"/>
      <c r="J218" s="735"/>
      <c r="K218" s="735"/>
      <c r="L218" s="735"/>
      <c r="M218" s="735"/>
      <c r="N218" s="735"/>
      <c r="O218" s="736"/>
      <c r="P218" s="732" t="s">
        <v>40</v>
      </c>
      <c r="Q218" s="733"/>
      <c r="R218" s="733"/>
      <c r="S218" s="733"/>
      <c r="T218" s="733"/>
      <c r="U218" s="733"/>
      <c r="V218" s="734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15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15">
      <c r="A220" s="726" t="s">
        <v>76</v>
      </c>
      <c r="B220" s="726"/>
      <c r="C220" s="726"/>
      <c r="D220" s="726"/>
      <c r="E220" s="726"/>
      <c r="F220" s="726"/>
      <c r="G220" s="726"/>
      <c r="H220" s="726"/>
      <c r="I220" s="726"/>
      <c r="J220" s="726"/>
      <c r="K220" s="726"/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  <c r="AA220" s="66"/>
      <c r="AB220" s="66"/>
      <c r="AC220" s="80"/>
    </row>
    <row r="221" spans="1:68" ht="27" customHeight="1" x14ac:dyDescent="0.25">
      <c r="A221" s="63" t="s">
        <v>371</v>
      </c>
      <c r="B221" s="63" t="s">
        <v>372</v>
      </c>
      <c r="C221" s="36">
        <v>4301031191</v>
      </c>
      <c r="D221" s="727">
        <v>4680115880993</v>
      </c>
      <c r="E221" s="72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133</v>
      </c>
      <c r="L221" s="37" t="s">
        <v>46</v>
      </c>
      <c r="M221" s="38" t="s">
        <v>80</v>
      </c>
      <c r="N221" s="38"/>
      <c r="O221" s="37">
        <v>40</v>
      </c>
      <c r="P221" s="8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9"/>
      <c r="R221" s="729"/>
      <c r="S221" s="729"/>
      <c r="T221" s="73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373</v>
      </c>
      <c r="AG221" s="78"/>
      <c r="AJ221" s="84" t="s">
        <v>46</v>
      </c>
      <c r="AK221" s="84">
        <v>0</v>
      </c>
      <c r="BB221" s="297" t="s">
        <v>66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customHeight="1" x14ac:dyDescent="0.25">
      <c r="A222" s="63" t="s">
        <v>374</v>
      </c>
      <c r="B222" s="63" t="s">
        <v>375</v>
      </c>
      <c r="C222" s="36">
        <v>4301031204</v>
      </c>
      <c r="D222" s="727">
        <v>4680115881761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376</v>
      </c>
      <c r="AG222" s="78"/>
      <c r="AJ222" s="84" t="s">
        <v>46</v>
      </c>
      <c r="AK222" s="84">
        <v>0</v>
      </c>
      <c r="BB222" s="299" t="s">
        <v>66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377</v>
      </c>
      <c r="B223" s="63" t="s">
        <v>378</v>
      </c>
      <c r="C223" s="36">
        <v>4301031201</v>
      </c>
      <c r="D223" s="727">
        <v>4680115881563</v>
      </c>
      <c r="E223" s="72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66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customHeight="1" x14ac:dyDescent="0.25">
      <c r="A224" s="63" t="s">
        <v>380</v>
      </c>
      <c r="B224" s="63" t="s">
        <v>381</v>
      </c>
      <c r="C224" s="36">
        <v>4301031447</v>
      </c>
      <c r="D224" s="727">
        <v>4680115887565</v>
      </c>
      <c r="E224" s="72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4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382</v>
      </c>
      <c r="AG224" s="78"/>
      <c r="AJ224" s="84" t="s">
        <v>46</v>
      </c>
      <c r="AK224" s="84">
        <v>0</v>
      </c>
      <c r="BB224" s="303" t="s">
        <v>66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customHeight="1" x14ac:dyDescent="0.25">
      <c r="A225" s="63" t="s">
        <v>383</v>
      </c>
      <c r="B225" s="63" t="s">
        <v>384</v>
      </c>
      <c r="C225" s="36">
        <v>4301031199</v>
      </c>
      <c r="D225" s="727">
        <v>4680115880986</v>
      </c>
      <c r="E225" s="72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66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customHeight="1" x14ac:dyDescent="0.25">
      <c r="A226" s="63" t="s">
        <v>385</v>
      </c>
      <c r="B226" s="63" t="s">
        <v>386</v>
      </c>
      <c r="C226" s="36">
        <v>4301031443</v>
      </c>
      <c r="D226" s="727">
        <v>4680115887213</v>
      </c>
      <c r="E226" s="72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4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388</v>
      </c>
      <c r="B227" s="63" t="s">
        <v>389</v>
      </c>
      <c r="C227" s="36">
        <v>4301031205</v>
      </c>
      <c r="D227" s="727">
        <v>4680115881785</v>
      </c>
      <c r="E227" s="72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376</v>
      </c>
      <c r="AG227" s="78"/>
      <c r="AJ227" s="84" t="s">
        <v>46</v>
      </c>
      <c r="AK227" s="84">
        <v>0</v>
      </c>
      <c r="BB227" s="309" t="s">
        <v>66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customHeight="1" x14ac:dyDescent="0.25">
      <c r="A228" s="63" t="s">
        <v>390</v>
      </c>
      <c r="B228" s="63" t="s">
        <v>391</v>
      </c>
      <c r="C228" s="36">
        <v>4301031499</v>
      </c>
      <c r="D228" s="727">
        <v>4680115888432</v>
      </c>
      <c r="E228" s="72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4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392</v>
      </c>
      <c r="AG228" s="78"/>
      <c r="AJ228" s="84" t="s">
        <v>46</v>
      </c>
      <c r="AK228" s="84">
        <v>0</v>
      </c>
      <c r="BB228" s="311" t="s">
        <v>66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customHeight="1" x14ac:dyDescent="0.25">
      <c r="A229" s="63" t="s">
        <v>393</v>
      </c>
      <c r="B229" s="63" t="s">
        <v>394</v>
      </c>
      <c r="C229" s="36">
        <v>4301031427</v>
      </c>
      <c r="D229" s="727">
        <v>4680115888104</v>
      </c>
      <c r="E229" s="72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395</v>
      </c>
      <c r="AG229" s="78"/>
      <c r="AJ229" s="84" t="s">
        <v>46</v>
      </c>
      <c r="AK229" s="84">
        <v>0</v>
      </c>
      <c r="BB229" s="313" t="s">
        <v>66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customHeight="1" x14ac:dyDescent="0.25">
      <c r="A230" s="63" t="s">
        <v>396</v>
      </c>
      <c r="B230" s="63" t="s">
        <v>397</v>
      </c>
      <c r="C230" s="36">
        <v>4301031503</v>
      </c>
      <c r="D230" s="727">
        <v>4680115886537</v>
      </c>
      <c r="E230" s="72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66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customHeight="1" x14ac:dyDescent="0.25">
      <c r="A231" s="63" t="s">
        <v>399</v>
      </c>
      <c r="B231" s="63" t="s">
        <v>400</v>
      </c>
      <c r="C231" s="36">
        <v>4301031279</v>
      </c>
      <c r="D231" s="727">
        <v>4680115887596</v>
      </c>
      <c r="E231" s="72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130</v>
      </c>
      <c r="L231" s="37" t="s">
        <v>46</v>
      </c>
      <c r="M231" s="38" t="s">
        <v>80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customHeight="1" x14ac:dyDescent="0.25">
      <c r="A232" s="63" t="s">
        <v>402</v>
      </c>
      <c r="B232" s="63" t="s">
        <v>403</v>
      </c>
      <c r="C232" s="36">
        <v>4301031530</v>
      </c>
      <c r="D232" s="727">
        <v>4680115881679</v>
      </c>
      <c r="E232" s="72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66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customHeight="1" x14ac:dyDescent="0.25">
      <c r="A233" s="63" t="s">
        <v>404</v>
      </c>
      <c r="B233" s="63" t="s">
        <v>405</v>
      </c>
      <c r="C233" s="36">
        <v>4301031158</v>
      </c>
      <c r="D233" s="727">
        <v>4680115880191</v>
      </c>
      <c r="E233" s="72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90</v>
      </c>
      <c r="L233" s="37" t="s">
        <v>46</v>
      </c>
      <c r="M233" s="38" t="s">
        <v>80</v>
      </c>
      <c r="N233" s="38"/>
      <c r="O233" s="37">
        <v>40</v>
      </c>
      <c r="P233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66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customHeight="1" x14ac:dyDescent="0.25">
      <c r="A234" s="63" t="s">
        <v>404</v>
      </c>
      <c r="B234" s="63" t="s">
        <v>406</v>
      </c>
      <c r="C234" s="36">
        <v>4301031531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90</v>
      </c>
      <c r="L234" s="37" t="s">
        <v>46</v>
      </c>
      <c r="M234" s="38" t="s">
        <v>80</v>
      </c>
      <c r="N234" s="38"/>
      <c r="O234" s="37">
        <v>45</v>
      </c>
      <c r="P234" s="85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379</v>
      </c>
      <c r="AG234" s="78"/>
      <c r="AJ234" s="84" t="s">
        <v>46</v>
      </c>
      <c r="AK234" s="84">
        <v>0</v>
      </c>
      <c r="BB234" s="323" t="s">
        <v>66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customHeight="1" x14ac:dyDescent="0.25">
      <c r="A235" s="63" t="s">
        <v>407</v>
      </c>
      <c r="B235" s="63" t="s">
        <v>408</v>
      </c>
      <c r="C235" s="36">
        <v>4301031245</v>
      </c>
      <c r="D235" s="727">
        <v>4680115883963</v>
      </c>
      <c r="E235" s="72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409</v>
      </c>
      <c r="AG235" s="78"/>
      <c r="AJ235" s="84" t="s">
        <v>46</v>
      </c>
      <c r="AK235" s="84">
        <v>0</v>
      </c>
      <c r="BB235" s="325" t="s">
        <v>66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15">
      <c r="A236" s="735"/>
      <c r="B236" s="735"/>
      <c r="C236" s="735"/>
      <c r="D236" s="735"/>
      <c r="E236" s="735"/>
      <c r="F236" s="735"/>
      <c r="G236" s="735"/>
      <c r="H236" s="735"/>
      <c r="I236" s="735"/>
      <c r="J236" s="735"/>
      <c r="K236" s="735"/>
      <c r="L236" s="735"/>
      <c r="M236" s="735"/>
      <c r="N236" s="735"/>
      <c r="O236" s="736"/>
      <c r="P236" s="732" t="s">
        <v>40</v>
      </c>
      <c r="Q236" s="733"/>
      <c r="R236" s="733"/>
      <c r="S236" s="733"/>
      <c r="T236" s="733"/>
      <c r="U236" s="733"/>
      <c r="V236" s="734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x14ac:dyDescent="0.15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customHeight="1" x14ac:dyDescent="0.15">
      <c r="A238" s="726" t="s">
        <v>85</v>
      </c>
      <c r="B238" s="726"/>
      <c r="C238" s="726"/>
      <c r="D238" s="726"/>
      <c r="E238" s="726"/>
      <c r="F238" s="726"/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66"/>
      <c r="AB238" s="66"/>
      <c r="AC238" s="80"/>
    </row>
    <row r="239" spans="1:68" ht="16.5" customHeight="1" x14ac:dyDescent="0.25">
      <c r="A239" s="63" t="s">
        <v>410</v>
      </c>
      <c r="B239" s="63" t="s">
        <v>411</v>
      </c>
      <c r="C239" s="36">
        <v>4301052209</v>
      </c>
      <c r="D239" s="727">
        <v>4680115888692</v>
      </c>
      <c r="E239" s="72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126</v>
      </c>
      <c r="L239" s="37" t="s">
        <v>46</v>
      </c>
      <c r="M239" s="38" t="s">
        <v>96</v>
      </c>
      <c r="N239" s="38"/>
      <c r="O239" s="37">
        <v>35</v>
      </c>
      <c r="P239" s="85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9"/>
      <c r="R239" s="729"/>
      <c r="S239" s="729"/>
      <c r="T239" s="73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412</v>
      </c>
      <c r="AG239" s="78"/>
      <c r="AJ239" s="84" t="s">
        <v>46</v>
      </c>
      <c r="AK239" s="84">
        <v>0</v>
      </c>
      <c r="BB239" s="327" t="s">
        <v>66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customHeight="1" x14ac:dyDescent="0.25">
      <c r="A240" s="63" t="s">
        <v>410</v>
      </c>
      <c r="B240" s="63" t="s">
        <v>413</v>
      </c>
      <c r="C240" s="36">
        <v>4301052279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126</v>
      </c>
      <c r="L240" s="37" t="s">
        <v>46</v>
      </c>
      <c r="M240" s="38" t="s">
        <v>96</v>
      </c>
      <c r="N240" s="38"/>
      <c r="O240" s="37">
        <v>40</v>
      </c>
      <c r="P240" s="85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414</v>
      </c>
      <c r="AG240" s="78"/>
      <c r="AJ240" s="84" t="s">
        <v>46</v>
      </c>
      <c r="AK240" s="84">
        <v>0</v>
      </c>
      <c r="BB240" s="329" t="s">
        <v>66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customHeight="1" x14ac:dyDescent="0.25">
      <c r="A241" s="63" t="s">
        <v>415</v>
      </c>
      <c r="B241" s="63" t="s">
        <v>416</v>
      </c>
      <c r="C241" s="36">
        <v>4301052213</v>
      </c>
      <c r="D241" s="727">
        <v>4680115888722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126</v>
      </c>
      <c r="L241" s="37" t="s">
        <v>46</v>
      </c>
      <c r="M241" s="38" t="s">
        <v>96</v>
      </c>
      <c r="N241" s="38"/>
      <c r="O241" s="37">
        <v>35</v>
      </c>
      <c r="P241" s="85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417</v>
      </c>
      <c r="AG241" s="78"/>
      <c r="AJ241" s="84" t="s">
        <v>46</v>
      </c>
      <c r="AK241" s="84">
        <v>0</v>
      </c>
      <c r="BB241" s="331" t="s">
        <v>66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customHeight="1" x14ac:dyDescent="0.25">
      <c r="A242" s="63" t="s">
        <v>415</v>
      </c>
      <c r="B242" s="63" t="s">
        <v>418</v>
      </c>
      <c r="C242" s="36">
        <v>4301052280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126</v>
      </c>
      <c r="L242" s="37" t="s">
        <v>46</v>
      </c>
      <c r="M242" s="38" t="s">
        <v>96</v>
      </c>
      <c r="N242" s="38"/>
      <c r="O242" s="37">
        <v>40</v>
      </c>
      <c r="P242" s="85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419</v>
      </c>
      <c r="AG242" s="78"/>
      <c r="AJ242" s="84" t="s">
        <v>46</v>
      </c>
      <c r="AK242" s="84">
        <v>0</v>
      </c>
      <c r="BB242" s="333" t="s">
        <v>66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customHeight="1" x14ac:dyDescent="0.25">
      <c r="A243" s="63" t="s">
        <v>420</v>
      </c>
      <c r="B243" s="63" t="s">
        <v>421</v>
      </c>
      <c r="C243" s="36">
        <v>4301052177</v>
      </c>
      <c r="D243" s="727">
        <v>4680115888951</v>
      </c>
      <c r="E243" s="72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133</v>
      </c>
      <c r="L243" s="37" t="s">
        <v>46</v>
      </c>
      <c r="M243" s="38" t="s">
        <v>96</v>
      </c>
      <c r="N243" s="38"/>
      <c r="O243" s="37">
        <v>35</v>
      </c>
      <c r="P243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422</v>
      </c>
      <c r="AG243" s="78"/>
      <c r="AJ243" s="84" t="s">
        <v>46</v>
      </c>
      <c r="AK243" s="84">
        <v>0</v>
      </c>
      <c r="BB243" s="335" t="s">
        <v>66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customHeight="1" x14ac:dyDescent="0.25">
      <c r="A244" s="63" t="s">
        <v>420</v>
      </c>
      <c r="B244" s="63" t="s">
        <v>423</v>
      </c>
      <c r="C244" s="36">
        <v>4301052276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133</v>
      </c>
      <c r="L244" s="37" t="s">
        <v>46</v>
      </c>
      <c r="M244" s="38" t="s">
        <v>96</v>
      </c>
      <c r="N244" s="38"/>
      <c r="O244" s="37">
        <v>40</v>
      </c>
      <c r="P244" s="86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414</v>
      </c>
      <c r="AG244" s="78"/>
      <c r="AJ244" s="84" t="s">
        <v>46</v>
      </c>
      <c r="AK244" s="84">
        <v>0</v>
      </c>
      <c r="BB244" s="337" t="s">
        <v>66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customHeight="1" x14ac:dyDescent="0.25">
      <c r="A245" s="63" t="s">
        <v>424</v>
      </c>
      <c r="B245" s="63" t="s">
        <v>425</v>
      </c>
      <c r="C245" s="36">
        <v>4301052178</v>
      </c>
      <c r="D245" s="727">
        <v>4680115888975</v>
      </c>
      <c r="E245" s="72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6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426</v>
      </c>
      <c r="AG245" s="78"/>
      <c r="AJ245" s="84" t="s">
        <v>46</v>
      </c>
      <c r="AK245" s="84">
        <v>0</v>
      </c>
      <c r="BB245" s="339" t="s">
        <v>66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customHeight="1" x14ac:dyDescent="0.25">
      <c r="A246" s="63" t="s">
        <v>427</v>
      </c>
      <c r="B246" s="63" t="s">
        <v>428</v>
      </c>
      <c r="C246" s="36">
        <v>4301052176</v>
      </c>
      <c r="D246" s="727">
        <v>4680115888982</v>
      </c>
      <c r="E246" s="72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417</v>
      </c>
      <c r="AG246" s="78"/>
      <c r="AJ246" s="84" t="s">
        <v>46</v>
      </c>
      <c r="AK246" s="84">
        <v>0</v>
      </c>
      <c r="BB246" s="341" t="s">
        <v>66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customHeight="1" x14ac:dyDescent="0.25">
      <c r="A247" s="63" t="s">
        <v>427</v>
      </c>
      <c r="B247" s="63" t="s">
        <v>429</v>
      </c>
      <c r="C247" s="36">
        <v>4301052277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40</v>
      </c>
      <c r="P247" s="86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419</v>
      </c>
      <c r="AG247" s="78"/>
      <c r="AJ247" s="84" t="s">
        <v>46</v>
      </c>
      <c r="AK247" s="84">
        <v>0</v>
      </c>
      <c r="BB247" s="343" t="s">
        <v>66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x14ac:dyDescent="0.15">
      <c r="A248" s="735"/>
      <c r="B248" s="735"/>
      <c r="C248" s="735"/>
      <c r="D248" s="735"/>
      <c r="E248" s="735"/>
      <c r="F248" s="735"/>
      <c r="G248" s="735"/>
      <c r="H248" s="735"/>
      <c r="I248" s="735"/>
      <c r="J248" s="735"/>
      <c r="K248" s="735"/>
      <c r="L248" s="735"/>
      <c r="M248" s="735"/>
      <c r="N248" s="735"/>
      <c r="O248" s="736"/>
      <c r="P248" s="732" t="s">
        <v>40</v>
      </c>
      <c r="Q248" s="733"/>
      <c r="R248" s="733"/>
      <c r="S248" s="733"/>
      <c r="T248" s="733"/>
      <c r="U248" s="733"/>
      <c r="V248" s="734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x14ac:dyDescent="0.15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customHeight="1" x14ac:dyDescent="0.15">
      <c r="A250" s="726" t="s">
        <v>277</v>
      </c>
      <c r="B250" s="726"/>
      <c r="C250" s="726"/>
      <c r="D250" s="726"/>
      <c r="E250" s="726"/>
      <c r="F250" s="726"/>
      <c r="G250" s="726"/>
      <c r="H250" s="726"/>
      <c r="I250" s="726"/>
      <c r="J250" s="726"/>
      <c r="K250" s="726"/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  <c r="AA250" s="66"/>
      <c r="AB250" s="66"/>
      <c r="AC250" s="80"/>
    </row>
    <row r="251" spans="1:68" ht="27" customHeight="1" x14ac:dyDescent="0.25">
      <c r="A251" s="63" t="s">
        <v>430</v>
      </c>
      <c r="B251" s="63" t="s">
        <v>431</v>
      </c>
      <c r="C251" s="36">
        <v>4301032053</v>
      </c>
      <c r="D251" s="727">
        <v>4680115886780</v>
      </c>
      <c r="E251" s="72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60</v>
      </c>
      <c r="P251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9"/>
      <c r="R251" s="729"/>
      <c r="S251" s="729"/>
      <c r="T251" s="73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432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customHeight="1" x14ac:dyDescent="0.25">
      <c r="A252" s="63" t="s">
        <v>433</v>
      </c>
      <c r="B252" s="63" t="s">
        <v>434</v>
      </c>
      <c r="C252" s="36">
        <v>4301032051</v>
      </c>
      <c r="D252" s="727">
        <v>4680115886742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436</v>
      </c>
      <c r="B253" s="63" t="s">
        <v>437</v>
      </c>
      <c r="C253" s="36">
        <v>4301032052</v>
      </c>
      <c r="D253" s="727">
        <v>4680115886766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340</v>
      </c>
      <c r="L253" s="37" t="s">
        <v>46</v>
      </c>
      <c r="M253" s="38" t="s">
        <v>282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435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x14ac:dyDescent="0.15">
      <c r="A254" s="735"/>
      <c r="B254" s="735"/>
      <c r="C254" s="735"/>
      <c r="D254" s="735"/>
      <c r="E254" s="735"/>
      <c r="F254" s="735"/>
      <c r="G254" s="735"/>
      <c r="H254" s="735"/>
      <c r="I254" s="735"/>
      <c r="J254" s="735"/>
      <c r="K254" s="735"/>
      <c r="L254" s="735"/>
      <c r="M254" s="735"/>
      <c r="N254" s="735"/>
      <c r="O254" s="736"/>
      <c r="P254" s="732" t="s">
        <v>40</v>
      </c>
      <c r="Q254" s="733"/>
      <c r="R254" s="733"/>
      <c r="S254" s="733"/>
      <c r="T254" s="733"/>
      <c r="U254" s="733"/>
      <c r="V254" s="734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x14ac:dyDescent="0.15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customHeight="1" x14ac:dyDescent="0.15">
      <c r="A256" s="726" t="s">
        <v>438</v>
      </c>
      <c r="B256" s="726"/>
      <c r="C256" s="726"/>
      <c r="D256" s="726"/>
      <c r="E256" s="726"/>
      <c r="F256" s="726"/>
      <c r="G256" s="726"/>
      <c r="H256" s="726"/>
      <c r="I256" s="726"/>
      <c r="J256" s="726"/>
      <c r="K256" s="726"/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  <c r="AA256" s="66"/>
      <c r="AB256" s="66"/>
      <c r="AC256" s="80"/>
    </row>
    <row r="257" spans="1:68" ht="27" customHeight="1" x14ac:dyDescent="0.25">
      <c r="A257" s="63" t="s">
        <v>439</v>
      </c>
      <c r="B257" s="63" t="s">
        <v>440</v>
      </c>
      <c r="C257" s="36">
        <v>4301170013</v>
      </c>
      <c r="D257" s="727">
        <v>4680115886797</v>
      </c>
      <c r="E257" s="72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340</v>
      </c>
      <c r="L257" s="37" t="s">
        <v>46</v>
      </c>
      <c r="M257" s="38" t="s">
        <v>282</v>
      </c>
      <c r="N257" s="38"/>
      <c r="O257" s="37">
        <v>90</v>
      </c>
      <c r="P257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9"/>
      <c r="R257" s="729"/>
      <c r="S257" s="729"/>
      <c r="T257" s="73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435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15">
      <c r="A258" s="735"/>
      <c r="B258" s="735"/>
      <c r="C258" s="735"/>
      <c r="D258" s="735"/>
      <c r="E258" s="735"/>
      <c r="F258" s="735"/>
      <c r="G258" s="735"/>
      <c r="H258" s="735"/>
      <c r="I258" s="735"/>
      <c r="J258" s="735"/>
      <c r="K258" s="735"/>
      <c r="L258" s="735"/>
      <c r="M258" s="735"/>
      <c r="N258" s="735"/>
      <c r="O258" s="736"/>
      <c r="P258" s="732" t="s">
        <v>40</v>
      </c>
      <c r="Q258" s="733"/>
      <c r="R258" s="733"/>
      <c r="S258" s="733"/>
      <c r="T258" s="733"/>
      <c r="U258" s="733"/>
      <c r="V258" s="734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x14ac:dyDescent="0.15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customHeight="1" x14ac:dyDescent="0.15">
      <c r="A260" s="725" t="s">
        <v>441</v>
      </c>
      <c r="B260" s="725"/>
      <c r="C260" s="725"/>
      <c r="D260" s="725"/>
      <c r="E260" s="725"/>
      <c r="F260" s="725"/>
      <c r="G260" s="725"/>
      <c r="H260" s="725"/>
      <c r="I260" s="725"/>
      <c r="J260" s="725"/>
      <c r="K260" s="725"/>
      <c r="L260" s="725"/>
      <c r="M260" s="725"/>
      <c r="N260" s="725"/>
      <c r="O260" s="725"/>
      <c r="P260" s="725"/>
      <c r="Q260" s="725"/>
      <c r="R260" s="725"/>
      <c r="S260" s="725"/>
      <c r="T260" s="725"/>
      <c r="U260" s="725"/>
      <c r="V260" s="725"/>
      <c r="W260" s="725"/>
      <c r="X260" s="725"/>
      <c r="Y260" s="725"/>
      <c r="Z260" s="725"/>
      <c r="AA260" s="65"/>
      <c r="AB260" s="65"/>
      <c r="AC260" s="79"/>
    </row>
    <row r="261" spans="1:68" ht="14.25" customHeight="1" x14ac:dyDescent="0.15">
      <c r="A261" s="726" t="s">
        <v>121</v>
      </c>
      <c r="B261" s="726"/>
      <c r="C261" s="726"/>
      <c r="D261" s="726"/>
      <c r="E261" s="726"/>
      <c r="F261" s="726"/>
      <c r="G261" s="726"/>
      <c r="H261" s="726"/>
      <c r="I261" s="726"/>
      <c r="J261" s="726"/>
      <c r="K261" s="726"/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  <c r="AA261" s="66"/>
      <c r="AB261" s="66"/>
      <c r="AC261" s="80"/>
    </row>
    <row r="262" spans="1:68" ht="27" customHeight="1" x14ac:dyDescent="0.25">
      <c r="A262" s="63" t="s">
        <v>442</v>
      </c>
      <c r="B262" s="63" t="s">
        <v>443</v>
      </c>
      <c r="C262" s="36">
        <v>4301011450</v>
      </c>
      <c r="D262" s="727">
        <v>4680115881402</v>
      </c>
      <c r="E262" s="7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9"/>
      <c r="R262" s="729"/>
      <c r="S262" s="729"/>
      <c r="T262" s="73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445</v>
      </c>
      <c r="B263" s="63" t="s">
        <v>446</v>
      </c>
      <c r="C263" s="36">
        <v>4301011768</v>
      </c>
      <c r="D263" s="727">
        <v>4680115881396</v>
      </c>
      <c r="E263" s="72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444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15">
      <c r="A264" s="735"/>
      <c r="B264" s="735"/>
      <c r="C264" s="735"/>
      <c r="D264" s="735"/>
      <c r="E264" s="735"/>
      <c r="F264" s="735"/>
      <c r="G264" s="735"/>
      <c r="H264" s="735"/>
      <c r="I264" s="735"/>
      <c r="J264" s="735"/>
      <c r="K264" s="735"/>
      <c r="L264" s="735"/>
      <c r="M264" s="735"/>
      <c r="N264" s="735"/>
      <c r="O264" s="736"/>
      <c r="P264" s="732" t="s">
        <v>40</v>
      </c>
      <c r="Q264" s="733"/>
      <c r="R264" s="733"/>
      <c r="S264" s="733"/>
      <c r="T264" s="733"/>
      <c r="U264" s="733"/>
      <c r="V264" s="734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15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15">
      <c r="A266" s="726" t="s">
        <v>158</v>
      </c>
      <c r="B266" s="726"/>
      <c r="C266" s="726"/>
      <c r="D266" s="726"/>
      <c r="E266" s="726"/>
      <c r="F266" s="726"/>
      <c r="G266" s="726"/>
      <c r="H266" s="726"/>
      <c r="I266" s="726"/>
      <c r="J266" s="726"/>
      <c r="K266" s="726"/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  <c r="AA266" s="66"/>
      <c r="AB266" s="66"/>
      <c r="AC266" s="80"/>
    </row>
    <row r="267" spans="1:68" ht="16.5" customHeight="1" x14ac:dyDescent="0.25">
      <c r="A267" s="63" t="s">
        <v>447</v>
      </c>
      <c r="B267" s="63" t="s">
        <v>448</v>
      </c>
      <c r="C267" s="36">
        <v>4301020261</v>
      </c>
      <c r="D267" s="727">
        <v>4680115882935</v>
      </c>
      <c r="E267" s="72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9"/>
      <c r="R267" s="729"/>
      <c r="S267" s="729"/>
      <c r="T267" s="73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customHeight="1" x14ac:dyDescent="0.25">
      <c r="A268" s="63" t="s">
        <v>450</v>
      </c>
      <c r="B268" s="63" t="s">
        <v>451</v>
      </c>
      <c r="C268" s="36">
        <v>4301020220</v>
      </c>
      <c r="D268" s="727">
        <v>4680115880764</v>
      </c>
      <c r="E268" s="72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7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449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15">
      <c r="A269" s="735"/>
      <c r="B269" s="735"/>
      <c r="C269" s="735"/>
      <c r="D269" s="735"/>
      <c r="E269" s="735"/>
      <c r="F269" s="735"/>
      <c r="G269" s="735"/>
      <c r="H269" s="735"/>
      <c r="I269" s="735"/>
      <c r="J269" s="735"/>
      <c r="K269" s="735"/>
      <c r="L269" s="735"/>
      <c r="M269" s="735"/>
      <c r="N269" s="735"/>
      <c r="O269" s="736"/>
      <c r="P269" s="732" t="s">
        <v>40</v>
      </c>
      <c r="Q269" s="733"/>
      <c r="R269" s="733"/>
      <c r="S269" s="733"/>
      <c r="T269" s="733"/>
      <c r="U269" s="733"/>
      <c r="V269" s="734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x14ac:dyDescent="0.15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customHeight="1" x14ac:dyDescent="0.15">
      <c r="A271" s="726" t="s">
        <v>76</v>
      </c>
      <c r="B271" s="726"/>
      <c r="C271" s="726"/>
      <c r="D271" s="726"/>
      <c r="E271" s="726"/>
      <c r="F271" s="726"/>
      <c r="G271" s="726"/>
      <c r="H271" s="726"/>
      <c r="I271" s="726"/>
      <c r="J271" s="726"/>
      <c r="K271" s="726"/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  <c r="AA271" s="66"/>
      <c r="AB271" s="66"/>
      <c r="AC271" s="80"/>
    </row>
    <row r="272" spans="1:68" ht="27" customHeight="1" x14ac:dyDescent="0.25">
      <c r="A272" s="63" t="s">
        <v>452</v>
      </c>
      <c r="B272" s="63" t="s">
        <v>453</v>
      </c>
      <c r="C272" s="36">
        <v>4301031224</v>
      </c>
      <c r="D272" s="727">
        <v>4680115882683</v>
      </c>
      <c r="E272" s="72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9"/>
      <c r="R272" s="729"/>
      <c r="S272" s="729"/>
      <c r="T272" s="73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454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customHeight="1" x14ac:dyDescent="0.25">
      <c r="A273" s="63" t="s">
        <v>455</v>
      </c>
      <c r="B273" s="63" t="s">
        <v>456</v>
      </c>
      <c r="C273" s="36">
        <v>4301031230</v>
      </c>
      <c r="D273" s="727">
        <v>4680115882690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457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customHeight="1" x14ac:dyDescent="0.25">
      <c r="A274" s="63" t="s">
        <v>458</v>
      </c>
      <c r="B274" s="63" t="s">
        <v>459</v>
      </c>
      <c r="C274" s="36">
        <v>4301031220</v>
      </c>
      <c r="D274" s="727">
        <v>4680115882669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460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461</v>
      </c>
      <c r="B275" s="63" t="s">
        <v>462</v>
      </c>
      <c r="C275" s="36">
        <v>4301031221</v>
      </c>
      <c r="D275" s="727">
        <v>4680115882676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463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464</v>
      </c>
      <c r="B276" s="63" t="s">
        <v>465</v>
      </c>
      <c r="C276" s="36">
        <v>4301031223</v>
      </c>
      <c r="D276" s="727">
        <v>4680115884014</v>
      </c>
      <c r="E276" s="72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454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customHeight="1" x14ac:dyDescent="0.25">
      <c r="A277" s="63" t="s">
        <v>466</v>
      </c>
      <c r="B277" s="63" t="s">
        <v>467</v>
      </c>
      <c r="C277" s="36">
        <v>4301031222</v>
      </c>
      <c r="D277" s="727">
        <v>4680115884007</v>
      </c>
      <c r="E277" s="72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457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468</v>
      </c>
      <c r="B278" s="63" t="s">
        <v>469</v>
      </c>
      <c r="C278" s="36">
        <v>4301031229</v>
      </c>
      <c r="D278" s="727">
        <v>4680115884038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460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470</v>
      </c>
      <c r="B279" s="63" t="s">
        <v>471</v>
      </c>
      <c r="C279" s="36">
        <v>4301031225</v>
      </c>
      <c r="D279" s="727">
        <v>4680115884021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463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15">
      <c r="A280" s="735"/>
      <c r="B280" s="735"/>
      <c r="C280" s="735"/>
      <c r="D280" s="735"/>
      <c r="E280" s="735"/>
      <c r="F280" s="735"/>
      <c r="G280" s="735"/>
      <c r="H280" s="735"/>
      <c r="I280" s="735"/>
      <c r="J280" s="735"/>
      <c r="K280" s="735"/>
      <c r="L280" s="735"/>
      <c r="M280" s="735"/>
      <c r="N280" s="735"/>
      <c r="O280" s="736"/>
      <c r="P280" s="732" t="s">
        <v>40</v>
      </c>
      <c r="Q280" s="733"/>
      <c r="R280" s="733"/>
      <c r="S280" s="733"/>
      <c r="T280" s="733"/>
      <c r="U280" s="733"/>
      <c r="V280" s="734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15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customHeight="1" x14ac:dyDescent="0.15">
      <c r="A282" s="726" t="s">
        <v>85</v>
      </c>
      <c r="B282" s="726"/>
      <c r="C282" s="726"/>
      <c r="D282" s="726"/>
      <c r="E282" s="726"/>
      <c r="F282" s="726"/>
      <c r="G282" s="726"/>
      <c r="H282" s="726"/>
      <c r="I282" s="726"/>
      <c r="J282" s="726"/>
      <c r="K282" s="726"/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  <c r="AA282" s="66"/>
      <c r="AB282" s="66"/>
      <c r="AC282" s="80"/>
    </row>
    <row r="283" spans="1:68" ht="27" customHeight="1" x14ac:dyDescent="0.25">
      <c r="A283" s="63" t="s">
        <v>472</v>
      </c>
      <c r="B283" s="63" t="s">
        <v>473</v>
      </c>
      <c r="C283" s="36">
        <v>4301051408</v>
      </c>
      <c r="D283" s="727">
        <v>4680115881594</v>
      </c>
      <c r="E283" s="72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9"/>
      <c r="R283" s="729"/>
      <c r="S283" s="729"/>
      <c r="T283" s="73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474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customHeight="1" x14ac:dyDescent="0.25">
      <c r="A284" s="63" t="s">
        <v>475</v>
      </c>
      <c r="B284" s="63" t="s">
        <v>476</v>
      </c>
      <c r="C284" s="36">
        <v>4301051411</v>
      </c>
      <c r="D284" s="727">
        <v>4680115881617</v>
      </c>
      <c r="E284" s="72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customHeight="1" x14ac:dyDescent="0.25">
      <c r="A285" s="63" t="s">
        <v>478</v>
      </c>
      <c r="B285" s="63" t="s">
        <v>479</v>
      </c>
      <c r="C285" s="36">
        <v>4301051656</v>
      </c>
      <c r="D285" s="727">
        <v>4680115880573</v>
      </c>
      <c r="E285" s="72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480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481</v>
      </c>
      <c r="B286" s="63" t="s">
        <v>482</v>
      </c>
      <c r="C286" s="36">
        <v>4301051407</v>
      </c>
      <c r="D286" s="727">
        <v>4680115882195</v>
      </c>
      <c r="E286" s="72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474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customHeight="1" x14ac:dyDescent="0.25">
      <c r="A287" s="63" t="s">
        <v>483</v>
      </c>
      <c r="B287" s="63" t="s">
        <v>484</v>
      </c>
      <c r="C287" s="36">
        <v>4301051752</v>
      </c>
      <c r="D287" s="727">
        <v>4680115882607</v>
      </c>
      <c r="E287" s="72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480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customHeight="1" x14ac:dyDescent="0.25">
      <c r="A288" s="63" t="s">
        <v>485</v>
      </c>
      <c r="B288" s="63" t="s">
        <v>486</v>
      </c>
      <c r="C288" s="36">
        <v>4301052143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487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488</v>
      </c>
      <c r="B289" s="63" t="s">
        <v>489</v>
      </c>
      <c r="C289" s="36">
        <v>4301051666</v>
      </c>
      <c r="D289" s="727">
        <v>4680115880092</v>
      </c>
      <c r="E289" s="72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480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customHeight="1" x14ac:dyDescent="0.25">
      <c r="A290" s="63" t="s">
        <v>490</v>
      </c>
      <c r="B290" s="63" t="s">
        <v>491</v>
      </c>
      <c r="C290" s="36">
        <v>4301052214</v>
      </c>
      <c r="D290" s="727">
        <v>4680115889064</v>
      </c>
      <c r="E290" s="72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487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492</v>
      </c>
      <c r="B291" s="63" t="s">
        <v>493</v>
      </c>
      <c r="C291" s="36">
        <v>4301051668</v>
      </c>
      <c r="D291" s="727">
        <v>4680115880221</v>
      </c>
      <c r="E291" s="72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480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494</v>
      </c>
      <c r="B292" s="63" t="s">
        <v>495</v>
      </c>
      <c r="C292" s="36">
        <v>4301051945</v>
      </c>
      <c r="D292" s="727">
        <v>4680115880504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496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497</v>
      </c>
      <c r="B293" s="63" t="s">
        <v>498</v>
      </c>
      <c r="C293" s="36">
        <v>4301051410</v>
      </c>
      <c r="D293" s="727">
        <v>4680115882164</v>
      </c>
      <c r="E293" s="72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499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500</v>
      </c>
      <c r="B294" s="63" t="s">
        <v>501</v>
      </c>
      <c r="C294" s="36">
        <v>4301052180</v>
      </c>
      <c r="D294" s="727">
        <v>4680115888340</v>
      </c>
      <c r="E294" s="72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502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15">
      <c r="A295" s="735"/>
      <c r="B295" s="735"/>
      <c r="C295" s="735"/>
      <c r="D295" s="735"/>
      <c r="E295" s="735"/>
      <c r="F295" s="735"/>
      <c r="G295" s="735"/>
      <c r="H295" s="735"/>
      <c r="I295" s="735"/>
      <c r="J295" s="735"/>
      <c r="K295" s="735"/>
      <c r="L295" s="735"/>
      <c r="M295" s="735"/>
      <c r="N295" s="735"/>
      <c r="O295" s="736"/>
      <c r="P295" s="732" t="s">
        <v>40</v>
      </c>
      <c r="Q295" s="733"/>
      <c r="R295" s="733"/>
      <c r="S295" s="733"/>
      <c r="T295" s="733"/>
      <c r="U295" s="733"/>
      <c r="V295" s="734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15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customHeight="1" x14ac:dyDescent="0.15">
      <c r="A297" s="726" t="s">
        <v>177</v>
      </c>
      <c r="B297" s="726"/>
      <c r="C297" s="726"/>
      <c r="D297" s="726"/>
      <c r="E297" s="726"/>
      <c r="F297" s="726"/>
      <c r="G297" s="726"/>
      <c r="H297" s="726"/>
      <c r="I297" s="726"/>
      <c r="J297" s="726"/>
      <c r="K297" s="726"/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  <c r="AA297" s="66"/>
      <c r="AB297" s="66"/>
      <c r="AC297" s="80"/>
    </row>
    <row r="298" spans="1:68" ht="27" customHeight="1" x14ac:dyDescent="0.25">
      <c r="A298" s="63" t="s">
        <v>503</v>
      </c>
      <c r="B298" s="63" t="s">
        <v>504</v>
      </c>
      <c r="C298" s="36">
        <v>4301060463</v>
      </c>
      <c r="D298" s="727">
        <v>4680115880818</v>
      </c>
      <c r="E298" s="72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9"/>
      <c r="R298" s="729"/>
      <c r="S298" s="729"/>
      <c r="T298" s="73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505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506</v>
      </c>
      <c r="B299" s="63" t="s">
        <v>507</v>
      </c>
      <c r="C299" s="36">
        <v>4301060389</v>
      </c>
      <c r="D299" s="727">
        <v>4680115880801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508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15">
      <c r="A300" s="735"/>
      <c r="B300" s="735"/>
      <c r="C300" s="735"/>
      <c r="D300" s="735"/>
      <c r="E300" s="735"/>
      <c r="F300" s="735"/>
      <c r="G300" s="735"/>
      <c r="H300" s="735"/>
      <c r="I300" s="735"/>
      <c r="J300" s="735"/>
      <c r="K300" s="735"/>
      <c r="L300" s="735"/>
      <c r="M300" s="735"/>
      <c r="N300" s="735"/>
      <c r="O300" s="736"/>
      <c r="P300" s="732" t="s">
        <v>40</v>
      </c>
      <c r="Q300" s="733"/>
      <c r="R300" s="733"/>
      <c r="S300" s="733"/>
      <c r="T300" s="733"/>
      <c r="U300" s="733"/>
      <c r="V300" s="734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x14ac:dyDescent="0.15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customHeight="1" x14ac:dyDescent="0.15">
      <c r="A302" s="725" t="s">
        <v>509</v>
      </c>
      <c r="B302" s="725"/>
      <c r="C302" s="725"/>
      <c r="D302" s="725"/>
      <c r="E302" s="725"/>
      <c r="F302" s="725"/>
      <c r="G302" s="725"/>
      <c r="H302" s="725"/>
      <c r="I302" s="725"/>
      <c r="J302" s="725"/>
      <c r="K302" s="725"/>
      <c r="L302" s="725"/>
      <c r="M302" s="725"/>
      <c r="N302" s="725"/>
      <c r="O302" s="725"/>
      <c r="P302" s="725"/>
      <c r="Q302" s="725"/>
      <c r="R302" s="725"/>
      <c r="S302" s="725"/>
      <c r="T302" s="725"/>
      <c r="U302" s="725"/>
      <c r="V302" s="725"/>
      <c r="W302" s="725"/>
      <c r="X302" s="725"/>
      <c r="Y302" s="725"/>
      <c r="Z302" s="725"/>
      <c r="AA302" s="65"/>
      <c r="AB302" s="65"/>
      <c r="AC302" s="79"/>
    </row>
    <row r="303" spans="1:68" ht="14.25" customHeight="1" x14ac:dyDescent="0.15">
      <c r="A303" s="726" t="s">
        <v>121</v>
      </c>
      <c r="B303" s="726"/>
      <c r="C303" s="726"/>
      <c r="D303" s="726"/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  <c r="AA303" s="66"/>
      <c r="AB303" s="66"/>
      <c r="AC303" s="80"/>
    </row>
    <row r="304" spans="1:68" ht="27" customHeight="1" x14ac:dyDescent="0.25">
      <c r="A304" s="63" t="s">
        <v>510</v>
      </c>
      <c r="B304" s="63" t="s">
        <v>511</v>
      </c>
      <c r="C304" s="36">
        <v>4301011826</v>
      </c>
      <c r="D304" s="727">
        <v>4680115884137</v>
      </c>
      <c r="E304" s="72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9"/>
      <c r="R304" s="729"/>
      <c r="S304" s="729"/>
      <c r="T304" s="73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512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customHeight="1" x14ac:dyDescent="0.25">
      <c r="A305" s="63" t="s">
        <v>513</v>
      </c>
      <c r="B305" s="63" t="s">
        <v>514</v>
      </c>
      <c r="C305" s="36">
        <v>4301011724</v>
      </c>
      <c r="D305" s="727">
        <v>4680115884236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515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customHeight="1" x14ac:dyDescent="0.25">
      <c r="A306" s="63" t="s">
        <v>516</v>
      </c>
      <c r="B306" s="63" t="s">
        <v>517</v>
      </c>
      <c r="C306" s="36">
        <v>4301011721</v>
      </c>
      <c r="D306" s="727">
        <v>4680115884175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363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518</v>
      </c>
      <c r="B307" s="63" t="s">
        <v>519</v>
      </c>
      <c r="C307" s="36">
        <v>4301011824</v>
      </c>
      <c r="D307" s="727">
        <v>4680115884144</v>
      </c>
      <c r="E307" s="72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512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customHeight="1" x14ac:dyDescent="0.25">
      <c r="A308" s="63" t="s">
        <v>520</v>
      </c>
      <c r="B308" s="63" t="s">
        <v>521</v>
      </c>
      <c r="C308" s="36">
        <v>4301012149</v>
      </c>
      <c r="D308" s="727">
        <v>4680115886551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522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customHeight="1" x14ac:dyDescent="0.25">
      <c r="A309" s="63" t="s">
        <v>523</v>
      </c>
      <c r="B309" s="63" t="s">
        <v>524</v>
      </c>
      <c r="C309" s="36">
        <v>4301012228</v>
      </c>
      <c r="D309" s="727">
        <v>4680115887282</v>
      </c>
      <c r="E309" s="72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525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526</v>
      </c>
      <c r="B310" s="63" t="s">
        <v>527</v>
      </c>
      <c r="C310" s="36">
        <v>4301011722</v>
      </c>
      <c r="D310" s="727">
        <v>4680115884205</v>
      </c>
      <c r="E310" s="72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363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x14ac:dyDescent="0.15">
      <c r="A311" s="735"/>
      <c r="B311" s="735"/>
      <c r="C311" s="735"/>
      <c r="D311" s="735"/>
      <c r="E311" s="735"/>
      <c r="F311" s="735"/>
      <c r="G311" s="735"/>
      <c r="H311" s="735"/>
      <c r="I311" s="735"/>
      <c r="J311" s="735"/>
      <c r="K311" s="735"/>
      <c r="L311" s="735"/>
      <c r="M311" s="735"/>
      <c r="N311" s="735"/>
      <c r="O311" s="736"/>
      <c r="P311" s="732" t="s">
        <v>40</v>
      </c>
      <c r="Q311" s="733"/>
      <c r="R311" s="733"/>
      <c r="S311" s="733"/>
      <c r="T311" s="733"/>
      <c r="U311" s="733"/>
      <c r="V311" s="734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15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customHeight="1" x14ac:dyDescent="0.15">
      <c r="A313" s="726" t="s">
        <v>158</v>
      </c>
      <c r="B313" s="726"/>
      <c r="C313" s="726"/>
      <c r="D313" s="726"/>
      <c r="E313" s="726"/>
      <c r="F313" s="726"/>
      <c r="G313" s="726"/>
      <c r="H313" s="726"/>
      <c r="I313" s="726"/>
      <c r="J313" s="726"/>
      <c r="K313" s="726"/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  <c r="AA313" s="66"/>
      <c r="AB313" s="66"/>
      <c r="AC313" s="80"/>
    </row>
    <row r="314" spans="1:68" ht="27" customHeight="1" x14ac:dyDescent="0.25">
      <c r="A314" s="63" t="s">
        <v>528</v>
      </c>
      <c r="B314" s="63" t="s">
        <v>529</v>
      </c>
      <c r="C314" s="36">
        <v>4301020377</v>
      </c>
      <c r="D314" s="727">
        <v>4680115885981</v>
      </c>
      <c r="E314" s="72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9"/>
      <c r="R314" s="729"/>
      <c r="S314" s="729"/>
      <c r="T314" s="73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530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15">
      <c r="A315" s="735"/>
      <c r="B315" s="735"/>
      <c r="C315" s="735"/>
      <c r="D315" s="735"/>
      <c r="E315" s="735"/>
      <c r="F315" s="735"/>
      <c r="G315" s="735"/>
      <c r="H315" s="735"/>
      <c r="I315" s="735"/>
      <c r="J315" s="735"/>
      <c r="K315" s="735"/>
      <c r="L315" s="735"/>
      <c r="M315" s="735"/>
      <c r="N315" s="735"/>
      <c r="O315" s="736"/>
      <c r="P315" s="732" t="s">
        <v>40</v>
      </c>
      <c r="Q315" s="733"/>
      <c r="R315" s="733"/>
      <c r="S315" s="733"/>
      <c r="T315" s="733"/>
      <c r="U315" s="733"/>
      <c r="V315" s="734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x14ac:dyDescent="0.15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customHeight="1" x14ac:dyDescent="0.15">
      <c r="A317" s="726" t="s">
        <v>531</v>
      </c>
      <c r="B317" s="726"/>
      <c r="C317" s="726"/>
      <c r="D317" s="726"/>
      <c r="E317" s="726"/>
      <c r="F317" s="726"/>
      <c r="G317" s="726"/>
      <c r="H317" s="726"/>
      <c r="I317" s="726"/>
      <c r="J317" s="726"/>
      <c r="K317" s="726"/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  <c r="AA317" s="66"/>
      <c r="AB317" s="66"/>
      <c r="AC317" s="80"/>
    </row>
    <row r="318" spans="1:68" ht="27" customHeight="1" x14ac:dyDescent="0.25">
      <c r="A318" s="63" t="s">
        <v>532</v>
      </c>
      <c r="B318" s="63" t="s">
        <v>533</v>
      </c>
      <c r="C318" s="36">
        <v>4301040362</v>
      </c>
      <c r="D318" s="727">
        <v>4680115886803</v>
      </c>
      <c r="E318" s="72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340</v>
      </c>
      <c r="L318" s="37" t="s">
        <v>46</v>
      </c>
      <c r="M318" s="38" t="s">
        <v>282</v>
      </c>
      <c r="N318" s="38"/>
      <c r="O318" s="37">
        <v>45</v>
      </c>
      <c r="P318" s="9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9"/>
      <c r="R318" s="729"/>
      <c r="S318" s="729"/>
      <c r="T318" s="73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534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15">
      <c r="A319" s="735"/>
      <c r="B319" s="735"/>
      <c r="C319" s="735"/>
      <c r="D319" s="735"/>
      <c r="E319" s="735"/>
      <c r="F319" s="735"/>
      <c r="G319" s="735"/>
      <c r="H319" s="735"/>
      <c r="I319" s="735"/>
      <c r="J319" s="735"/>
      <c r="K319" s="735"/>
      <c r="L319" s="735"/>
      <c r="M319" s="735"/>
      <c r="N319" s="735"/>
      <c r="O319" s="736"/>
      <c r="P319" s="732" t="s">
        <v>40</v>
      </c>
      <c r="Q319" s="733"/>
      <c r="R319" s="733"/>
      <c r="S319" s="733"/>
      <c r="T319" s="733"/>
      <c r="U319" s="733"/>
      <c r="V319" s="734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15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15">
      <c r="A321" s="726" t="s">
        <v>341</v>
      </c>
      <c r="B321" s="726"/>
      <c r="C321" s="726"/>
      <c r="D321" s="726"/>
      <c r="E321" s="726"/>
      <c r="F321" s="726"/>
      <c r="G321" s="726"/>
      <c r="H321" s="726"/>
      <c r="I321" s="726"/>
      <c r="J321" s="726"/>
      <c r="K321" s="726"/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  <c r="AA321" s="66"/>
      <c r="AB321" s="66"/>
      <c r="AC321" s="80"/>
    </row>
    <row r="322" spans="1:68" ht="27" customHeight="1" x14ac:dyDescent="0.25">
      <c r="A322" s="63" t="s">
        <v>535</v>
      </c>
      <c r="B322" s="63" t="s">
        <v>536</v>
      </c>
      <c r="C322" s="36">
        <v>4301041008</v>
      </c>
      <c r="D322" s="727">
        <v>4680115886681</v>
      </c>
      <c r="E322" s="72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340</v>
      </c>
      <c r="L322" s="37" t="s">
        <v>46</v>
      </c>
      <c r="M322" s="38" t="s">
        <v>282</v>
      </c>
      <c r="N322" s="38"/>
      <c r="O322" s="37">
        <v>90</v>
      </c>
      <c r="P322" s="9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9"/>
      <c r="R322" s="729"/>
      <c r="S322" s="729"/>
      <c r="T322" s="73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537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539</v>
      </c>
      <c r="B323" s="63" t="s">
        <v>540</v>
      </c>
      <c r="C323" s="36">
        <v>4301041007</v>
      </c>
      <c r="D323" s="727">
        <v>4680115886735</v>
      </c>
      <c r="E323" s="72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340</v>
      </c>
      <c r="L323" s="37" t="s">
        <v>46</v>
      </c>
      <c r="M323" s="38" t="s">
        <v>282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729"/>
      <c r="R323" s="729"/>
      <c r="S323" s="729"/>
      <c r="T323" s="730"/>
      <c r="U323" s="39" t="s">
        <v>538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537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15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x14ac:dyDescent="0.15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customHeight="1" x14ac:dyDescent="0.15">
      <c r="A326" s="725" t="s">
        <v>541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customHeight="1" x14ac:dyDescent="0.15">
      <c r="A327" s="726" t="s">
        <v>121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customHeight="1" x14ac:dyDescent="0.25">
      <c r="A328" s="63" t="s">
        <v>542</v>
      </c>
      <c r="B328" s="63" t="s">
        <v>543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126</v>
      </c>
      <c r="L328" s="37" t="s">
        <v>46</v>
      </c>
      <c r="M328" s="38" t="s">
        <v>125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545</v>
      </c>
      <c r="AC328" s="426" t="s">
        <v>544</v>
      </c>
      <c r="AG328" s="78"/>
      <c r="AJ328" s="84" t="s">
        <v>46</v>
      </c>
      <c r="AK328" s="84">
        <v>0</v>
      </c>
      <c r="BB328" s="427" t="s">
        <v>66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customHeight="1" x14ac:dyDescent="0.25">
      <c r="A329" s="63" t="s">
        <v>546</v>
      </c>
      <c r="B329" s="63" t="s">
        <v>547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548</v>
      </c>
      <c r="AG329" s="78"/>
      <c r="AJ329" s="84" t="s">
        <v>46</v>
      </c>
      <c r="AK329" s="84">
        <v>0</v>
      </c>
      <c r="BB329" s="429" t="s">
        <v>66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customHeight="1" x14ac:dyDescent="0.25">
      <c r="A330" s="63" t="s">
        <v>549</v>
      </c>
      <c r="B330" s="63" t="s">
        <v>550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551</v>
      </c>
      <c r="AG330" s="78"/>
      <c r="AJ330" s="84" t="s">
        <v>46</v>
      </c>
      <c r="AK330" s="84">
        <v>0</v>
      </c>
      <c r="BB330" s="431" t="s">
        <v>66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customHeight="1" x14ac:dyDescent="0.25">
      <c r="A331" s="63" t="s">
        <v>552</v>
      </c>
      <c r="B331" s="63" t="s">
        <v>553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554</v>
      </c>
      <c r="AG331" s="78"/>
      <c r="AJ331" s="84" t="s">
        <v>46</v>
      </c>
      <c r="AK331" s="84">
        <v>0</v>
      </c>
      <c r="BB331" s="433" t="s">
        <v>66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customHeight="1" x14ac:dyDescent="0.25">
      <c r="A332" s="63" t="s">
        <v>555</v>
      </c>
      <c r="B332" s="63" t="s">
        <v>556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557</v>
      </c>
      <c r="AG332" s="78"/>
      <c r="AJ332" s="84" t="s">
        <v>46</v>
      </c>
      <c r="AK332" s="84">
        <v>0</v>
      </c>
      <c r="BB332" s="435" t="s">
        <v>66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customHeight="1" x14ac:dyDescent="0.25">
      <c r="A333" s="63" t="s">
        <v>558</v>
      </c>
      <c r="B333" s="63" t="s">
        <v>559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560</v>
      </c>
      <c r="AG333" s="78"/>
      <c r="AJ333" s="84" t="s">
        <v>46</v>
      </c>
      <c r="AK333" s="84">
        <v>0</v>
      </c>
      <c r="BB333" s="437" t="s">
        <v>66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x14ac:dyDescent="0.15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15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customHeight="1" x14ac:dyDescent="0.15">
      <c r="A336" s="725" t="s">
        <v>561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customHeight="1" x14ac:dyDescent="0.15">
      <c r="A337" s="726" t="s">
        <v>85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customHeight="1" x14ac:dyDescent="0.25">
      <c r="A338" s="63" t="s">
        <v>562</v>
      </c>
      <c r="B338" s="63" t="s">
        <v>563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564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565</v>
      </c>
      <c r="B339" s="63" t="s">
        <v>566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567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568</v>
      </c>
      <c r="B340" s="63" t="s">
        <v>569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564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15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x14ac:dyDescent="0.15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customHeight="1" x14ac:dyDescent="0.15">
      <c r="A343" s="725" t="s">
        <v>570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customHeight="1" x14ac:dyDescent="0.15">
      <c r="A344" s="726" t="s">
        <v>76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customHeight="1" x14ac:dyDescent="0.25">
      <c r="A345" s="63" t="s">
        <v>571</v>
      </c>
      <c r="B345" s="63" t="s">
        <v>572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395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573</v>
      </c>
      <c r="B346" s="63" t="s">
        <v>574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575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576</v>
      </c>
      <c r="B347" s="63" t="s">
        <v>577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578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579</v>
      </c>
      <c r="B348" s="63" t="s">
        <v>580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581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582</v>
      </c>
      <c r="B349" s="63" t="s">
        <v>583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584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15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15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customHeight="1" x14ac:dyDescent="0.15">
      <c r="A352" s="726" t="s">
        <v>85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customHeight="1" x14ac:dyDescent="0.25">
      <c r="A353" s="63" t="s">
        <v>585</v>
      </c>
      <c r="B353" s="63" t="s">
        <v>586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587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588</v>
      </c>
      <c r="B354" s="63" t="s">
        <v>589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590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15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15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customHeight="1" x14ac:dyDescent="0.15">
      <c r="A357" s="725" t="s">
        <v>591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customHeight="1" x14ac:dyDescent="0.15">
      <c r="A358" s="726" t="s">
        <v>121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customHeight="1" x14ac:dyDescent="0.25">
      <c r="A359" s="63" t="s">
        <v>592</v>
      </c>
      <c r="B359" s="63" t="s">
        <v>593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354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594</v>
      </c>
      <c r="B360" s="63" t="s">
        <v>595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596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597</v>
      </c>
      <c r="B361" s="63" t="s">
        <v>598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599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15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x14ac:dyDescent="0.15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customHeight="1" x14ac:dyDescent="0.15">
      <c r="A364" s="725" t="s">
        <v>600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customHeight="1" x14ac:dyDescent="0.15">
      <c r="A365" s="726" t="s">
        <v>121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customHeight="1" x14ac:dyDescent="0.25">
      <c r="A366" s="63" t="s">
        <v>601</v>
      </c>
      <c r="B366" s="63" t="s">
        <v>602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545</v>
      </c>
      <c r="AC366" s="464" t="s">
        <v>522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customHeight="1" x14ac:dyDescent="0.25">
      <c r="A367" s="63" t="s">
        <v>603</v>
      </c>
      <c r="B367" s="63" t="s">
        <v>604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605</v>
      </c>
      <c r="AG367" s="78"/>
      <c r="AJ367" s="84" t="s">
        <v>46</v>
      </c>
      <c r="AK367" s="84">
        <v>0</v>
      </c>
      <c r="BB367" s="467" t="s">
        <v>66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customHeight="1" x14ac:dyDescent="0.25">
      <c r="A368" s="63" t="s">
        <v>606</v>
      </c>
      <c r="B368" s="63" t="s">
        <v>607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608</v>
      </c>
      <c r="AG368" s="78"/>
      <c r="AJ368" s="84" t="s">
        <v>46</v>
      </c>
      <c r="AK368" s="84">
        <v>0</v>
      </c>
      <c r="BB368" s="469" t="s">
        <v>66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customHeight="1" x14ac:dyDescent="0.25">
      <c r="A369" s="63" t="s">
        <v>609</v>
      </c>
      <c r="B369" s="63" t="s">
        <v>610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125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611</v>
      </c>
      <c r="AG369" s="78"/>
      <c r="AJ369" s="84" t="s">
        <v>46</v>
      </c>
      <c r="AK369" s="84">
        <v>0</v>
      </c>
      <c r="BB369" s="471" t="s">
        <v>66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customHeight="1" x14ac:dyDescent="0.25">
      <c r="A370" s="63" t="s">
        <v>612</v>
      </c>
      <c r="B370" s="63" t="s">
        <v>613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89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614</v>
      </c>
      <c r="AG370" s="78"/>
      <c r="AJ370" s="84" t="s">
        <v>46</v>
      </c>
      <c r="AK370" s="84">
        <v>0</v>
      </c>
      <c r="BB370" s="473" t="s">
        <v>66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customHeight="1" x14ac:dyDescent="0.25">
      <c r="A371" s="63" t="s">
        <v>615</v>
      </c>
      <c r="B371" s="63" t="s">
        <v>616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608</v>
      </c>
      <c r="AG371" s="78"/>
      <c r="AJ371" s="84" t="s">
        <v>46</v>
      </c>
      <c r="AK371" s="84">
        <v>0</v>
      </c>
      <c r="BB371" s="475" t="s">
        <v>66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customHeight="1" x14ac:dyDescent="0.25">
      <c r="A372" s="63" t="s">
        <v>617</v>
      </c>
      <c r="B372" s="63" t="s">
        <v>618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133</v>
      </c>
      <c r="L372" s="37" t="s">
        <v>46</v>
      </c>
      <c r="M372" s="38" t="s">
        <v>125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619</v>
      </c>
      <c r="AG372" s="78"/>
      <c r="AJ372" s="84" t="s">
        <v>46</v>
      </c>
      <c r="AK372" s="84">
        <v>0</v>
      </c>
      <c r="BB372" s="477" t="s">
        <v>66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x14ac:dyDescent="0.15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x14ac:dyDescent="0.15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customHeight="1" x14ac:dyDescent="0.15">
      <c r="A375" s="726" t="s">
        <v>76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customHeight="1" x14ac:dyDescent="0.25">
      <c r="A376" s="63" t="s">
        <v>620</v>
      </c>
      <c r="B376" s="63" t="s">
        <v>621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8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622</v>
      </c>
      <c r="AG376" s="78"/>
      <c r="AJ376" s="84" t="s">
        <v>46</v>
      </c>
      <c r="AK376" s="84">
        <v>0</v>
      </c>
      <c r="BB376" s="479" t="s">
        <v>66</v>
      </c>
      <c r="BM376" s="78">
        <f t="shared" ref="BM376:BM382" si="69">IFERROR(X376*I376/H376,"0")</f>
        <v>0</v>
      </c>
      <c r="BN376" s="78">
        <f t="shared" ref="BN376:BN382" si="70">IFERROR(Y376*I376/H376,"0")</f>
        <v>0</v>
      </c>
      <c r="BO376" s="78">
        <f t="shared" ref="BO376:BO382" si="71">IFERROR(1/J376*(X376/H376),"0")</f>
        <v>0</v>
      </c>
      <c r="BP376" s="78">
        <f t="shared" ref="BP376:BP382" si="72">IFERROR(1/J376*(Y376/H376),"0")</f>
        <v>0</v>
      </c>
    </row>
    <row r="377" spans="1:68" ht="27" customHeight="1" x14ac:dyDescent="0.25">
      <c r="A377" s="63" t="s">
        <v>623</v>
      </c>
      <c r="B377" s="63" t="s">
        <v>624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625</v>
      </c>
      <c r="AG377" s="78"/>
      <c r="AJ377" s="84" t="s">
        <v>46</v>
      </c>
      <c r="AK377" s="84">
        <v>0</v>
      </c>
      <c r="BB377" s="481" t="s">
        <v>66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customHeight="1" x14ac:dyDescent="0.25">
      <c r="A378" s="63" t="s">
        <v>626</v>
      </c>
      <c r="B378" s="63" t="s">
        <v>627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66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customHeight="1" x14ac:dyDescent="0.25">
      <c r="A379" s="63" t="s">
        <v>629</v>
      </c>
      <c r="B379" s="63" t="s">
        <v>630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66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customHeight="1" x14ac:dyDescent="0.25">
      <c r="A380" s="63" t="s">
        <v>631</v>
      </c>
      <c r="B380" s="63" t="s">
        <v>632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81</v>
      </c>
      <c r="L380" s="37" t="s">
        <v>46</v>
      </c>
      <c r="M380" s="38" t="s">
        <v>80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633</v>
      </c>
      <c r="AG380" s="78"/>
      <c r="AJ380" s="84" t="s">
        <v>46</v>
      </c>
      <c r="AK380" s="84">
        <v>0</v>
      </c>
      <c r="BB380" s="487" t="s">
        <v>66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133</v>
      </c>
      <c r="L381" s="37" t="s">
        <v>46</v>
      </c>
      <c r="M381" s="38" t="s">
        <v>80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628</v>
      </c>
      <c r="AG381" s="78"/>
      <c r="AJ381" s="84" t="s">
        <v>46</v>
      </c>
      <c r="AK381" s="84">
        <v>0</v>
      </c>
      <c r="BB381" s="489" t="s">
        <v>66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customHeight="1" x14ac:dyDescent="0.25">
      <c r="A382" s="63" t="s">
        <v>636</v>
      </c>
      <c r="B382" s="63" t="s">
        <v>637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90</v>
      </c>
      <c r="L382" s="37" t="s">
        <v>46</v>
      </c>
      <c r="M382" s="38" t="s">
        <v>80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66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x14ac:dyDescent="0.15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15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customHeight="1" x14ac:dyDescent="0.15">
      <c r="A385" s="726" t="s">
        <v>85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customHeight="1" x14ac:dyDescent="0.25">
      <c r="A386" s="63" t="s">
        <v>639</v>
      </c>
      <c r="B386" s="63" t="s">
        <v>640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641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642</v>
      </c>
      <c r="B387" s="63" t="s">
        <v>643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644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126</v>
      </c>
      <c r="L388" s="37" t="s">
        <v>46</v>
      </c>
      <c r="M388" s="38" t="s">
        <v>89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647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648</v>
      </c>
      <c r="B389" s="63" t="s">
        <v>649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90</v>
      </c>
      <c r="L389" s="37" t="s">
        <v>46</v>
      </c>
      <c r="M389" s="38" t="s">
        <v>89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641</v>
      </c>
      <c r="AG389" s="78"/>
      <c r="AJ389" s="84" t="s">
        <v>46</v>
      </c>
      <c r="AK389" s="84">
        <v>0</v>
      </c>
      <c r="BB389" s="499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15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x14ac:dyDescent="0.15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customHeight="1" x14ac:dyDescent="0.15">
      <c r="A392" s="726" t="s">
        <v>177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customHeight="1" x14ac:dyDescent="0.25">
      <c r="A393" s="63" t="s">
        <v>650</v>
      </c>
      <c r="B393" s="63" t="s">
        <v>651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652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653</v>
      </c>
      <c r="B394" s="63" t="s">
        <v>654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126</v>
      </c>
      <c r="L394" s="37" t="s">
        <v>46</v>
      </c>
      <c r="M394" s="38" t="s">
        <v>89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655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656</v>
      </c>
      <c r="B395" s="63" t="s">
        <v>657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126</v>
      </c>
      <c r="L395" s="37" t="s">
        <v>46</v>
      </c>
      <c r="M395" s="38" t="s">
        <v>96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658</v>
      </c>
      <c r="AG395" s="78"/>
      <c r="AJ395" s="84" t="s">
        <v>46</v>
      </c>
      <c r="AK395" s="84">
        <v>0</v>
      </c>
      <c r="BB395" s="50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15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x14ac:dyDescent="0.15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customHeight="1" x14ac:dyDescent="0.15">
      <c r="A398" s="726" t="s">
        <v>277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customHeight="1" x14ac:dyDescent="0.25">
      <c r="A399" s="63" t="s">
        <v>659</v>
      </c>
      <c r="B399" s="63" t="s">
        <v>660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133</v>
      </c>
      <c r="L399" s="37" t="s">
        <v>46</v>
      </c>
      <c r="M399" s="38" t="s">
        <v>253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661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662</v>
      </c>
      <c r="B400" s="63" t="s">
        <v>663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133</v>
      </c>
      <c r="L400" s="37" t="s">
        <v>46</v>
      </c>
      <c r="M400" s="38" t="s">
        <v>253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661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664</v>
      </c>
      <c r="B401" s="63" t="s">
        <v>665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90</v>
      </c>
      <c r="L401" s="37" t="s">
        <v>46</v>
      </c>
      <c r="M401" s="38" t="s">
        <v>253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661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666</v>
      </c>
      <c r="B402" s="63" t="s">
        <v>667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90</v>
      </c>
      <c r="L402" s="37" t="s">
        <v>46</v>
      </c>
      <c r="M402" s="38" t="s">
        <v>253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661</v>
      </c>
      <c r="AG402" s="78"/>
      <c r="AJ402" s="84" t="s">
        <v>46</v>
      </c>
      <c r="AK402" s="84">
        <v>0</v>
      </c>
      <c r="BB402" s="51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15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x14ac:dyDescent="0.15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customHeight="1" x14ac:dyDescent="0.15">
      <c r="A405" s="726" t="s">
        <v>668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customHeight="1" x14ac:dyDescent="0.25">
      <c r="A406" s="63" t="s">
        <v>669</v>
      </c>
      <c r="B406" s="63" t="s">
        <v>670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672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671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673</v>
      </c>
      <c r="B407" s="63" t="s">
        <v>674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672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671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675</v>
      </c>
      <c r="B408" s="63" t="s">
        <v>676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90</v>
      </c>
      <c r="L408" s="37" t="s">
        <v>46</v>
      </c>
      <c r="M408" s="38" t="s">
        <v>672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671</v>
      </c>
      <c r="AG408" s="78"/>
      <c r="AJ408" s="84" t="s">
        <v>46</v>
      </c>
      <c r="AK408" s="84">
        <v>0</v>
      </c>
      <c r="BB408" s="519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15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x14ac:dyDescent="0.15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customHeight="1" x14ac:dyDescent="0.15">
      <c r="A411" s="726" t="s">
        <v>677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customHeight="1" x14ac:dyDescent="0.25">
      <c r="A412" s="63" t="s">
        <v>678</v>
      </c>
      <c r="B412" s="63" t="s">
        <v>679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90</v>
      </c>
      <c r="L412" s="37" t="s">
        <v>46</v>
      </c>
      <c r="M412" s="38" t="s">
        <v>672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680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681</v>
      </c>
      <c r="B413" s="63" t="s">
        <v>682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133</v>
      </c>
      <c r="L413" s="37" t="s">
        <v>46</v>
      </c>
      <c r="M413" s="38" t="s">
        <v>672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684</v>
      </c>
      <c r="B414" s="63" t="s">
        <v>685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90</v>
      </c>
      <c r="L414" s="37" t="s">
        <v>46</v>
      </c>
      <c r="M414" s="38" t="s">
        <v>672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680</v>
      </c>
      <c r="AG414" s="78"/>
      <c r="AJ414" s="84" t="s">
        <v>46</v>
      </c>
      <c r="AK414" s="84">
        <v>0</v>
      </c>
      <c r="BB414" s="52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15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x14ac:dyDescent="0.15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customHeight="1" x14ac:dyDescent="0.15">
      <c r="A417" s="725" t="s">
        <v>686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customHeight="1" x14ac:dyDescent="0.15">
      <c r="A418" s="726" t="s">
        <v>85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customHeight="1" x14ac:dyDescent="0.25">
      <c r="A419" s="63" t="s">
        <v>687</v>
      </c>
      <c r="B419" s="63" t="s">
        <v>688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689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customHeight="1" x14ac:dyDescent="0.25">
      <c r="A420" s="63" t="s">
        <v>690</v>
      </c>
      <c r="B420" s="63" t="s">
        <v>691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126</v>
      </c>
      <c r="L420" s="37" t="s">
        <v>46</v>
      </c>
      <c r="M420" s="38" t="s">
        <v>89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692</v>
      </c>
      <c r="AG420" s="78"/>
      <c r="AJ420" s="84" t="s">
        <v>46</v>
      </c>
      <c r="AK420" s="84">
        <v>0</v>
      </c>
      <c r="BB420" s="529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15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x14ac:dyDescent="0.15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customHeight="1" x14ac:dyDescent="0.15">
      <c r="A423" s="725" t="s">
        <v>693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customHeight="1" x14ac:dyDescent="0.15">
      <c r="A424" s="726" t="s">
        <v>85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customHeight="1" x14ac:dyDescent="0.25">
      <c r="A425" s="63" t="s">
        <v>694</v>
      </c>
      <c r="B425" s="63" t="s">
        <v>695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126</v>
      </c>
      <c r="L425" s="37" t="s">
        <v>46</v>
      </c>
      <c r="M425" s="38" t="s">
        <v>96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696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697</v>
      </c>
      <c r="B426" s="63" t="s">
        <v>698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90</v>
      </c>
      <c r="L426" s="37" t="s">
        <v>46</v>
      </c>
      <c r="M426" s="38" t="s">
        <v>89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699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customHeight="1" x14ac:dyDescent="0.25">
      <c r="A427" s="63" t="s">
        <v>700</v>
      </c>
      <c r="B427" s="63" t="s">
        <v>701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90</v>
      </c>
      <c r="L427" s="37" t="s">
        <v>46</v>
      </c>
      <c r="M427" s="38" t="s">
        <v>96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702</v>
      </c>
      <c r="AG427" s="78"/>
      <c r="AJ427" s="84" t="s">
        <v>46</v>
      </c>
      <c r="AK427" s="84">
        <v>0</v>
      </c>
      <c r="BB427" s="535" t="s">
        <v>66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x14ac:dyDescent="0.15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x14ac:dyDescent="0.15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customHeight="1" x14ac:dyDescent="0.15">
      <c r="A430" s="724" t="s">
        <v>703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customHeight="1" x14ac:dyDescent="0.15">
      <c r="A431" s="725" t="s">
        <v>704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customHeight="1" x14ac:dyDescent="0.15">
      <c r="A432" s="726" t="s">
        <v>121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customHeight="1" x14ac:dyDescent="0.25">
      <c r="A433" s="63" t="s">
        <v>705</v>
      </c>
      <c r="B433" s="63" t="s">
        <v>706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96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73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707</v>
      </c>
      <c r="AG433" s="78"/>
      <c r="AJ433" s="84" t="s">
        <v>46</v>
      </c>
      <c r="AK433" s="84">
        <v>0</v>
      </c>
      <c r="BB433" s="537" t="s">
        <v>66</v>
      </c>
      <c r="BM433" s="78">
        <f t="shared" ref="BM433:BM440" si="74">IFERROR(X433*I433/H433,"0")</f>
        <v>0</v>
      </c>
      <c r="BN433" s="78">
        <f t="shared" ref="BN433:BN440" si="75">IFERROR(Y433*I433/H433,"0")</f>
        <v>0</v>
      </c>
      <c r="BO433" s="78">
        <f t="shared" ref="BO433:BO440" si="76">IFERROR(1/J433*(X433/H433),"0")</f>
        <v>0</v>
      </c>
      <c r="BP433" s="78">
        <f t="shared" ref="BP433:BP440" si="77">IFERROR(1/J433*(Y433/H433),"0")</f>
        <v>0</v>
      </c>
    </row>
    <row r="434" spans="1:68" ht="37.5" customHeight="1" x14ac:dyDescent="0.25">
      <c r="A434" s="63" t="s">
        <v>708</v>
      </c>
      <c r="B434" s="63" t="s">
        <v>709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80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900</v>
      </c>
      <c r="Y434" s="55">
        <f t="shared" si="73"/>
        <v>900</v>
      </c>
      <c r="Z434" s="41">
        <f>IFERROR(IF(Y434=0,"",ROUNDUP(Y434/H434,0)*0.02175),"")</f>
        <v>1.3049999999999999</v>
      </c>
      <c r="AA434" s="68" t="s">
        <v>46</v>
      </c>
      <c r="AB434" s="69" t="s">
        <v>46</v>
      </c>
      <c r="AC434" s="538" t="s">
        <v>710</v>
      </c>
      <c r="AG434" s="78"/>
      <c r="AJ434" s="84" t="s">
        <v>46</v>
      </c>
      <c r="AK434" s="84">
        <v>0</v>
      </c>
      <c r="BB434" s="539" t="s">
        <v>66</v>
      </c>
      <c r="BM434" s="78">
        <f t="shared" si="74"/>
        <v>928.2</v>
      </c>
      <c r="BN434" s="78">
        <f t="shared" si="75"/>
        <v>928.2</v>
      </c>
      <c r="BO434" s="78">
        <f t="shared" si="76"/>
        <v>1.25</v>
      </c>
      <c r="BP434" s="78">
        <f t="shared" si="77"/>
        <v>1.25</v>
      </c>
    </row>
    <row r="435" spans="1:68" ht="27" customHeight="1" x14ac:dyDescent="0.25">
      <c r="A435" s="63" t="s">
        <v>711</v>
      </c>
      <c r="B435" s="63" t="s">
        <v>712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125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1000</v>
      </c>
      <c r="Y435" s="55">
        <f t="shared" si="73"/>
        <v>1005</v>
      </c>
      <c r="Z435" s="41">
        <f>IFERROR(IF(Y435=0,"",ROUNDUP(Y435/H435,0)*0.02175),"")</f>
        <v>1.4572499999999999</v>
      </c>
      <c r="AA435" s="68" t="s">
        <v>46</v>
      </c>
      <c r="AB435" s="69" t="s">
        <v>46</v>
      </c>
      <c r="AC435" s="540" t="s">
        <v>713</v>
      </c>
      <c r="AG435" s="78"/>
      <c r="AJ435" s="84" t="s">
        <v>46</v>
      </c>
      <c r="AK435" s="84">
        <v>0</v>
      </c>
      <c r="BB435" s="541" t="s">
        <v>66</v>
      </c>
      <c r="BM435" s="78">
        <f t="shared" si="74"/>
        <v>1031.3333333333333</v>
      </c>
      <c r="BN435" s="78">
        <f t="shared" si="75"/>
        <v>1036.49</v>
      </c>
      <c r="BO435" s="78">
        <f t="shared" si="76"/>
        <v>1.3888888888888888</v>
      </c>
      <c r="BP435" s="78">
        <f t="shared" si="77"/>
        <v>1.3958333333333333</v>
      </c>
    </row>
    <row r="436" spans="1:68" ht="27" customHeight="1" x14ac:dyDescent="0.25">
      <c r="A436" s="63" t="s">
        <v>714</v>
      </c>
      <c r="B436" s="63" t="s">
        <v>715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80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716</v>
      </c>
      <c r="AG436" s="78"/>
      <c r="AJ436" s="84" t="s">
        <v>46</v>
      </c>
      <c r="AK436" s="84">
        <v>0</v>
      </c>
      <c r="BB436" s="543" t="s">
        <v>66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customHeight="1" x14ac:dyDescent="0.25">
      <c r="A437" s="63" t="s">
        <v>717</v>
      </c>
      <c r="B437" s="63" t="s">
        <v>718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96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1000</v>
      </c>
      <c r="Y437" s="55">
        <f t="shared" si="73"/>
        <v>1005</v>
      </c>
      <c r="Z437" s="41">
        <f>IFERROR(IF(Y437=0,"",ROUNDUP(Y437/H437,0)*0.02175),"")</f>
        <v>1.4572499999999999</v>
      </c>
      <c r="AA437" s="68" t="s">
        <v>46</v>
      </c>
      <c r="AB437" s="69" t="s">
        <v>46</v>
      </c>
      <c r="AC437" s="544" t="s">
        <v>719</v>
      </c>
      <c r="AG437" s="78"/>
      <c r="AJ437" s="84" t="s">
        <v>46</v>
      </c>
      <c r="AK437" s="84">
        <v>0</v>
      </c>
      <c r="BB437" s="545" t="s">
        <v>66</v>
      </c>
      <c r="BM437" s="78">
        <f t="shared" si="74"/>
        <v>1031.3333333333333</v>
      </c>
      <c r="BN437" s="78">
        <f t="shared" si="75"/>
        <v>1036.49</v>
      </c>
      <c r="BO437" s="78">
        <f t="shared" si="76"/>
        <v>1.3888888888888888</v>
      </c>
      <c r="BP437" s="78">
        <f t="shared" si="77"/>
        <v>1.3958333333333333</v>
      </c>
    </row>
    <row r="438" spans="1:68" ht="27" customHeight="1" x14ac:dyDescent="0.25">
      <c r="A438" s="63" t="s">
        <v>720</v>
      </c>
      <c r="B438" s="63" t="s">
        <v>721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133</v>
      </c>
      <c r="L438" s="37" t="s">
        <v>46</v>
      </c>
      <c r="M438" s="38" t="s">
        <v>125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722</v>
      </c>
      <c r="AG438" s="78"/>
      <c r="AJ438" s="84" t="s">
        <v>46</v>
      </c>
      <c r="AK438" s="84">
        <v>0</v>
      </c>
      <c r="BB438" s="547" t="s">
        <v>66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customHeight="1" x14ac:dyDescent="0.25">
      <c r="A439" s="63" t="s">
        <v>723</v>
      </c>
      <c r="B439" s="63" t="s">
        <v>724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725</v>
      </c>
      <c r="AG439" s="78"/>
      <c r="AJ439" s="84" t="s">
        <v>46</v>
      </c>
      <c r="AK439" s="84">
        <v>0</v>
      </c>
      <c r="BB439" s="549" t="s">
        <v>66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customHeight="1" x14ac:dyDescent="0.25">
      <c r="A440" s="63" t="s">
        <v>726</v>
      </c>
      <c r="B440" s="63" t="s">
        <v>727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133</v>
      </c>
      <c r="L440" s="37" t="s">
        <v>46</v>
      </c>
      <c r="M440" s="38" t="s">
        <v>80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728</v>
      </c>
      <c r="AG440" s="78"/>
      <c r="AJ440" s="84" t="s">
        <v>46</v>
      </c>
      <c r="AK440" s="84">
        <v>0</v>
      </c>
      <c r="BB440" s="551" t="s">
        <v>66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15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193.33333333333334</v>
      </c>
      <c r="Y441" s="43">
        <f>IFERROR(Y433/H433,"0")+IFERROR(Y434/H434,"0")+IFERROR(Y435/H435,"0")+IFERROR(Y436/H436,"0")+IFERROR(Y437/H437,"0")+IFERROR(Y438/H438,"0")+IFERROR(Y439/H439,"0")+IFERROR(Y440/H440,"0")</f>
        <v>194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4.2195</v>
      </c>
      <c r="AA441" s="67"/>
      <c r="AB441" s="67"/>
      <c r="AC441" s="67"/>
    </row>
    <row r="442" spans="1:68" x14ac:dyDescent="0.15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2900</v>
      </c>
      <c r="Y442" s="43">
        <f>IFERROR(SUM(Y433:Y440),"0")</f>
        <v>2910</v>
      </c>
      <c r="Z442" s="42"/>
      <c r="AA442" s="67"/>
      <c r="AB442" s="67"/>
      <c r="AC442" s="67"/>
    </row>
    <row r="443" spans="1:68" ht="14.25" customHeight="1" x14ac:dyDescent="0.15">
      <c r="A443" s="726" t="s">
        <v>158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customHeight="1" x14ac:dyDescent="0.25">
      <c r="A444" s="63" t="s">
        <v>729</v>
      </c>
      <c r="B444" s="63" t="s">
        <v>730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731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732</v>
      </c>
      <c r="B445" s="63" t="s">
        <v>733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126</v>
      </c>
      <c r="L445" s="37" t="s">
        <v>46</v>
      </c>
      <c r="M445" s="38" t="s">
        <v>125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734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customHeight="1" x14ac:dyDescent="0.25">
      <c r="A446" s="63" t="s">
        <v>735</v>
      </c>
      <c r="B446" s="63" t="s">
        <v>736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133</v>
      </c>
      <c r="L446" s="37" t="s">
        <v>46</v>
      </c>
      <c r="M446" s="38" t="s">
        <v>125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737</v>
      </c>
      <c r="AG446" s="78"/>
      <c r="AJ446" s="84" t="s">
        <v>46</v>
      </c>
      <c r="AK446" s="84">
        <v>0</v>
      </c>
      <c r="BB446" s="55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15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15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15">
      <c r="A449" s="726" t="s">
        <v>85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customHeight="1" x14ac:dyDescent="0.25">
      <c r="A450" s="63" t="s">
        <v>738</v>
      </c>
      <c r="B450" s="63" t="s">
        <v>739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740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741</v>
      </c>
      <c r="B451" s="63" t="s">
        <v>742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126</v>
      </c>
      <c r="L451" s="37" t="s">
        <v>46</v>
      </c>
      <c r="M451" s="38" t="s">
        <v>89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743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744</v>
      </c>
      <c r="B452" s="63" t="s">
        <v>745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126</v>
      </c>
      <c r="L452" s="37" t="s">
        <v>46</v>
      </c>
      <c r="M452" s="38" t="s">
        <v>89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746</v>
      </c>
      <c r="AG452" s="78"/>
      <c r="AJ452" s="84" t="s">
        <v>46</v>
      </c>
      <c r="AK452" s="84">
        <v>0</v>
      </c>
      <c r="BB452" s="56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15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15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customHeight="1" x14ac:dyDescent="0.15">
      <c r="A455" s="726" t="s">
        <v>177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customHeight="1" x14ac:dyDescent="0.25">
      <c r="A456" s="63" t="s">
        <v>747</v>
      </c>
      <c r="B456" s="63" t="s">
        <v>748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126</v>
      </c>
      <c r="L456" s="37" t="s">
        <v>46</v>
      </c>
      <c r="M456" s="38" t="s">
        <v>89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749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customHeight="1" x14ac:dyDescent="0.25">
      <c r="A457" s="63" t="s">
        <v>750</v>
      </c>
      <c r="B457" s="63" t="s">
        <v>751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126</v>
      </c>
      <c r="L457" s="37" t="s">
        <v>46</v>
      </c>
      <c r="M457" s="38" t="s">
        <v>89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752</v>
      </c>
      <c r="AG457" s="78"/>
      <c r="AJ457" s="84" t="s">
        <v>46</v>
      </c>
      <c r="AK457" s="84">
        <v>0</v>
      </c>
      <c r="BB457" s="567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15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15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customHeight="1" x14ac:dyDescent="0.15">
      <c r="A460" s="725" t="s">
        <v>753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customHeight="1" x14ac:dyDescent="0.15">
      <c r="A461" s="726" t="s">
        <v>121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customHeight="1" x14ac:dyDescent="0.25">
      <c r="A462" s="63" t="s">
        <v>754</v>
      </c>
      <c r="B462" s="63" t="s">
        <v>755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126</v>
      </c>
      <c r="L462" s="37" t="s">
        <v>46</v>
      </c>
      <c r="M462" s="38" t="s">
        <v>80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756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customHeight="1" x14ac:dyDescent="0.25">
      <c r="A463" s="63" t="s">
        <v>757</v>
      </c>
      <c r="B463" s="63" t="s">
        <v>758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133</v>
      </c>
      <c r="L463" s="37" t="s">
        <v>46</v>
      </c>
      <c r="M463" s="38" t="s">
        <v>80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756</v>
      </c>
      <c r="AG463" s="78"/>
      <c r="AJ463" s="84" t="s">
        <v>46</v>
      </c>
      <c r="AK463" s="84">
        <v>0</v>
      </c>
      <c r="BB463" s="57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15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x14ac:dyDescent="0.15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customHeight="1" x14ac:dyDescent="0.15">
      <c r="A466" s="726" t="s">
        <v>76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customHeight="1" x14ac:dyDescent="0.25">
      <c r="A467" s="63" t="s">
        <v>759</v>
      </c>
      <c r="B467" s="63" t="s">
        <v>760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133</v>
      </c>
      <c r="L467" s="37" t="s">
        <v>46</v>
      </c>
      <c r="M467" s="38" t="s">
        <v>80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761</v>
      </c>
      <c r="AG467" s="78"/>
      <c r="AJ467" s="84" t="s">
        <v>46</v>
      </c>
      <c r="AK467" s="84">
        <v>0</v>
      </c>
      <c r="BB467" s="57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15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x14ac:dyDescent="0.15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customHeight="1" x14ac:dyDescent="0.15">
      <c r="A470" s="726" t="s">
        <v>85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customHeight="1" x14ac:dyDescent="0.25">
      <c r="A471" s="63" t="s">
        <v>762</v>
      </c>
      <c r="B471" s="63" t="s">
        <v>763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126</v>
      </c>
      <c r="L471" s="37" t="s">
        <v>46</v>
      </c>
      <c r="M471" s="38" t="s">
        <v>89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764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765</v>
      </c>
      <c r="B472" s="63" t="s">
        <v>766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764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765</v>
      </c>
      <c r="B473" s="63" t="s">
        <v>767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90</v>
      </c>
      <c r="L473" s="37" t="s">
        <v>46</v>
      </c>
      <c r="M473" s="38" t="s">
        <v>89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768</v>
      </c>
      <c r="AG473" s="78"/>
      <c r="AJ473" s="84" t="s">
        <v>46</v>
      </c>
      <c r="AK473" s="84">
        <v>0</v>
      </c>
      <c r="BB473" s="57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15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x14ac:dyDescent="0.15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customHeight="1" x14ac:dyDescent="0.15">
      <c r="A476" s="724" t="s">
        <v>769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customHeight="1" x14ac:dyDescent="0.15">
      <c r="A477" s="725" t="s">
        <v>770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customHeight="1" x14ac:dyDescent="0.15">
      <c r="A478" s="726" t="s">
        <v>76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customHeight="1" x14ac:dyDescent="0.25">
      <c r="A479" s="63" t="s">
        <v>771</v>
      </c>
      <c r="B479" s="63" t="s">
        <v>772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773</v>
      </c>
      <c r="AG479" s="78"/>
      <c r="AJ479" s="84" t="s">
        <v>46</v>
      </c>
      <c r="AK479" s="84">
        <v>0</v>
      </c>
      <c r="BB479" s="581" t="s">
        <v>66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customHeight="1" x14ac:dyDescent="0.25">
      <c r="A480" s="63" t="s">
        <v>774</v>
      </c>
      <c r="B480" s="63" t="s">
        <v>775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133</v>
      </c>
      <c r="L480" s="37" t="s">
        <v>46</v>
      </c>
      <c r="M480" s="38" t="s">
        <v>80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66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customHeight="1" x14ac:dyDescent="0.25">
      <c r="A481" s="63" t="s">
        <v>777</v>
      </c>
      <c r="B481" s="63" t="s">
        <v>778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773</v>
      </c>
      <c r="AG481" s="78"/>
      <c r="AJ481" s="84" t="s">
        <v>46</v>
      </c>
      <c r="AK481" s="84">
        <v>0</v>
      </c>
      <c r="BB481" s="585" t="s">
        <v>66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customHeight="1" x14ac:dyDescent="0.25">
      <c r="A482" s="63" t="s">
        <v>779</v>
      </c>
      <c r="B482" s="63" t="s">
        <v>780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781</v>
      </c>
      <c r="AG482" s="78"/>
      <c r="AJ482" s="84" t="s">
        <v>46</v>
      </c>
      <c r="AK482" s="84">
        <v>0</v>
      </c>
      <c r="BB482" s="587" t="s">
        <v>66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customHeight="1" x14ac:dyDescent="0.25">
      <c r="A483" s="63" t="s">
        <v>782</v>
      </c>
      <c r="B483" s="63" t="s">
        <v>783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66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customHeight="1" x14ac:dyDescent="0.25">
      <c r="A484" s="63" t="s">
        <v>785</v>
      </c>
      <c r="B484" s="63" t="s">
        <v>786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781</v>
      </c>
      <c r="AG484" s="78"/>
      <c r="AJ484" s="84" t="s">
        <v>46</v>
      </c>
      <c r="AK484" s="84">
        <v>0</v>
      </c>
      <c r="BB484" s="591" t="s">
        <v>66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x14ac:dyDescent="0.15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x14ac:dyDescent="0.15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customHeight="1" x14ac:dyDescent="0.15">
      <c r="A487" s="726" t="s">
        <v>85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customHeight="1" x14ac:dyDescent="0.25">
      <c r="A488" s="63" t="s">
        <v>787</v>
      </c>
      <c r="B488" s="63" t="s">
        <v>788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133</v>
      </c>
      <c r="L488" s="37" t="s">
        <v>46</v>
      </c>
      <c r="M488" s="38" t="s">
        <v>89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789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790</v>
      </c>
      <c r="B489" s="63" t="s">
        <v>791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90</v>
      </c>
      <c r="L489" s="37" t="s">
        <v>46</v>
      </c>
      <c r="M489" s="38" t="s">
        <v>89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792</v>
      </c>
      <c r="AG489" s="78"/>
      <c r="AJ489" s="84" t="s">
        <v>46</v>
      </c>
      <c r="AK489" s="84">
        <v>0</v>
      </c>
      <c r="BB489" s="59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15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x14ac:dyDescent="0.15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customHeight="1" x14ac:dyDescent="0.15">
      <c r="A492" s="725" t="s">
        <v>793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customHeight="1" x14ac:dyDescent="0.15">
      <c r="A493" s="726" t="s">
        <v>158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customHeight="1" x14ac:dyDescent="0.25">
      <c r="A494" s="63" t="s">
        <v>794</v>
      </c>
      <c r="B494" s="63" t="s">
        <v>795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90</v>
      </c>
      <c r="L494" s="37" t="s">
        <v>46</v>
      </c>
      <c r="M494" s="38" t="s">
        <v>80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796</v>
      </c>
      <c r="AG494" s="78"/>
      <c r="AJ494" s="84" t="s">
        <v>46</v>
      </c>
      <c r="AK494" s="84">
        <v>0</v>
      </c>
      <c r="BB494" s="597" t="s">
        <v>66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15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x14ac:dyDescent="0.15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customHeight="1" x14ac:dyDescent="0.15">
      <c r="A497" s="726" t="s">
        <v>76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customHeight="1" x14ac:dyDescent="0.25">
      <c r="A498" s="63" t="s">
        <v>797</v>
      </c>
      <c r="B498" s="63" t="s">
        <v>798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133</v>
      </c>
      <c r="L498" s="37" t="s">
        <v>46</v>
      </c>
      <c r="M498" s="38" t="s">
        <v>80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customHeight="1" x14ac:dyDescent="0.25">
      <c r="A499" s="63" t="s">
        <v>800</v>
      </c>
      <c r="B499" s="63" t="s">
        <v>801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802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customHeight="1" x14ac:dyDescent="0.25">
      <c r="A500" s="63" t="s">
        <v>803</v>
      </c>
      <c r="B500" s="63" t="s">
        <v>804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81</v>
      </c>
      <c r="L500" s="37" t="s">
        <v>46</v>
      </c>
      <c r="M500" s="38" t="s">
        <v>80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802</v>
      </c>
      <c r="AG500" s="78"/>
      <c r="AJ500" s="84" t="s">
        <v>46</v>
      </c>
      <c r="AK500" s="84">
        <v>0</v>
      </c>
      <c r="BB500" s="603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15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x14ac:dyDescent="0.15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customHeight="1" x14ac:dyDescent="0.15">
      <c r="A503" s="724" t="s">
        <v>805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customHeight="1" x14ac:dyDescent="0.15">
      <c r="A504" s="725" t="s">
        <v>805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customHeight="1" x14ac:dyDescent="0.15">
      <c r="A505" s="726" t="s">
        <v>121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customHeight="1" x14ac:dyDescent="0.25">
      <c r="A506" s="63" t="s">
        <v>806</v>
      </c>
      <c r="B506" s="63" t="s">
        <v>807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89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66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customHeight="1" x14ac:dyDescent="0.25">
      <c r="A507" s="63" t="s">
        <v>808</v>
      </c>
      <c r="B507" s="63" t="s">
        <v>809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810</v>
      </c>
      <c r="AG507" s="78"/>
      <c r="AJ507" s="84" t="s">
        <v>46</v>
      </c>
      <c r="AK507" s="84">
        <v>0</v>
      </c>
      <c r="BB507" s="607" t="s">
        <v>66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customHeight="1" x14ac:dyDescent="0.25">
      <c r="A508" s="63" t="s">
        <v>811</v>
      </c>
      <c r="B508" s="63" t="s">
        <v>812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813</v>
      </c>
      <c r="AG508" s="78"/>
      <c r="AJ508" s="84" t="s">
        <v>46</v>
      </c>
      <c r="AK508" s="84">
        <v>0</v>
      </c>
      <c r="BB508" s="609" t="s">
        <v>66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customHeight="1" x14ac:dyDescent="0.25">
      <c r="A509" s="63" t="s">
        <v>814</v>
      </c>
      <c r="B509" s="63" t="s">
        <v>815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816</v>
      </c>
      <c r="AG509" s="78"/>
      <c r="AJ509" s="84" t="s">
        <v>46</v>
      </c>
      <c r="AK509" s="84">
        <v>0</v>
      </c>
      <c r="BB509" s="611" t="s">
        <v>66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customHeight="1" x14ac:dyDescent="0.25">
      <c r="A510" s="63" t="s">
        <v>817</v>
      </c>
      <c r="B510" s="63" t="s">
        <v>818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89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819</v>
      </c>
      <c r="AG510" s="78"/>
      <c r="AJ510" s="84" t="s">
        <v>46</v>
      </c>
      <c r="AK510" s="84">
        <v>0</v>
      </c>
      <c r="BB510" s="613" t="s">
        <v>66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820</v>
      </c>
      <c r="B511" s="63" t="s">
        <v>821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 t="shared" si="84"/>
        <v/>
      </c>
      <c r="AA511" s="68" t="s">
        <v>46</v>
      </c>
      <c r="AB511" s="69" t="s">
        <v>46</v>
      </c>
      <c r="AC511" s="614" t="s">
        <v>822</v>
      </c>
      <c r="AG511" s="78"/>
      <c r="AJ511" s="84" t="s">
        <v>46</v>
      </c>
      <c r="AK511" s="84">
        <v>0</v>
      </c>
      <c r="BB511" s="615" t="s">
        <v>66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customHeight="1" x14ac:dyDescent="0.25">
      <c r="A512" s="63" t="s">
        <v>823</v>
      </c>
      <c r="B512" s="63" t="s">
        <v>824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89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customHeight="1" x14ac:dyDescent="0.25">
      <c r="A513" s="63" t="s">
        <v>825</v>
      </c>
      <c r="B513" s="63" t="s">
        <v>826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89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customHeight="1" x14ac:dyDescent="0.25">
      <c r="A514" s="63" t="s">
        <v>827</v>
      </c>
      <c r="B514" s="63" t="s">
        <v>828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133</v>
      </c>
      <c r="L514" s="37" t="s">
        <v>46</v>
      </c>
      <c r="M514" s="38" t="s">
        <v>125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822</v>
      </c>
      <c r="AG514" s="78"/>
      <c r="AJ514" s="84" t="s">
        <v>46</v>
      </c>
      <c r="AK514" s="84">
        <v>0</v>
      </c>
      <c r="BB514" s="621" t="s">
        <v>66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x14ac:dyDescent="0.15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0</v>
      </c>
      <c r="Y515" s="43">
        <f>IFERROR(Y506/H506,"0")+IFERROR(Y507/H507,"0")+IFERROR(Y508/H508,"0")+IFERROR(Y509/H509,"0")+IFERROR(Y510/H510,"0")+IFERROR(Y511/H511,"0")+IFERROR(Y512/H512,"0")+IFERROR(Y513/H513,"0")+IFERROR(Y514/H514,"0")</f>
        <v>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</v>
      </c>
      <c r="AA515" s="67"/>
      <c r="AB515" s="67"/>
      <c r="AC515" s="67"/>
    </row>
    <row r="516" spans="1:68" x14ac:dyDescent="0.15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0</v>
      </c>
      <c r="Y516" s="43">
        <f>IFERROR(SUM(Y506:Y514),"0")</f>
        <v>0</v>
      </c>
      <c r="Z516" s="42"/>
      <c r="AA516" s="67"/>
      <c r="AB516" s="67"/>
      <c r="AC516" s="67"/>
    </row>
    <row r="517" spans="1:68" ht="14.25" customHeight="1" x14ac:dyDescent="0.15">
      <c r="A517" s="726" t="s">
        <v>158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customHeight="1" x14ac:dyDescent="0.25">
      <c r="A518" s="63" t="s">
        <v>829</v>
      </c>
      <c r="B518" s="63" t="s">
        <v>830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89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831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customHeight="1" x14ac:dyDescent="0.25">
      <c r="A519" s="63" t="s">
        <v>832</v>
      </c>
      <c r="B519" s="63" t="s">
        <v>833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90</v>
      </c>
      <c r="L519" s="37" t="s">
        <v>46</v>
      </c>
      <c r="M519" s="38" t="s">
        <v>125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831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customHeight="1" x14ac:dyDescent="0.25">
      <c r="A520" s="63" t="s">
        <v>834</v>
      </c>
      <c r="B520" s="63" t="s">
        <v>835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831</v>
      </c>
      <c r="AG520" s="78"/>
      <c r="AJ520" s="84" t="s">
        <v>46</v>
      </c>
      <c r="AK520" s="84">
        <v>0</v>
      </c>
      <c r="BB520" s="627" t="s">
        <v>66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15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0</v>
      </c>
      <c r="Y521" s="43">
        <f>IFERROR(Y518/H518,"0")+IFERROR(Y519/H519,"0")+IFERROR(Y520/H520,"0")</f>
        <v>0</v>
      </c>
      <c r="Z521" s="43">
        <f>IFERROR(IF(Z518="",0,Z518),"0")+IFERROR(IF(Z519="",0,Z519),"0")+IFERROR(IF(Z520="",0,Z520),"0")</f>
        <v>0</v>
      </c>
      <c r="AA521" s="67"/>
      <c r="AB521" s="67"/>
      <c r="AC521" s="67"/>
    </row>
    <row r="522" spans="1:68" x14ac:dyDescent="0.15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0</v>
      </c>
      <c r="Y522" s="43">
        <f>IFERROR(SUM(Y518:Y520),"0")</f>
        <v>0</v>
      </c>
      <c r="Z522" s="42"/>
      <c r="AA522" s="67"/>
      <c r="AB522" s="67"/>
      <c r="AC522" s="67"/>
    </row>
    <row r="523" spans="1:68" ht="14.25" customHeight="1" x14ac:dyDescent="0.15">
      <c r="A523" s="726" t="s">
        <v>76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customHeight="1" x14ac:dyDescent="0.25">
      <c r="A524" s="63" t="s">
        <v>836</v>
      </c>
      <c r="B524" s="63" t="s">
        <v>837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125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9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838</v>
      </c>
      <c r="AG524" s="78"/>
      <c r="AJ524" s="84" t="s">
        <v>46</v>
      </c>
      <c r="AK524" s="84">
        <v>0</v>
      </c>
      <c r="BB524" s="629" t="s">
        <v>66</v>
      </c>
      <c r="BM524" s="78">
        <f t="shared" ref="BM524:BM530" si="90">IFERROR(X524*I524/H524,"0")</f>
        <v>0</v>
      </c>
      <c r="BN524" s="78">
        <f t="shared" ref="BN524:BN530" si="91">IFERROR(Y524*I524/H524,"0")</f>
        <v>0</v>
      </c>
      <c r="BO524" s="78">
        <f t="shared" ref="BO524:BO530" si="92">IFERROR(1/J524*(X524/H524),"0")</f>
        <v>0</v>
      </c>
      <c r="BP524" s="78">
        <f t="shared" ref="BP524:BP530" si="93">IFERROR(1/J524*(Y524/H524),"0")</f>
        <v>0</v>
      </c>
    </row>
    <row r="525" spans="1:68" ht="27" customHeight="1" x14ac:dyDescent="0.25">
      <c r="A525" s="63" t="s">
        <v>839</v>
      </c>
      <c r="B525" s="63" t="s">
        <v>840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841</v>
      </c>
      <c r="AG525" s="78"/>
      <c r="AJ525" s="84" t="s">
        <v>46</v>
      </c>
      <c r="AK525" s="84">
        <v>0</v>
      </c>
      <c r="BB525" s="631" t="s">
        <v>66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customHeight="1" x14ac:dyDescent="0.25">
      <c r="A526" s="63" t="s">
        <v>842</v>
      </c>
      <c r="B526" s="63" t="s">
        <v>843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126</v>
      </c>
      <c r="L526" s="37" t="s">
        <v>46</v>
      </c>
      <c r="M526" s="38" t="s">
        <v>80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844</v>
      </c>
      <c r="AG526" s="78"/>
      <c r="AJ526" s="84" t="s">
        <v>46</v>
      </c>
      <c r="AK526" s="84">
        <v>0</v>
      </c>
      <c r="BB526" s="633" t="s">
        <v>66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customHeight="1" x14ac:dyDescent="0.25">
      <c r="A527" s="63" t="s">
        <v>845</v>
      </c>
      <c r="B527" s="63" t="s">
        <v>846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133</v>
      </c>
      <c r="L527" s="37" t="s">
        <v>46</v>
      </c>
      <c r="M527" s="38" t="s">
        <v>125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66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customHeight="1" x14ac:dyDescent="0.25">
      <c r="A528" s="63" t="s">
        <v>847</v>
      </c>
      <c r="B528" s="63" t="s">
        <v>848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66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customHeight="1" x14ac:dyDescent="0.25">
      <c r="A529" s="63" t="s">
        <v>847</v>
      </c>
      <c r="B529" s="63" t="s">
        <v>849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841</v>
      </c>
      <c r="AG529" s="78"/>
      <c r="AJ529" s="84" t="s">
        <v>46</v>
      </c>
      <c r="AK529" s="84">
        <v>0</v>
      </c>
      <c r="BB529" s="639" t="s">
        <v>66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customHeight="1" x14ac:dyDescent="0.25">
      <c r="A530" s="63" t="s">
        <v>850</v>
      </c>
      <c r="B530" s="63" t="s">
        <v>851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133</v>
      </c>
      <c r="L530" s="37" t="s">
        <v>46</v>
      </c>
      <c r="M530" s="38" t="s">
        <v>80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844</v>
      </c>
      <c r="AG530" s="78"/>
      <c r="AJ530" s="84" t="s">
        <v>46</v>
      </c>
      <c r="AK530" s="84">
        <v>0</v>
      </c>
      <c r="BB530" s="641" t="s">
        <v>66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15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0</v>
      </c>
      <c r="Y531" s="43">
        <f>IFERROR(Y524/H524,"0")+IFERROR(Y525/H525,"0")+IFERROR(Y526/H526,"0")+IFERROR(Y527/H527,"0")+IFERROR(Y528/H528,"0")+IFERROR(Y529/H529,"0")+IFERROR(Y530/H530,"0")</f>
        <v>0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</v>
      </c>
      <c r="AA531" s="67"/>
      <c r="AB531" s="67"/>
      <c r="AC531" s="67"/>
    </row>
    <row r="532" spans="1:68" x14ac:dyDescent="0.15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0</v>
      </c>
      <c r="Y532" s="43">
        <f>IFERROR(SUM(Y524:Y530),"0")</f>
        <v>0</v>
      </c>
      <c r="Z532" s="42"/>
      <c r="AA532" s="67"/>
      <c r="AB532" s="67"/>
      <c r="AC532" s="67"/>
    </row>
    <row r="533" spans="1:68" ht="27.75" customHeight="1" x14ac:dyDescent="0.15">
      <c r="A533" s="724" t="s">
        <v>852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customHeight="1" x14ac:dyDescent="0.15">
      <c r="A534" s="725" t="s">
        <v>852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customHeight="1" x14ac:dyDescent="0.15">
      <c r="A535" s="726" t="s">
        <v>121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customHeight="1" x14ac:dyDescent="0.25">
      <c r="A536" s="63" t="s">
        <v>853</v>
      </c>
      <c r="B536" s="63" t="s">
        <v>854</v>
      </c>
      <c r="C536" s="36">
        <v>4301012386</v>
      </c>
      <c r="D536" s="727">
        <v>4680115889736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126</v>
      </c>
      <c r="L536" s="37" t="s">
        <v>46</v>
      </c>
      <c r="M536" s="38" t="s">
        <v>125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855</v>
      </c>
      <c r="AG536" s="78"/>
      <c r="AJ536" s="84" t="s">
        <v>46</v>
      </c>
      <c r="AK536" s="84">
        <v>0</v>
      </c>
      <c r="BB536" s="643" t="s">
        <v>66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x14ac:dyDescent="0.15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x14ac:dyDescent="0.15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customHeight="1" x14ac:dyDescent="0.15">
      <c r="A539" s="726" t="s">
        <v>158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customHeight="1" x14ac:dyDescent="0.25">
      <c r="A540" s="63" t="s">
        <v>856</v>
      </c>
      <c r="B540" s="63" t="s">
        <v>857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126</v>
      </c>
      <c r="L540" s="37" t="s">
        <v>46</v>
      </c>
      <c r="M540" s="38" t="s">
        <v>89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731</v>
      </c>
      <c r="AG540" s="78"/>
      <c r="AJ540" s="84" t="s">
        <v>46</v>
      </c>
      <c r="AK540" s="84">
        <v>0</v>
      </c>
      <c r="BB540" s="645" t="s">
        <v>66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x14ac:dyDescent="0.15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x14ac:dyDescent="0.15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customHeight="1" x14ac:dyDescent="0.15">
      <c r="A543" s="726" t="s">
        <v>76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customHeight="1" x14ac:dyDescent="0.25">
      <c r="A544" s="63" t="s">
        <v>858</v>
      </c>
      <c r="B544" s="63" t="s">
        <v>859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133</v>
      </c>
      <c r="L544" s="37" t="s">
        <v>46</v>
      </c>
      <c r="M544" s="38" t="s">
        <v>80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860</v>
      </c>
      <c r="AG544" s="78"/>
      <c r="AJ544" s="84" t="s">
        <v>46</v>
      </c>
      <c r="AK544" s="84">
        <v>0</v>
      </c>
      <c r="BB544" s="647" t="s">
        <v>66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x14ac:dyDescent="0.15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x14ac:dyDescent="0.15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customHeight="1" x14ac:dyDescent="0.15">
      <c r="A547" s="726" t="s">
        <v>85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customHeight="1" x14ac:dyDescent="0.25">
      <c r="A548" s="63" t="s">
        <v>861</v>
      </c>
      <c r="B548" s="63" t="s">
        <v>862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126</v>
      </c>
      <c r="L548" s="37" t="s">
        <v>46</v>
      </c>
      <c r="M548" s="38" t="s">
        <v>89</v>
      </c>
      <c r="N548" s="38"/>
      <c r="O548" s="37">
        <v>45</v>
      </c>
      <c r="P548" s="101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863</v>
      </c>
      <c r="AG548" s="78"/>
      <c r="AJ548" s="84" t="s">
        <v>46</v>
      </c>
      <c r="AK548" s="84">
        <v>0</v>
      </c>
      <c r="BB548" s="649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15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15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customHeight="1" x14ac:dyDescent="0.15">
      <c r="A551" s="726" t="s">
        <v>177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customHeight="1" x14ac:dyDescent="0.25">
      <c r="A552" s="63" t="s">
        <v>864</v>
      </c>
      <c r="B552" s="63" t="s">
        <v>865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866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customHeight="1" x14ac:dyDescent="0.25">
      <c r="A553" s="63" t="s">
        <v>867</v>
      </c>
      <c r="B553" s="63" t="s">
        <v>868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126</v>
      </c>
      <c r="L553" s="37" t="s">
        <v>46</v>
      </c>
      <c r="M553" s="38" t="s">
        <v>89</v>
      </c>
      <c r="N553" s="38"/>
      <c r="O553" s="37">
        <v>40</v>
      </c>
      <c r="P553" s="101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869</v>
      </c>
      <c r="AG553" s="78"/>
      <c r="AJ553" s="84" t="s">
        <v>46</v>
      </c>
      <c r="AK553" s="84">
        <v>0</v>
      </c>
      <c r="BB553" s="653" t="s">
        <v>66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x14ac:dyDescent="0.15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x14ac:dyDescent="0.15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customHeight="1" x14ac:dyDescent="0.15">
      <c r="A556" s="725" t="s">
        <v>870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customHeight="1" x14ac:dyDescent="0.15">
      <c r="A557" s="726" t="s">
        <v>158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customHeight="1" x14ac:dyDescent="0.25">
      <c r="A558" s="63" t="s">
        <v>871</v>
      </c>
      <c r="B558" s="63" t="s">
        <v>872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126</v>
      </c>
      <c r="L558" s="37" t="s">
        <v>46</v>
      </c>
      <c r="M558" s="38" t="s">
        <v>125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873</v>
      </c>
      <c r="AG558" s="78"/>
      <c r="AJ558" s="84" t="s">
        <v>46</v>
      </c>
      <c r="AK558" s="84">
        <v>0</v>
      </c>
      <c r="BB558" s="655" t="s">
        <v>66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x14ac:dyDescent="0.15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x14ac:dyDescent="0.15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15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2900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2910</v>
      </c>
      <c r="Z561" s="42"/>
      <c r="AA561" s="67"/>
      <c r="AB561" s="67"/>
      <c r="AC561" s="67"/>
    </row>
    <row r="562" spans="1:32" x14ac:dyDescent="0.15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2990.8666666666668</v>
      </c>
      <c r="Y562" s="43">
        <f>IFERROR(SUM(BN22:BN558),"0")</f>
        <v>3001.1800000000003</v>
      </c>
      <c r="Z562" s="42"/>
      <c r="AA562" s="67"/>
      <c r="AB562" s="67"/>
      <c r="AC562" s="67"/>
    </row>
    <row r="563" spans="1:32" x14ac:dyDescent="0.15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5</v>
      </c>
      <c r="Y563" s="44">
        <f>ROUNDUP(SUM(BP22:BP558),0)</f>
        <v>5</v>
      </c>
      <c r="Z563" s="42"/>
      <c r="AA563" s="67"/>
      <c r="AB563" s="67"/>
      <c r="AC563" s="67"/>
    </row>
    <row r="564" spans="1:32" x14ac:dyDescent="0.15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3115.8666666666668</v>
      </c>
      <c r="Y564" s="43">
        <f>GrossWeightTotalR+PalletQtyTotalR*25</f>
        <v>3126.1800000000003</v>
      </c>
      <c r="Z564" s="42"/>
      <c r="AA564" s="67"/>
      <c r="AB564" s="67"/>
      <c r="AC564" s="67"/>
    </row>
    <row r="565" spans="1:32" x14ac:dyDescent="0.15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193.33333333333334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194</v>
      </c>
      <c r="Z565" s="42"/>
      <c r="AA565" s="67"/>
      <c r="AB565" s="67"/>
      <c r="AC565" s="67"/>
    </row>
    <row r="566" spans="1:32" ht="15" x14ac:dyDescent="0.15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4.2195</v>
      </c>
      <c r="AA566" s="67"/>
      <c r="AB566" s="67"/>
      <c r="AC566" s="67"/>
    </row>
    <row r="567" spans="1:32" ht="13.5" thickBot="1" x14ac:dyDescent="0.2"/>
    <row r="568" spans="1:32" ht="24.75" thickTop="1" thickBot="1" x14ac:dyDescent="0.2">
      <c r="A568" s="46" t="s">
        <v>9</v>
      </c>
      <c r="B568" s="85" t="s">
        <v>75</v>
      </c>
      <c r="C568" s="85" t="s">
        <v>45</v>
      </c>
      <c r="D568" s="1019" t="s">
        <v>119</v>
      </c>
      <c r="E568" s="1019" t="s">
        <v>119</v>
      </c>
      <c r="F568" s="1019" t="s">
        <v>119</v>
      </c>
      <c r="G568" s="1019" t="s">
        <v>119</v>
      </c>
      <c r="H568" s="1019" t="s">
        <v>119</v>
      </c>
      <c r="I568" s="1019" t="s">
        <v>119</v>
      </c>
      <c r="J568" s="1019" t="s">
        <v>119</v>
      </c>
      <c r="K568" s="1019" t="s">
        <v>345</v>
      </c>
      <c r="L568" s="1019" t="s">
        <v>345</v>
      </c>
      <c r="M568" s="1019" t="s">
        <v>345</v>
      </c>
      <c r="N568" s="1025"/>
      <c r="O568" s="1019" t="s">
        <v>345</v>
      </c>
      <c r="P568" s="1019" t="s">
        <v>345</v>
      </c>
      <c r="Q568" s="1019" t="s">
        <v>345</v>
      </c>
      <c r="R568" s="1019" t="s">
        <v>345</v>
      </c>
      <c r="S568" s="1019" t="s">
        <v>345</v>
      </c>
      <c r="T568" s="1019" t="s">
        <v>345</v>
      </c>
      <c r="U568" s="1019" t="s">
        <v>345</v>
      </c>
      <c r="V568" s="1019" t="s">
        <v>345</v>
      </c>
      <c r="W568" s="1019" t="s">
        <v>703</v>
      </c>
      <c r="X568" s="1019" t="s">
        <v>703</v>
      </c>
      <c r="Y568" s="1019" t="s">
        <v>769</v>
      </c>
      <c r="Z568" s="1019" t="s">
        <v>769</v>
      </c>
      <c r="AA568" s="85" t="s">
        <v>805</v>
      </c>
      <c r="AB568" s="1019" t="s">
        <v>852</v>
      </c>
      <c r="AC568" s="1019" t="s">
        <v>852</v>
      </c>
      <c r="AF568" s="1"/>
    </row>
    <row r="569" spans="1:32" ht="14.25" customHeight="1" thickTop="1" x14ac:dyDescent="0.15">
      <c r="A569" s="1026" t="s">
        <v>10</v>
      </c>
      <c r="B569" s="1019" t="s">
        <v>75</v>
      </c>
      <c r="C569" s="1019" t="s">
        <v>103</v>
      </c>
      <c r="D569" s="1019" t="s">
        <v>120</v>
      </c>
      <c r="E569" s="1019" t="s">
        <v>136</v>
      </c>
      <c r="F569" s="1019" t="s">
        <v>185</v>
      </c>
      <c r="G569" s="1019" t="s">
        <v>209</v>
      </c>
      <c r="H569" s="1019" t="s">
        <v>249</v>
      </c>
      <c r="I569" s="1019" t="s">
        <v>262</v>
      </c>
      <c r="J569" s="1019" t="s">
        <v>119</v>
      </c>
      <c r="K569" s="1019" t="s">
        <v>346</v>
      </c>
      <c r="L569" s="1019" t="s">
        <v>367</v>
      </c>
      <c r="M569" s="1019" t="s">
        <v>441</v>
      </c>
      <c r="N569" s="1"/>
      <c r="O569" s="1019" t="s">
        <v>509</v>
      </c>
      <c r="P569" s="1019" t="s">
        <v>541</v>
      </c>
      <c r="Q569" s="1019" t="s">
        <v>561</v>
      </c>
      <c r="R569" s="1019" t="s">
        <v>570</v>
      </c>
      <c r="S569" s="1019" t="s">
        <v>591</v>
      </c>
      <c r="T569" s="1019" t="s">
        <v>600</v>
      </c>
      <c r="U569" s="1019" t="s">
        <v>686</v>
      </c>
      <c r="V569" s="1019" t="s">
        <v>693</v>
      </c>
      <c r="W569" s="1019" t="s">
        <v>704</v>
      </c>
      <c r="X569" s="1019" t="s">
        <v>753</v>
      </c>
      <c r="Y569" s="1019" t="s">
        <v>770</v>
      </c>
      <c r="Z569" s="1019" t="s">
        <v>793</v>
      </c>
      <c r="AA569" s="1019" t="s">
        <v>805</v>
      </c>
      <c r="AB569" s="1019" t="s">
        <v>852</v>
      </c>
      <c r="AC569" s="1019" t="s">
        <v>870</v>
      </c>
      <c r="AF569" s="1"/>
    </row>
    <row r="570" spans="1:32" ht="13.5" thickBot="1" x14ac:dyDescent="0.2">
      <c r="A570" s="1027"/>
      <c r="B570" s="1019"/>
      <c r="C570" s="1019"/>
      <c r="D570" s="1019"/>
      <c r="E570" s="1019"/>
      <c r="F570" s="1019"/>
      <c r="G570" s="1019"/>
      <c r="H570" s="1019"/>
      <c r="I570" s="1019"/>
      <c r="J570" s="1019"/>
      <c r="K570" s="1019"/>
      <c r="L570" s="1019"/>
      <c r="M570" s="1019"/>
      <c r="N570" s="1"/>
      <c r="O570" s="1019"/>
      <c r="P570" s="1019"/>
      <c r="Q570" s="1019"/>
      <c r="R570" s="1019"/>
      <c r="S570" s="1019"/>
      <c r="T570" s="1019"/>
      <c r="U570" s="1019"/>
      <c r="V570" s="1019"/>
      <c r="W570" s="1019"/>
      <c r="X570" s="1019"/>
      <c r="Y570" s="1019"/>
      <c r="Z570" s="1019"/>
      <c r="AA570" s="1019"/>
      <c r="AB570" s="1019"/>
      <c r="AC570" s="1019"/>
      <c r="AF570" s="1"/>
    </row>
    <row r="571" spans="1:32" ht="15.75" thickTop="1" thickBot="1" x14ac:dyDescent="0.2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IFERROR(Y87*1,"0")+IFERROR(Y88*1,"0")+IFERROR(Y89*1,"0")+IFERROR(Y90*1,"0")+IFERROR(Y91*1,"0")+IFERROR(Y92*1,"0")+IFERROR(Y96*1,"0")+IFERROR(Y97*1,"0")+IFERROR(Y98*1,"0")+IFERROR(Y99*1,"0")</f>
        <v>0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71" s="52">
        <f>IFERROR(Y134*1,"0")+IFERROR(Y135*1,"0")+IFERROR(Y139*1,"0")+IFERROR(Y140*1,"0")+IFERROR(Y144*1,"0")+IFERROR(Y145*1,"0")</f>
        <v>0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0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2910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0</v>
      </c>
      <c r="AB571" s="52">
        <f>IFERROR(Y536*1,"0")+IFERROR(Y540*1,"0")+IFERROR(Y544*1,"0")+IFERROR(Y548*1,"0")+IFERROR(Y552*1,"0")+IFERROR(Y553*1,"0")</f>
        <v>0</v>
      </c>
      <c r="AC571" s="52">
        <f>IFERROR(Y558*1,"0")</f>
        <v>0</v>
      </c>
      <c r="AF571" s="1"/>
    </row>
  </sheetData>
  <sheetProtection algorithmName="SHA-512" hashValue="FRmOWdpCyPt+IWGLp0q7uxnUmnVoHOqMrioNiZ9B7u6nnpTi0CuwBePiNwD3KETP3et6N4IoUyneUowWaZqEkw==" saltValue="BQz59yMgtv+RurdFzZ+RY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7"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984375" defaultRowHeight="12.75" x14ac:dyDescent="0.15"/>
  <cols>
    <col min="1" max="1" width="6.47265625" customWidth="1"/>
    <col min="2" max="2" width="29.53125" customWidth="1"/>
    <col min="3" max="3" width="34.1171875" customWidth="1"/>
    <col min="4" max="4" width="37.48828125" customWidth="1"/>
  </cols>
  <sheetData>
    <row r="1" spans="2:8" x14ac:dyDescent="0.15">
      <c r="G1" t="s">
        <v>874</v>
      </c>
      <c r="H1" s="9"/>
    </row>
    <row r="3" spans="2:8" x14ac:dyDescent="0.15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15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15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15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15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15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15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15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15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15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15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15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15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15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15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15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15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up530GI2DPsPhiBlXTxM8xOnndsBPn2f8hb4Q8I+OVx7FGylKyKVWQiH9F5DZ8tecfedItHB8zRt0ULNRLYyvg==" saltValue="BNPIcJm5p39v2zpUYIrI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bb0b2827-4eb3-461f-8866-28597c48f473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schemas.microsoft.com/office/2006/metadata/properties"/>
    <ds:schemaRef ds:uri="http://www.w3.org/2000/xmln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1184</vt:i4>
      </vt:variant>
    </vt:vector>
  </HeadingPairs>
  <TitlesOfParts>
    <vt:vector size="1186" baseType="lpstr">
      <vt:lpstr>Бланк заказа</vt:lpstr>
      <vt:lpstr>Setting</vt:lpstr>
      <vt:lpstr>Бланк заказа!_ФильтрБазыДанных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2026-10-02T08:46:16Z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