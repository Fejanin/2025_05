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D598F5C-3187-4AC8-941A-75F792B216C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Z548" i="2"/>
  <c r="Z549" i="2" s="1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Y538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BP525" i="2" s="1"/>
  <c r="P525" i="2"/>
  <c r="BP524" i="2"/>
  <c r="BO524" i="2"/>
  <c r="BN524" i="2"/>
  <c r="BM524" i="2"/>
  <c r="Z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Y490" i="2"/>
  <c r="X490" i="2"/>
  <c r="BP489" i="2"/>
  <c r="BO489" i="2"/>
  <c r="BN489" i="2"/>
  <c r="BM489" i="2"/>
  <c r="Z489" i="2"/>
  <c r="Y489" i="2"/>
  <c r="P489" i="2"/>
  <c r="BO488" i="2"/>
  <c r="BM488" i="2"/>
  <c r="Z488" i="2"/>
  <c r="Z490" i="2" s="1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Z473" i="2" s="1"/>
  <c r="P473" i="2"/>
  <c r="BP472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Y459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Z427" i="2"/>
  <c r="Y427" i="2"/>
  <c r="BN427" i="2" s="1"/>
  <c r="P427" i="2"/>
  <c r="BO426" i="2"/>
  <c r="BM426" i="2"/>
  <c r="Z426" i="2"/>
  <c r="Y426" i="2"/>
  <c r="BN426" i="2" s="1"/>
  <c r="P426" i="2"/>
  <c r="BO425" i="2"/>
  <c r="BM425" i="2"/>
  <c r="Y425" i="2"/>
  <c r="P425" i="2"/>
  <c r="X422" i="2"/>
  <c r="Y421" i="2"/>
  <c r="X421" i="2"/>
  <c r="BO420" i="2"/>
  <c r="BM420" i="2"/>
  <c r="Y420" i="2"/>
  <c r="Z420" i="2" s="1"/>
  <c r="P420" i="2"/>
  <c r="BO419" i="2"/>
  <c r="BM419" i="2"/>
  <c r="Z419" i="2"/>
  <c r="Z421" i="2" s="1"/>
  <c r="Y419" i="2"/>
  <c r="U571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N401" i="2" s="1"/>
  <c r="P401" i="2"/>
  <c r="BO400" i="2"/>
  <c r="BM400" i="2"/>
  <c r="Z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Z368" i="2" s="1"/>
  <c r="P368" i="2"/>
  <c r="BP367" i="2"/>
  <c r="BO367" i="2"/>
  <c r="BM367" i="2"/>
  <c r="Y367" i="2"/>
  <c r="P367" i="2"/>
  <c r="BO366" i="2"/>
  <c r="BM366" i="2"/>
  <c r="Y366" i="2"/>
  <c r="P366" i="2"/>
  <c r="Y363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S571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Z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Y325" i="2" s="1"/>
  <c r="P323" i="2"/>
  <c r="BO322" i="2"/>
  <c r="BM322" i="2"/>
  <c r="Z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P308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BO285" i="2"/>
  <c r="BM285" i="2"/>
  <c r="Y285" i="2"/>
  <c r="P285" i="2"/>
  <c r="BO284" i="2"/>
  <c r="BM284" i="2"/>
  <c r="Y284" i="2"/>
  <c r="Z284" i="2" s="1"/>
  <c r="P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Z257" i="2" s="1"/>
  <c r="Z258" i="2" s="1"/>
  <c r="P257" i="2"/>
  <c r="X255" i="2"/>
  <c r="X254" i="2"/>
  <c r="BO253" i="2"/>
  <c r="BM253" i="2"/>
  <c r="Y253" i="2"/>
  <c r="Y255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N246" i="2"/>
  <c r="BM246" i="2"/>
  <c r="Z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Y198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Z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N150" i="2"/>
  <c r="BM150" i="2"/>
  <c r="Z150" i="2"/>
  <c r="Y150" i="2"/>
  <c r="P150" i="2"/>
  <c r="X147" i="2"/>
  <c r="Y146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Z140" i="2"/>
  <c r="Y140" i="2"/>
  <c r="BN140" i="2" s="1"/>
  <c r="P140" i="2"/>
  <c r="BO139" i="2"/>
  <c r="BM139" i="2"/>
  <c r="Y139" i="2"/>
  <c r="Y142" i="2" s="1"/>
  <c r="P139" i="2"/>
  <c r="X137" i="2"/>
  <c r="Y136" i="2"/>
  <c r="X136" i="2"/>
  <c r="BO135" i="2"/>
  <c r="BM135" i="2"/>
  <c r="Y135" i="2"/>
  <c r="Z135" i="2" s="1"/>
  <c r="P135" i="2"/>
  <c r="BO134" i="2"/>
  <c r="BM134" i="2"/>
  <c r="Z134" i="2"/>
  <c r="Z136" i="2" s="1"/>
  <c r="Y134" i="2"/>
  <c r="Y137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Y127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Z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P99" i="2"/>
  <c r="BO99" i="2"/>
  <c r="BN99" i="2"/>
  <c r="BM99" i="2"/>
  <c r="Z99" i="2"/>
  <c r="Y99" i="2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Y25" i="2" s="1"/>
  <c r="P22" i="2"/>
  <c r="H10" i="2"/>
  <c r="A9" i="2"/>
  <c r="F10" i="2" s="1"/>
  <c r="D7" i="2"/>
  <c r="Q6" i="2"/>
  <c r="P2" i="2"/>
  <c r="Y24" i="2" l="1"/>
  <c r="BN40" i="2"/>
  <c r="BN56" i="2"/>
  <c r="BN63" i="2"/>
  <c r="BN82" i="2"/>
  <c r="BN89" i="2"/>
  <c r="BN96" i="2"/>
  <c r="BP107" i="2"/>
  <c r="BN108" i="2"/>
  <c r="Z108" i="2"/>
  <c r="BP129" i="2"/>
  <c r="Y131" i="2"/>
  <c r="BN159" i="2"/>
  <c r="Y161" i="2"/>
  <c r="BP182" i="2"/>
  <c r="Z182" i="2"/>
  <c r="Y202" i="2"/>
  <c r="Y201" i="2"/>
  <c r="BP200" i="2"/>
  <c r="BN200" i="2"/>
  <c r="Z200" i="2"/>
  <c r="Z201" i="2" s="1"/>
  <c r="BN226" i="2"/>
  <c r="Z226" i="2"/>
  <c r="BP233" i="2"/>
  <c r="BN233" i="2"/>
  <c r="Z233" i="2"/>
  <c r="BP239" i="2"/>
  <c r="BN239" i="2"/>
  <c r="Z239" i="2"/>
  <c r="BN245" i="2"/>
  <c r="BN253" i="2"/>
  <c r="BN275" i="2"/>
  <c r="Z275" i="2"/>
  <c r="BN288" i="2"/>
  <c r="BN309" i="2"/>
  <c r="BN329" i="2"/>
  <c r="Z329" i="2"/>
  <c r="BN346" i="2"/>
  <c r="Z346" i="2"/>
  <c r="BP366" i="2"/>
  <c r="BN366" i="2"/>
  <c r="Z366" i="2"/>
  <c r="BN377" i="2"/>
  <c r="BN433" i="2"/>
  <c r="Z433" i="2"/>
  <c r="BN445" i="2"/>
  <c r="Z445" i="2"/>
  <c r="BN457" i="2"/>
  <c r="BN484" i="2"/>
  <c r="BP507" i="2"/>
  <c r="Z507" i="2"/>
  <c r="BP518" i="2"/>
  <c r="Y522" i="2"/>
  <c r="BP552" i="2"/>
  <c r="Z552" i="2"/>
  <c r="Z22" i="2"/>
  <c r="Z24" i="2" s="1"/>
  <c r="BN22" i="2"/>
  <c r="BP22" i="2"/>
  <c r="BN23" i="2"/>
  <c r="Y33" i="2"/>
  <c r="BN39" i="2"/>
  <c r="D571" i="2"/>
  <c r="BP60" i="2"/>
  <c r="BP70" i="2"/>
  <c r="BN81" i="2"/>
  <c r="BN91" i="2"/>
  <c r="Y100" i="2"/>
  <c r="Z107" i="2"/>
  <c r="BN116" i="2"/>
  <c r="Z116" i="2"/>
  <c r="BN117" i="2"/>
  <c r="BN208" i="2"/>
  <c r="BN212" i="2"/>
  <c r="BN229" i="2"/>
  <c r="BN268" i="2"/>
  <c r="BP272" i="2"/>
  <c r="BN272" i="2"/>
  <c r="Z272" i="2"/>
  <c r="BN277" i="2"/>
  <c r="BN285" i="2"/>
  <c r="Z285" i="2"/>
  <c r="Y300" i="2"/>
  <c r="BP298" i="2"/>
  <c r="BP306" i="2"/>
  <c r="BN306" i="2"/>
  <c r="Z306" i="2"/>
  <c r="Y320" i="2"/>
  <c r="Z318" i="2"/>
  <c r="Z319" i="2" s="1"/>
  <c r="BP329" i="2"/>
  <c r="BP330" i="2"/>
  <c r="BN330" i="2"/>
  <c r="Z330" i="2"/>
  <c r="BN340" i="2"/>
  <c r="Z340" i="2"/>
  <c r="BN368" i="2"/>
  <c r="BN388" i="2"/>
  <c r="BN413" i="2"/>
  <c r="BP433" i="2"/>
  <c r="BN438" i="2"/>
  <c r="Z438" i="2"/>
  <c r="BN529" i="2"/>
  <c r="Y541" i="2"/>
  <c r="Z540" i="2"/>
  <c r="Z541" i="2" s="1"/>
  <c r="BP111" i="2"/>
  <c r="BN112" i="2"/>
  <c r="BN122" i="2"/>
  <c r="BP134" i="2"/>
  <c r="BN135" i="2"/>
  <c r="BP140" i="2"/>
  <c r="BN145" i="2"/>
  <c r="BN154" i="2"/>
  <c r="Y168" i="2"/>
  <c r="BP167" i="2"/>
  <c r="BN179" i="2"/>
  <c r="BP184" i="2"/>
  <c r="BN222" i="2"/>
  <c r="BN234" i="2"/>
  <c r="BN243" i="2"/>
  <c r="BN293" i="2"/>
  <c r="Y315" i="2"/>
  <c r="BN332" i="2"/>
  <c r="BN371" i="2"/>
  <c r="BP419" i="2"/>
  <c r="BN420" i="2"/>
  <c r="BP426" i="2"/>
  <c r="BN456" i="2"/>
  <c r="Y475" i="2"/>
  <c r="BN481" i="2"/>
  <c r="BP488" i="2"/>
  <c r="BN499" i="2"/>
  <c r="Y515" i="2"/>
  <c r="BN511" i="2"/>
  <c r="BN526" i="2"/>
  <c r="Z436" i="2"/>
  <c r="Z435" i="2"/>
  <c r="X562" i="2"/>
  <c r="Z27" i="2"/>
  <c r="Z31" i="2"/>
  <c r="C571" i="2"/>
  <c r="Z41" i="2"/>
  <c r="Y78" i="2"/>
  <c r="BP80" i="2"/>
  <c r="BP23" i="2"/>
  <c r="BP29" i="2"/>
  <c r="Z40" i="2"/>
  <c r="E571" i="2"/>
  <c r="Y77" i="2"/>
  <c r="Z82" i="2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Z209" i="2"/>
  <c r="Y214" i="2"/>
  <c r="Z229" i="2"/>
  <c r="BP232" i="2"/>
  <c r="Z232" i="2"/>
  <c r="BP234" i="2"/>
  <c r="BN235" i="2"/>
  <c r="BP240" i="2"/>
  <c r="Z243" i="2"/>
  <c r="BN244" i="2"/>
  <c r="BP253" i="2"/>
  <c r="Z253" i="2"/>
  <c r="Y258" i="2"/>
  <c r="Y259" i="2"/>
  <c r="BP263" i="2"/>
  <c r="BN263" i="2"/>
  <c r="Y264" i="2"/>
  <c r="Y280" i="2"/>
  <c r="BP275" i="2"/>
  <c r="BN283" i="2"/>
  <c r="Z283" i="2"/>
  <c r="BN287" i="2"/>
  <c r="BP288" i="2"/>
  <c r="Z298" i="2"/>
  <c r="Z300" i="2" s="1"/>
  <c r="Y301" i="2"/>
  <c r="BN298" i="2"/>
  <c r="Z308" i="2"/>
  <c r="BN308" i="2"/>
  <c r="BP333" i="2"/>
  <c r="Z333" i="2"/>
  <c r="BP340" i="2"/>
  <c r="Y351" i="2"/>
  <c r="Z345" i="2"/>
  <c r="Z348" i="2"/>
  <c r="Z367" i="2"/>
  <c r="BN367" i="2"/>
  <c r="BP389" i="2"/>
  <c r="Z389" i="2"/>
  <c r="Z402" i="2"/>
  <c r="Y416" i="2"/>
  <c r="Y429" i="2"/>
  <c r="BN425" i="2"/>
  <c r="BP425" i="2"/>
  <c r="BP437" i="2"/>
  <c r="Z437" i="2"/>
  <c r="BP457" i="2"/>
  <c r="Z457" i="2"/>
  <c r="Z480" i="2"/>
  <c r="BN480" i="2"/>
  <c r="AA571" i="2"/>
  <c r="BN506" i="2"/>
  <c r="BP513" i="2"/>
  <c r="Z519" i="2"/>
  <c r="BN519" i="2"/>
  <c r="Y532" i="2"/>
  <c r="B571" i="2"/>
  <c r="X563" i="2"/>
  <c r="X565" i="2"/>
  <c r="BN27" i="2"/>
  <c r="Z29" i="2"/>
  <c r="BN31" i="2"/>
  <c r="Z39" i="2"/>
  <c r="BN47" i="2"/>
  <c r="Y52" i="2"/>
  <c r="Z63" i="2"/>
  <c r="BN76" i="2"/>
  <c r="BN80" i="2"/>
  <c r="BP81" i="2"/>
  <c r="Y83" i="2"/>
  <c r="F571" i="2"/>
  <c r="BP87" i="2"/>
  <c r="BN90" i="2"/>
  <c r="BP91" i="2"/>
  <c r="BN92" i="2"/>
  <c r="G571" i="2"/>
  <c r="BN106" i="2"/>
  <c r="BN110" i="2"/>
  <c r="BP116" i="2"/>
  <c r="BP124" i="2"/>
  <c r="Y130" i="2"/>
  <c r="H571" i="2"/>
  <c r="BN139" i="2"/>
  <c r="I571" i="2"/>
  <c r="BN152" i="2"/>
  <c r="Z164" i="2"/>
  <c r="BP164" i="2"/>
  <c r="Y174" i="2"/>
  <c r="BN177" i="2"/>
  <c r="Z179" i="2"/>
  <c r="BN183" i="2"/>
  <c r="Z185" i="2"/>
  <c r="Z191" i="2"/>
  <c r="Y197" i="2"/>
  <c r="Z206" i="2"/>
  <c r="Z208" i="2"/>
  <c r="Z212" i="2"/>
  <c r="Z240" i="2"/>
  <c r="BP277" i="2"/>
  <c r="BN278" i="2"/>
  <c r="BP285" i="2"/>
  <c r="BN291" i="2"/>
  <c r="BN310" i="2"/>
  <c r="Y319" i="2"/>
  <c r="BN318" i="2"/>
  <c r="BP318" i="2"/>
  <c r="Y356" i="2"/>
  <c r="BN353" i="2"/>
  <c r="BP353" i="2"/>
  <c r="Z360" i="2"/>
  <c r="BN360" i="2"/>
  <c r="Y374" i="2"/>
  <c r="Z378" i="2"/>
  <c r="BN378" i="2"/>
  <c r="Y384" i="2"/>
  <c r="BP395" i="2"/>
  <c r="Z395" i="2"/>
  <c r="Z425" i="2"/>
  <c r="Z428" i="2" s="1"/>
  <c r="Y428" i="2"/>
  <c r="BP438" i="2"/>
  <c r="BP451" i="2"/>
  <c r="BN451" i="2"/>
  <c r="Z472" i="2"/>
  <c r="BN472" i="2"/>
  <c r="Z513" i="2"/>
  <c r="BP527" i="2"/>
  <c r="Z527" i="2"/>
  <c r="Y537" i="2"/>
  <c r="BN536" i="2"/>
  <c r="BP536" i="2"/>
  <c r="Z536" i="2"/>
  <c r="Z537" i="2" s="1"/>
  <c r="BP41" i="2"/>
  <c r="BP97" i="2"/>
  <c r="BP118" i="2"/>
  <c r="BP171" i="2"/>
  <c r="Y218" i="2"/>
  <c r="Z217" i="2"/>
  <c r="Z218" i="2" s="1"/>
  <c r="BP224" i="2"/>
  <c r="BP228" i="2"/>
  <c r="Z228" i="2"/>
  <c r="BP230" i="2"/>
  <c r="BP242" i="2"/>
  <c r="Z242" i="2"/>
  <c r="BP244" i="2"/>
  <c r="BP287" i="2"/>
  <c r="BP289" i="2"/>
  <c r="Z289" i="2"/>
  <c r="BN304" i="2"/>
  <c r="Y311" i="2"/>
  <c r="BP304" i="2"/>
  <c r="Z331" i="2"/>
  <c r="BN331" i="2"/>
  <c r="BP347" i="2"/>
  <c r="Z347" i="2"/>
  <c r="Y350" i="2"/>
  <c r="BP369" i="2"/>
  <c r="Z369" i="2"/>
  <c r="Z373" i="2" s="1"/>
  <c r="BP376" i="2"/>
  <c r="Z387" i="2"/>
  <c r="Z390" i="2" s="1"/>
  <c r="Y390" i="2"/>
  <c r="BN387" i="2"/>
  <c r="Y391" i="2"/>
  <c r="BP401" i="2"/>
  <c r="Z401" i="2"/>
  <c r="Z403" i="2" s="1"/>
  <c r="BP482" i="2"/>
  <c r="Z482" i="2"/>
  <c r="Z571" i="2"/>
  <c r="Z494" i="2"/>
  <c r="Z495" i="2" s="1"/>
  <c r="Z509" i="2"/>
  <c r="BN509" i="2"/>
  <c r="X561" i="2"/>
  <c r="BP27" i="2"/>
  <c r="Z47" i="2"/>
  <c r="BP47" i="2"/>
  <c r="Y84" i="2"/>
  <c r="Z90" i="2"/>
  <c r="BP92" i="2"/>
  <c r="Z97" i="2"/>
  <c r="Z106" i="2"/>
  <c r="Z110" i="2"/>
  <c r="Z118" i="2"/>
  <c r="Z119" i="2" s="1"/>
  <c r="Z139" i="2"/>
  <c r="Z141" i="2" s="1"/>
  <c r="BP139" i="2"/>
  <c r="BP152" i="2"/>
  <c r="BP165" i="2"/>
  <c r="Z171" i="2"/>
  <c r="Y188" i="2"/>
  <c r="BP181" i="2"/>
  <c r="Z183" i="2"/>
  <c r="Z192" i="2"/>
  <c r="BP209" i="2"/>
  <c r="Y219" i="2"/>
  <c r="Z224" i="2"/>
  <c r="Z230" i="2"/>
  <c r="Y249" i="2"/>
  <c r="Z267" i="2"/>
  <c r="BN267" i="2"/>
  <c r="BN273" i="2"/>
  <c r="Z273" i="2"/>
  <c r="BP291" i="2"/>
  <c r="Z304" i="2"/>
  <c r="BP307" i="2"/>
  <c r="Z307" i="2"/>
  <c r="Z310" i="2"/>
  <c r="BP348" i="2"/>
  <c r="Z376" i="2"/>
  <c r="Z381" i="2"/>
  <c r="BN381" i="2"/>
  <c r="BP402" i="2"/>
  <c r="BP407" i="2"/>
  <c r="Z407" i="2"/>
  <c r="BP446" i="2"/>
  <c r="Z446" i="2"/>
  <c r="Y496" i="2"/>
  <c r="BP506" i="2"/>
  <c r="BP519" i="2"/>
  <c r="Z525" i="2"/>
  <c r="BN525" i="2"/>
  <c r="BN527" i="2"/>
  <c r="Y542" i="2"/>
  <c r="Y546" i="2"/>
  <c r="BN558" i="2"/>
  <c r="BP314" i="2"/>
  <c r="Y316" i="2"/>
  <c r="BN322" i="2"/>
  <c r="Y341" i="2"/>
  <c r="BP338" i="2"/>
  <c r="BN379" i="2"/>
  <c r="Y404" i="2"/>
  <c r="BP399" i="2"/>
  <c r="BP413" i="2"/>
  <c r="BN419" i="2"/>
  <c r="BP420" i="2"/>
  <c r="Y422" i="2"/>
  <c r="BP427" i="2"/>
  <c r="BP435" i="2"/>
  <c r="Y571" i="2"/>
  <c r="BN488" i="2"/>
  <c r="BN507" i="2"/>
  <c r="BN548" i="2"/>
  <c r="BN553" i="2"/>
  <c r="BP226" i="2"/>
  <c r="Y254" i="2"/>
  <c r="Y269" i="2"/>
  <c r="BP309" i="2"/>
  <c r="Z314" i="2"/>
  <c r="Z315" i="2" s="1"/>
  <c r="BP332" i="2"/>
  <c r="Y334" i="2"/>
  <c r="BP346" i="2"/>
  <c r="BP349" i="2"/>
  <c r="Y355" i="2"/>
  <c r="BP368" i="2"/>
  <c r="T571" i="2"/>
  <c r="BP371" i="2"/>
  <c r="BP377" i="2"/>
  <c r="BP388" i="2"/>
  <c r="Y397" i="2"/>
  <c r="BP393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BP526" i="2"/>
  <c r="BP529" i="2"/>
  <c r="Y545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Z485" i="2" s="1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193" i="2" s="1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0" i="2" s="1"/>
  <c r="Z109" i="2"/>
  <c r="BN144" i="2"/>
  <c r="BN155" i="2"/>
  <c r="Z166" i="2"/>
  <c r="Z210" i="2"/>
  <c r="Z213" i="2" s="1"/>
  <c r="Z231" i="2"/>
  <c r="Z241" i="2"/>
  <c r="Z251" i="2"/>
  <c r="Y265" i="2"/>
  <c r="Z274" i="2"/>
  <c r="BN294" i="2"/>
  <c r="Z305" i="2"/>
  <c r="Z328" i="2"/>
  <c r="Z334" i="2" s="1"/>
  <c r="Z339" i="2"/>
  <c r="Z341" i="2" s="1"/>
  <c r="Z394" i="2"/>
  <c r="Z396" i="2" s="1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311" i="2" l="1"/>
  <c r="Z280" i="2"/>
  <c r="Z254" i="2"/>
  <c r="Z168" i="2"/>
  <c r="Z554" i="2"/>
  <c r="Z447" i="2"/>
  <c r="Z72" i="2"/>
  <c r="Z453" i="2"/>
  <c r="Z383" i="2"/>
  <c r="X564" i="2"/>
  <c r="Z501" i="2"/>
  <c r="Y563" i="2"/>
  <c r="Z42" i="2"/>
  <c r="Z441" i="2"/>
  <c r="Z350" i="2"/>
  <c r="Z32" i="2"/>
  <c r="Z236" i="2"/>
  <c r="Z248" i="2"/>
  <c r="Z51" i="2"/>
  <c r="Y565" i="2"/>
  <c r="Z126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<sst xmlns="http://schemas.openxmlformats.org/spreadsheetml/2006/main" count="4313" uniqueCount="897">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</sst>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66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67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896</v>
      </c>
      <c r="I5" s="1004"/>
      <c r="J5" s="1004"/>
      <c r="K5" s="1004"/>
      <c r="L5" s="1004"/>
      <c r="M5" s="1004"/>
      <c r="N5" s="72"/>
      <c r="P5" s="27" t="s">
        <v>4</v>
      </c>
      <c r="Q5" s="1006">
        <v>46297</v>
      </c>
      <c r="R5" s="1006"/>
      <c r="T5" s="1007" t="s">
        <v>3</v>
      </c>
      <c r="U5" s="1008"/>
      <c r="V5" s="1009" t="s">
        <v>876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877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Пятница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57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895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60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58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65</v>
      </c>
      <c r="L17" s="958" t="s">
        <v>63</v>
      </c>
      <c r="M17" s="958" t="s">
        <v>2</v>
      </c>
      <c r="N17" s="958" t="s">
        <v>62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55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59</v>
      </c>
      <c r="AB17" s="964" t="s">
        <v>19</v>
      </c>
      <c r="AC17" s="964" t="s">
        <v>64</v>
      </c>
      <c r="AD17" s="966" t="s">
        <v>56</v>
      </c>
      <c r="AE17" s="967"/>
      <c r="AF17" s="968"/>
      <c r="AG17" s="82"/>
      <c r="BD17" s="81" t="s">
        <v>61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75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75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76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85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85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119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121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5" t="s">
        <v>136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121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6" t="s">
        <v>158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85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177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185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121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66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666" t="s">
        <v>85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209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121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66" t="s">
        <v>158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85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236</v>
      </c>
      <c r="B122" s="63" t="s">
        <v>237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66" t="s">
        <v>177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249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121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76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85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262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85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277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119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121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158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76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85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277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341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345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121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367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158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76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402</v>
      </c>
      <c r="B232" s="63" t="s">
        <v>403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406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85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410</v>
      </c>
      <c r="B239" s="63" t="s">
        <v>411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410</v>
      </c>
      <c r="B240" s="63" t="s">
        <v>413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415</v>
      </c>
      <c r="B241" s="63" t="s">
        <v>416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415</v>
      </c>
      <c r="B242" s="63" t="s">
        <v>418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420</v>
      </c>
      <c r="B243" s="63" t="s">
        <v>421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420</v>
      </c>
      <c r="B244" s="63" t="s">
        <v>423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427</v>
      </c>
      <c r="B247" s="63" t="s">
        <v>429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277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430</v>
      </c>
      <c r="B251" s="63" t="s">
        <v>431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436</v>
      </c>
      <c r="B253" s="63" t="s">
        <v>437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438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439</v>
      </c>
      <c r="B257" s="63" t="s">
        <v>440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441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121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442</v>
      </c>
      <c r="B262" s="63" t="s">
        <v>443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445</v>
      </c>
      <c r="B263" s="63" t="s">
        <v>446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158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447</v>
      </c>
      <c r="B267" s="63" t="s">
        <v>448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450</v>
      </c>
      <c r="B268" s="63" t="s">
        <v>451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76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452</v>
      </c>
      <c r="B272" s="63" t="s">
        <v>453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464</v>
      </c>
      <c r="B276" s="63" t="s">
        <v>465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6" t="s">
        <v>85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472</v>
      </c>
      <c r="B283" s="63" t="s">
        <v>473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481</v>
      </c>
      <c r="B286" s="63" t="s">
        <v>482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483</v>
      </c>
      <c r="B287" s="63" t="s">
        <v>484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488</v>
      </c>
      <c r="B289" s="63" t="s">
        <v>489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490</v>
      </c>
      <c r="B290" s="63" t="s">
        <v>491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492</v>
      </c>
      <c r="B291" s="63" t="s">
        <v>493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6" t="s">
        <v>177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503</v>
      </c>
      <c r="B298" s="63" t="s">
        <v>504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509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121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510</v>
      </c>
      <c r="B304" s="63" t="s">
        <v>511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516</v>
      </c>
      <c r="B306" s="63" t="s">
        <v>517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518</v>
      </c>
      <c r="B307" s="63" t="s">
        <v>519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526</v>
      </c>
      <c r="B310" s="63" t="s">
        <v>527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158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528</v>
      </c>
      <c r="B314" s="63" t="s">
        <v>529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531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341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535</v>
      </c>
      <c r="B322" s="63" t="s">
        <v>536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340</v>
      </c>
      <c r="L323" s="37" t="s">
        <v>46</v>
      </c>
      <c r="M323" s="38" t="s">
        <v>282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538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537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541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121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545</v>
      </c>
      <c r="AC328" s="426" t="s">
        <v>544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546</v>
      </c>
      <c r="B329" s="63" t="s">
        <v>547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549</v>
      </c>
      <c r="B330" s="63" t="s">
        <v>550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552</v>
      </c>
      <c r="B331" s="63" t="s">
        <v>553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558</v>
      </c>
      <c r="B333" s="63" t="s">
        <v>559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560</v>
      </c>
      <c r="AG333" s="78"/>
      <c r="AJ333" s="84" t="s">
        <v>46</v>
      </c>
      <c r="AK333" s="84">
        <v>0</v>
      </c>
      <c r="BB333" s="437" t="s">
        <v>66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561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562</v>
      </c>
      <c r="B338" s="63" t="s">
        <v>563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567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568</v>
      </c>
      <c r="B340" s="63" t="s">
        <v>569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564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570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76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571</v>
      </c>
      <c r="B345" s="63" t="s">
        <v>572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395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582</v>
      </c>
      <c r="B349" s="63" t="s">
        <v>583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584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85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585</v>
      </c>
      <c r="B353" s="63" t="s">
        <v>586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588</v>
      </c>
      <c r="B354" s="63" t="s">
        <v>589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590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591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121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592</v>
      </c>
      <c r="B359" s="63" t="s">
        <v>593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354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594</v>
      </c>
      <c r="B360" s="63" t="s">
        <v>595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599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600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121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601</v>
      </c>
      <c r="B366" s="63" t="s">
        <v>602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545</v>
      </c>
      <c r="AC366" s="464" t="s">
        <v>522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609</v>
      </c>
      <c r="B369" s="63" t="s">
        <v>610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612</v>
      </c>
      <c r="B370" s="63" t="s">
        <v>613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614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608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617</v>
      </c>
      <c r="B372" s="63" t="s">
        <v>618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619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76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620</v>
      </c>
      <c r="B376" s="63" t="s">
        <v>621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633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628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636</v>
      </c>
      <c r="B382" s="63" t="s">
        <v>637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85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639</v>
      </c>
      <c r="B386" s="63" t="s">
        <v>640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647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641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177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650</v>
      </c>
      <c r="B393" s="63" t="s">
        <v>651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6" t="s">
        <v>277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253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666</v>
      </c>
      <c r="B402" s="63" t="s">
        <v>667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253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661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668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669</v>
      </c>
      <c r="B406" s="63" t="s">
        <v>670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672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672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675</v>
      </c>
      <c r="B408" s="63" t="s">
        <v>676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672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671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677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678</v>
      </c>
      <c r="B412" s="63" t="s">
        <v>679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672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672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672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680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85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687</v>
      </c>
      <c r="B419" s="63" t="s">
        <v>688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690</v>
      </c>
      <c r="B420" s="63" t="s">
        <v>691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692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693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85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694</v>
      </c>
      <c r="B425" s="63" t="s">
        <v>695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697</v>
      </c>
      <c r="B426" s="63" t="s">
        <v>698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700</v>
      </c>
      <c r="B427" s="63" t="s">
        <v>701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702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703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704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121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705</v>
      </c>
      <c r="B433" s="63" t="s">
        <v>706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708</v>
      </c>
      <c r="B434" s="63" t="s">
        <v>709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711</v>
      </c>
      <c r="B435" s="63" t="s">
        <v>712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714</v>
      </c>
      <c r="B436" s="63" t="s">
        <v>715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180</v>
      </c>
      <c r="Y436" s="55">
        <f t="shared" si="73"/>
        <v>180</v>
      </c>
      <c r="Z436" s="41">
        <f>IFERROR(IF(Y436=0,"",ROUNDUP(Y436/H436,0)*0.02175),"")</f>
        <v>0.26100000000000001</v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185.64</v>
      </c>
      <c r="BN436" s="78">
        <f t="shared" si="75"/>
        <v>185.64</v>
      </c>
      <c r="BO436" s="78">
        <f t="shared" si="76"/>
        <v>0.25</v>
      </c>
      <c r="BP436" s="78">
        <f t="shared" si="77"/>
        <v>0.25</v>
      </c>
    </row>
    <row r="437" spans="1:68" ht="27" hidden="1" customHeight="1" x14ac:dyDescent="0.25">
      <c r="A437" s="63" t="s">
        <v>717</v>
      </c>
      <c r="B437" s="63" t="s">
        <v>718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723</v>
      </c>
      <c r="B439" s="63" t="s">
        <v>724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726</v>
      </c>
      <c r="B440" s="63" t="s">
        <v>727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728</v>
      </c>
      <c r="AG440" s="78"/>
      <c r="AJ440" s="84" t="s">
        <v>46</v>
      </c>
      <c r="AK440" s="84">
        <v>0</v>
      </c>
      <c r="BB440" s="551" t="s">
        <v>66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12</v>
      </c>
      <c r="Y441" s="43">
        <f>IFERROR(Y433/H433,"0")+IFERROR(Y434/H434,"0")+IFERROR(Y435/H435,"0")+IFERROR(Y436/H436,"0")+IFERROR(Y437/H437,"0")+IFERROR(Y438/H438,"0")+IFERROR(Y439/H439,"0")+IFERROR(Y440/H440,"0")</f>
        <v>12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0.26100000000000001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180</v>
      </c>
      <c r="Y442" s="43">
        <f>IFERROR(SUM(Y433:Y440),"0")</f>
        <v>180</v>
      </c>
      <c r="Z442" s="42"/>
      <c r="AA442" s="67"/>
      <c r="AB442" s="67"/>
      <c r="AC442" s="67"/>
    </row>
    <row r="443" spans="1:68" ht="14.25" hidden="1" customHeight="1" x14ac:dyDescent="0.25">
      <c r="A443" s="666" t="s">
        <v>158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hidden="1" customHeight="1" x14ac:dyDescent="0.25">
      <c r="A444" s="63" t="s">
        <v>729</v>
      </c>
      <c r="B444" s="63" t="s">
        <v>730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732</v>
      </c>
      <c r="B445" s="63" t="s">
        <v>733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735</v>
      </c>
      <c r="B446" s="63" t="s">
        <v>736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737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6" t="s">
        <v>85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738</v>
      </c>
      <c r="B450" s="63" t="s">
        <v>739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741</v>
      </c>
      <c r="B451" s="63" t="s">
        <v>742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744</v>
      </c>
      <c r="B452" s="63" t="s">
        <v>745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746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177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747</v>
      </c>
      <c r="B456" s="63" t="s">
        <v>748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750</v>
      </c>
      <c r="B457" s="63" t="s">
        <v>751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752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753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121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757</v>
      </c>
      <c r="B463" s="63" t="s">
        <v>758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756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76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759</v>
      </c>
      <c r="B467" s="63" t="s">
        <v>760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761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85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762</v>
      </c>
      <c r="B471" s="63" t="s">
        <v>763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764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765</v>
      </c>
      <c r="B473" s="63" t="s">
        <v>767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768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769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770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76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771</v>
      </c>
      <c r="B479" s="63" t="s">
        <v>772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774</v>
      </c>
      <c r="B480" s="63" t="s">
        <v>775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773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779</v>
      </c>
      <c r="B482" s="63" t="s">
        <v>780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782</v>
      </c>
      <c r="B483" s="63" t="s">
        <v>783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785</v>
      </c>
      <c r="B484" s="63" t="s">
        <v>786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781</v>
      </c>
      <c r="AG484" s="78"/>
      <c r="AJ484" s="84" t="s">
        <v>46</v>
      </c>
      <c r="AK484" s="84">
        <v>0</v>
      </c>
      <c r="BB484" s="591" t="s">
        <v>66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85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787</v>
      </c>
      <c r="B488" s="63" t="s">
        <v>788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792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793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158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796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76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797</v>
      </c>
      <c r="B498" s="63" t="s">
        <v>798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802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805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805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806</v>
      </c>
      <c r="B506" s="63" t="s">
        <v>807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817</v>
      </c>
      <c r="B510" s="63" t="s">
        <v>818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822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827</v>
      </c>
      <c r="B514" s="63" t="s">
        <v>828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822</v>
      </c>
      <c r="AG514" s="78"/>
      <c r="AJ514" s="84" t="s">
        <v>46</v>
      </c>
      <c r="AK514" s="84">
        <v>0</v>
      </c>
      <c r="BB514" s="621" t="s">
        <v>66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6" t="s">
        <v>158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hidden="1" customHeight="1" x14ac:dyDescent="0.25">
      <c r="A518" s="63" t="s">
        <v>829</v>
      </c>
      <c r="B518" s="63" t="s">
        <v>830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834</v>
      </c>
      <c r="B520" s="63" t="s">
        <v>835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831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6" t="s">
        <v>76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836</v>
      </c>
      <c r="B524" s="63" t="s">
        <v>837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839</v>
      </c>
      <c r="B525" s="63" t="s">
        <v>840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844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847</v>
      </c>
      <c r="B529" s="63" t="s">
        <v>849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850</v>
      </c>
      <c r="B530" s="63" t="s">
        <v>851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844</v>
      </c>
      <c r="AG530" s="78"/>
      <c r="AJ530" s="84" t="s">
        <v>46</v>
      </c>
      <c r="AK530" s="84">
        <v>0</v>
      </c>
      <c r="BB530" s="641" t="s">
        <v>66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0" t="s">
        <v>852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121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855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158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731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76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860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85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861</v>
      </c>
      <c r="B548" s="63" t="s">
        <v>862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863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177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864</v>
      </c>
      <c r="B552" s="63" t="s">
        <v>865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866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867</v>
      </c>
      <c r="B553" s="63" t="s">
        <v>868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869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870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158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871</v>
      </c>
      <c r="B558" s="63" t="s">
        <v>872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873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180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180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185.64</v>
      </c>
      <c r="Y562" s="43">
        <f>IFERROR(SUM(BN22:BN558),"0")</f>
        <v>185.64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210.64</v>
      </c>
      <c r="Y564" s="43">
        <f>GrossWeightTotalR+PalletQtyTotalR*25</f>
        <v>210.64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12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12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0.26100000000000001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345</v>
      </c>
      <c r="L568" s="656" t="s">
        <v>345</v>
      </c>
      <c r="M568" s="656" t="s">
        <v>345</v>
      </c>
      <c r="N568" s="657"/>
      <c r="O568" s="656" t="s">
        <v>345</v>
      </c>
      <c r="P568" s="656" t="s">
        <v>345</v>
      </c>
      <c r="Q568" s="656" t="s">
        <v>345</v>
      </c>
      <c r="R568" s="656" t="s">
        <v>345</v>
      </c>
      <c r="S568" s="656" t="s">
        <v>345</v>
      </c>
      <c r="T568" s="656" t="s">
        <v>345</v>
      </c>
      <c r="U568" s="656" t="s">
        <v>345</v>
      </c>
      <c r="V568" s="656" t="s">
        <v>345</v>
      </c>
      <c r="W568" s="656" t="s">
        <v>703</v>
      </c>
      <c r="X568" s="656" t="s">
        <v>703</v>
      </c>
      <c r="Y568" s="656" t="s">
        <v>769</v>
      </c>
      <c r="Z568" s="656" t="s">
        <v>769</v>
      </c>
      <c r="AA568" s="85" t="s">
        <v>805</v>
      </c>
      <c r="AB568" s="656" t="s">
        <v>852</v>
      </c>
      <c r="AC568" s="656" t="s">
        <v>852</v>
      </c>
      <c r="AF568" s="1"/>
    </row>
    <row r="569" spans="1:32" ht="14.25" customHeight="1" thickTop="1" x14ac:dyDescent="0.2">
      <c r="A569" s="658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209</v>
      </c>
      <c r="H569" s="656" t="s">
        <v>249</v>
      </c>
      <c r="I569" s="656" t="s">
        <v>262</v>
      </c>
      <c r="J569" s="656" t="s">
        <v>119</v>
      </c>
      <c r="K569" s="656" t="s">
        <v>346</v>
      </c>
      <c r="L569" s="656" t="s">
        <v>367</v>
      </c>
      <c r="M569" s="656" t="s">
        <v>441</v>
      </c>
      <c r="N569" s="1"/>
      <c r="O569" s="656" t="s">
        <v>509</v>
      </c>
      <c r="P569" s="656" t="s">
        <v>541</v>
      </c>
      <c r="Q569" s="656" t="s">
        <v>561</v>
      </c>
      <c r="R569" s="656" t="s">
        <v>570</v>
      </c>
      <c r="S569" s="656" t="s">
        <v>591</v>
      </c>
      <c r="T569" s="656" t="s">
        <v>600</v>
      </c>
      <c r="U569" s="656" t="s">
        <v>686</v>
      </c>
      <c r="V569" s="656" t="s">
        <v>693</v>
      </c>
      <c r="W569" s="656" t="s">
        <v>704</v>
      </c>
      <c r="X569" s="656" t="s">
        <v>753</v>
      </c>
      <c r="Y569" s="656" t="s">
        <v>770</v>
      </c>
      <c r="Z569" s="656" t="s">
        <v>793</v>
      </c>
      <c r="AA569" s="656" t="s">
        <v>805</v>
      </c>
      <c r="AB569" s="656" t="s">
        <v>852</v>
      </c>
      <c r="AC569" s="656" t="s">
        <v>870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180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,00"/>
        <filter val="180,00"/>
        <filter val="185,64"/>
        <filter val="210,64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