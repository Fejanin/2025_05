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D1FFD7-52E1-40AA-97CF-079A677F2F8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N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Z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Z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N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P365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N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P266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P243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P233" i="2"/>
  <c r="BO233" i="2"/>
  <c r="BM233" i="2"/>
  <c r="Y233" i="2"/>
  <c r="BN233" i="2" s="1"/>
  <c r="P233" i="2"/>
  <c r="BO232" i="2"/>
  <c r="BN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Y201" i="2"/>
  <c r="X201" i="2"/>
  <c r="X200" i="2"/>
  <c r="BO199" i="2"/>
  <c r="BN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P152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N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N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P50" i="2"/>
  <c r="BO50" i="2"/>
  <c r="BM50" i="2"/>
  <c r="Z50" i="2"/>
  <c r="Y50" i="2"/>
  <c r="BN50" i="2" s="1"/>
  <c r="P50" i="2"/>
  <c r="BO49" i="2"/>
  <c r="BM49" i="2"/>
  <c r="Y49" i="2"/>
  <c r="BP49" i="2" s="1"/>
  <c r="P49" i="2"/>
  <c r="BO48" i="2"/>
  <c r="BN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229" i="2" l="1"/>
  <c r="BN278" i="2"/>
  <c r="Z397" i="2"/>
  <c r="BN116" i="2"/>
  <c r="BN134" i="2"/>
  <c r="BN534" i="2"/>
  <c r="Z246" i="2"/>
  <c r="BN298" i="2"/>
  <c r="BP397" i="2"/>
  <c r="BN105" i="2"/>
  <c r="Z90" i="2"/>
  <c r="BP291" i="2"/>
  <c r="BN424" i="2"/>
  <c r="BP90" i="2"/>
  <c r="BP184" i="2"/>
  <c r="BN238" i="2"/>
  <c r="Z288" i="2"/>
  <c r="Z487" i="2"/>
  <c r="BN406" i="2"/>
  <c r="Z450" i="2"/>
  <c r="BN39" i="2"/>
  <c r="BN223" i="2"/>
  <c r="Y136" i="2"/>
  <c r="BN400" i="2"/>
  <c r="BN122" i="2"/>
  <c r="Y145" i="2"/>
  <c r="BN546" i="2"/>
  <c r="Y254" i="2"/>
  <c r="BN460" i="2"/>
  <c r="BN432" i="2"/>
  <c r="BP306" i="2"/>
  <c r="Z309" i="2"/>
  <c r="BP128" i="2"/>
  <c r="BN511" i="2"/>
  <c r="BP285" i="2"/>
  <c r="BN442" i="2"/>
  <c r="BP542" i="2"/>
  <c r="Z534" i="2"/>
  <c r="Z535" i="2" s="1"/>
  <c r="BP527" i="2"/>
  <c r="BN526" i="2"/>
  <c r="BN524" i="2"/>
  <c r="BN522" i="2"/>
  <c r="Z522" i="2"/>
  <c r="Z512" i="2"/>
  <c r="BP512" i="2"/>
  <c r="Z506" i="2"/>
  <c r="Z498" i="2"/>
  <c r="BN487" i="2"/>
  <c r="BP479" i="2"/>
  <c r="Y483" i="2"/>
  <c r="BP478" i="2"/>
  <c r="BP448" i="2"/>
  <c r="BN437" i="2"/>
  <c r="Z436" i="2"/>
  <c r="BP436" i="2"/>
  <c r="BN425" i="2"/>
  <c r="BP418" i="2"/>
  <c r="BP412" i="2"/>
  <c r="BN410" i="2"/>
  <c r="Y402" i="2"/>
  <c r="BN391" i="2"/>
  <c r="Z387" i="2"/>
  <c r="BP386" i="2"/>
  <c r="BP385" i="2"/>
  <c r="BN378" i="2"/>
  <c r="BP376" i="2"/>
  <c r="Z347" i="2"/>
  <c r="BN347" i="2"/>
  <c r="Z336" i="2"/>
  <c r="BP330" i="2"/>
  <c r="BP329" i="2"/>
  <c r="BN321" i="2"/>
  <c r="BN309" i="2"/>
  <c r="BP307" i="2"/>
  <c r="BN293" i="2"/>
  <c r="BN288" i="2"/>
  <c r="BP286" i="2"/>
  <c r="BP275" i="2"/>
  <c r="BP252" i="2"/>
  <c r="BP239" i="2"/>
  <c r="BN234" i="2"/>
  <c r="BN227" i="2"/>
  <c r="BN224" i="2"/>
  <c r="BN211" i="2"/>
  <c r="BP208" i="2"/>
  <c r="BN207" i="2"/>
  <c r="Z207" i="2"/>
  <c r="BN189" i="2"/>
  <c r="BN178" i="2"/>
  <c r="BP164" i="2"/>
  <c r="BN151" i="2"/>
  <c r="I569" i="2"/>
  <c r="Z134" i="2"/>
  <c r="Z111" i="2"/>
  <c r="BP107" i="2"/>
  <c r="Z105" i="2"/>
  <c r="BN103" i="2"/>
  <c r="BP96" i="2"/>
  <c r="Z89" i="2"/>
  <c r="Y84" i="2"/>
  <c r="Z82" i="2"/>
  <c r="BN80" i="2"/>
  <c r="BN68" i="2"/>
  <c r="Z68" i="2"/>
  <c r="BP63" i="2"/>
  <c r="BN57" i="2"/>
  <c r="X563" i="2"/>
  <c r="Z48" i="2"/>
  <c r="BP38" i="2"/>
  <c r="Z38" i="2"/>
  <c r="BN28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Z135" i="2" s="1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51" i="2" s="1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451" i="2" l="1"/>
  <c r="Z253" i="2"/>
  <c r="Z394" i="2"/>
  <c r="Z529" i="2"/>
  <c r="Z472" i="2"/>
  <c r="Z445" i="2"/>
  <c r="Z426" i="2"/>
  <c r="Z388" i="2"/>
  <c r="Z381" i="2"/>
  <c r="Z371" i="2"/>
  <c r="Z360" i="2"/>
  <c r="Z353" i="2"/>
  <c r="Z348" i="2"/>
  <c r="Z299" i="2"/>
  <c r="Z263" i="2"/>
  <c r="Z247" i="2"/>
  <c r="Z192" i="2"/>
  <c r="Z172" i="2"/>
  <c r="Z140" i="2"/>
  <c r="Z125" i="2"/>
  <c r="Z72" i="2"/>
  <c r="Z42" i="2"/>
  <c r="X562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<sst xmlns="http://schemas.openxmlformats.org/spreadsheetml/2006/main" count="4287" uniqueCount="893">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</sst>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892</v>
      </c>
      <c r="I5" s="993"/>
      <c r="J5" s="993"/>
      <c r="K5" s="993"/>
      <c r="L5" s="993"/>
      <c r="M5" s="993"/>
      <c r="N5" s="69"/>
      <c r="P5" s="26" t="s">
        <v>4</v>
      </c>
      <c r="Q5" s="995">
        <v>46297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874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Пятница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4.1666666666666664E-2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350</v>
      </c>
      <c r="Y47" s="53">
        <f>IFERROR(IF(X47="",0,CEILING((X47/$H47),1)*$H47),"")</f>
        <v>356.40000000000003</v>
      </c>
      <c r="Z47" s="39">
        <f>IFERROR(IF(Y47=0,"",ROUNDUP(Y47/H47,0)*0.01898),"")</f>
        <v>0.62634000000000001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363.28703703703707</v>
      </c>
      <c r="BN47" s="75">
        <f>IFERROR(Y47*I47/H47,"0")</f>
        <v>369.93</v>
      </c>
      <c r="BO47" s="75">
        <f>IFERROR(1/J47*(X47/H47),"0")</f>
        <v>0.5063657407407407</v>
      </c>
      <c r="BP47" s="75">
        <f>IFERROR(1/J47*(Y47/H47),"0")</f>
        <v>0.515625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400</v>
      </c>
      <c r="Y49" s="53">
        <f>IFERROR(IF(X49="",0,CEILING((X49/$H49),1)*$H49),"")</f>
        <v>400</v>
      </c>
      <c r="Z49" s="39">
        <f>IFERROR(IF(Y49=0,"",ROUNDUP(Y49/H49,0)*0.00902),"")</f>
        <v>0.90200000000000002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419.00000000000006</v>
      </c>
      <c r="BN49" s="75">
        <f>IFERROR(Y49*I49/H49,"0")</f>
        <v>419.00000000000006</v>
      </c>
      <c r="BO49" s="75">
        <f>IFERROR(1/J49*(X49/H49),"0")</f>
        <v>0.75757575757575757</v>
      </c>
      <c r="BP49" s="75">
        <f>IFERROR(1/J49*(Y49/H49),"0")</f>
        <v>0.75757575757575757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132.40740740740739</v>
      </c>
      <c r="Y51" s="41">
        <f>IFERROR(Y47/H47,"0")+IFERROR(Y48/H48,"0")+IFERROR(Y49/H49,"0")+IFERROR(Y50/H50,"0")</f>
        <v>133</v>
      </c>
      <c r="Z51" s="41">
        <f>IFERROR(IF(Z47="",0,Z47),"0")+IFERROR(IF(Z48="",0,Z48),"0")+IFERROR(IF(Z49="",0,Z49),"0")+IFERROR(IF(Z50="",0,Z50),"0")</f>
        <v>1.52834</v>
      </c>
      <c r="AA51" s="64"/>
      <c r="AB51" s="64"/>
      <c r="AC51" s="64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750</v>
      </c>
      <c r="Y52" s="41">
        <f>IFERROR(SUM(Y47:Y50),"0")</f>
        <v>756.40000000000009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500</v>
      </c>
      <c r="Y56" s="53">
        <f t="shared" si="0"/>
        <v>507.6</v>
      </c>
      <c r="Z56" s="39">
        <f>IFERROR(IF(Y56=0,"",ROUNDUP(Y56/H56,0)*0.01898),"")</f>
        <v>0.89205999999999996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518.98148148148141</v>
      </c>
      <c r="BN56" s="75">
        <f t="shared" si="2"/>
        <v>526.87</v>
      </c>
      <c r="BO56" s="75">
        <f t="shared" si="3"/>
        <v>0.72337962962962954</v>
      </c>
      <c r="BP56" s="75">
        <f t="shared" si="4"/>
        <v>0.734375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315</v>
      </c>
      <c r="Y62" s="53">
        <f t="shared" si="0"/>
        <v>315</v>
      </c>
      <c r="Z62" s="39">
        <f>IFERROR(IF(Y62=0,"",ROUNDUP(Y62/H62,0)*0.00902),"")</f>
        <v>0.63139999999999996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328.3</v>
      </c>
      <c r="BN62" s="75">
        <f t="shared" si="2"/>
        <v>328.3</v>
      </c>
      <c r="BO62" s="75">
        <f t="shared" si="3"/>
        <v>0.53030303030303028</v>
      </c>
      <c r="BP62" s="75">
        <f t="shared" si="4"/>
        <v>0.53030303030303028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116.29629629629629</v>
      </c>
      <c r="Y64" s="41">
        <f>IFERROR(Y55/H55,"0")+IFERROR(Y56/H56,"0")+IFERROR(Y57/H57,"0")+IFERROR(Y58/H58,"0")+IFERROR(Y59/H59,"0")+IFERROR(Y60/H60,"0")+IFERROR(Y61/H61,"0")+IFERROR(Y62/H62,"0")+IFERROR(Y63/H63,"0")</f>
        <v>117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1.52346</v>
      </c>
      <c r="AA64" s="64"/>
      <c r="AB64" s="64"/>
      <c r="AC64" s="6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815</v>
      </c>
      <c r="Y65" s="41">
        <f>IFERROR(SUM(Y55:Y63),"0")</f>
        <v>822.6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70</v>
      </c>
      <c r="Y67" s="53">
        <f>IFERROR(IF(X67="",0,CEILING((X67/$H67),1)*$H67),"")</f>
        <v>75.600000000000009</v>
      </c>
      <c r="Z67" s="39">
        <f>IFERROR(IF(Y67=0,"",ROUNDUP(Y67/H67,0)*0.01898),"")</f>
        <v>0.13286000000000001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72.657407407407405</v>
      </c>
      <c r="BN67" s="75">
        <f>IFERROR(Y67*I67/H67,"0")</f>
        <v>78.47</v>
      </c>
      <c r="BO67" s="75">
        <f>IFERROR(1/J67*(X67/H67),"0")</f>
        <v>0.10127314814814814</v>
      </c>
      <c r="BP67" s="75">
        <f>IFERROR(1/J67*(Y67/H67),"0")</f>
        <v>0.109375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180</v>
      </c>
      <c r="Y71" s="53">
        <f>IFERROR(IF(X71="",0,CEILING((X71/$H71),1)*$H71),"")</f>
        <v>180.9</v>
      </c>
      <c r="Z71" s="39">
        <f>IFERROR(IF(Y71=0,"",ROUNDUP(Y71/H71,0)*0.00651),"")</f>
        <v>0.43617</v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191.99999999999997</v>
      </c>
      <c r="BN71" s="75">
        <f>IFERROR(Y71*I71/H71,"0")</f>
        <v>192.95999999999998</v>
      </c>
      <c r="BO71" s="75">
        <f>IFERROR(1/J71*(X71/H71),"0")</f>
        <v>0.36630036630036628</v>
      </c>
      <c r="BP71" s="75">
        <f>IFERROR(1/J71*(Y71/H71),"0")</f>
        <v>0.36813186813186816</v>
      </c>
    </row>
    <row r="72" spans="1:68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73.148148148148138</v>
      </c>
      <c r="Y72" s="41">
        <f>IFERROR(Y67/H67,"0")+IFERROR(Y68/H68,"0")+IFERROR(Y69/H69,"0")+IFERROR(Y70/H70,"0")+IFERROR(Y71/H71,"0")</f>
        <v>74</v>
      </c>
      <c r="Z72" s="41">
        <f>IFERROR(IF(Z67="",0,Z67),"0")+IFERROR(IF(Z68="",0,Z68),"0")+IFERROR(IF(Z69="",0,Z69),"0")+IFERROR(IF(Z70="",0,Z70),"0")+IFERROR(IF(Z71="",0,Z71),"0")</f>
        <v>0.56903000000000004</v>
      </c>
      <c r="AA72" s="64"/>
      <c r="AB72" s="64"/>
      <c r="AC72" s="64"/>
    </row>
    <row r="73" spans="1:68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250</v>
      </c>
      <c r="Y73" s="41">
        <f>IFERROR(SUM(Y67:Y71),"0")</f>
        <v>256.5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20</v>
      </c>
      <c r="Y80" s="53">
        <f>IFERROR(IF(X80="",0,CEILING((X80/$H80),1)*$H80),"")</f>
        <v>23.4</v>
      </c>
      <c r="Z80" s="39">
        <f>IFERROR(IF(Y80=0,"",ROUNDUP(Y80/H80,0)*0.01898),"")</f>
        <v>5.6940000000000004E-2</v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21.051282051282055</v>
      </c>
      <c r="BN80" s="75">
        <f>IFERROR(Y80*I80/H80,"0")</f>
        <v>24.630000000000003</v>
      </c>
      <c r="BO80" s="75">
        <f>IFERROR(1/J80*(X80/H80),"0")</f>
        <v>4.0064102564102567E-2</v>
      </c>
      <c r="BP80" s="75">
        <f>IFERROR(1/J80*(Y80/H80),"0")</f>
        <v>4.6875E-2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2.5641025641025643</v>
      </c>
      <c r="Y83" s="41">
        <f>IFERROR(Y80/H80,"0")+IFERROR(Y81/H81,"0")+IFERROR(Y82/H82,"0")</f>
        <v>3</v>
      </c>
      <c r="Z83" s="41">
        <f>IFERROR(IF(Z80="",0,Z80),"0")+IFERROR(IF(Z81="",0,Z81),"0")+IFERROR(IF(Z82="",0,Z82),"0")</f>
        <v>5.6940000000000004E-2</v>
      </c>
      <c r="AA83" s="64"/>
      <c r="AB83" s="64"/>
      <c r="AC83" s="64"/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20</v>
      </c>
      <c r="Y84" s="41">
        <f>IFERROR(SUM(Y80:Y82),"0")</f>
        <v>23.4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200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207.59259259259258</v>
      </c>
      <c r="BN87" s="75">
        <f>IFERROR(Y87*I87/H87,"0")</f>
        <v>212.99</v>
      </c>
      <c r="BO87" s="75">
        <f>IFERROR(1/J87*(X87/H87),"0")</f>
        <v>0.28935185185185186</v>
      </c>
      <c r="BP87" s="75">
        <f>IFERROR(1/J87*(Y87/H87),"0")</f>
        <v>0.296875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450</v>
      </c>
      <c r="Y91" s="53">
        <f>IFERROR(IF(X91="",0,CEILING((X91/$H91),1)*$H91),"")</f>
        <v>450</v>
      </c>
      <c r="Z91" s="39">
        <f>IFERROR(IF(Y91=0,"",ROUNDUP(Y91/H91,0)*0.00902),"")</f>
        <v>0.90200000000000002</v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469</v>
      </c>
      <c r="BN91" s="75">
        <f>IFERROR(Y91*I91/H91,"0")</f>
        <v>469</v>
      </c>
      <c r="BO91" s="75">
        <f>IFERROR(1/J91*(X91/H91),"0")</f>
        <v>0.75757575757575757</v>
      </c>
      <c r="BP91" s="75">
        <f>IFERROR(1/J91*(Y91/H91),"0")</f>
        <v>0.75757575757575757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118.51851851851852</v>
      </c>
      <c r="Y92" s="41">
        <f>IFERROR(Y87/H87,"0")+IFERROR(Y88/H88,"0")+IFERROR(Y89/H89,"0")+IFERROR(Y90/H90,"0")+IFERROR(Y91/H91,"0")</f>
        <v>119</v>
      </c>
      <c r="Z92" s="41">
        <f>IFERROR(IF(Z87="",0,Z87),"0")+IFERROR(IF(Z88="",0,Z88),"0")+IFERROR(IF(Z89="",0,Z89),"0")+IFERROR(IF(Z90="",0,Z90),"0")+IFERROR(IF(Z91="",0,Z91),"0")</f>
        <v>1.2626200000000001</v>
      </c>
      <c r="AA92" s="64"/>
      <c r="AB92" s="64"/>
      <c r="AC92" s="64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650</v>
      </c>
      <c r="Y93" s="41">
        <f>IFERROR(SUM(Y87:Y91),"0")</f>
        <v>655.20000000000005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500</v>
      </c>
      <c r="Y95" s="53">
        <f>IFERROR(IF(X95="",0,CEILING((X95/$H95),1)*$H95),"")</f>
        <v>502.2</v>
      </c>
      <c r="Z95" s="39">
        <f>IFERROR(IF(Y95=0,"",ROUNDUP(Y95/H95,0)*0.01898),"")</f>
        <v>1.17676</v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530.49382716049388</v>
      </c>
      <c r="BN95" s="75">
        <f>IFERROR(Y95*I95/H95,"0")</f>
        <v>532.82799999999997</v>
      </c>
      <c r="BO95" s="75">
        <f>IFERROR(1/J95*(X95/H95),"0")</f>
        <v>0.96450617283950624</v>
      </c>
      <c r="BP95" s="75">
        <f>IFERROR(1/J95*(Y95/H95),"0")</f>
        <v>0.96875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720</v>
      </c>
      <c r="Y97" s="53">
        <f>IFERROR(IF(X97="",0,CEILING((X97/$H97),1)*$H97),"")</f>
        <v>720.90000000000009</v>
      </c>
      <c r="Z97" s="39">
        <f>IFERROR(IF(Y97=0,"",ROUNDUP(Y97/H97,0)*0.00651),"")</f>
        <v>1.73817</v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787.19999999999993</v>
      </c>
      <c r="BN97" s="75">
        <f>IFERROR(Y97*I97/H97,"0")</f>
        <v>788.18400000000008</v>
      </c>
      <c r="BO97" s="75">
        <f>IFERROR(1/J97*(X97/H97),"0")</f>
        <v>1.4652014652014651</v>
      </c>
      <c r="BP97" s="75">
        <f>IFERROR(1/J97*(Y97/H97),"0")</f>
        <v>1.4670329670329672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328.39506172839504</v>
      </c>
      <c r="Y99" s="41">
        <f>IFERROR(Y95/H95,"0")+IFERROR(Y96/H96,"0")+IFERROR(Y97/H97,"0")+IFERROR(Y98/H98,"0")</f>
        <v>329</v>
      </c>
      <c r="Z99" s="41">
        <f>IFERROR(IF(Z95="",0,Z95),"0")+IFERROR(IF(Z96="",0,Z96),"0")+IFERROR(IF(Z97="",0,Z97),"0")+IFERROR(IF(Z98="",0,Z98),"0")</f>
        <v>2.91493</v>
      </c>
      <c r="AA99" s="64"/>
      <c r="AB99" s="64"/>
      <c r="AC99" s="64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1220</v>
      </c>
      <c r="Y100" s="41">
        <f>IFERROR(SUM(Y95:Y98),"0")</f>
        <v>1223.1000000000001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1035</v>
      </c>
      <c r="Y108" s="53">
        <f t="shared" si="5"/>
        <v>1035</v>
      </c>
      <c r="Z108" s="39">
        <f>IFERROR(IF(Y108=0,"",ROUNDUP(Y108/H108,0)*0.00902),"")</f>
        <v>2.0746000000000002</v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1078.7</v>
      </c>
      <c r="BN108" s="75">
        <f t="shared" si="7"/>
        <v>1078.7</v>
      </c>
      <c r="BO108" s="75">
        <f t="shared" si="8"/>
        <v>1.7424242424242424</v>
      </c>
      <c r="BP108" s="75">
        <f t="shared" si="9"/>
        <v>1.7424242424242424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230</v>
      </c>
      <c r="Y112" s="41">
        <f>IFERROR(Y103/H103,"0")+IFERROR(Y104/H104,"0")+IFERROR(Y105/H105,"0")+IFERROR(Y106/H106,"0")+IFERROR(Y107/H107,"0")+IFERROR(Y108/H108,"0")+IFERROR(Y109/H109,"0")+IFERROR(Y110/H110,"0")+IFERROR(Y111/H111,"0")</f>
        <v>230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2.0746000000000002</v>
      </c>
      <c r="AA112" s="64"/>
      <c r="AB112" s="64"/>
      <c r="AC112" s="64"/>
    </row>
    <row r="113" spans="1:68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1035</v>
      </c>
      <c r="Y113" s="41">
        <f>IFERROR(SUM(Y103:Y111),"0")</f>
        <v>1035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250</v>
      </c>
      <c r="Y121" s="53">
        <f>IFERROR(IF(X121="",0,CEILING((X121/$H121),1)*$H121),"")</f>
        <v>251.1</v>
      </c>
      <c r="Z121" s="39">
        <f>IFERROR(IF(Y121=0,"",ROUNDUP(Y121/H121,0)*0.01898),"")</f>
        <v>0.58838000000000001</v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265.06172839506172</v>
      </c>
      <c r="BN121" s="75">
        <f>IFERROR(Y121*I121/H121,"0")</f>
        <v>266.22799999999995</v>
      </c>
      <c r="BO121" s="75">
        <f>IFERROR(1/J121*(X121/H121),"0")</f>
        <v>0.48225308641975312</v>
      </c>
      <c r="BP121" s="75">
        <f>IFERROR(1/J121*(Y121/H121),"0")</f>
        <v>0.484375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945</v>
      </c>
      <c r="Y123" s="53">
        <f>IFERROR(IF(X123="",0,CEILING((X123/$H123),1)*$H123),"")</f>
        <v>945.00000000000011</v>
      </c>
      <c r="Z123" s="39">
        <f>IFERROR(IF(Y123=0,"",ROUNDUP(Y123/H123,0)*0.00651),"")</f>
        <v>2.2785000000000002</v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1033.1999999999998</v>
      </c>
      <c r="BN123" s="75">
        <f>IFERROR(Y123*I123/H123,"0")</f>
        <v>1033.2</v>
      </c>
      <c r="BO123" s="75">
        <f>IFERROR(1/J123*(X123/H123),"0")</f>
        <v>1.9230769230769231</v>
      </c>
      <c r="BP123" s="75">
        <f>IFERROR(1/J123*(Y123/H123),"0")</f>
        <v>1.9230769230769231</v>
      </c>
    </row>
    <row r="124" spans="1:68" ht="16.5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75</v>
      </c>
      <c r="Y124" s="53">
        <f>IFERROR(IF(X124="",0,CEILING((X124/$H124),1)*$H124),"")</f>
        <v>75.600000000000009</v>
      </c>
      <c r="Z124" s="39">
        <f>IFERROR(IF(Y124=0,"",ROUNDUP(Y124/H124,0)*0.00651),"")</f>
        <v>0.27342</v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82.5</v>
      </c>
      <c r="BN124" s="75">
        <f>IFERROR(Y124*I124/H124,"0")</f>
        <v>83.160000000000011</v>
      </c>
      <c r="BO124" s="75">
        <f>IFERROR(1/J124*(X124/H124),"0")</f>
        <v>0.22893772893772893</v>
      </c>
      <c r="BP124" s="75">
        <f>IFERROR(1/J124*(Y124/H124),"0")</f>
        <v>0.23076923076923084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422.53086419753089</v>
      </c>
      <c r="Y125" s="41">
        <f>IFERROR(Y121/H121,"0")+IFERROR(Y122/H122,"0")+IFERROR(Y123/H123,"0")+IFERROR(Y124/H124,"0")</f>
        <v>423</v>
      </c>
      <c r="Z125" s="41">
        <f>IFERROR(IF(Z121="",0,Z121),"0")+IFERROR(IF(Z122="",0,Z122),"0")+IFERROR(IF(Z123="",0,Z123),"0")+IFERROR(IF(Z124="",0,Z124),"0")</f>
        <v>3.1402999999999999</v>
      </c>
      <c r="AA125" s="64"/>
      <c r="AB125" s="64"/>
      <c r="AC125" s="64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1270</v>
      </c>
      <c r="Y126" s="41">
        <f>IFERROR(SUM(Y121:Y124),"0")</f>
        <v>1271.7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43</v>
      </c>
      <c r="Y128" s="53">
        <f>IFERROR(IF(X128="",0,CEILING((X128/$H128),1)*$H128),"")</f>
        <v>43.56</v>
      </c>
      <c r="Z128" s="39">
        <f>IFERROR(IF(Y128=0,"",ROUNDUP(Y128/H128,0)*0.00651),"")</f>
        <v>0.14322000000000001</v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48.603030303030302</v>
      </c>
      <c r="BN128" s="75">
        <f>IFERROR(Y128*I128/H128,"0")</f>
        <v>49.235999999999997</v>
      </c>
      <c r="BO128" s="75">
        <f>IFERROR(1/J128*(X128/H128),"0")</f>
        <v>0.11932511932511933</v>
      </c>
      <c r="BP128" s="75">
        <f>IFERROR(1/J128*(Y128/H128),"0")</f>
        <v>0.12087912087912089</v>
      </c>
    </row>
    <row r="129" spans="1:68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21.717171717171716</v>
      </c>
      <c r="Y129" s="41">
        <f>IFERROR(Y128/H128,"0")</f>
        <v>22</v>
      </c>
      <c r="Z129" s="41">
        <f>IFERROR(IF(Z128="",0,Z128),"0")</f>
        <v>0.14322000000000001</v>
      </c>
      <c r="AA129" s="64"/>
      <c r="AB129" s="64"/>
      <c r="AC129" s="64"/>
    </row>
    <row r="130" spans="1:68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43</v>
      </c>
      <c r="Y130" s="41">
        <f>IFERROR(SUM(Y128:Y128),"0")</f>
        <v>43.56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504</v>
      </c>
      <c r="Y181" s="53">
        <f t="shared" si="16"/>
        <v>504</v>
      </c>
      <c r="Z181" s="39">
        <f>IFERROR(IF(Y181=0,"",ROUNDUP(Y181/H181,0)*0.00502),"")</f>
        <v>1.506</v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534</v>
      </c>
      <c r="BN181" s="75">
        <f t="shared" si="18"/>
        <v>534</v>
      </c>
      <c r="BO181" s="75">
        <f t="shared" si="19"/>
        <v>1.2820512820512822</v>
      </c>
      <c r="BP181" s="75">
        <f t="shared" si="20"/>
        <v>1.2820512820512822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448</v>
      </c>
      <c r="Y183" s="53">
        <f t="shared" si="16"/>
        <v>448.56</v>
      </c>
      <c r="Z183" s="39">
        <f>IFERROR(IF(Y183=0,"",ROUNDUP(Y183/H183,0)*0.00502),"")</f>
        <v>1.3403400000000001</v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474.66666666666674</v>
      </c>
      <c r="BN183" s="75">
        <f t="shared" si="18"/>
        <v>475.26000000000005</v>
      </c>
      <c r="BO183" s="75">
        <f t="shared" si="19"/>
        <v>1.1396011396011398</v>
      </c>
      <c r="BP183" s="75">
        <f t="shared" si="20"/>
        <v>1.1410256410256412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252</v>
      </c>
      <c r="Y185" s="53">
        <f t="shared" si="16"/>
        <v>252</v>
      </c>
      <c r="Z185" s="39">
        <f>IFERROR(IF(Y185=0,"",ROUNDUP(Y185/H185,0)*0.00502),"")</f>
        <v>0.753</v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267</v>
      </c>
      <c r="BN185" s="75">
        <f t="shared" si="18"/>
        <v>267</v>
      </c>
      <c r="BO185" s="75">
        <f t="shared" si="19"/>
        <v>0.64102564102564108</v>
      </c>
      <c r="BP185" s="75">
        <f t="shared" si="20"/>
        <v>0.64102564102564108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716.66666666666674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717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3.5993400000000002</v>
      </c>
      <c r="AA186" s="64"/>
      <c r="AB186" s="64"/>
      <c r="AC186" s="64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1204</v>
      </c>
      <c r="Y187" s="41">
        <f>IFERROR(SUM(Y175:Y185),"0")</f>
        <v>1204.56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220</v>
      </c>
      <c r="Y222" s="53">
        <f t="shared" si="27"/>
        <v>222.60000000000002</v>
      </c>
      <c r="Z222" s="39">
        <f>IFERROR(IF(Y222=0,"",ROUNDUP(Y222/H222,0)*0.00902),"")</f>
        <v>0.47806000000000004</v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229.95238095238093</v>
      </c>
      <c r="BN222" s="75">
        <f t="shared" si="29"/>
        <v>232.67000000000002</v>
      </c>
      <c r="BO222" s="75">
        <f t="shared" si="30"/>
        <v>0.3968253968253968</v>
      </c>
      <c r="BP222" s="75">
        <f t="shared" si="31"/>
        <v>0.40151515151515155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52.38095238095238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53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0.47806000000000004</v>
      </c>
      <c r="AA235" s="64"/>
      <c r="AB235" s="64"/>
      <c r="AC235" s="6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220</v>
      </c>
      <c r="Y236" s="41">
        <f>IFERROR(SUM(Y220:Y234),"0")</f>
        <v>222.60000000000002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7</v>
      </c>
      <c r="Y250" s="53">
        <f>IFERROR(IF(X250="",0,CEILING((X250/$H250),1)*$H250),"")</f>
        <v>7.5600000000000005</v>
      </c>
      <c r="Z250" s="39">
        <f>IFERROR(IF(Y250=0,"",ROUNDUP(Y250/H250,0)*0.0059),"")</f>
        <v>3.5400000000000001E-2</v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8.0555555555555554</v>
      </c>
      <c r="BN250" s="75">
        <f>IFERROR(Y250*I250/H250,"0")</f>
        <v>8.6999999999999993</v>
      </c>
      <c r="BO250" s="75">
        <f>IFERROR(1/J250*(X250/H250),"0")</f>
        <v>2.5720164609053495E-2</v>
      </c>
      <c r="BP250" s="75">
        <f>IFERROR(1/J250*(Y250/H250),"0")</f>
        <v>2.7777777777777776E-2</v>
      </c>
    </row>
    <row r="251" spans="1:68" ht="27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7</v>
      </c>
      <c r="Y251" s="53">
        <f>IFERROR(IF(X251="",0,CEILING((X251/$H251),1)*$H251),"")</f>
        <v>7.5600000000000005</v>
      </c>
      <c r="Z251" s="39">
        <f>IFERROR(IF(Y251=0,"",ROUNDUP(Y251/H251,0)*0.0059),"")</f>
        <v>3.5400000000000001E-2</v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8.0555555555555554</v>
      </c>
      <c r="BN251" s="75">
        <f>IFERROR(Y251*I251/H251,"0")</f>
        <v>8.6999999999999993</v>
      </c>
      <c r="BO251" s="75">
        <f>IFERROR(1/J251*(X251/H251),"0")</f>
        <v>2.5720164609053495E-2</v>
      </c>
      <c r="BP251" s="75">
        <f>IFERROR(1/J251*(Y251/H251),"0")</f>
        <v>2.7777777777777776E-2</v>
      </c>
    </row>
    <row r="252" spans="1:68" ht="27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39</v>
      </c>
      <c r="Y252" s="53">
        <f>IFERROR(IF(X252="",0,CEILING((X252/$H252),1)*$H252),"")</f>
        <v>39.06</v>
      </c>
      <c r="Z252" s="39">
        <f>IFERROR(IF(Y252=0,"",ROUNDUP(Y252/H252,0)*0.0059),"")</f>
        <v>0.18290000000000001</v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44.88095238095238</v>
      </c>
      <c r="BN252" s="75">
        <f>IFERROR(Y252*I252/H252,"0")</f>
        <v>44.95</v>
      </c>
      <c r="BO252" s="75">
        <f>IFERROR(1/J252*(X252/H252),"0")</f>
        <v>0.14329805996472664</v>
      </c>
      <c r="BP252" s="75">
        <f>IFERROR(1/J252*(Y252/H252),"0")</f>
        <v>0.14351851851851852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42.063492063492063</v>
      </c>
      <c r="Y253" s="41">
        <f>IFERROR(Y250/H250,"0")+IFERROR(Y251/H251,"0")+IFERROR(Y252/H252,"0")</f>
        <v>43</v>
      </c>
      <c r="Z253" s="41">
        <f>IFERROR(IF(Z250="",0,Z250),"0")+IFERROR(IF(Z251="",0,Z251),"0")+IFERROR(IF(Z252="",0,Z252),"0")</f>
        <v>0.25370000000000004</v>
      </c>
      <c r="AA253" s="64"/>
      <c r="AB253" s="64"/>
      <c r="AC253" s="6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53</v>
      </c>
      <c r="Y254" s="41">
        <f>IFERROR(SUM(Y250:Y252),"0")</f>
        <v>54.180000000000007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7</v>
      </c>
      <c r="Y256" s="53">
        <f>IFERROR(IF(X256="",0,CEILING((X256/$H256),1)*$H256),"")</f>
        <v>7.5600000000000005</v>
      </c>
      <c r="Z256" s="39">
        <f>IFERROR(IF(Y256=0,"",ROUNDUP(Y256/H256,0)*0.0059),"")</f>
        <v>3.5400000000000001E-2</v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8.0555555555555554</v>
      </c>
      <c r="BN256" s="75">
        <f>IFERROR(Y256*I256/H256,"0")</f>
        <v>8.6999999999999993</v>
      </c>
      <c r="BO256" s="75">
        <f>IFERROR(1/J256*(X256/H256),"0")</f>
        <v>2.5720164609053495E-2</v>
      </c>
      <c r="BP256" s="75">
        <f>IFERROR(1/J256*(Y256/H256),"0")</f>
        <v>2.7777777777777776E-2</v>
      </c>
    </row>
    <row r="257" spans="1:68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5.5555555555555554</v>
      </c>
      <c r="Y257" s="41">
        <f>IFERROR(Y256/H256,"0")</f>
        <v>6</v>
      </c>
      <c r="Z257" s="41">
        <f>IFERROR(IF(Z256="",0,Z256),"0")</f>
        <v>3.5400000000000001E-2</v>
      </c>
      <c r="AA257" s="64"/>
      <c r="AB257" s="64"/>
      <c r="AC257" s="64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7</v>
      </c>
      <c r="Y258" s="41">
        <f>IFERROR(SUM(Y256:Y256),"0")</f>
        <v>7.5600000000000005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800</v>
      </c>
      <c r="Y271" s="53">
        <f t="shared" ref="Y271:Y278" si="38">IFERROR(IF(X271="",0,CEILING((X271/$H271),1)*$H271),"")</f>
        <v>804.6</v>
      </c>
      <c r="Z271" s="39">
        <f>IFERROR(IF(Y271=0,"",ROUNDUP(Y271/H271,0)*0.00902),"")</f>
        <v>1.34398</v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828.14814814814804</v>
      </c>
      <c r="BN271" s="75">
        <f t="shared" ref="BN271:BN278" si="40">IFERROR(Y271*I271/H271,"0")</f>
        <v>832.91</v>
      </c>
      <c r="BO271" s="75">
        <f t="shared" ref="BO271:BO278" si="41">IFERROR(1/J271*(X271/H271),"0")</f>
        <v>1.122334455667789</v>
      </c>
      <c r="BP271" s="75">
        <f t="shared" ref="BP271:BP278" si="42">IFERROR(1/J271*(Y271/H271),"0")</f>
        <v>1.1287878787878789</v>
      </c>
    </row>
    <row r="272" spans="1:68" ht="27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150</v>
      </c>
      <c r="Y272" s="53">
        <f t="shared" si="38"/>
        <v>151.20000000000002</v>
      </c>
      <c r="Z272" s="39">
        <f>IFERROR(IF(Y272=0,"",ROUNDUP(Y272/H272,0)*0.00902),"")</f>
        <v>0.25256000000000001</v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155.27777777777777</v>
      </c>
      <c r="BN272" s="75">
        <f t="shared" si="40"/>
        <v>156.52000000000001</v>
      </c>
      <c r="BO272" s="75">
        <f t="shared" si="41"/>
        <v>0.21043771043771042</v>
      </c>
      <c r="BP272" s="75">
        <f t="shared" si="42"/>
        <v>0.21212121212121213</v>
      </c>
    </row>
    <row r="273" spans="1:68" ht="27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350</v>
      </c>
      <c r="Y273" s="53">
        <f t="shared" si="38"/>
        <v>351</v>
      </c>
      <c r="Z273" s="39">
        <f>IFERROR(IF(Y273=0,"",ROUNDUP(Y273/H273,0)*0.00902),"")</f>
        <v>0.58630000000000004</v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362.31481481481478</v>
      </c>
      <c r="BN273" s="75">
        <f t="shared" si="40"/>
        <v>363.34999999999997</v>
      </c>
      <c r="BO273" s="75">
        <f t="shared" si="41"/>
        <v>0.49102132435465767</v>
      </c>
      <c r="BP273" s="75">
        <f t="shared" si="42"/>
        <v>0.49242424242424243</v>
      </c>
    </row>
    <row r="274" spans="1:68" ht="27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60</v>
      </c>
      <c r="Y274" s="53">
        <f t="shared" si="38"/>
        <v>64.800000000000011</v>
      </c>
      <c r="Z274" s="39">
        <f>IFERROR(IF(Y274=0,"",ROUNDUP(Y274/H274,0)*0.00902),"")</f>
        <v>0.10824</v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62.1111111111111</v>
      </c>
      <c r="BN274" s="75">
        <f t="shared" si="40"/>
        <v>67.08</v>
      </c>
      <c r="BO274" s="75">
        <f t="shared" si="41"/>
        <v>8.4175084175084181E-2</v>
      </c>
      <c r="BP274" s="75">
        <f t="shared" si="42"/>
        <v>9.0909090909090925E-2</v>
      </c>
    </row>
    <row r="275" spans="1:68" ht="27" hidden="1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251.85185185185185</v>
      </c>
      <c r="Y279" s="41">
        <f>IFERROR(Y271/H271,"0")+IFERROR(Y272/H272,"0")+IFERROR(Y273/H273,"0")+IFERROR(Y274/H274,"0")+IFERROR(Y275/H275,"0")+IFERROR(Y276/H276,"0")+IFERROR(Y277/H277,"0")+IFERROR(Y278/H278,"0")</f>
        <v>254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2.29108</v>
      </c>
      <c r="AA279" s="64"/>
      <c r="AB279" s="64"/>
      <c r="AC279" s="6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1360</v>
      </c>
      <c r="Y280" s="41">
        <f>IFERROR(SUM(Y271:Y278),"0")</f>
        <v>1371.6000000000001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300</v>
      </c>
      <c r="Y282" s="53">
        <f t="shared" ref="Y282:Y293" si="43">IFERROR(IF(X282="",0,CEILING((X282/$H282),1)*$H282),"")</f>
        <v>307.8</v>
      </c>
      <c r="Z282" s="39">
        <f>IFERROR(IF(Y282=0,"",ROUNDUP(Y282/H282,0)*0.01898),"")</f>
        <v>0.72123999999999999</v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318.2962962962963</v>
      </c>
      <c r="BN282" s="75">
        <f t="shared" ref="BN282:BN293" si="45">IFERROR(Y282*I282/H282,"0")</f>
        <v>326.572</v>
      </c>
      <c r="BO282" s="75">
        <f t="shared" ref="BO282:BO293" si="46">IFERROR(1/J282*(X282/H282),"0")</f>
        <v>0.57870370370370372</v>
      </c>
      <c r="BP282" s="75">
        <f t="shared" ref="BP282:BP293" si="47">IFERROR(1/J282*(Y282/H282),"0")</f>
        <v>0.59375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250</v>
      </c>
      <c r="Y284" s="53">
        <f t="shared" si="43"/>
        <v>252.29999999999998</v>
      </c>
      <c r="Z284" s="39">
        <f>IFERROR(IF(Y284=0,"",ROUNDUP(Y284/H284,0)*0.01898),"")</f>
        <v>0.55042000000000002</v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264.19540229885058</v>
      </c>
      <c r="BN284" s="75">
        <f t="shared" si="45"/>
        <v>266.62600000000003</v>
      </c>
      <c r="BO284" s="75">
        <f t="shared" si="46"/>
        <v>0.44899425287356326</v>
      </c>
      <c r="BP284" s="75">
        <f t="shared" si="47"/>
        <v>0.453125</v>
      </c>
    </row>
    <row r="285" spans="1:68" ht="27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400</v>
      </c>
      <c r="Y285" s="53">
        <f t="shared" si="43"/>
        <v>400.8</v>
      </c>
      <c r="Z285" s="39">
        <f>IFERROR(IF(Y285=0,"",ROUNDUP(Y285/H285,0)*0.00651),"")</f>
        <v>1.08717</v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445</v>
      </c>
      <c r="BN285" s="75">
        <f t="shared" si="45"/>
        <v>445.89</v>
      </c>
      <c r="BO285" s="75">
        <f t="shared" si="46"/>
        <v>0.91575091575091594</v>
      </c>
      <c r="BP285" s="75">
        <f t="shared" si="47"/>
        <v>0.91758241758241765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200</v>
      </c>
      <c r="Y292" s="53">
        <f t="shared" si="43"/>
        <v>201.6</v>
      </c>
      <c r="Z292" s="39">
        <f>IFERROR(IF(Y292=0,"",ROUNDUP(Y292/H292,0)*0.00651),"")</f>
        <v>0.54683999999999999</v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221.50000000000003</v>
      </c>
      <c r="BN292" s="75">
        <f t="shared" si="45"/>
        <v>223.27200000000002</v>
      </c>
      <c r="BO292" s="75">
        <f t="shared" si="46"/>
        <v>0.45787545787545797</v>
      </c>
      <c r="BP292" s="75">
        <f t="shared" si="47"/>
        <v>0.46153846153846156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315.77266922094509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318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2.9056700000000002</v>
      </c>
      <c r="AA294" s="64"/>
      <c r="AB294" s="64"/>
      <c r="AC294" s="6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1150</v>
      </c>
      <c r="Y295" s="41">
        <f>IFERROR(SUM(Y282:Y293),"0")</f>
        <v>1162.5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20</v>
      </c>
      <c r="Y297" s="53">
        <f>IFERROR(IF(X297="",0,CEILING((X297/$H297),1)*$H297),"")</f>
        <v>21.599999999999998</v>
      </c>
      <c r="Z297" s="39">
        <f>IFERROR(IF(Y297=0,"",ROUNDUP(Y297/H297,0)*0.00651),"")</f>
        <v>5.8590000000000003E-2</v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22.100000000000005</v>
      </c>
      <c r="BN297" s="75">
        <f>IFERROR(Y297*I297/H297,"0")</f>
        <v>23.868000000000002</v>
      </c>
      <c r="BO297" s="75">
        <f>IFERROR(1/J297*(X297/H297),"0")</f>
        <v>4.5787545787545791E-2</v>
      </c>
      <c r="BP297" s="75">
        <f>IFERROR(1/J297*(Y297/H297),"0")</f>
        <v>4.9450549450549455E-2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8.3333333333333339</v>
      </c>
      <c r="Y299" s="41">
        <f>IFERROR(Y297/H297,"0")+IFERROR(Y298/H298,"0")</f>
        <v>9</v>
      </c>
      <c r="Z299" s="41">
        <f>IFERROR(IF(Z297="",0,Z297),"0")+IFERROR(IF(Z298="",0,Z298),"0")</f>
        <v>5.8590000000000003E-2</v>
      </c>
      <c r="AA299" s="64"/>
      <c r="AB299" s="64"/>
      <c r="AC299" s="64"/>
    </row>
    <row r="300" spans="1:68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20</v>
      </c>
      <c r="Y300" s="41">
        <f>IFERROR(SUM(Y297:Y298),"0")</f>
        <v>21.599999999999998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60</v>
      </c>
      <c r="Y305" s="53">
        <f t="shared" si="48"/>
        <v>69.599999999999994</v>
      </c>
      <c r="Z305" s="39">
        <f>IFERROR(IF(Y305=0,"",ROUNDUP(Y305/H305,0)*0.01898),"")</f>
        <v>0.11388000000000001</v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62.12068965517242</v>
      </c>
      <c r="BN305" s="75">
        <f t="shared" si="50"/>
        <v>72.06</v>
      </c>
      <c r="BO305" s="75">
        <f t="shared" si="51"/>
        <v>8.0818965517241381E-2</v>
      </c>
      <c r="BP305" s="75">
        <f t="shared" si="52"/>
        <v>9.375E-2</v>
      </c>
    </row>
    <row r="306" spans="1:68" ht="27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32</v>
      </c>
      <c r="Y306" s="53">
        <f t="shared" si="48"/>
        <v>32</v>
      </c>
      <c r="Z306" s="39">
        <f>IFERROR(IF(Y306=0,"",ROUNDUP(Y306/H306,0)*0.00902),"")</f>
        <v>7.2160000000000002E-2</v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33.520000000000003</v>
      </c>
      <c r="BN306" s="75">
        <f t="shared" si="50"/>
        <v>33.520000000000003</v>
      </c>
      <c r="BO306" s="75">
        <f t="shared" si="51"/>
        <v>6.0606060606060608E-2</v>
      </c>
      <c r="BP306" s="75">
        <f t="shared" si="52"/>
        <v>6.0606060606060608E-2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28</v>
      </c>
      <c r="Y309" s="53">
        <f t="shared" si="48"/>
        <v>28</v>
      </c>
      <c r="Z309" s="39">
        <f>IFERROR(IF(Y309=0,"",ROUNDUP(Y309/H309,0)*0.00902),"")</f>
        <v>6.3140000000000002E-2</v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29.330000000000002</v>
      </c>
      <c r="BN309" s="75">
        <f t="shared" si="50"/>
        <v>29.330000000000002</v>
      </c>
      <c r="BO309" s="75">
        <f t="shared" si="51"/>
        <v>5.3030303030303032E-2</v>
      </c>
      <c r="BP309" s="75">
        <f t="shared" si="52"/>
        <v>5.3030303030303032E-2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20.172413793103448</v>
      </c>
      <c r="Y310" s="41">
        <f>IFERROR(Y303/H303,"0")+IFERROR(Y304/H304,"0")+IFERROR(Y305/H305,"0")+IFERROR(Y306/H306,"0")+IFERROR(Y307/H307,"0")+IFERROR(Y308/H308,"0")+IFERROR(Y309/H309,"0")</f>
        <v>21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0.24918000000000001</v>
      </c>
      <c r="AA310" s="64"/>
      <c r="AB310" s="64"/>
      <c r="AC310" s="64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120</v>
      </c>
      <c r="Y311" s="41">
        <f>IFERROR(SUM(Y303:Y309),"0")</f>
        <v>129.6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12</v>
      </c>
      <c r="Y321" s="53">
        <f>IFERROR(IF(X321="",0,CEILING((X321/$H321),1)*$H321),"")</f>
        <v>12.6</v>
      </c>
      <c r="Z321" s="39">
        <f>IFERROR(IF(Y321=0,"",ROUNDUP(Y321/H321,0)*0.0059),"")</f>
        <v>4.1299999999999996E-2</v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13.166666666666668</v>
      </c>
      <c r="BN321" s="75">
        <f>IFERROR(Y321*I321/H321,"0")</f>
        <v>13.825000000000001</v>
      </c>
      <c r="BO321" s="75">
        <f>IFERROR(1/J321*(X321/H321),"0")</f>
        <v>3.0864197530864192E-2</v>
      </c>
      <c r="BP321" s="75">
        <f>IFERROR(1/J321*(Y321/H321),"0")</f>
        <v>3.2407407407407406E-2</v>
      </c>
    </row>
    <row r="322" spans="1:68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6.6666666666666661</v>
      </c>
      <c r="Y322" s="41">
        <f>IFERROR(Y321/H321,"0")</f>
        <v>7</v>
      </c>
      <c r="Z322" s="41">
        <f>IFERROR(IF(Z321="",0,Z321),"0")</f>
        <v>4.1299999999999996E-2</v>
      </c>
      <c r="AA322" s="64"/>
      <c r="AB322" s="64"/>
      <c r="AC322" s="64"/>
    </row>
    <row r="323" spans="1:68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12</v>
      </c>
      <c r="Y323" s="41">
        <f>IFERROR(SUM(Y321:Y321),"0")</f>
        <v>12.6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120</v>
      </c>
      <c r="Y337" s="53">
        <f>IFERROR(IF(X337="",0,CEILING((X337/$H337),1)*$H337),"")</f>
        <v>120</v>
      </c>
      <c r="Z337" s="39">
        <f>IFERROR(IF(Y337=0,"",ROUNDUP(Y337/H337,0)*0.00651),"")</f>
        <v>0.32550000000000001</v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132.60000000000002</v>
      </c>
      <c r="BN337" s="75">
        <f>IFERROR(Y337*I337/H337,"0")</f>
        <v>132.60000000000002</v>
      </c>
      <c r="BO337" s="75">
        <f>IFERROR(1/J337*(X337/H337),"0")</f>
        <v>0.27472527472527475</v>
      </c>
      <c r="BP337" s="75">
        <f>IFERROR(1/J337*(Y337/H337),"0")</f>
        <v>0.27472527472527475</v>
      </c>
    </row>
    <row r="338" spans="1:68" ht="27" hidden="1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50</v>
      </c>
      <c r="Y339" s="41">
        <f>IFERROR(Y336/H336,"0")+IFERROR(Y337/H337,"0")+IFERROR(Y338/H338,"0")</f>
        <v>50</v>
      </c>
      <c r="Z339" s="41">
        <f>IFERROR(IF(Z336="",0,Z336),"0")+IFERROR(IF(Z337="",0,Z337),"0")+IFERROR(IF(Z338="",0,Z338),"0")</f>
        <v>0.32550000000000001</v>
      </c>
      <c r="AA339" s="64"/>
      <c r="AB339" s="64"/>
      <c r="AC339" s="6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120</v>
      </c>
      <c r="Y340" s="41">
        <f>IFERROR(SUM(Y336:Y338),"0")</f>
        <v>120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42</v>
      </c>
      <c r="Y380" s="53">
        <f t="shared" si="63"/>
        <v>43.2</v>
      </c>
      <c r="Z380" s="39">
        <f>IFERROR(IF(Y380=0,"",ROUNDUP(Y380/H380,0)*0.00651),"")</f>
        <v>0.15623999999999999</v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47.32</v>
      </c>
      <c r="BN380" s="75">
        <f t="shared" si="65"/>
        <v>48.671999999999997</v>
      </c>
      <c r="BO380" s="75">
        <f t="shared" si="66"/>
        <v>0.12820512820512822</v>
      </c>
      <c r="BP380" s="75">
        <f t="shared" si="67"/>
        <v>0.13186813186813187</v>
      </c>
    </row>
    <row r="381" spans="1:68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23.333333333333332</v>
      </c>
      <c r="Y381" s="41">
        <f>IFERROR(Y374/H374,"0")+IFERROR(Y375/H375,"0")+IFERROR(Y376/H376,"0")+IFERROR(Y377/H377,"0")+IFERROR(Y378/H378,"0")+IFERROR(Y379/H379,"0")+IFERROR(Y380/H380,"0")</f>
        <v>24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0.15623999999999999</v>
      </c>
      <c r="AA381" s="64"/>
      <c r="AB381" s="64"/>
      <c r="AC381" s="64"/>
    </row>
    <row r="382" spans="1:68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42</v>
      </c>
      <c r="Y382" s="41">
        <f>IFERROR(SUM(Y374:Y380),"0")</f>
        <v>43.2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300</v>
      </c>
      <c r="Y391" s="53">
        <f>IFERROR(IF(X391="",0,CEILING((X391/$H391),1)*$H391),"")</f>
        <v>302.40000000000003</v>
      </c>
      <c r="Z391" s="39">
        <f>IFERROR(IF(Y391=0,"",ROUNDUP(Y391/H391,0)*0.01898),"")</f>
        <v>0.68328</v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317.64285714285711</v>
      </c>
      <c r="BN391" s="75">
        <f>IFERROR(Y391*I391/H391,"0")</f>
        <v>320.18400000000003</v>
      </c>
      <c r="BO391" s="75">
        <f>IFERROR(1/J391*(X391/H391),"0")</f>
        <v>0.5580357142857143</v>
      </c>
      <c r="BP391" s="75">
        <f>IFERROR(1/J391*(Y391/H391),"0")</f>
        <v>0.5625</v>
      </c>
    </row>
    <row r="392" spans="1:68" ht="27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600</v>
      </c>
      <c r="Y392" s="53">
        <f>IFERROR(IF(X392="",0,CEILING((X392/$H392),1)*$H392),"")</f>
        <v>600.6</v>
      </c>
      <c r="Z392" s="39">
        <f>IFERROR(IF(Y392=0,"",ROUNDUP(Y392/H392,0)*0.01898),"")</f>
        <v>1.46146</v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638.00000000000011</v>
      </c>
      <c r="BN392" s="75">
        <f>IFERROR(Y392*I392/H392,"0")</f>
        <v>638.63800000000003</v>
      </c>
      <c r="BO392" s="75">
        <f>IFERROR(1/J392*(X392/H392),"0")</f>
        <v>1.2019230769230769</v>
      </c>
      <c r="BP392" s="75">
        <f>IFERROR(1/J392*(Y392/H392),"0")</f>
        <v>1.203125</v>
      </c>
    </row>
    <row r="393" spans="1:68" ht="27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220</v>
      </c>
      <c r="Y393" s="53">
        <f>IFERROR(IF(X393="",0,CEILING((X393/$H393),1)*$H393),"")</f>
        <v>226.8</v>
      </c>
      <c r="Z393" s="39">
        <f>IFERROR(IF(Y393=0,"",ROUNDUP(Y393/H393,0)*0.01898),"")</f>
        <v>0.51246000000000003</v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232.93809523809523</v>
      </c>
      <c r="BN393" s="75">
        <f>IFERROR(Y393*I393/H393,"0")</f>
        <v>240.13800000000001</v>
      </c>
      <c r="BO393" s="75">
        <f>IFERROR(1/J393*(X393/H393),"0")</f>
        <v>0.40922619047619047</v>
      </c>
      <c r="BP393" s="75">
        <f>IFERROR(1/J393*(Y393/H393),"0")</f>
        <v>0.421875</v>
      </c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138.82783882783883</v>
      </c>
      <c r="Y394" s="41">
        <f>IFERROR(Y391/H391,"0")+IFERROR(Y392/H392,"0")+IFERROR(Y393/H393,"0")</f>
        <v>140</v>
      </c>
      <c r="Z394" s="41">
        <f>IFERROR(IF(Z391="",0,Z391),"0")+IFERROR(IF(Z392="",0,Z392),"0")+IFERROR(IF(Z393="",0,Z393),"0")</f>
        <v>2.6572</v>
      </c>
      <c r="AA394" s="64"/>
      <c r="AB394" s="64"/>
      <c r="AC394" s="64"/>
    </row>
    <row r="395" spans="1:68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1120</v>
      </c>
      <c r="Y395" s="41">
        <f>IFERROR(SUM(Y391:Y393),"0")</f>
        <v>1129.8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2000</v>
      </c>
      <c r="Y432" s="53">
        <f t="shared" si="68"/>
        <v>2010</v>
      </c>
      <c r="Z432" s="39">
        <f>IFERROR(IF(Y432=0,"",ROUNDUP(Y432/H432,0)*0.02175),"")</f>
        <v>2.9144999999999999</v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2062.6666666666665</v>
      </c>
      <c r="BN432" s="75">
        <f t="shared" si="70"/>
        <v>2072.98</v>
      </c>
      <c r="BO432" s="75">
        <f t="shared" si="71"/>
        <v>2.7777777777777777</v>
      </c>
      <c r="BP432" s="75">
        <f t="shared" si="72"/>
        <v>2.7916666666666665</v>
      </c>
    </row>
    <row r="433" spans="1:68" ht="27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900</v>
      </c>
      <c r="Y433" s="53">
        <f t="shared" si="68"/>
        <v>900</v>
      </c>
      <c r="Z433" s="39">
        <f>IFERROR(IF(Y433=0,"",ROUNDUP(Y433/H433,0)*0.02175),"")</f>
        <v>1.3049999999999999</v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928.2</v>
      </c>
      <c r="BN433" s="75">
        <f t="shared" si="70"/>
        <v>928.2</v>
      </c>
      <c r="BO433" s="75">
        <f t="shared" si="71"/>
        <v>1.25</v>
      </c>
      <c r="BP433" s="75">
        <f t="shared" si="72"/>
        <v>1.25</v>
      </c>
    </row>
    <row r="434" spans="1:68" ht="27" hidden="1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30</v>
      </c>
      <c r="Y438" s="53">
        <f t="shared" si="68"/>
        <v>30</v>
      </c>
      <c r="Z438" s="39">
        <f>IFERROR(IF(Y438=0,"",ROUNDUP(Y438/H438,0)*0.00902),"")</f>
        <v>5.4120000000000001E-2</v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31.140000000000004</v>
      </c>
      <c r="BN438" s="75">
        <f t="shared" si="70"/>
        <v>31.140000000000004</v>
      </c>
      <c r="BO438" s="75">
        <f t="shared" si="71"/>
        <v>4.5454545454545456E-2</v>
      </c>
      <c r="BP438" s="75">
        <f t="shared" si="72"/>
        <v>4.5454545454545456E-2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199.33333333333334</v>
      </c>
      <c r="Y439" s="41">
        <f>IFERROR(Y431/H431,"0")+IFERROR(Y432/H432,"0")+IFERROR(Y433/H433,"0")+IFERROR(Y434/H434,"0")+IFERROR(Y435/H435,"0")+IFERROR(Y436/H436,"0")+IFERROR(Y437/H437,"0")+IFERROR(Y438/H438,"0")</f>
        <v>200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4.2736200000000002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2930</v>
      </c>
      <c r="Y440" s="41">
        <f>IFERROR(SUM(Y431:Y438),"0")</f>
        <v>2940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600</v>
      </c>
      <c r="Y442" s="53">
        <f>IFERROR(IF(X442="",0,CEILING((X442/$H442),1)*$H442),"")</f>
        <v>600</v>
      </c>
      <c r="Z442" s="39">
        <f>IFERROR(IF(Y442=0,"",ROUNDUP(Y442/H442,0)*0.02175),"")</f>
        <v>0.86999999999999988</v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618.79999999999995</v>
      </c>
      <c r="BN442" s="75">
        <f>IFERROR(Y442*I442/H442,"0")</f>
        <v>618.79999999999995</v>
      </c>
      <c r="BO442" s="75">
        <f>IFERROR(1/J442*(X442/H442),"0")</f>
        <v>0.83333333333333326</v>
      </c>
      <c r="BP442" s="75">
        <f>IFERROR(1/J442*(Y442/H442),"0")</f>
        <v>0.83333333333333326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40</v>
      </c>
      <c r="Y445" s="41">
        <f>IFERROR(Y442/H442,"0")+IFERROR(Y443/H443,"0")+IFERROR(Y444/H444,"0")</f>
        <v>40</v>
      </c>
      <c r="Z445" s="41">
        <f>IFERROR(IF(Z442="",0,Z442),"0")+IFERROR(IF(Z443="",0,Z443),"0")+IFERROR(IF(Z444="",0,Z444),"0")</f>
        <v>0.86999999999999988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600</v>
      </c>
      <c r="Y446" s="41">
        <f>IFERROR(SUM(Y442:Y444),"0")</f>
        <v>600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100</v>
      </c>
      <c r="Y448" s="53">
        <f>IFERROR(IF(X448="",0,CEILING((X448/$H448),1)*$H448),"")</f>
        <v>108</v>
      </c>
      <c r="Z448" s="39">
        <f>IFERROR(IF(Y448=0,"",ROUNDUP(Y448/H448,0)*0.01898),"")</f>
        <v>0.22776000000000002</v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105.55555555555556</v>
      </c>
      <c r="BN448" s="75">
        <f>IFERROR(Y448*I448/H448,"0")</f>
        <v>114</v>
      </c>
      <c r="BO448" s="75">
        <f>IFERROR(1/J448*(X448/H448),"0")</f>
        <v>0.1736111111111111</v>
      </c>
      <c r="BP448" s="75">
        <f>IFERROR(1/J448*(Y448/H448),"0")</f>
        <v>0.1875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11.111111111111111</v>
      </c>
      <c r="Y451" s="41">
        <f>IFERROR(Y448/H448,"0")+IFERROR(Y449/H449,"0")+IFERROR(Y450/H450,"0")</f>
        <v>12</v>
      </c>
      <c r="Z451" s="41">
        <f>IFERROR(IF(Z448="",0,Z448),"0")+IFERROR(IF(Z449="",0,Z449),"0")+IFERROR(IF(Z450="",0,Z450),"0")</f>
        <v>0.22776000000000002</v>
      </c>
      <c r="AA451" s="64"/>
      <c r="AB451" s="64"/>
      <c r="AC451" s="64"/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100</v>
      </c>
      <c r="Y452" s="41">
        <f>IFERROR(SUM(Y448:Y450),"0")</f>
        <v>108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60</v>
      </c>
      <c r="Y460" s="53">
        <f>IFERROR(IF(X460="",0,CEILING((X460/$H460),1)*$H460),"")</f>
        <v>60</v>
      </c>
      <c r="Z460" s="39">
        <f>IFERROR(IF(Y460=0,"",ROUNDUP(Y460/H460,0)*0.01898),"")</f>
        <v>9.4899999999999998E-2</v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62.050000000000004</v>
      </c>
      <c r="BN460" s="75">
        <f>IFERROR(Y460*I460/H460,"0")</f>
        <v>62.050000000000004</v>
      </c>
      <c r="BO460" s="75">
        <f>IFERROR(1/J460*(X460/H460),"0")</f>
        <v>7.8125E-2</v>
      </c>
      <c r="BP460" s="75">
        <f>IFERROR(1/J460*(Y460/H460),"0")</f>
        <v>7.8125E-2</v>
      </c>
    </row>
    <row r="461" spans="1:68" ht="37.5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4</v>
      </c>
      <c r="Y461" s="53">
        <f>IFERROR(IF(X461="",0,CEILING((X461/$H461),1)*$H461),"")</f>
        <v>4</v>
      </c>
      <c r="Z461" s="39">
        <f>IFERROR(IF(Y461=0,"",ROUNDUP(Y461/H461,0)*0.00902),"")</f>
        <v>9.0200000000000002E-3</v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4.1900000000000004</v>
      </c>
      <c r="BN461" s="75">
        <f>IFERROR(Y461*I461/H461,"0")</f>
        <v>4.1900000000000004</v>
      </c>
      <c r="BO461" s="75">
        <f>IFERROR(1/J461*(X461/H461),"0")</f>
        <v>7.575757575757576E-3</v>
      </c>
      <c r="BP461" s="75">
        <f>IFERROR(1/J461*(Y461/H461),"0")</f>
        <v>7.575757575757576E-3</v>
      </c>
    </row>
    <row r="462" spans="1:68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6</v>
      </c>
      <c r="Y462" s="41">
        <f>IFERROR(Y460/H460,"0")+IFERROR(Y461/H461,"0")</f>
        <v>6</v>
      </c>
      <c r="Z462" s="41">
        <f>IFERROR(IF(Z460="",0,Z460),"0")+IFERROR(IF(Z461="",0,Z461),"0")</f>
        <v>0.10392</v>
      </c>
      <c r="AA462" s="64"/>
      <c r="AB462" s="64"/>
      <c r="AC462" s="64"/>
    </row>
    <row r="463" spans="1:68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64</v>
      </c>
      <c r="Y463" s="41">
        <f>IFERROR(SUM(Y460:Y461),"0")</f>
        <v>64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90</v>
      </c>
      <c r="Y504" s="53">
        <f t="shared" ref="Y504:Y512" si="78">IFERROR(IF(X504="",0,CEILING((X504/$H504),1)*$H504),"")</f>
        <v>95.04</v>
      </c>
      <c r="Z504" s="39">
        <f t="shared" ref="Z504:Z509" si="79">IFERROR(IF(Y504=0,"",ROUNDUP(Y504/H504,0)*0.01196),"")</f>
        <v>0.21528</v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95.965909090909079</v>
      </c>
      <c r="BN504" s="75">
        <f t="shared" ref="BN504:BN512" si="81">IFERROR(Y504*I504/H504,"0")</f>
        <v>101.33999999999999</v>
      </c>
      <c r="BO504" s="75">
        <f t="shared" ref="BO504:BO512" si="82">IFERROR(1/J504*(X504/H504),"0")</f>
        <v>0.16389860139860138</v>
      </c>
      <c r="BP504" s="75">
        <f t="shared" ref="BP504:BP512" si="83">IFERROR(1/J504*(Y504/H504),"0")</f>
        <v>0.17307692307692307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500</v>
      </c>
      <c r="Y509" s="53">
        <f t="shared" si="78"/>
        <v>501.6</v>
      </c>
      <c r="Z509" s="39">
        <f t="shared" si="79"/>
        <v>1.1362000000000001</v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533.14393939393938</v>
      </c>
      <c r="BN509" s="75">
        <f t="shared" si="81"/>
        <v>534.85</v>
      </c>
      <c r="BO509" s="75">
        <f t="shared" si="82"/>
        <v>0.91054778554778548</v>
      </c>
      <c r="BP509" s="75">
        <f t="shared" si="83"/>
        <v>0.91346153846153855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60</v>
      </c>
      <c r="Y511" s="53">
        <f t="shared" si="78"/>
        <v>62.4</v>
      </c>
      <c r="Z511" s="39">
        <f>IFERROR(IF(Y511=0,"",ROUNDUP(Y511/H511,0)*0.00902),"")</f>
        <v>0.11726</v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86.375000000000014</v>
      </c>
      <c r="BN511" s="75">
        <f t="shared" si="81"/>
        <v>89.830000000000013</v>
      </c>
      <c r="BO511" s="75">
        <f t="shared" si="82"/>
        <v>9.4696969696969696E-2</v>
      </c>
      <c r="BP511" s="75">
        <f t="shared" si="83"/>
        <v>9.8484848484848481E-2</v>
      </c>
    </row>
    <row r="512" spans="1:68" ht="27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360</v>
      </c>
      <c r="Y512" s="53">
        <f t="shared" si="78"/>
        <v>360</v>
      </c>
      <c r="Z512" s="39">
        <f>IFERROR(IF(Y512=0,"",ROUNDUP(Y512/H512,0)*0.00902),"")</f>
        <v>0.67649999999999999</v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518.25</v>
      </c>
      <c r="BN512" s="75">
        <f t="shared" si="81"/>
        <v>518.25</v>
      </c>
      <c r="BO512" s="75">
        <f t="shared" si="82"/>
        <v>0.56818181818181823</v>
      </c>
      <c r="BP512" s="75">
        <f t="shared" si="83"/>
        <v>0.56818181818181823</v>
      </c>
    </row>
    <row r="513" spans="1:68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199.24242424242425</v>
      </c>
      <c r="Y513" s="41">
        <f>IFERROR(Y504/H504,"0")+IFERROR(Y505/H505,"0")+IFERROR(Y506/H506,"0")+IFERROR(Y507/H507,"0")+IFERROR(Y508/H508,"0")+IFERROR(Y509/H509,"0")+IFERROR(Y510/H510,"0")+IFERROR(Y511/H511,"0")+IFERROR(Y512/H512,"0")</f>
        <v>201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2.1452399999999998</v>
      </c>
      <c r="AA513" s="64"/>
      <c r="AB513" s="64"/>
      <c r="AC513" s="64"/>
    </row>
    <row r="514" spans="1:68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1010</v>
      </c>
      <c r="Y514" s="41">
        <f>IFERROR(SUM(Y504:Y512),"0")</f>
        <v>1019.04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260</v>
      </c>
      <c r="Y516" s="53">
        <f>IFERROR(IF(X516="",0,CEILING((X516/$H516),1)*$H516),"")</f>
        <v>264</v>
      </c>
      <c r="Z516" s="39">
        <f>IFERROR(IF(Y516=0,"",ROUNDUP(Y516/H516,0)*0.01196),"")</f>
        <v>0.59799999999999998</v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277.23484848484844</v>
      </c>
      <c r="BN516" s="75">
        <f>IFERROR(Y516*I516/H516,"0")</f>
        <v>281.5</v>
      </c>
      <c r="BO516" s="75">
        <f>IFERROR(1/J516*(X516/H516),"0")</f>
        <v>0.47348484848484851</v>
      </c>
      <c r="BP516" s="75">
        <f>IFERROR(1/J516*(Y516/H516),"0")</f>
        <v>0.48076923076923078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132</v>
      </c>
      <c r="Y518" s="53">
        <f>IFERROR(IF(X518="",0,CEILING((X518/$H518),1)*$H518),"")</f>
        <v>134.4</v>
      </c>
      <c r="Z518" s="39">
        <f>IFERROR(IF(Y518=0,"",ROUNDUP(Y518/H518,0)*0.00902),"")</f>
        <v>0.25256000000000001</v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190.02500000000001</v>
      </c>
      <c r="BN518" s="75">
        <f>IFERROR(Y518*I518/H518,"0")</f>
        <v>193.48000000000002</v>
      </c>
      <c r="BO518" s="75">
        <f>IFERROR(1/J518*(X518/H518),"0")</f>
        <v>0.20833333333333334</v>
      </c>
      <c r="BP518" s="75">
        <f>IFERROR(1/J518*(Y518/H518),"0")</f>
        <v>0.21212121212121215</v>
      </c>
    </row>
    <row r="519" spans="1:68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76.742424242424249</v>
      </c>
      <c r="Y519" s="41">
        <f>IFERROR(Y516/H516,"0")+IFERROR(Y517/H517,"0")+IFERROR(Y518/H518,"0")</f>
        <v>78</v>
      </c>
      <c r="Z519" s="41">
        <f>IFERROR(IF(Z516="",0,Z516),"0")+IFERROR(IF(Z517="",0,Z517),"0")+IFERROR(IF(Z518="",0,Z518),"0")</f>
        <v>0.85055999999999998</v>
      </c>
      <c r="AA519" s="64"/>
      <c r="AB519" s="64"/>
      <c r="AC519" s="64"/>
    </row>
    <row r="520" spans="1:68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392</v>
      </c>
      <c r="Y520" s="41">
        <f>IFERROR(SUM(Y516:Y518),"0")</f>
        <v>398.4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220</v>
      </c>
      <c r="Y524" s="53">
        <f t="shared" si="84"/>
        <v>221.76000000000002</v>
      </c>
      <c r="Z524" s="39">
        <f>IFERROR(IF(Y524=0,"",ROUNDUP(Y524/H524,0)*0.01196),"")</f>
        <v>0.50231999999999999</v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234.58333333333331</v>
      </c>
      <c r="BN524" s="75">
        <f t="shared" si="86"/>
        <v>236.46</v>
      </c>
      <c r="BO524" s="75">
        <f t="shared" si="87"/>
        <v>0.40064102564102566</v>
      </c>
      <c r="BP524" s="75">
        <f t="shared" si="88"/>
        <v>0.40384615384615385</v>
      </c>
    </row>
    <row r="525" spans="1:68" ht="27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120</v>
      </c>
      <c r="Y525" s="53">
        <f t="shared" si="84"/>
        <v>120</v>
      </c>
      <c r="Z525" s="39">
        <f>IFERROR(IF(Y525=0,"",ROUNDUP(Y525/H525,0)*0.00902),"")</f>
        <v>0.22550000000000001</v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172.75000000000003</v>
      </c>
      <c r="BN525" s="75">
        <f t="shared" si="86"/>
        <v>172.75000000000003</v>
      </c>
      <c r="BO525" s="75">
        <f t="shared" si="87"/>
        <v>0.18939393939393939</v>
      </c>
      <c r="BP525" s="75">
        <f t="shared" si="88"/>
        <v>0.18939393939393939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300</v>
      </c>
      <c r="Y528" s="53">
        <f t="shared" si="84"/>
        <v>302.39999999999998</v>
      </c>
      <c r="Z528" s="39">
        <f>IFERROR(IF(Y528=0,"",ROUNDUP(Y528/H528,0)*0.00902),"")</f>
        <v>0.56825999999999999</v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416.875</v>
      </c>
      <c r="BN528" s="75">
        <f t="shared" si="86"/>
        <v>420.21</v>
      </c>
      <c r="BO528" s="75">
        <f t="shared" si="87"/>
        <v>0.47348484848484851</v>
      </c>
      <c r="BP528" s="75">
        <f t="shared" si="88"/>
        <v>0.47727272727272729</v>
      </c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129.16666666666666</v>
      </c>
      <c r="Y529" s="41">
        <f>IFERROR(Y522/H522,"0")+IFERROR(Y523/H523,"0")+IFERROR(Y524/H524,"0")+IFERROR(Y525/H525,"0")+IFERROR(Y526/H526,"0")+IFERROR(Y527/H527,"0")+IFERROR(Y528/H528,"0")</f>
        <v>130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1.2960799999999999</v>
      </c>
      <c r="AA529" s="64"/>
      <c r="AB529" s="64"/>
      <c r="AC529" s="64"/>
    </row>
    <row r="530" spans="1:68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640</v>
      </c>
      <c r="Y530" s="41">
        <f>IFERROR(SUM(Y522:Y528),"0")</f>
        <v>644.16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300</v>
      </c>
      <c r="Y534" s="53">
        <f>IFERROR(IF(X534="",0,CEILING((X534/$H534),1)*$H534),"")</f>
        <v>300</v>
      </c>
      <c r="Z534" s="39">
        <f>IFERROR(IF(Y534=0,"",ROUNDUP(Y534/H534,0)*0.01898),"")</f>
        <v>0.47450000000000003</v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310.25</v>
      </c>
      <c r="BN534" s="75">
        <f>IFERROR(Y534*I534/H534,"0")</f>
        <v>310.25</v>
      </c>
      <c r="BO534" s="75">
        <f>IFERROR(1/J534*(X534/H534),"0")</f>
        <v>0.390625</v>
      </c>
      <c r="BP534" s="75">
        <f>IFERROR(1/J534*(Y534/H534),"0")</f>
        <v>0.390625</v>
      </c>
    </row>
    <row r="535" spans="1:68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25</v>
      </c>
      <c r="Y535" s="41">
        <f>IFERROR(Y534/H534,"0")</f>
        <v>25</v>
      </c>
      <c r="Z535" s="41">
        <f>IFERROR(IF(Z534="",0,Z534),"0")</f>
        <v>0.47450000000000003</v>
      </c>
      <c r="AA535" s="64"/>
      <c r="AB535" s="64"/>
      <c r="AC535" s="64"/>
    </row>
    <row r="536" spans="1:68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300</v>
      </c>
      <c r="Y536" s="41">
        <f>IFERROR(SUM(Y534:Y534),"0")</f>
        <v>300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20</v>
      </c>
      <c r="Y546" s="53">
        <f>IFERROR(IF(X546="",0,CEILING((X546/$H546),1)*$H546),"")</f>
        <v>27</v>
      </c>
      <c r="Z546" s="39">
        <f>IFERROR(IF(Y546=0,"",ROUNDUP(Y546/H546,0)*0.01898),"")</f>
        <v>5.6940000000000004E-2</v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21.097777777777779</v>
      </c>
      <c r="BN546" s="75">
        <f>IFERROR(Y546*I546/H546,"0")</f>
        <v>28.481999999999996</v>
      </c>
      <c r="BO546" s="75">
        <f>IFERROR(1/J546*(X546/H546),"0")</f>
        <v>3.4722222222222224E-2</v>
      </c>
      <c r="BP546" s="75">
        <f>IFERROR(1/J546*(Y546/H546),"0")</f>
        <v>4.6875E-2</v>
      </c>
    </row>
    <row r="547" spans="1:68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2.2222222222222223</v>
      </c>
      <c r="Y547" s="41">
        <f>IFERROR(Y546/H546,"0")</f>
        <v>3</v>
      </c>
      <c r="Z547" s="41">
        <f>IFERROR(IF(Z546="",0,Z546),"0")</f>
        <v>5.6940000000000004E-2</v>
      </c>
      <c r="AA547" s="64"/>
      <c r="AB547" s="64"/>
      <c r="AC547" s="64"/>
    </row>
    <row r="548" spans="1:68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20</v>
      </c>
      <c r="Y548" s="41">
        <f>IFERROR(SUM(Y546:Y546),"0")</f>
        <v>27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17569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17700.500000000004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18882.029942547866</v>
      </c>
      <c r="Y560" s="41">
        <f>IFERROR(SUM(BN22:BN556),"0")</f>
        <v>19023.183000000001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31</v>
      </c>
      <c r="Y561" s="42">
        <f>ROUNDUP(SUM(BP22:BP556),0)</f>
        <v>32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19657.029942547866</v>
      </c>
      <c r="Y562" s="41">
        <f>GrossWeightTotalR+PalletQtyTotalR*25</f>
        <v>19823.183000000001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3782.6871927561588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3804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36.673989999999996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32.64</v>
      </c>
      <c r="D569" s="50">
        <f>IFERROR(Y47*1,"0")+IFERROR(Y48*1,"0")+IFERROR(Y49*1,"0")+IFERROR(Y50*1,"0")</f>
        <v>756.40000000000009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1102.5000000000002</v>
      </c>
      <c r="F569" s="50">
        <f>IFERROR(Y87*1,"0")+IFERROR(Y88*1,"0")+IFERROR(Y89*1,"0")+IFERROR(Y90*1,"0")+IFERROR(Y91*1,"0")+IFERROR(Y95*1,"0")+IFERROR(Y96*1,"0")+IFERROR(Y97*1,"0")+IFERROR(Y98*1,"0")</f>
        <v>1878.3000000000002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2350.2599999999998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1204.56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284.34000000000003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2555.6999999999998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142.19999999999999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120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1173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3648</v>
      </c>
      <c r="X569" s="50">
        <f>IFERROR(Y460*1,"0")+IFERROR(Y461*1,"0")+IFERROR(Y465*1,"0")+IFERROR(Y469*1,"0")+IFERROR(Y470*1,"0")+IFERROR(Y471*1,"0")</f>
        <v>64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2061.6</v>
      </c>
      <c r="AB569" s="50">
        <f>IFERROR(Y534*1,"0")+IFERROR(Y538*1,"0")+IFERROR(Y542*1,"0")+IFERROR(Y546*1,"0")+IFERROR(Y550*1,"0")+IFERROR(Y551*1,"0")</f>
        <v>327</v>
      </c>
      <c r="AC569" s="50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035,00"/>
        <filter val="1 120,00"/>
        <filter val="1 150,00"/>
        <filter val="1 204,00"/>
        <filter val="1 220,00"/>
        <filter val="1 270,00"/>
        <filter val="1 360,00"/>
        <filter val="100,00"/>
        <filter val="11,11"/>
        <filter val="116,30"/>
        <filter val="118,52"/>
        <filter val="12,00"/>
        <filter val="120,00"/>
        <filter val="129,17"/>
        <filter val="132,00"/>
        <filter val="132,41"/>
        <filter val="138,83"/>
        <filter val="150,00"/>
        <filter val="16,67"/>
        <filter val="17 569,00"/>
        <filter val="18 882,03"/>
        <filter val="180,00"/>
        <filter val="19 657,03"/>
        <filter val="199,24"/>
        <filter val="199,33"/>
        <filter val="2 000,00"/>
        <filter val="2 930,00"/>
        <filter val="2,22"/>
        <filter val="2,56"/>
        <filter val="20,00"/>
        <filter val="20,17"/>
        <filter val="200,00"/>
        <filter val="21,72"/>
        <filter val="220,00"/>
        <filter val="23,33"/>
        <filter val="230,00"/>
        <filter val="25,00"/>
        <filter val="250,00"/>
        <filter val="251,85"/>
        <filter val="252,00"/>
        <filter val="260,00"/>
        <filter val="28,00"/>
        <filter val="3 782,69"/>
        <filter val="30,00"/>
        <filter val="300,00"/>
        <filter val="31"/>
        <filter val="315,00"/>
        <filter val="315,77"/>
        <filter val="32,00"/>
        <filter val="328,40"/>
        <filter val="350,00"/>
        <filter val="360,00"/>
        <filter val="39,00"/>
        <filter val="392,00"/>
        <filter val="4,00"/>
        <filter val="40,00"/>
        <filter val="400,00"/>
        <filter val="42,00"/>
        <filter val="42,06"/>
        <filter val="422,53"/>
        <filter val="43,00"/>
        <filter val="448,00"/>
        <filter val="450,00"/>
        <filter val="5,56"/>
        <filter val="50,00"/>
        <filter val="500,00"/>
        <filter val="504,00"/>
        <filter val="52,38"/>
        <filter val="53,00"/>
        <filter val="6,00"/>
        <filter val="6,67"/>
        <filter val="60,00"/>
        <filter val="600,00"/>
        <filter val="64,00"/>
        <filter val="640,00"/>
        <filter val="650,00"/>
        <filter val="7,00"/>
        <filter val="70,00"/>
        <filter val="716,67"/>
        <filter val="720,00"/>
        <filter val="73,15"/>
        <filter val="75,00"/>
        <filter val="750,00"/>
        <filter val="76,74"/>
        <filter val="8,33"/>
        <filter val="800,00"/>
        <filter val="815,00"/>
        <filter val="90,00"/>
        <filter val="900,00"/>
        <filter val="945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9" spans="2:8" x14ac:dyDescent="0.2">
      <c r="B9" s="51" t="s">
        <v>880</v>
      </c>
      <c r="C9" s="51" t="s">
        <v>875</v>
      </c>
      <c r="D9" s="51" t="s">
        <v>46</v>
      </c>
      <c r="E9" s="51" t="s">
        <v>46</v>
      </c>
    </row>
    <row r="11" spans="2:8" x14ac:dyDescent="0.2">
      <c r="B11" s="51" t="s">
        <v>880</v>
      </c>
      <c r="C11" s="51" t="s">
        <v>878</v>
      </c>
      <c r="D11" s="51" t="s">
        <v>46</v>
      </c>
      <c r="E11" s="51" t="s">
        <v>46</v>
      </c>
    </row>
    <row r="13" spans="2:8" x14ac:dyDescent="0.2">
      <c r="B13" s="51" t="s">
        <v>881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891</v>
      </c>
      <c r="C23" s="51" t="s">
        <v>46</v>
      </c>
      <c r="D23" s="51" t="s">
        <v>46</v>
      </c>
      <c r="E23" s="51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