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1388BA-4A3F-475E-A43E-9678E4C598D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N534" i="2"/>
  <c r="BM534" i="2"/>
  <c r="Z534" i="2"/>
  <c r="Z535" i="2" s="1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N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Z487" i="2"/>
  <c r="Y487" i="2"/>
  <c r="BP487" i="2" s="1"/>
  <c r="P487" i="2"/>
  <c r="BO486" i="2"/>
  <c r="BM486" i="2"/>
  <c r="Y486" i="2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N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N417" i="2"/>
  <c r="BM417" i="2"/>
  <c r="Y417" i="2"/>
  <c r="BP417" i="2" s="1"/>
  <c r="P417" i="2"/>
  <c r="X414" i="2"/>
  <c r="X413" i="2"/>
  <c r="BP412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P397" i="2"/>
  <c r="BO397" i="2"/>
  <c r="BM397" i="2"/>
  <c r="Z397" i="2"/>
  <c r="Y397" i="2"/>
  <c r="BN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P385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N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P365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N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N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N309" i="2"/>
  <c r="BM309" i="2"/>
  <c r="Y309" i="2"/>
  <c r="BP309" i="2" s="1"/>
  <c r="P309" i="2"/>
  <c r="BO308" i="2"/>
  <c r="BM308" i="2"/>
  <c r="Y308" i="2"/>
  <c r="BN308" i="2" s="1"/>
  <c r="P308" i="2"/>
  <c r="BP307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P275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P252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P242" i="2"/>
  <c r="BO242" i="2"/>
  <c r="BM242" i="2"/>
  <c r="Y242" i="2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N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Y201" i="2"/>
  <c r="X201" i="2"/>
  <c r="X200" i="2"/>
  <c r="BO199" i="2"/>
  <c r="BN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P128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P121" i="2"/>
  <c r="BO121" i="2"/>
  <c r="BM121" i="2"/>
  <c r="Y121" i="2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P111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N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P75" i="2"/>
  <c r="BO75" i="2"/>
  <c r="BM75" i="2"/>
  <c r="Y75" i="2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P50" i="2"/>
  <c r="BO50" i="2"/>
  <c r="BM50" i="2"/>
  <c r="Z50" i="2"/>
  <c r="Y50" i="2"/>
  <c r="BN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N232" i="2" l="1"/>
  <c r="BP276" i="2"/>
  <c r="Y488" i="2"/>
  <c r="BP496" i="2"/>
  <c r="BN122" i="2"/>
  <c r="Y136" i="2"/>
  <c r="BN223" i="2"/>
  <c r="Z309" i="2"/>
  <c r="Z347" i="2"/>
  <c r="BN116" i="2"/>
  <c r="BP285" i="2"/>
  <c r="BN134" i="2"/>
  <c r="BP229" i="2"/>
  <c r="Z246" i="2"/>
  <c r="BP266" i="2"/>
  <c r="BN400" i="2"/>
  <c r="Z436" i="2"/>
  <c r="BP152" i="2"/>
  <c r="BN298" i="2"/>
  <c r="BP306" i="2"/>
  <c r="BN436" i="2"/>
  <c r="BN106" i="2"/>
  <c r="Z111" i="2"/>
  <c r="BP291" i="2"/>
  <c r="BN432" i="2"/>
  <c r="Y254" i="2"/>
  <c r="Z336" i="2"/>
  <c r="BN48" i="2"/>
  <c r="BN68" i="2"/>
  <c r="BN238" i="2"/>
  <c r="BN278" i="2"/>
  <c r="BN424" i="2"/>
  <c r="BN546" i="2"/>
  <c r="BN288" i="2"/>
  <c r="Z288" i="2"/>
  <c r="Z378" i="2"/>
  <c r="BP542" i="2"/>
  <c r="BP527" i="2"/>
  <c r="BN526" i="2"/>
  <c r="BN524" i="2"/>
  <c r="Z522" i="2"/>
  <c r="BP512" i="2"/>
  <c r="Z512" i="2"/>
  <c r="BN511" i="2"/>
  <c r="Z506" i="2"/>
  <c r="Z498" i="2"/>
  <c r="BN487" i="2"/>
  <c r="BP479" i="2"/>
  <c r="BP478" i="2"/>
  <c r="Y483" i="2"/>
  <c r="BN460" i="2"/>
  <c r="Z450" i="2"/>
  <c r="BP448" i="2"/>
  <c r="BN442" i="2"/>
  <c r="BN425" i="2"/>
  <c r="BP418" i="2"/>
  <c r="BN410" i="2"/>
  <c r="BN406" i="2"/>
  <c r="Y402" i="2"/>
  <c r="BN391" i="2"/>
  <c r="Z387" i="2"/>
  <c r="BP386" i="2"/>
  <c r="BN378" i="2"/>
  <c r="BP376" i="2"/>
  <c r="BN347" i="2"/>
  <c r="BP330" i="2"/>
  <c r="BP329" i="2"/>
  <c r="BN321" i="2"/>
  <c r="BN293" i="2"/>
  <c r="BP286" i="2"/>
  <c r="BP243" i="2"/>
  <c r="BP239" i="2"/>
  <c r="BN234" i="2"/>
  <c r="BP233" i="2"/>
  <c r="BN227" i="2"/>
  <c r="BN224" i="2"/>
  <c r="BN211" i="2"/>
  <c r="BP208" i="2"/>
  <c r="Z207" i="2"/>
  <c r="BN189" i="2"/>
  <c r="BP184" i="2"/>
  <c r="BN178" i="2"/>
  <c r="BP164" i="2"/>
  <c r="I569" i="2"/>
  <c r="BN151" i="2"/>
  <c r="Z134" i="2"/>
  <c r="BP107" i="2"/>
  <c r="Z105" i="2"/>
  <c r="BP105" i="2"/>
  <c r="BP96" i="2"/>
  <c r="Z90" i="2"/>
  <c r="BP90" i="2"/>
  <c r="Z89" i="2"/>
  <c r="Y84" i="2"/>
  <c r="Z82" i="2"/>
  <c r="BN80" i="2"/>
  <c r="Z68" i="2"/>
  <c r="BP63" i="2"/>
  <c r="BN57" i="2"/>
  <c r="Z48" i="2"/>
  <c r="BP38" i="2"/>
  <c r="Z38" i="2"/>
  <c r="X563" i="2"/>
  <c r="BN28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Z135" i="2" s="1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2" i="2" s="1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Z263" i="2" s="1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Z83" i="2" s="1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60" i="2"/>
  <c r="Z70" i="2"/>
  <c r="BP95" i="2"/>
  <c r="Z104" i="2"/>
  <c r="Z124" i="2"/>
  <c r="Y129" i="2"/>
  <c r="BP139" i="2"/>
  <c r="BP163" i="2"/>
  <c r="Z171" i="2"/>
  <c r="Z181" i="2"/>
  <c r="Z191" i="2"/>
  <c r="Z192" i="2" s="1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472" i="2" l="1"/>
  <c r="Z394" i="2"/>
  <c r="Z371" i="2"/>
  <c r="Z51" i="2"/>
  <c r="Z529" i="2"/>
  <c r="Z426" i="2"/>
  <c r="Z388" i="2"/>
  <c r="Z381" i="2"/>
  <c r="Z353" i="2"/>
  <c r="Z348" i="2"/>
  <c r="Z299" i="2"/>
  <c r="Z253" i="2"/>
  <c r="Z247" i="2"/>
  <c r="Z172" i="2"/>
  <c r="Z140" i="2"/>
  <c r="Z125" i="2"/>
  <c r="Z72" i="2"/>
  <c r="Z42" i="2"/>
  <c r="X562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<sst xmlns="http://schemas.openxmlformats.org/spreadsheetml/2006/main" count="4287" uniqueCount="893">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</sst>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175" sqref="AA17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892</v>
      </c>
      <c r="I5" s="993"/>
      <c r="J5" s="993"/>
      <c r="K5" s="993"/>
      <c r="L5" s="993"/>
      <c r="M5" s="993"/>
      <c r="N5" s="69"/>
      <c r="P5" s="26" t="s">
        <v>4</v>
      </c>
      <c r="Q5" s="995">
        <v>46297</v>
      </c>
      <c r="R5" s="995"/>
      <c r="T5" s="996" t="s">
        <v>3</v>
      </c>
      <c r="U5" s="997"/>
      <c r="V5" s="998" t="s">
        <v>873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 t="s">
        <v>874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Пятница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 t="str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8.3333333333333329E-2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1">
        <v>4680115881426</v>
      </c>
      <c r="E57" s="66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1">
        <v>4680115880283</v>
      </c>
      <c r="E58" s="66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1">
        <v>4680115881525</v>
      </c>
      <c r="E59" s="661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1">
        <v>4680115881525</v>
      </c>
      <c r="E60" s="66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1">
        <v>4680115885899</v>
      </c>
      <c r="E61" s="66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661">
        <v>4680115881419</v>
      </c>
      <c r="E62" s="66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1">
        <v>4680115881419</v>
      </c>
      <c r="E63" s="661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8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52"/>
      <c r="P65" s="648" t="s">
        <v>40</v>
      </c>
      <c r="Q65" s="649"/>
      <c r="R65" s="649"/>
      <c r="S65" s="649"/>
      <c r="T65" s="649"/>
      <c r="U65" s="649"/>
      <c r="V65" s="650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660" t="s">
        <v>159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3"/>
      <c r="AB66" s="63"/>
      <c r="AC66" s="63"/>
    </row>
    <row r="67" spans="1:68" ht="16.5" hidden="1" customHeight="1" x14ac:dyDescent="0.25">
      <c r="A67" s="60" t="s">
        <v>160</v>
      </c>
      <c r="B67" s="60" t="s">
        <v>161</v>
      </c>
      <c r="C67" s="34">
        <v>4301020298</v>
      </c>
      <c r="D67" s="661">
        <v>4680115881440</v>
      </c>
      <c r="E67" s="661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1">
        <v>4680115881440</v>
      </c>
      <c r="E68" s="661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1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1">
        <v>4680115885950</v>
      </c>
      <c r="E69" s="661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1">
        <v>4680115887688</v>
      </c>
      <c r="E70" s="661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170</v>
      </c>
      <c r="B71" s="60" t="s">
        <v>171</v>
      </c>
      <c r="C71" s="34">
        <v>4301020389</v>
      </c>
      <c r="D71" s="661">
        <v>4680115881433</v>
      </c>
      <c r="E71" s="661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2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164</v>
      </c>
      <c r="AG71" s="75"/>
      <c r="AJ71" s="79" t="s">
        <v>46</v>
      </c>
      <c r="AK71" s="79">
        <v>0</v>
      </c>
      <c r="BB71" s="140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">
      <c r="A72" s="651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52"/>
      <c r="P72" s="648" t="s">
        <v>40</v>
      </c>
      <c r="Q72" s="649"/>
      <c r="R72" s="649"/>
      <c r="S72" s="649"/>
      <c r="T72" s="649"/>
      <c r="U72" s="649"/>
      <c r="V72" s="650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2"/>
      <c r="P73" s="648" t="s">
        <v>40</v>
      </c>
      <c r="Q73" s="649"/>
      <c r="R73" s="649"/>
      <c r="S73" s="649"/>
      <c r="T73" s="649"/>
      <c r="U73" s="649"/>
      <c r="V73" s="650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660" t="s">
        <v>86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3"/>
      <c r="AB74" s="63"/>
      <c r="AC74" s="63"/>
    </row>
    <row r="75" spans="1:68" ht="16.5" hidden="1" customHeight="1" x14ac:dyDescent="0.25">
      <c r="A75" s="60" t="s">
        <v>172</v>
      </c>
      <c r="B75" s="60" t="s">
        <v>173</v>
      </c>
      <c r="C75" s="34">
        <v>4301051837</v>
      </c>
      <c r="D75" s="661">
        <v>4680115884311</v>
      </c>
      <c r="E75" s="661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91</v>
      </c>
      <c r="L75" s="35" t="s">
        <v>46</v>
      </c>
      <c r="M75" s="36" t="s">
        <v>90</v>
      </c>
      <c r="N75" s="36"/>
      <c r="O75" s="35">
        <v>40</v>
      </c>
      <c r="P75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174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175</v>
      </c>
      <c r="B76" s="60" t="s">
        <v>176</v>
      </c>
      <c r="C76" s="34">
        <v>4301052083</v>
      </c>
      <c r="D76" s="661">
        <v>4680115884403</v>
      </c>
      <c r="E76" s="66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2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177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51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52"/>
      <c r="P77" s="648" t="s">
        <v>40</v>
      </c>
      <c r="Q77" s="649"/>
      <c r="R77" s="649"/>
      <c r="S77" s="649"/>
      <c r="T77" s="649"/>
      <c r="U77" s="649"/>
      <c r="V77" s="650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52"/>
      <c r="P78" s="648" t="s">
        <v>40</v>
      </c>
      <c r="Q78" s="649"/>
      <c r="R78" s="649"/>
      <c r="S78" s="649"/>
      <c r="T78" s="649"/>
      <c r="U78" s="649"/>
      <c r="V78" s="650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660" t="s">
        <v>178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3"/>
      <c r="AB79" s="63"/>
      <c r="AC79" s="63"/>
    </row>
    <row r="80" spans="1:68" ht="27" hidden="1" customHeight="1" x14ac:dyDescent="0.25">
      <c r="A80" s="60" t="s">
        <v>179</v>
      </c>
      <c r="B80" s="60" t="s">
        <v>180</v>
      </c>
      <c r="C80" s="34">
        <v>4301060455</v>
      </c>
      <c r="D80" s="661">
        <v>4680115881532</v>
      </c>
      <c r="E80" s="661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127</v>
      </c>
      <c r="L80" s="35" t="s">
        <v>46</v>
      </c>
      <c r="M80" s="36" t="s">
        <v>97</v>
      </c>
      <c r="N80" s="36"/>
      <c r="O80" s="35">
        <v>30</v>
      </c>
      <c r="P80" s="9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179</v>
      </c>
      <c r="B81" s="60" t="s">
        <v>182</v>
      </c>
      <c r="C81" s="34">
        <v>4301060526</v>
      </c>
      <c r="D81" s="661">
        <v>4680115881532</v>
      </c>
      <c r="E81" s="661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181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183</v>
      </c>
      <c r="B82" s="60" t="s">
        <v>184</v>
      </c>
      <c r="C82" s="34">
        <v>4301060527</v>
      </c>
      <c r="D82" s="661">
        <v>4680115881464</v>
      </c>
      <c r="E82" s="661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134</v>
      </c>
      <c r="L82" s="35" t="s">
        <v>46</v>
      </c>
      <c r="M82" s="36" t="s">
        <v>90</v>
      </c>
      <c r="N82" s="36"/>
      <c r="O82" s="35">
        <v>30</v>
      </c>
      <c r="P82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185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51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52"/>
      <c r="P83" s="648" t="s">
        <v>40</v>
      </c>
      <c r="Q83" s="649"/>
      <c r="R83" s="649"/>
      <c r="S83" s="649"/>
      <c r="T83" s="649"/>
      <c r="U83" s="649"/>
      <c r="V83" s="650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667" t="s">
        <v>186</v>
      </c>
      <c r="B85" s="667"/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2"/>
      <c r="AB85" s="62"/>
      <c r="AC85" s="62"/>
    </row>
    <row r="86" spans="1:68" ht="14.25" hidden="1" customHeight="1" x14ac:dyDescent="0.25">
      <c r="A86" s="660" t="s">
        <v>122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3"/>
      <c r="AB86" s="63"/>
      <c r="AC86" s="63"/>
    </row>
    <row r="87" spans="1:68" ht="27" hidden="1" customHeight="1" x14ac:dyDescent="0.25">
      <c r="A87" s="60" t="s">
        <v>187</v>
      </c>
      <c r="B87" s="60" t="s">
        <v>188</v>
      </c>
      <c r="C87" s="34">
        <v>4301011468</v>
      </c>
      <c r="D87" s="661">
        <v>4680115881327</v>
      </c>
      <c r="E87" s="661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127</v>
      </c>
      <c r="L87" s="35" t="s">
        <v>46</v>
      </c>
      <c r="M87" s="36" t="s">
        <v>97</v>
      </c>
      <c r="N87" s="36"/>
      <c r="O87" s="35">
        <v>50</v>
      </c>
      <c r="P87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4301012392</v>
      </c>
      <c r="D88" s="661">
        <v>4680115887732</v>
      </c>
      <c r="E88" s="661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131</v>
      </c>
      <c r="L88" s="35" t="s">
        <v>46</v>
      </c>
      <c r="M88" s="36" t="s">
        <v>81</v>
      </c>
      <c r="N88" s="36"/>
      <c r="O88" s="35">
        <v>30</v>
      </c>
      <c r="P88" s="915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192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4301011476</v>
      </c>
      <c r="D89" s="661">
        <v>4680115881518</v>
      </c>
      <c r="E89" s="661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134</v>
      </c>
      <c r="L89" s="35" t="s">
        <v>46</v>
      </c>
      <c r="M89" s="36" t="s">
        <v>90</v>
      </c>
      <c r="N89" s="36"/>
      <c r="O89" s="35">
        <v>50</v>
      </c>
      <c r="P89" s="9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189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4301012252</v>
      </c>
      <c r="D90" s="661">
        <v>4680115881518</v>
      </c>
      <c r="E90" s="661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189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4301012250</v>
      </c>
      <c r="D91" s="661">
        <v>4680115881303</v>
      </c>
      <c r="E91" s="661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189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660" t="s">
        <v>86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4301052101</v>
      </c>
      <c r="D95" s="661">
        <v>4607091386967</v>
      </c>
      <c r="E95" s="661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127</v>
      </c>
      <c r="L95" s="35" t="s">
        <v>46</v>
      </c>
      <c r="M95" s="36" t="s">
        <v>97</v>
      </c>
      <c r="N95" s="36"/>
      <c r="O95" s="35">
        <v>45</v>
      </c>
      <c r="P95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4301052090</v>
      </c>
      <c r="D96" s="661">
        <v>4680115884953</v>
      </c>
      <c r="E96" s="66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204</v>
      </c>
      <c r="B97" s="60" t="s">
        <v>205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200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210</v>
      </c>
      <c r="B104" s="60" t="s">
        <v>213</v>
      </c>
      <c r="C104" s="34">
        <v>4301012256</v>
      </c>
      <c r="D104" s="661">
        <v>4680115882133</v>
      </c>
      <c r="E104" s="661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89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4301012379</v>
      </c>
      <c r="D105" s="661">
        <v>4680115887718</v>
      </c>
      <c r="E105" s="661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89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1">
        <v>4680115880269</v>
      </c>
      <c r="E106" s="661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212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4301012253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214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4301012254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4301011462</v>
      </c>
      <c r="D109" s="661">
        <v>4680115881457</v>
      </c>
      <c r="E109" s="661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212</v>
      </c>
      <c r="AG109" s="75"/>
      <c r="AJ109" s="79" t="s">
        <v>46</v>
      </c>
      <c r="AK109" s="79">
        <v>0</v>
      </c>
      <c r="BB109" s="182" t="s">
        <v>67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4301012255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214</v>
      </c>
      <c r="AG110" s="75"/>
      <c r="AJ110" s="79" t="s">
        <v>46</v>
      </c>
      <c r="AK110" s="79">
        <v>0</v>
      </c>
      <c r="BB110" s="184" t="s">
        <v>67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226</v>
      </c>
      <c r="B111" s="60" t="s">
        <v>227</v>
      </c>
      <c r="C111" s="34">
        <v>4301012366</v>
      </c>
      <c r="D111" s="661">
        <v>4680115889477</v>
      </c>
      <c r="E111" s="6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91</v>
      </c>
      <c r="L111" s="35" t="s">
        <v>46</v>
      </c>
      <c r="M111" s="36" t="s">
        <v>126</v>
      </c>
      <c r="N111" s="36"/>
      <c r="O111" s="35">
        <v>55</v>
      </c>
      <c r="P111" s="89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228</v>
      </c>
      <c r="AG111" s="75"/>
      <c r="AJ111" s="79" t="s">
        <v>46</v>
      </c>
      <c r="AK111" s="79">
        <v>0</v>
      </c>
      <c r="BB111" s="186" t="s">
        <v>67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651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52"/>
      <c r="P113" s="648" t="s">
        <v>40</v>
      </c>
      <c r="Q113" s="649"/>
      <c r="R113" s="649"/>
      <c r="S113" s="649"/>
      <c r="T113" s="649"/>
      <c r="U113" s="649"/>
      <c r="V113" s="650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660" t="s">
        <v>159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3"/>
      <c r="AB114" s="63"/>
      <c r="AC114" s="63"/>
    </row>
    <row r="115" spans="1:68" ht="27" hidden="1" customHeight="1" x14ac:dyDescent="0.25">
      <c r="A115" s="60" t="s">
        <v>229</v>
      </c>
      <c r="B115" s="60" t="s">
        <v>230</v>
      </c>
      <c r="C115" s="34">
        <v>4301020391</v>
      </c>
      <c r="D115" s="661">
        <v>4680115881488</v>
      </c>
      <c r="E115" s="661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4301020393</v>
      </c>
      <c r="D116" s="661">
        <v>4680115882775</v>
      </c>
      <c r="E116" s="661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126</v>
      </c>
      <c r="N116" s="36"/>
      <c r="O116" s="35">
        <v>55</v>
      </c>
      <c r="P116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4301020392</v>
      </c>
      <c r="D117" s="661">
        <v>4680115880658</v>
      </c>
      <c r="E117" s="661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126</v>
      </c>
      <c r="N117" s="36"/>
      <c r="O117" s="35">
        <v>55</v>
      </c>
      <c r="P117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231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651"/>
      <c r="B118" s="651"/>
      <c r="C118" s="651"/>
      <c r="D118" s="651"/>
      <c r="E118" s="651"/>
      <c r="F118" s="651"/>
      <c r="G118" s="651"/>
      <c r="H118" s="651"/>
      <c r="I118" s="651"/>
      <c r="J118" s="651"/>
      <c r="K118" s="651"/>
      <c r="L118" s="651"/>
      <c r="M118" s="651"/>
      <c r="N118" s="651"/>
      <c r="O118" s="652"/>
      <c r="P118" s="648" t="s">
        <v>40</v>
      </c>
      <c r="Q118" s="649"/>
      <c r="R118" s="649"/>
      <c r="S118" s="649"/>
      <c r="T118" s="649"/>
      <c r="U118" s="649"/>
      <c r="V118" s="650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0" t="s">
        <v>86</v>
      </c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0"/>
      <c r="P120" s="660"/>
      <c r="Q120" s="660"/>
      <c r="R120" s="660"/>
      <c r="S120" s="660"/>
      <c r="T120" s="660"/>
      <c r="U120" s="660"/>
      <c r="V120" s="660"/>
      <c r="W120" s="660"/>
      <c r="X120" s="660"/>
      <c r="Y120" s="660"/>
      <c r="Z120" s="660"/>
      <c r="AA120" s="63"/>
      <c r="AB120" s="63"/>
      <c r="AC120" s="63"/>
    </row>
    <row r="121" spans="1:68" ht="27" hidden="1" customHeight="1" x14ac:dyDescent="0.25">
      <c r="A121" s="60" t="s">
        <v>236</v>
      </c>
      <c r="B121" s="60" t="s">
        <v>237</v>
      </c>
      <c r="C121" s="34">
        <v>4301052088</v>
      </c>
      <c r="D121" s="661">
        <v>4607091385168</v>
      </c>
      <c r="E121" s="661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127</v>
      </c>
      <c r="L121" s="35" t="s">
        <v>46</v>
      </c>
      <c r="M121" s="36" t="s">
        <v>90</v>
      </c>
      <c r="N121" s="36"/>
      <c r="O121" s="35">
        <v>45</v>
      </c>
      <c r="P121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3"/>
      <c r="R121" s="663"/>
      <c r="S121" s="663"/>
      <c r="T121" s="664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4301052087</v>
      </c>
      <c r="D122" s="661">
        <v>4607091383256</v>
      </c>
      <c r="E122" s="66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241</v>
      </c>
      <c r="B123" s="60" t="s">
        <v>242</v>
      </c>
      <c r="C123" s="34">
        <v>4301052086</v>
      </c>
      <c r="D123" s="661">
        <v>4607091385748</v>
      </c>
      <c r="E123" s="66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238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243</v>
      </c>
      <c r="B124" s="60" t="s">
        <v>244</v>
      </c>
      <c r="C124" s="34">
        <v>4301052085</v>
      </c>
      <c r="D124" s="661">
        <v>4680115884533</v>
      </c>
      <c r="E124" s="66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245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0" t="s">
        <v>178</v>
      </c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3"/>
      <c r="AB127" s="63"/>
      <c r="AC127" s="63"/>
    </row>
    <row r="128" spans="1:68" ht="16.5" hidden="1" customHeight="1" x14ac:dyDescent="0.25">
      <c r="A128" s="60" t="s">
        <v>246</v>
      </c>
      <c r="B128" s="60" t="s">
        <v>247</v>
      </c>
      <c r="C128" s="34">
        <v>4301060525</v>
      </c>
      <c r="D128" s="661">
        <v>4680115880238</v>
      </c>
      <c r="E128" s="661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248</v>
      </c>
      <c r="AG128" s="75"/>
      <c r="AJ128" s="79" t="s">
        <v>46</v>
      </c>
      <c r="AK128" s="79">
        <v>0</v>
      </c>
      <c r="BB128" s="202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7" t="s">
        <v>249</v>
      </c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  <c r="Z131" s="667"/>
      <c r="AA131" s="62"/>
      <c r="AB131" s="62"/>
      <c r="AC131" s="62"/>
    </row>
    <row r="132" spans="1:68" ht="14.25" hidden="1" customHeight="1" x14ac:dyDescent="0.25">
      <c r="A132" s="660" t="s">
        <v>122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3"/>
      <c r="AB132" s="63"/>
      <c r="AC132" s="63"/>
    </row>
    <row r="133" spans="1:68" ht="27" hidden="1" customHeight="1" x14ac:dyDescent="0.25">
      <c r="A133" s="60" t="s">
        <v>250</v>
      </c>
      <c r="B133" s="60" t="s">
        <v>251</v>
      </c>
      <c r="C133" s="34">
        <v>4301011562</v>
      </c>
      <c r="D133" s="661">
        <v>4680115882577</v>
      </c>
      <c r="E133" s="661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253</v>
      </c>
      <c r="N133" s="36"/>
      <c r="O133" s="35">
        <v>90</v>
      </c>
      <c r="P133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250</v>
      </c>
      <c r="B134" s="60" t="s">
        <v>254</v>
      </c>
      <c r="C134" s="34">
        <v>4301011564</v>
      </c>
      <c r="D134" s="661">
        <v>4680115882577</v>
      </c>
      <c r="E134" s="661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253</v>
      </c>
      <c r="N134" s="36"/>
      <c r="O134" s="35">
        <v>90</v>
      </c>
      <c r="P134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3"/>
      <c r="R134" s="663"/>
      <c r="S134" s="663"/>
      <c r="T134" s="664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252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51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52"/>
      <c r="P136" s="648" t="s">
        <v>40</v>
      </c>
      <c r="Q136" s="649"/>
      <c r="R136" s="649"/>
      <c r="S136" s="649"/>
      <c r="T136" s="649"/>
      <c r="U136" s="649"/>
      <c r="V136" s="650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0" t="s">
        <v>77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255</v>
      </c>
      <c r="B138" s="60" t="s">
        <v>256</v>
      </c>
      <c r="C138" s="34">
        <v>4301031234</v>
      </c>
      <c r="D138" s="661">
        <v>4680115883444</v>
      </c>
      <c r="E138" s="661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253</v>
      </c>
      <c r="N138" s="36"/>
      <c r="O138" s="35">
        <v>90</v>
      </c>
      <c r="P138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255</v>
      </c>
      <c r="B139" s="60" t="s">
        <v>258</v>
      </c>
      <c r="C139" s="34">
        <v>4301031235</v>
      </c>
      <c r="D139" s="661">
        <v>4680115883444</v>
      </c>
      <c r="E139" s="661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253</v>
      </c>
      <c r="N139" s="36"/>
      <c r="O139" s="35">
        <v>90</v>
      </c>
      <c r="P139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257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86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16.5" hidden="1" customHeight="1" x14ac:dyDescent="0.25">
      <c r="A143" s="60" t="s">
        <v>259</v>
      </c>
      <c r="B143" s="60" t="s">
        <v>260</v>
      </c>
      <c r="C143" s="34">
        <v>4301051476</v>
      </c>
      <c r="D143" s="661">
        <v>4680115882584</v>
      </c>
      <c r="E143" s="66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253</v>
      </c>
      <c r="N143" s="36"/>
      <c r="O143" s="35">
        <v>60</v>
      </c>
      <c r="P143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259</v>
      </c>
      <c r="B144" s="60" t="s">
        <v>261</v>
      </c>
      <c r="C144" s="34">
        <v>4301051477</v>
      </c>
      <c r="D144" s="661">
        <v>4680115882584</v>
      </c>
      <c r="E144" s="66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253</v>
      </c>
      <c r="N144" s="36"/>
      <c r="O144" s="35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252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7" t="s">
        <v>262</v>
      </c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2"/>
      <c r="AB147" s="62"/>
      <c r="AC147" s="62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3"/>
      <c r="AB148" s="63"/>
      <c r="AC148" s="63"/>
    </row>
    <row r="149" spans="1:68" ht="27" hidden="1" customHeight="1" x14ac:dyDescent="0.25">
      <c r="A149" s="60" t="s">
        <v>263</v>
      </c>
      <c r="B149" s="60" t="s">
        <v>264</v>
      </c>
      <c r="C149" s="34">
        <v>4301052254</v>
      </c>
      <c r="D149" s="661">
        <v>4680115888203</v>
      </c>
      <c r="E149" s="66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4301052172</v>
      </c>
      <c r="D150" s="661">
        <v>4680115888180</v>
      </c>
      <c r="E150" s="66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3"/>
      <c r="R150" s="663"/>
      <c r="S150" s="663"/>
      <c r="T150" s="664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266</v>
      </c>
      <c r="B151" s="60" t="s">
        <v>269</v>
      </c>
      <c r="C151" s="34">
        <v>4301052252</v>
      </c>
      <c r="D151" s="661">
        <v>4680115888180</v>
      </c>
      <c r="E151" s="66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3"/>
      <c r="R151" s="663"/>
      <c r="S151" s="663"/>
      <c r="T151" s="664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268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270</v>
      </c>
      <c r="B152" s="60" t="s">
        <v>271</v>
      </c>
      <c r="C152" s="34">
        <v>4301052253</v>
      </c>
      <c r="D152" s="661">
        <v>4680115888197</v>
      </c>
      <c r="E152" s="661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8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3"/>
      <c r="R152" s="663"/>
      <c r="S152" s="663"/>
      <c r="T152" s="664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274</v>
      </c>
      <c r="C153" s="34">
        <v>4301052175</v>
      </c>
      <c r="D153" s="661">
        <v>4680115888210</v>
      </c>
      <c r="E153" s="661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3"/>
      <c r="R153" s="663"/>
      <c r="S153" s="663"/>
      <c r="T153" s="664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273</v>
      </c>
      <c r="B154" s="60" t="s">
        <v>276</v>
      </c>
      <c r="C154" s="34">
        <v>4301052255</v>
      </c>
      <c r="D154" s="661">
        <v>4680115888210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651"/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2"/>
      <c r="P155" s="648" t="s">
        <v>40</v>
      </c>
      <c r="Q155" s="649"/>
      <c r="R155" s="649"/>
      <c r="S155" s="649"/>
      <c r="T155" s="649"/>
      <c r="U155" s="649"/>
      <c r="V155" s="650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60" t="s">
        <v>277</v>
      </c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0"/>
      <c r="P157" s="660"/>
      <c r="Q157" s="660"/>
      <c r="R157" s="660"/>
      <c r="S157" s="660"/>
      <c r="T157" s="660"/>
      <c r="U157" s="660"/>
      <c r="V157" s="660"/>
      <c r="W157" s="660"/>
      <c r="X157" s="660"/>
      <c r="Y157" s="660"/>
      <c r="Z157" s="660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4301032067</v>
      </c>
      <c r="D158" s="661">
        <v>4680115889132</v>
      </c>
      <c r="E158" s="661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283</v>
      </c>
      <c r="L158" s="35" t="s">
        <v>46</v>
      </c>
      <c r="M158" s="36" t="s">
        <v>282</v>
      </c>
      <c r="N158" s="36"/>
      <c r="O158" s="35">
        <v>120</v>
      </c>
      <c r="P158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280</v>
      </c>
      <c r="AG158" s="75"/>
      <c r="AJ158" s="79" t="s">
        <v>46</v>
      </c>
      <c r="AK158" s="79">
        <v>0</v>
      </c>
      <c r="BB158" s="228" t="s">
        <v>281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51"/>
      <c r="B159" s="651"/>
      <c r="C159" s="651"/>
      <c r="D159" s="651"/>
      <c r="E159" s="651"/>
      <c r="F159" s="651"/>
      <c r="G159" s="651"/>
      <c r="H159" s="651"/>
      <c r="I159" s="651"/>
      <c r="J159" s="651"/>
      <c r="K159" s="651"/>
      <c r="L159" s="651"/>
      <c r="M159" s="651"/>
      <c r="N159" s="651"/>
      <c r="O159" s="652"/>
      <c r="P159" s="648" t="s">
        <v>40</v>
      </c>
      <c r="Q159" s="649"/>
      <c r="R159" s="649"/>
      <c r="S159" s="649"/>
      <c r="T159" s="649"/>
      <c r="U159" s="649"/>
      <c r="V159" s="650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67" t="s">
        <v>120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2"/>
      <c r="AB161" s="62"/>
      <c r="AC161" s="62"/>
    </row>
    <row r="162" spans="1:68" ht="14.25" hidden="1" customHeight="1" x14ac:dyDescent="0.25">
      <c r="A162" s="660" t="s">
        <v>122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3"/>
      <c r="AB162" s="63"/>
      <c r="AC162" s="63"/>
    </row>
    <row r="163" spans="1:68" ht="27" hidden="1" customHeight="1" x14ac:dyDescent="0.25">
      <c r="A163" s="60" t="s">
        <v>284</v>
      </c>
      <c r="B163" s="60" t="s">
        <v>285</v>
      </c>
      <c r="C163" s="34">
        <v>4301012338</v>
      </c>
      <c r="D163" s="661">
        <v>4680115887374</v>
      </c>
      <c r="E163" s="661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3"/>
      <c r="R163" s="663"/>
      <c r="S163" s="663"/>
      <c r="T163" s="664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286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287</v>
      </c>
      <c r="B164" s="60" t="s">
        <v>288</v>
      </c>
      <c r="C164" s="34">
        <v>4301011705</v>
      </c>
      <c r="D164" s="661">
        <v>4607091384604</v>
      </c>
      <c r="E164" s="661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289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287</v>
      </c>
      <c r="B165" s="60" t="s">
        <v>290</v>
      </c>
      <c r="C165" s="34">
        <v>4301012258</v>
      </c>
      <c r="D165" s="661">
        <v>4607091384604</v>
      </c>
      <c r="E165" s="66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3"/>
      <c r="R165" s="663"/>
      <c r="S165" s="663"/>
      <c r="T165" s="664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289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291</v>
      </c>
      <c r="B166" s="60" t="s">
        <v>292</v>
      </c>
      <c r="C166" s="34">
        <v>4301012344</v>
      </c>
      <c r="D166" s="661">
        <v>4680115888876</v>
      </c>
      <c r="E166" s="66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3"/>
      <c r="R166" s="663"/>
      <c r="S166" s="663"/>
      <c r="T166" s="664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293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60" t="s">
        <v>159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3"/>
      <c r="AB169" s="63"/>
      <c r="AC169" s="63"/>
    </row>
    <row r="170" spans="1:68" ht="16.5" hidden="1" customHeight="1" x14ac:dyDescent="0.25">
      <c r="A170" s="60" t="s">
        <v>294</v>
      </c>
      <c r="B170" s="60" t="s">
        <v>295</v>
      </c>
      <c r="C170" s="34">
        <v>4301020410</v>
      </c>
      <c r="D170" s="661">
        <v>4680115887695</v>
      </c>
      <c r="E170" s="66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296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297</v>
      </c>
      <c r="B171" s="60" t="s">
        <v>298</v>
      </c>
      <c r="C171" s="34">
        <v>4301020439</v>
      </c>
      <c r="D171" s="661">
        <v>4680115889491</v>
      </c>
      <c r="E171" s="66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299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27" customHeight="1" x14ac:dyDescent="0.25">
      <c r="A175" s="60" t="s">
        <v>300</v>
      </c>
      <c r="B175" s="60" t="s">
        <v>301</v>
      </c>
      <c r="C175" s="34">
        <v>4301031496</v>
      </c>
      <c r="D175" s="661">
        <v>4680115887428</v>
      </c>
      <c r="E175" s="66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300</v>
      </c>
      <c r="Y175" s="53">
        <f t="shared" ref="Y175:Y185" si="16">IFERROR(IF(X175="",0,CEILING((X175/$H175),1)*$H175),"")</f>
        <v>301</v>
      </c>
      <c r="Z175" s="39">
        <f>IFERROR(IF(Y175=0,"",ROUNDUP(Y175/H175,0)*0.00902),"")</f>
        <v>0.77571999999999997</v>
      </c>
      <c r="AA175" s="65" t="s">
        <v>46</v>
      </c>
      <c r="AB175" s="66" t="s">
        <v>46</v>
      </c>
      <c r="AC175" s="241" t="s">
        <v>302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316.28571428571428</v>
      </c>
      <c r="BN175" s="75">
        <f t="shared" ref="BN175:BN185" si="18">IFERROR(Y175*I175/H175,"0")</f>
        <v>317.34000000000003</v>
      </c>
      <c r="BO175" s="75">
        <f t="shared" ref="BO175:BO185" si="19">IFERROR(1/J175*(X175/H175),"0")</f>
        <v>0.64935064935064934</v>
      </c>
      <c r="BP175" s="75">
        <f t="shared" ref="BP175:BP185" si="20">IFERROR(1/J175*(Y175/H175),"0")</f>
        <v>0.65151515151515149</v>
      </c>
    </row>
    <row r="176" spans="1:68" ht="27" hidden="1" customHeight="1" x14ac:dyDescent="0.25">
      <c r="A176" s="60" t="s">
        <v>303</v>
      </c>
      <c r="B176" s="60" t="s">
        <v>304</v>
      </c>
      <c r="C176" s="34">
        <v>4301031509</v>
      </c>
      <c r="D176" s="661">
        <v>4680115889170</v>
      </c>
      <c r="E176" s="66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305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306</v>
      </c>
      <c r="B177" s="60" t="s">
        <v>307</v>
      </c>
      <c r="C177" s="34">
        <v>4301031522</v>
      </c>
      <c r="D177" s="661">
        <v>4680115887398</v>
      </c>
      <c r="E177" s="66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3"/>
      <c r="R177" s="663"/>
      <c r="S177" s="663"/>
      <c r="T177" s="664"/>
      <c r="U177" s="37" t="s">
        <v>46</v>
      </c>
      <c r="V177" s="37" t="s">
        <v>46</v>
      </c>
      <c r="W177" s="38" t="s">
        <v>0</v>
      </c>
      <c r="X177" s="56">
        <v>200</v>
      </c>
      <c r="Y177" s="53">
        <f t="shared" si="16"/>
        <v>203</v>
      </c>
      <c r="Z177" s="39">
        <f>IFERROR(IF(Y177=0,"",ROUNDUP(Y177/H177,0)*0.00902),"")</f>
        <v>0.52316000000000007</v>
      </c>
      <c r="AA177" s="65" t="s">
        <v>46</v>
      </c>
      <c r="AB177" s="66" t="s">
        <v>46</v>
      </c>
      <c r="AC177" s="245" t="s">
        <v>308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210.85714285714286</v>
      </c>
      <c r="BN177" s="75">
        <f t="shared" si="18"/>
        <v>214.01999999999998</v>
      </c>
      <c r="BO177" s="75">
        <f t="shared" si="19"/>
        <v>0.43290043290043295</v>
      </c>
      <c r="BP177" s="75">
        <f t="shared" si="20"/>
        <v>0.43939393939393939</v>
      </c>
    </row>
    <row r="178" spans="1:68" ht="27" hidden="1" customHeight="1" x14ac:dyDescent="0.25">
      <c r="A178" s="60" t="s">
        <v>309</v>
      </c>
      <c r="B178" s="60" t="s">
        <v>310</v>
      </c>
      <c r="C178" s="34">
        <v>4301031520</v>
      </c>
      <c r="D178" s="661">
        <v>4680115887336</v>
      </c>
      <c r="E178" s="66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3"/>
      <c r="R178" s="663"/>
      <c r="S178" s="663"/>
      <c r="T178" s="664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312</v>
      </c>
      <c r="B179" s="60" t="s">
        <v>313</v>
      </c>
      <c r="C179" s="34">
        <v>4301032049</v>
      </c>
      <c r="D179" s="661">
        <v>4680115887787</v>
      </c>
      <c r="E179" s="66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3"/>
      <c r="R179" s="663"/>
      <c r="S179" s="663"/>
      <c r="T179" s="664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314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312</v>
      </c>
      <c r="B180" s="60" t="s">
        <v>315</v>
      </c>
      <c r="C180" s="34">
        <v>4301031528</v>
      </c>
      <c r="D180" s="661">
        <v>4680115887787</v>
      </c>
      <c r="E180" s="661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314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316</v>
      </c>
      <c r="B181" s="60" t="s">
        <v>317</v>
      </c>
      <c r="C181" s="34">
        <v>4301031448</v>
      </c>
      <c r="D181" s="661">
        <v>4680115887503</v>
      </c>
      <c r="E181" s="661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40</v>
      </c>
      <c r="P181" s="8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318</v>
      </c>
      <c r="B182" s="60" t="s">
        <v>319</v>
      </c>
      <c r="C182" s="34">
        <v>4301031389</v>
      </c>
      <c r="D182" s="661">
        <v>4680115887763</v>
      </c>
      <c r="E182" s="661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4301031521</v>
      </c>
      <c r="D183" s="661">
        <v>4680115887480</v>
      </c>
      <c r="E183" s="66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6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308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323</v>
      </c>
      <c r="B184" s="60" t="s">
        <v>324</v>
      </c>
      <c r="C184" s="34">
        <v>4301031434</v>
      </c>
      <c r="D184" s="661">
        <v>4680115888067</v>
      </c>
      <c r="E184" s="66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326</v>
      </c>
      <c r="B185" s="60" t="s">
        <v>327</v>
      </c>
      <c r="C185" s="34">
        <v>4301031519</v>
      </c>
      <c r="D185" s="661">
        <v>4680115887435</v>
      </c>
      <c r="E185" s="66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45</v>
      </c>
      <c r="P185" s="8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311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142.85714285714286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144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1.29888</v>
      </c>
      <c r="AA186" s="64"/>
      <c r="AB186" s="64"/>
      <c r="AC186" s="64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0" t="s">
        <v>0</v>
      </c>
      <c r="X187" s="41">
        <f>IFERROR(SUM(X175:X185),"0")</f>
        <v>500</v>
      </c>
      <c r="Y187" s="41">
        <f>IFERROR(SUM(Y175:Y185),"0")</f>
        <v>504</v>
      </c>
      <c r="Z187" s="40"/>
      <c r="AA187" s="64"/>
      <c r="AB187" s="64"/>
      <c r="AC187" s="64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3"/>
      <c r="AB188" s="63"/>
      <c r="AC188" s="63"/>
    </row>
    <row r="189" spans="1:68" ht="16.5" hidden="1" customHeight="1" x14ac:dyDescent="0.25">
      <c r="A189" s="60" t="s">
        <v>328</v>
      </c>
      <c r="B189" s="60" t="s">
        <v>329</v>
      </c>
      <c r="C189" s="34">
        <v>4301052193</v>
      </c>
      <c r="D189" s="661">
        <v>4680115888395</v>
      </c>
      <c r="E189" s="66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330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331</v>
      </c>
      <c r="B190" s="60" t="s">
        <v>332</v>
      </c>
      <c r="C190" s="34">
        <v>4301052191</v>
      </c>
      <c r="D190" s="661">
        <v>4680115888371</v>
      </c>
      <c r="E190" s="66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333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334</v>
      </c>
      <c r="B191" s="60" t="s">
        <v>335</v>
      </c>
      <c r="C191" s="34">
        <v>4301052064</v>
      </c>
      <c r="D191" s="661">
        <v>4680115887459</v>
      </c>
      <c r="E191" s="66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336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277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337</v>
      </c>
      <c r="B195" s="60" t="s">
        <v>338</v>
      </c>
      <c r="C195" s="34">
        <v>4301032058</v>
      </c>
      <c r="D195" s="661">
        <v>4680115889026</v>
      </c>
      <c r="E195" s="66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340</v>
      </c>
      <c r="L195" s="35" t="s">
        <v>46</v>
      </c>
      <c r="M195" s="36" t="s">
        <v>282</v>
      </c>
      <c r="N195" s="36"/>
      <c r="O195" s="35">
        <v>60</v>
      </c>
      <c r="P19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339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651"/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2"/>
      <c r="P196" s="648" t="s">
        <v>40</v>
      </c>
      <c r="Q196" s="649"/>
      <c r="R196" s="649"/>
      <c r="S196" s="649"/>
      <c r="T196" s="649"/>
      <c r="U196" s="649"/>
      <c r="V196" s="650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0" t="s">
        <v>341</v>
      </c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0"/>
      <c r="P198" s="660"/>
      <c r="Q198" s="660"/>
      <c r="R198" s="660"/>
      <c r="S198" s="660"/>
      <c r="T198" s="660"/>
      <c r="U198" s="660"/>
      <c r="V198" s="660"/>
      <c r="W198" s="660"/>
      <c r="X198" s="660"/>
      <c r="Y198" s="660"/>
      <c r="Z198" s="660"/>
      <c r="AA198" s="63"/>
      <c r="AB198" s="63"/>
      <c r="AC198" s="63"/>
    </row>
    <row r="199" spans="1:68" ht="27" hidden="1" customHeight="1" x14ac:dyDescent="0.25">
      <c r="A199" s="60" t="s">
        <v>342</v>
      </c>
      <c r="B199" s="60" t="s">
        <v>343</v>
      </c>
      <c r="C199" s="34">
        <v>4301041009</v>
      </c>
      <c r="D199" s="661">
        <v>4680115889033</v>
      </c>
      <c r="E199" s="661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340</v>
      </c>
      <c r="L199" s="35" t="s">
        <v>46</v>
      </c>
      <c r="M199" s="36" t="s">
        <v>282</v>
      </c>
      <c r="N199" s="36"/>
      <c r="O199" s="35">
        <v>60</v>
      </c>
      <c r="P199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3"/>
      <c r="R199" s="663"/>
      <c r="S199" s="663"/>
      <c r="T199" s="664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344</v>
      </c>
      <c r="AG199" s="75"/>
      <c r="AJ199" s="79" t="s">
        <v>46</v>
      </c>
      <c r="AK199" s="79">
        <v>0</v>
      </c>
      <c r="BB199" s="27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51"/>
      <c r="B200" s="651"/>
      <c r="C200" s="651"/>
      <c r="D200" s="651"/>
      <c r="E200" s="651"/>
      <c r="F200" s="651"/>
      <c r="G200" s="651"/>
      <c r="H200" s="651"/>
      <c r="I200" s="651"/>
      <c r="J200" s="651"/>
      <c r="K200" s="651"/>
      <c r="L200" s="651"/>
      <c r="M200" s="651"/>
      <c r="N200" s="651"/>
      <c r="O200" s="652"/>
      <c r="P200" s="648" t="s">
        <v>40</v>
      </c>
      <c r="Q200" s="649"/>
      <c r="R200" s="649"/>
      <c r="S200" s="649"/>
      <c r="T200" s="649"/>
      <c r="U200" s="649"/>
      <c r="V200" s="650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678" t="s">
        <v>345</v>
      </c>
      <c r="B202" s="678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  <c r="AA202" s="52"/>
      <c r="AB202" s="52"/>
      <c r="AC202" s="52"/>
    </row>
    <row r="203" spans="1:68" ht="16.5" hidden="1" customHeight="1" x14ac:dyDescent="0.25">
      <c r="A203" s="667" t="s">
        <v>346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2"/>
      <c r="AB203" s="62"/>
      <c r="AC203" s="62"/>
    </row>
    <row r="204" spans="1:68" ht="14.25" hidden="1" customHeight="1" x14ac:dyDescent="0.25">
      <c r="A204" s="660" t="s">
        <v>122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347</v>
      </c>
      <c r="B205" s="60" t="s">
        <v>348</v>
      </c>
      <c r="C205" s="34">
        <v>4301011223</v>
      </c>
      <c r="D205" s="661">
        <v>4607091383423</v>
      </c>
      <c r="E205" s="661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125</v>
      </c>
      <c r="AG205" s="75"/>
      <c r="AJ205" s="79" t="s">
        <v>46</v>
      </c>
      <c r="AK205" s="79">
        <v>0</v>
      </c>
      <c r="BB205" s="274" t="s">
        <v>67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349</v>
      </c>
      <c r="B206" s="60" t="s">
        <v>350</v>
      </c>
      <c r="C206" s="34">
        <v>4301012340</v>
      </c>
      <c r="D206" s="661">
        <v>4680115888760</v>
      </c>
      <c r="E206" s="661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3"/>
      <c r="R206" s="663"/>
      <c r="S206" s="663"/>
      <c r="T206" s="664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351</v>
      </c>
      <c r="AG206" s="75"/>
      <c r="AJ206" s="79" t="s">
        <v>46</v>
      </c>
      <c r="AK206" s="79">
        <v>0</v>
      </c>
      <c r="BB206" s="276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352</v>
      </c>
      <c r="B207" s="60" t="s">
        <v>353</v>
      </c>
      <c r="C207" s="34">
        <v>4301012341</v>
      </c>
      <c r="D207" s="661">
        <v>4680115888807</v>
      </c>
      <c r="E207" s="66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3"/>
      <c r="R207" s="663"/>
      <c r="S207" s="663"/>
      <c r="T207" s="664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354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355</v>
      </c>
      <c r="B208" s="60" t="s">
        <v>356</v>
      </c>
      <c r="C208" s="34">
        <v>4301012342</v>
      </c>
      <c r="D208" s="661">
        <v>4680115888852</v>
      </c>
      <c r="E208" s="661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3"/>
      <c r="R208" s="663"/>
      <c r="S208" s="663"/>
      <c r="T208" s="664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357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358</v>
      </c>
      <c r="B209" s="60" t="s">
        <v>359</v>
      </c>
      <c r="C209" s="34">
        <v>4301012370</v>
      </c>
      <c r="D209" s="661">
        <v>4680115886957</v>
      </c>
      <c r="E209" s="661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3"/>
      <c r="R209" s="663"/>
      <c r="S209" s="663"/>
      <c r="T209" s="664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360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361</v>
      </c>
      <c r="B210" s="60" t="s">
        <v>362</v>
      </c>
      <c r="C210" s="34">
        <v>4301012098</v>
      </c>
      <c r="D210" s="661">
        <v>4680115885660</v>
      </c>
      <c r="E210" s="661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3"/>
      <c r="R210" s="663"/>
      <c r="S210" s="663"/>
      <c r="T210" s="664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363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364</v>
      </c>
      <c r="B211" s="60" t="s">
        <v>365</v>
      </c>
      <c r="C211" s="34">
        <v>4301012369</v>
      </c>
      <c r="D211" s="661">
        <v>4680115886773</v>
      </c>
      <c r="E211" s="661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366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651"/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2"/>
      <c r="P212" s="648" t="s">
        <v>40</v>
      </c>
      <c r="Q212" s="649"/>
      <c r="R212" s="649"/>
      <c r="S212" s="649"/>
      <c r="T212" s="649"/>
      <c r="U212" s="649"/>
      <c r="V212" s="650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667" t="s">
        <v>367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2"/>
      <c r="AB214" s="62"/>
      <c r="AC214" s="62"/>
    </row>
    <row r="215" spans="1:68" ht="14.25" hidden="1" customHeight="1" x14ac:dyDescent="0.25">
      <c r="A215" s="660" t="s">
        <v>159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3"/>
      <c r="AB215" s="63"/>
      <c r="AC215" s="63"/>
    </row>
    <row r="216" spans="1:68" ht="27" hidden="1" customHeight="1" x14ac:dyDescent="0.25">
      <c r="A216" s="60" t="s">
        <v>368</v>
      </c>
      <c r="B216" s="60" t="s">
        <v>369</v>
      </c>
      <c r="C216" s="34">
        <v>4301020323</v>
      </c>
      <c r="D216" s="661">
        <v>4680115886223</v>
      </c>
      <c r="E216" s="661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370</v>
      </c>
      <c r="AG216" s="75"/>
      <c r="AJ216" s="79" t="s">
        <v>46</v>
      </c>
      <c r="AK216" s="79">
        <v>0</v>
      </c>
      <c r="BB216" s="288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51"/>
      <c r="B217" s="651"/>
      <c r="C217" s="651"/>
      <c r="D217" s="651"/>
      <c r="E217" s="651"/>
      <c r="F217" s="651"/>
      <c r="G217" s="651"/>
      <c r="H217" s="651"/>
      <c r="I217" s="651"/>
      <c r="J217" s="651"/>
      <c r="K217" s="651"/>
      <c r="L217" s="651"/>
      <c r="M217" s="651"/>
      <c r="N217" s="651"/>
      <c r="O217" s="652"/>
      <c r="P217" s="648" t="s">
        <v>40</v>
      </c>
      <c r="Q217" s="649"/>
      <c r="R217" s="649"/>
      <c r="S217" s="649"/>
      <c r="T217" s="649"/>
      <c r="U217" s="649"/>
      <c r="V217" s="650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60" t="s">
        <v>77</v>
      </c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0"/>
      <c r="P219" s="660"/>
      <c r="Q219" s="660"/>
      <c r="R219" s="660"/>
      <c r="S219" s="660"/>
      <c r="T219" s="660"/>
      <c r="U219" s="660"/>
      <c r="V219" s="660"/>
      <c r="W219" s="660"/>
      <c r="X219" s="660"/>
      <c r="Y219" s="660"/>
      <c r="Z219" s="660"/>
      <c r="AA219" s="63"/>
      <c r="AB219" s="63"/>
      <c r="AC219" s="63"/>
    </row>
    <row r="220" spans="1:68" ht="27" hidden="1" customHeight="1" x14ac:dyDescent="0.25">
      <c r="A220" s="60" t="s">
        <v>371</v>
      </c>
      <c r="B220" s="60" t="s">
        <v>372</v>
      </c>
      <c r="C220" s="34">
        <v>4301031191</v>
      </c>
      <c r="D220" s="661">
        <v>4680115880993</v>
      </c>
      <c r="E220" s="661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3"/>
      <c r="R220" s="663"/>
      <c r="S220" s="663"/>
      <c r="T220" s="664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373</v>
      </c>
      <c r="AG220" s="75"/>
      <c r="AJ220" s="79" t="s">
        <v>46</v>
      </c>
      <c r="AK220" s="79">
        <v>0</v>
      </c>
      <c r="BB220" s="290" t="s">
        <v>67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4301031204</v>
      </c>
      <c r="D221" s="661">
        <v>4680115881761</v>
      </c>
      <c r="E221" s="66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3"/>
      <c r="R221" s="663"/>
      <c r="S221" s="663"/>
      <c r="T221" s="664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376</v>
      </c>
      <c r="AG221" s="75"/>
      <c r="AJ221" s="79" t="s">
        <v>46</v>
      </c>
      <c r="AK221" s="79">
        <v>0</v>
      </c>
      <c r="BB221" s="292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377</v>
      </c>
      <c r="B222" s="60" t="s">
        <v>378</v>
      </c>
      <c r="C222" s="34">
        <v>4301031201</v>
      </c>
      <c r="D222" s="661">
        <v>4680115881563</v>
      </c>
      <c r="E222" s="661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379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380</v>
      </c>
      <c r="B223" s="60" t="s">
        <v>381</v>
      </c>
      <c r="C223" s="34">
        <v>4301031447</v>
      </c>
      <c r="D223" s="661">
        <v>4680115887565</v>
      </c>
      <c r="E223" s="661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3"/>
      <c r="R223" s="663"/>
      <c r="S223" s="663"/>
      <c r="T223" s="664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382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customHeight="1" x14ac:dyDescent="0.25">
      <c r="A224" s="60" t="s">
        <v>383</v>
      </c>
      <c r="B224" s="60" t="s">
        <v>384</v>
      </c>
      <c r="C224" s="34">
        <v>4301031199</v>
      </c>
      <c r="D224" s="661">
        <v>4680115880986</v>
      </c>
      <c r="E224" s="661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3"/>
      <c r="R224" s="663"/>
      <c r="S224" s="663"/>
      <c r="T224" s="664"/>
      <c r="U224" s="37" t="s">
        <v>46</v>
      </c>
      <c r="V224" s="37" t="s">
        <v>46</v>
      </c>
      <c r="W224" s="38" t="s">
        <v>0</v>
      </c>
      <c r="X224" s="56">
        <v>350</v>
      </c>
      <c r="Y224" s="53">
        <f t="shared" si="27"/>
        <v>350.7</v>
      </c>
      <c r="Z224" s="39">
        <f t="shared" ref="Z224:Z229" si="32">IFERROR(IF(Y224=0,"",ROUNDUP(Y224/H224,0)*0.00502),"")</f>
        <v>0.83833999999999997</v>
      </c>
      <c r="AA224" s="65" t="s">
        <v>46</v>
      </c>
      <c r="AB224" s="66" t="s">
        <v>46</v>
      </c>
      <c r="AC224" s="297" t="s">
        <v>373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371.66666666666663</v>
      </c>
      <c r="BN224" s="75">
        <f t="shared" si="29"/>
        <v>372.40999999999997</v>
      </c>
      <c r="BO224" s="75">
        <f t="shared" si="30"/>
        <v>0.71225071225071224</v>
      </c>
      <c r="BP224" s="75">
        <f t="shared" si="31"/>
        <v>0.71367521367521369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4301031443</v>
      </c>
      <c r="D225" s="661">
        <v>4680115887213</v>
      </c>
      <c r="E225" s="661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3"/>
      <c r="R225" s="663"/>
      <c r="S225" s="663"/>
      <c r="T225" s="664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387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customHeight="1" x14ac:dyDescent="0.25">
      <c r="A226" s="60" t="s">
        <v>388</v>
      </c>
      <c r="B226" s="60" t="s">
        <v>389</v>
      </c>
      <c r="C226" s="34">
        <v>4301031205</v>
      </c>
      <c r="D226" s="661">
        <v>4680115881785</v>
      </c>
      <c r="E226" s="661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350</v>
      </c>
      <c r="Y226" s="53">
        <f t="shared" si="27"/>
        <v>350.7</v>
      </c>
      <c r="Z226" s="39">
        <f t="shared" si="32"/>
        <v>0.83833999999999997</v>
      </c>
      <c r="AA226" s="65" t="s">
        <v>46</v>
      </c>
      <c r="AB226" s="66" t="s">
        <v>46</v>
      </c>
      <c r="AC226" s="301" t="s">
        <v>376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371.66666666666663</v>
      </c>
      <c r="BN226" s="75">
        <f t="shared" si="29"/>
        <v>372.40999999999997</v>
      </c>
      <c r="BO226" s="75">
        <f t="shared" si="30"/>
        <v>0.71225071225071224</v>
      </c>
      <c r="BP226" s="75">
        <f t="shared" si="31"/>
        <v>0.71367521367521369</v>
      </c>
    </row>
    <row r="227" spans="1:68" ht="27" hidden="1" customHeight="1" x14ac:dyDescent="0.25">
      <c r="A227" s="60" t="s">
        <v>390</v>
      </c>
      <c r="B227" s="60" t="s">
        <v>391</v>
      </c>
      <c r="C227" s="34">
        <v>4301031499</v>
      </c>
      <c r="D227" s="661">
        <v>4680115888432</v>
      </c>
      <c r="E227" s="661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392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393</v>
      </c>
      <c r="B228" s="60" t="s">
        <v>394</v>
      </c>
      <c r="C228" s="34">
        <v>4301031427</v>
      </c>
      <c r="D228" s="661">
        <v>4680115888104</v>
      </c>
      <c r="E228" s="661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395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396</v>
      </c>
      <c r="B229" s="60" t="s">
        <v>397</v>
      </c>
      <c r="C229" s="34">
        <v>4301031503</v>
      </c>
      <c r="D229" s="661">
        <v>4680115886537</v>
      </c>
      <c r="E229" s="661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398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399</v>
      </c>
      <c r="B230" s="60" t="s">
        <v>400</v>
      </c>
      <c r="C230" s="34">
        <v>4301031279</v>
      </c>
      <c r="D230" s="661">
        <v>4680115887596</v>
      </c>
      <c r="E230" s="661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131</v>
      </c>
      <c r="L230" s="35" t="s">
        <v>46</v>
      </c>
      <c r="M230" s="36" t="s">
        <v>81</v>
      </c>
      <c r="N230" s="36"/>
      <c r="O230" s="35">
        <v>45</v>
      </c>
      <c r="P230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401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customHeight="1" x14ac:dyDescent="0.25">
      <c r="A231" s="60" t="s">
        <v>402</v>
      </c>
      <c r="B231" s="60" t="s">
        <v>403</v>
      </c>
      <c r="C231" s="34">
        <v>4301031530</v>
      </c>
      <c r="D231" s="661">
        <v>4680115881679</v>
      </c>
      <c r="E231" s="661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1050</v>
      </c>
      <c r="Y231" s="53">
        <f t="shared" si="27"/>
        <v>1050</v>
      </c>
      <c r="Z231" s="39">
        <f>IFERROR(IF(Y231=0,"",ROUNDUP(Y231/H231,0)*0.00502),"")</f>
        <v>2.5100000000000002</v>
      </c>
      <c r="AA231" s="65" t="s">
        <v>46</v>
      </c>
      <c r="AB231" s="66" t="s">
        <v>46</v>
      </c>
      <c r="AC231" s="311" t="s">
        <v>379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1100</v>
      </c>
      <c r="BN231" s="75">
        <f t="shared" si="29"/>
        <v>1100</v>
      </c>
      <c r="BO231" s="75">
        <f t="shared" si="30"/>
        <v>2.1367521367521372</v>
      </c>
      <c r="BP231" s="75">
        <f t="shared" si="31"/>
        <v>2.1367521367521372</v>
      </c>
    </row>
    <row r="232" spans="1:68" ht="27" hidden="1" customHeight="1" x14ac:dyDescent="0.25">
      <c r="A232" s="60" t="s">
        <v>404</v>
      </c>
      <c r="B232" s="60" t="s">
        <v>405</v>
      </c>
      <c r="C232" s="34">
        <v>4301031158</v>
      </c>
      <c r="D232" s="661">
        <v>4680115880191</v>
      </c>
      <c r="E232" s="661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91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379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404</v>
      </c>
      <c r="B233" s="60" t="s">
        <v>406</v>
      </c>
      <c r="C233" s="34">
        <v>4301031531</v>
      </c>
      <c r="D233" s="661">
        <v>4680115880191</v>
      </c>
      <c r="E233" s="66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379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4301031245</v>
      </c>
      <c r="D234" s="661">
        <v>4680115883963</v>
      </c>
      <c r="E234" s="66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833.33333333333326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834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4.18668</v>
      </c>
      <c r="AA235" s="64"/>
      <c r="AB235" s="64"/>
      <c r="AC235" s="64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0" t="s">
        <v>0</v>
      </c>
      <c r="X236" s="41">
        <f>IFERROR(SUM(X220:X234),"0")</f>
        <v>1750</v>
      </c>
      <c r="Y236" s="41">
        <f>IFERROR(SUM(Y220:Y234),"0")</f>
        <v>1751.4</v>
      </c>
      <c r="Z236" s="40"/>
      <c r="AA236" s="64"/>
      <c r="AB236" s="64"/>
      <c r="AC236" s="64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3"/>
      <c r="AB237" s="63"/>
      <c r="AC237" s="63"/>
    </row>
    <row r="238" spans="1:68" ht="16.5" hidden="1" customHeight="1" x14ac:dyDescent="0.25">
      <c r="A238" s="60" t="s">
        <v>410</v>
      </c>
      <c r="B238" s="60" t="s">
        <v>411</v>
      </c>
      <c r="C238" s="34">
        <v>4301052209</v>
      </c>
      <c r="D238" s="661">
        <v>4680115888692</v>
      </c>
      <c r="E238" s="66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412</v>
      </c>
      <c r="AG238" s="75"/>
      <c r="AJ238" s="79" t="s">
        <v>46</v>
      </c>
      <c r="AK238" s="79">
        <v>0</v>
      </c>
      <c r="BB238" s="320" t="s">
        <v>67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410</v>
      </c>
      <c r="B239" s="60" t="s">
        <v>413</v>
      </c>
      <c r="C239" s="34">
        <v>4301052279</v>
      </c>
      <c r="D239" s="661">
        <v>4680115888692</v>
      </c>
      <c r="E239" s="66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414</v>
      </c>
      <c r="AG239" s="75"/>
      <c r="AJ239" s="79" t="s">
        <v>46</v>
      </c>
      <c r="AK239" s="79">
        <v>0</v>
      </c>
      <c r="BB239" s="322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415</v>
      </c>
      <c r="B240" s="60" t="s">
        <v>416</v>
      </c>
      <c r="C240" s="34">
        <v>4301052213</v>
      </c>
      <c r="D240" s="661">
        <v>4680115888722</v>
      </c>
      <c r="E240" s="661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35</v>
      </c>
      <c r="P240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3"/>
      <c r="R240" s="663"/>
      <c r="S240" s="663"/>
      <c r="T240" s="664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415</v>
      </c>
      <c r="B241" s="60" t="s">
        <v>418</v>
      </c>
      <c r="C241" s="34">
        <v>4301052280</v>
      </c>
      <c r="D241" s="661">
        <v>4680115888722</v>
      </c>
      <c r="E241" s="661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40</v>
      </c>
      <c r="P241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3"/>
      <c r="R241" s="663"/>
      <c r="S241" s="663"/>
      <c r="T241" s="664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419</v>
      </c>
      <c r="AG241" s="75"/>
      <c r="AJ241" s="79" t="s">
        <v>46</v>
      </c>
      <c r="AK241" s="79">
        <v>0</v>
      </c>
      <c r="BB241" s="326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420</v>
      </c>
      <c r="B242" s="60" t="s">
        <v>421</v>
      </c>
      <c r="C242" s="34">
        <v>4301052177</v>
      </c>
      <c r="D242" s="661">
        <v>4680115888951</v>
      </c>
      <c r="E242" s="66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3"/>
      <c r="R242" s="663"/>
      <c r="S242" s="663"/>
      <c r="T242" s="664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420</v>
      </c>
      <c r="B243" s="60" t="s">
        <v>423</v>
      </c>
      <c r="C243" s="34">
        <v>4301052276</v>
      </c>
      <c r="D243" s="661">
        <v>4680115888951</v>
      </c>
      <c r="E243" s="661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40</v>
      </c>
      <c r="P243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414</v>
      </c>
      <c r="AG243" s="75"/>
      <c r="AJ243" s="79" t="s">
        <v>46</v>
      </c>
      <c r="AK243" s="79">
        <v>0</v>
      </c>
      <c r="BB243" s="330" t="s">
        <v>67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424</v>
      </c>
      <c r="B244" s="60" t="s">
        <v>425</v>
      </c>
      <c r="C244" s="34">
        <v>4301052178</v>
      </c>
      <c r="D244" s="661">
        <v>4680115888975</v>
      </c>
      <c r="E244" s="661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35</v>
      </c>
      <c r="P244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426</v>
      </c>
      <c r="AG244" s="75"/>
      <c r="AJ244" s="79" t="s">
        <v>46</v>
      </c>
      <c r="AK244" s="79">
        <v>0</v>
      </c>
      <c r="BB244" s="332" t="s">
        <v>67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427</v>
      </c>
      <c r="B245" s="60" t="s">
        <v>428</v>
      </c>
      <c r="C245" s="34">
        <v>4301052176</v>
      </c>
      <c r="D245" s="661">
        <v>4680115888982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417</v>
      </c>
      <c r="AG245" s="75"/>
      <c r="AJ245" s="79" t="s">
        <v>46</v>
      </c>
      <c r="AK245" s="79">
        <v>0</v>
      </c>
      <c r="BB245" s="334" t="s">
        <v>67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427</v>
      </c>
      <c r="B246" s="60" t="s">
        <v>429</v>
      </c>
      <c r="C246" s="34">
        <v>4301052277</v>
      </c>
      <c r="D246" s="661">
        <v>4680115888982</v>
      </c>
      <c r="E246" s="661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40</v>
      </c>
      <c r="P246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419</v>
      </c>
      <c r="AG246" s="75"/>
      <c r="AJ246" s="79" t="s">
        <v>46</v>
      </c>
      <c r="AK246" s="79">
        <v>0</v>
      </c>
      <c r="BB246" s="336" t="s">
        <v>67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651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2"/>
      <c r="P247" s="648" t="s">
        <v>40</v>
      </c>
      <c r="Q247" s="649"/>
      <c r="R247" s="649"/>
      <c r="S247" s="649"/>
      <c r="T247" s="649"/>
      <c r="U247" s="649"/>
      <c r="V247" s="650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60" t="s">
        <v>277</v>
      </c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0"/>
      <c r="T249" s="660"/>
      <c r="U249" s="660"/>
      <c r="V249" s="660"/>
      <c r="W249" s="660"/>
      <c r="X249" s="660"/>
      <c r="Y249" s="660"/>
      <c r="Z249" s="660"/>
      <c r="AA249" s="63"/>
      <c r="AB249" s="63"/>
      <c r="AC249" s="63"/>
    </row>
    <row r="250" spans="1:68" ht="27" hidden="1" customHeight="1" x14ac:dyDescent="0.25">
      <c r="A250" s="60" t="s">
        <v>430</v>
      </c>
      <c r="B250" s="60" t="s">
        <v>431</v>
      </c>
      <c r="C250" s="34">
        <v>4301032053</v>
      </c>
      <c r="D250" s="661">
        <v>4680115886780</v>
      </c>
      <c r="E250" s="661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340</v>
      </c>
      <c r="L250" s="35" t="s">
        <v>46</v>
      </c>
      <c r="M250" s="36" t="s">
        <v>282</v>
      </c>
      <c r="N250" s="36"/>
      <c r="O250" s="35">
        <v>60</v>
      </c>
      <c r="P250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3"/>
      <c r="R250" s="663"/>
      <c r="S250" s="663"/>
      <c r="T250" s="664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432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433</v>
      </c>
      <c r="B251" s="60" t="s">
        <v>434</v>
      </c>
      <c r="C251" s="34">
        <v>4301032051</v>
      </c>
      <c r="D251" s="661">
        <v>4680115886742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340</v>
      </c>
      <c r="L251" s="35" t="s">
        <v>46</v>
      </c>
      <c r="M251" s="36" t="s">
        <v>282</v>
      </c>
      <c r="N251" s="36"/>
      <c r="O251" s="35">
        <v>90</v>
      </c>
      <c r="P251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435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436</v>
      </c>
      <c r="B252" s="60" t="s">
        <v>437</v>
      </c>
      <c r="C252" s="34">
        <v>4301032052</v>
      </c>
      <c r="D252" s="661">
        <v>4680115886766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340</v>
      </c>
      <c r="L252" s="35" t="s">
        <v>46</v>
      </c>
      <c r="M252" s="36" t="s">
        <v>282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435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660" t="s">
        <v>438</v>
      </c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0"/>
      <c r="P255" s="660"/>
      <c r="Q255" s="660"/>
      <c r="R255" s="660"/>
      <c r="S255" s="660"/>
      <c r="T255" s="660"/>
      <c r="U255" s="660"/>
      <c r="V255" s="660"/>
      <c r="W255" s="660"/>
      <c r="X255" s="660"/>
      <c r="Y255" s="660"/>
      <c r="Z255" s="660"/>
      <c r="AA255" s="63"/>
      <c r="AB255" s="63"/>
      <c r="AC255" s="63"/>
    </row>
    <row r="256" spans="1:68" ht="27" hidden="1" customHeight="1" x14ac:dyDescent="0.25">
      <c r="A256" s="60" t="s">
        <v>439</v>
      </c>
      <c r="B256" s="60" t="s">
        <v>440</v>
      </c>
      <c r="C256" s="34">
        <v>4301170013</v>
      </c>
      <c r="D256" s="661">
        <v>4680115886797</v>
      </c>
      <c r="E256" s="661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340</v>
      </c>
      <c r="L256" s="35" t="s">
        <v>46</v>
      </c>
      <c r="M256" s="36" t="s">
        <v>282</v>
      </c>
      <c r="N256" s="36"/>
      <c r="O256" s="35">
        <v>90</v>
      </c>
      <c r="P256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3"/>
      <c r="R256" s="663"/>
      <c r="S256" s="663"/>
      <c r="T256" s="664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435</v>
      </c>
      <c r="AG256" s="75"/>
      <c r="AJ256" s="79" t="s">
        <v>46</v>
      </c>
      <c r="AK256" s="79">
        <v>0</v>
      </c>
      <c r="BB256" s="344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667" t="s">
        <v>441</v>
      </c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2"/>
      <c r="AB259" s="62"/>
      <c r="AC259" s="62"/>
    </row>
    <row r="260" spans="1:68" ht="14.25" hidden="1" customHeight="1" x14ac:dyDescent="0.25">
      <c r="A260" s="660" t="s">
        <v>122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3"/>
      <c r="AB260" s="63"/>
      <c r="AC260" s="63"/>
    </row>
    <row r="261" spans="1:68" ht="27" hidden="1" customHeight="1" x14ac:dyDescent="0.25">
      <c r="A261" s="60" t="s">
        <v>442</v>
      </c>
      <c r="B261" s="60" t="s">
        <v>443</v>
      </c>
      <c r="C261" s="34">
        <v>4301011450</v>
      </c>
      <c r="D261" s="661">
        <v>4680115881402</v>
      </c>
      <c r="E261" s="6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55</v>
      </c>
      <c r="P261" s="8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3"/>
      <c r="R261" s="663"/>
      <c r="S261" s="663"/>
      <c r="T261" s="664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444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445</v>
      </c>
      <c r="B262" s="60" t="s">
        <v>446</v>
      </c>
      <c r="C262" s="34">
        <v>4301011768</v>
      </c>
      <c r="D262" s="661">
        <v>4680115881396</v>
      </c>
      <c r="E262" s="661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444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1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2"/>
      <c r="P263" s="648" t="s">
        <v>40</v>
      </c>
      <c r="Q263" s="649"/>
      <c r="R263" s="649"/>
      <c r="S263" s="649"/>
      <c r="T263" s="649"/>
      <c r="U263" s="649"/>
      <c r="V263" s="650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60" t="s">
        <v>159</v>
      </c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0"/>
      <c r="P265" s="660"/>
      <c r="Q265" s="660"/>
      <c r="R265" s="660"/>
      <c r="S265" s="660"/>
      <c r="T265" s="660"/>
      <c r="U265" s="660"/>
      <c r="V265" s="660"/>
      <c r="W265" s="660"/>
      <c r="X265" s="660"/>
      <c r="Y265" s="660"/>
      <c r="Z265" s="660"/>
      <c r="AA265" s="63"/>
      <c r="AB265" s="63"/>
      <c r="AC265" s="63"/>
    </row>
    <row r="266" spans="1:68" ht="16.5" hidden="1" customHeight="1" x14ac:dyDescent="0.25">
      <c r="A266" s="60" t="s">
        <v>447</v>
      </c>
      <c r="B266" s="60" t="s">
        <v>448</v>
      </c>
      <c r="C266" s="34">
        <v>4301020261</v>
      </c>
      <c r="D266" s="661">
        <v>4680115882935</v>
      </c>
      <c r="E266" s="661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50</v>
      </c>
      <c r="P266" s="8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3"/>
      <c r="R266" s="663"/>
      <c r="S266" s="663"/>
      <c r="T266" s="664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449</v>
      </c>
      <c r="AG266" s="75"/>
      <c r="AJ266" s="79" t="s">
        <v>46</v>
      </c>
      <c r="AK266" s="79">
        <v>0</v>
      </c>
      <c r="BB266" s="350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450</v>
      </c>
      <c r="B267" s="60" t="s">
        <v>451</v>
      </c>
      <c r="C267" s="34">
        <v>4301020220</v>
      </c>
      <c r="D267" s="661">
        <v>4680115880764</v>
      </c>
      <c r="E267" s="661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449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51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2"/>
      <c r="P268" s="648" t="s">
        <v>40</v>
      </c>
      <c r="Q268" s="649"/>
      <c r="R268" s="649"/>
      <c r="S268" s="649"/>
      <c r="T268" s="649"/>
      <c r="U268" s="649"/>
      <c r="V268" s="650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0" t="s">
        <v>77</v>
      </c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0"/>
      <c r="Q270" s="660"/>
      <c r="R270" s="660"/>
      <c r="S270" s="660"/>
      <c r="T270" s="660"/>
      <c r="U270" s="660"/>
      <c r="V270" s="660"/>
      <c r="W270" s="660"/>
      <c r="X270" s="660"/>
      <c r="Y270" s="660"/>
      <c r="Z270" s="660"/>
      <c r="AA270" s="63"/>
      <c r="AB270" s="63"/>
      <c r="AC270" s="63"/>
    </row>
    <row r="271" spans="1:68" ht="27" hidden="1" customHeight="1" x14ac:dyDescent="0.25">
      <c r="A271" s="60" t="s">
        <v>452</v>
      </c>
      <c r="B271" s="60" t="s">
        <v>453</v>
      </c>
      <c r="C271" s="34">
        <v>4301031224</v>
      </c>
      <c r="D271" s="661">
        <v>4680115882683</v>
      </c>
      <c r="E271" s="661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3"/>
      <c r="R271" s="663"/>
      <c r="S271" s="663"/>
      <c r="T271" s="664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4301031230</v>
      </c>
      <c r="D272" s="661">
        <v>4680115882690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457</v>
      </c>
      <c r="AG272" s="75"/>
      <c r="AJ272" s="79" t="s">
        <v>46</v>
      </c>
      <c r="AK272" s="79">
        <v>0</v>
      </c>
      <c r="BB272" s="356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458</v>
      </c>
      <c r="B273" s="60" t="s">
        <v>459</v>
      </c>
      <c r="C273" s="34">
        <v>4301031220</v>
      </c>
      <c r="D273" s="661">
        <v>4680115882669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460</v>
      </c>
      <c r="AG273" s="75"/>
      <c r="AJ273" s="79" t="s">
        <v>46</v>
      </c>
      <c r="AK273" s="79">
        <v>0</v>
      </c>
      <c r="BB273" s="358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461</v>
      </c>
      <c r="B274" s="60" t="s">
        <v>462</v>
      </c>
      <c r="C274" s="34">
        <v>4301031221</v>
      </c>
      <c r="D274" s="661">
        <v>4680115882676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463</v>
      </c>
      <c r="AG274" s="75"/>
      <c r="AJ274" s="79" t="s">
        <v>46</v>
      </c>
      <c r="AK274" s="79">
        <v>0</v>
      </c>
      <c r="BB274" s="360" t="s">
        <v>67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customHeight="1" x14ac:dyDescent="0.25">
      <c r="A275" s="60" t="s">
        <v>464</v>
      </c>
      <c r="B275" s="60" t="s">
        <v>465</v>
      </c>
      <c r="C275" s="34">
        <v>4301031223</v>
      </c>
      <c r="D275" s="661">
        <v>4680115884014</v>
      </c>
      <c r="E275" s="661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180</v>
      </c>
      <c r="Y275" s="53">
        <f t="shared" si="38"/>
        <v>180</v>
      </c>
      <c r="Z275" s="39">
        <f>IFERROR(IF(Y275=0,"",ROUNDUP(Y275/H275,0)*0.00502),"")</f>
        <v>0.502</v>
      </c>
      <c r="AA275" s="65" t="s">
        <v>46</v>
      </c>
      <c r="AB275" s="66" t="s">
        <v>46</v>
      </c>
      <c r="AC275" s="361" t="s">
        <v>454</v>
      </c>
      <c r="AG275" s="75"/>
      <c r="AJ275" s="79" t="s">
        <v>46</v>
      </c>
      <c r="AK275" s="79">
        <v>0</v>
      </c>
      <c r="BB275" s="362" t="s">
        <v>67</v>
      </c>
      <c r="BM275" s="75">
        <f t="shared" si="39"/>
        <v>192.99999999999997</v>
      </c>
      <c r="BN275" s="75">
        <f t="shared" si="40"/>
        <v>192.99999999999997</v>
      </c>
      <c r="BO275" s="75">
        <f t="shared" si="41"/>
        <v>0.42735042735042739</v>
      </c>
      <c r="BP275" s="75">
        <f t="shared" si="42"/>
        <v>0.42735042735042739</v>
      </c>
    </row>
    <row r="276" spans="1:68" ht="27" customHeight="1" x14ac:dyDescent="0.25">
      <c r="A276" s="60" t="s">
        <v>466</v>
      </c>
      <c r="B276" s="60" t="s">
        <v>467</v>
      </c>
      <c r="C276" s="34">
        <v>4301031222</v>
      </c>
      <c r="D276" s="661">
        <v>4680115884007</v>
      </c>
      <c r="E276" s="661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120</v>
      </c>
      <c r="Y276" s="53">
        <f t="shared" si="38"/>
        <v>120.60000000000001</v>
      </c>
      <c r="Z276" s="39">
        <f>IFERROR(IF(Y276=0,"",ROUNDUP(Y276/H276,0)*0.00502),"")</f>
        <v>0.33634000000000003</v>
      </c>
      <c r="AA276" s="65" t="s">
        <v>46</v>
      </c>
      <c r="AB276" s="66" t="s">
        <v>46</v>
      </c>
      <c r="AC276" s="363" t="s">
        <v>457</v>
      </c>
      <c r="AG276" s="75"/>
      <c r="AJ276" s="79" t="s">
        <v>46</v>
      </c>
      <c r="AK276" s="79">
        <v>0</v>
      </c>
      <c r="BB276" s="364" t="s">
        <v>67</v>
      </c>
      <c r="BM276" s="75">
        <f t="shared" si="39"/>
        <v>126.66666666666666</v>
      </c>
      <c r="BN276" s="75">
        <f t="shared" si="40"/>
        <v>127.30000000000001</v>
      </c>
      <c r="BO276" s="75">
        <f t="shared" si="41"/>
        <v>0.28490028490028496</v>
      </c>
      <c r="BP276" s="75">
        <f t="shared" si="42"/>
        <v>0.28632478632478636</v>
      </c>
    </row>
    <row r="277" spans="1:68" ht="27" customHeight="1" x14ac:dyDescent="0.25">
      <c r="A277" s="60" t="s">
        <v>468</v>
      </c>
      <c r="B277" s="60" t="s">
        <v>469</v>
      </c>
      <c r="C277" s="34">
        <v>4301031229</v>
      </c>
      <c r="D277" s="661">
        <v>4680115884038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180</v>
      </c>
      <c r="Y277" s="53">
        <f t="shared" si="38"/>
        <v>180</v>
      </c>
      <c r="Z277" s="39">
        <f>IFERROR(IF(Y277=0,"",ROUNDUP(Y277/H277,0)*0.00502),"")</f>
        <v>0.502</v>
      </c>
      <c r="AA277" s="65" t="s">
        <v>46</v>
      </c>
      <c r="AB277" s="66" t="s">
        <v>46</v>
      </c>
      <c r="AC277" s="365" t="s">
        <v>460</v>
      </c>
      <c r="AG277" s="75"/>
      <c r="AJ277" s="79" t="s">
        <v>46</v>
      </c>
      <c r="AK277" s="79">
        <v>0</v>
      </c>
      <c r="BB277" s="366" t="s">
        <v>67</v>
      </c>
      <c r="BM277" s="75">
        <f t="shared" si="39"/>
        <v>190</v>
      </c>
      <c r="BN277" s="75">
        <f t="shared" si="40"/>
        <v>190</v>
      </c>
      <c r="BO277" s="75">
        <f t="shared" si="41"/>
        <v>0.42735042735042739</v>
      </c>
      <c r="BP277" s="75">
        <f t="shared" si="42"/>
        <v>0.42735042735042739</v>
      </c>
    </row>
    <row r="278" spans="1:68" ht="27" customHeight="1" x14ac:dyDescent="0.25">
      <c r="A278" s="60" t="s">
        <v>470</v>
      </c>
      <c r="B278" s="60" t="s">
        <v>471</v>
      </c>
      <c r="C278" s="34">
        <v>4301031225</v>
      </c>
      <c r="D278" s="661">
        <v>4680115884021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120</v>
      </c>
      <c r="Y278" s="53">
        <f t="shared" si="38"/>
        <v>120.60000000000001</v>
      </c>
      <c r="Z278" s="39">
        <f>IFERROR(IF(Y278=0,"",ROUNDUP(Y278/H278,0)*0.00502),"")</f>
        <v>0.33634000000000003</v>
      </c>
      <c r="AA278" s="65" t="s">
        <v>46</v>
      </c>
      <c r="AB278" s="66" t="s">
        <v>46</v>
      </c>
      <c r="AC278" s="367" t="s">
        <v>463</v>
      </c>
      <c r="AG278" s="75"/>
      <c r="AJ278" s="79" t="s">
        <v>46</v>
      </c>
      <c r="AK278" s="79">
        <v>0</v>
      </c>
      <c r="BB278" s="368" t="s">
        <v>67</v>
      </c>
      <c r="BM278" s="75">
        <f t="shared" si="39"/>
        <v>126.66666666666666</v>
      </c>
      <c r="BN278" s="75">
        <f t="shared" si="40"/>
        <v>127.30000000000001</v>
      </c>
      <c r="BO278" s="75">
        <f t="shared" si="41"/>
        <v>0.28490028490028496</v>
      </c>
      <c r="BP278" s="75">
        <f t="shared" si="42"/>
        <v>0.28632478632478636</v>
      </c>
    </row>
    <row r="279" spans="1:68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333.33333333333337</v>
      </c>
      <c r="Y279" s="41">
        <f>IFERROR(Y271/H271,"0")+IFERROR(Y272/H272,"0")+IFERROR(Y273/H273,"0")+IFERROR(Y274/H274,"0")+IFERROR(Y275/H275,"0")+IFERROR(Y276/H276,"0")+IFERROR(Y277/H277,"0")+IFERROR(Y278/H278,"0")</f>
        <v>334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1.6766800000000002</v>
      </c>
      <c r="AA279" s="64"/>
      <c r="AB279" s="64"/>
      <c r="AC279" s="64"/>
    </row>
    <row r="280" spans="1:68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0</v>
      </c>
      <c r="X280" s="41">
        <f>IFERROR(SUM(X271:X278),"0")</f>
        <v>600</v>
      </c>
      <c r="Y280" s="41">
        <f>IFERROR(SUM(Y271:Y278),"0")</f>
        <v>601.20000000000005</v>
      </c>
      <c r="Z280" s="40"/>
      <c r="AA280" s="64"/>
      <c r="AB280" s="64"/>
      <c r="AC280" s="64"/>
    </row>
    <row r="281" spans="1:68" ht="14.25" hidden="1" customHeight="1" x14ac:dyDescent="0.25">
      <c r="A281" s="660" t="s">
        <v>86</v>
      </c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0"/>
      <c r="P281" s="660"/>
      <c r="Q281" s="660"/>
      <c r="R281" s="660"/>
      <c r="S281" s="660"/>
      <c r="T281" s="660"/>
      <c r="U281" s="660"/>
      <c r="V281" s="660"/>
      <c r="W281" s="660"/>
      <c r="X281" s="660"/>
      <c r="Y281" s="660"/>
      <c r="Z281" s="660"/>
      <c r="AA281" s="63"/>
      <c r="AB281" s="63"/>
      <c r="AC281" s="63"/>
    </row>
    <row r="282" spans="1:68" ht="27" hidden="1" customHeight="1" x14ac:dyDescent="0.25">
      <c r="A282" s="60" t="s">
        <v>472</v>
      </c>
      <c r="B282" s="60" t="s">
        <v>473</v>
      </c>
      <c r="C282" s="34">
        <v>4301051408</v>
      </c>
      <c r="D282" s="661">
        <v>4680115881594</v>
      </c>
      <c r="E282" s="661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40</v>
      </c>
      <c r="P28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3"/>
      <c r="R282" s="663"/>
      <c r="S282" s="663"/>
      <c r="T282" s="664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474</v>
      </c>
      <c r="AG282" s="75"/>
      <c r="AJ282" s="79" t="s">
        <v>46</v>
      </c>
      <c r="AK282" s="79">
        <v>0</v>
      </c>
      <c r="BB282" s="370" t="s">
        <v>67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475</v>
      </c>
      <c r="B283" s="60" t="s">
        <v>476</v>
      </c>
      <c r="C283" s="34">
        <v>4301051411</v>
      </c>
      <c r="D283" s="661">
        <v>4680115881617</v>
      </c>
      <c r="E283" s="661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477</v>
      </c>
      <c r="AG283" s="75"/>
      <c r="AJ283" s="79" t="s">
        <v>46</v>
      </c>
      <c r="AK283" s="79">
        <v>0</v>
      </c>
      <c r="BB283" s="372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478</v>
      </c>
      <c r="B284" s="60" t="s">
        <v>479</v>
      </c>
      <c r="C284" s="34">
        <v>4301051656</v>
      </c>
      <c r="D284" s="661">
        <v>4680115880573</v>
      </c>
      <c r="E284" s="661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480</v>
      </c>
      <c r="AG284" s="75"/>
      <c r="AJ284" s="79" t="s">
        <v>46</v>
      </c>
      <c r="AK284" s="79">
        <v>0</v>
      </c>
      <c r="BB284" s="374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481</v>
      </c>
      <c r="B285" s="60" t="s">
        <v>482</v>
      </c>
      <c r="C285" s="34">
        <v>4301051407</v>
      </c>
      <c r="D285" s="661">
        <v>4680115882195</v>
      </c>
      <c r="E285" s="661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40</v>
      </c>
      <c r="P28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474</v>
      </c>
      <c r="AG285" s="75"/>
      <c r="AJ285" s="79" t="s">
        <v>46</v>
      </c>
      <c r="AK285" s="79">
        <v>0</v>
      </c>
      <c r="BB285" s="376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483</v>
      </c>
      <c r="B286" s="60" t="s">
        <v>484</v>
      </c>
      <c r="C286" s="34">
        <v>4301051752</v>
      </c>
      <c r="D286" s="661">
        <v>4680115882607</v>
      </c>
      <c r="E286" s="661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45</v>
      </c>
      <c r="P28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480</v>
      </c>
      <c r="AG286" s="75"/>
      <c r="AJ286" s="79" t="s">
        <v>46</v>
      </c>
      <c r="AK286" s="79">
        <v>0</v>
      </c>
      <c r="BB286" s="378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485</v>
      </c>
      <c r="B287" s="60" t="s">
        <v>486</v>
      </c>
      <c r="C287" s="34">
        <v>4301052143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134</v>
      </c>
      <c r="L287" s="35" t="s">
        <v>46</v>
      </c>
      <c r="M287" s="36" t="s">
        <v>90</v>
      </c>
      <c r="N287" s="36"/>
      <c r="O287" s="35">
        <v>45</v>
      </c>
      <c r="P28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customHeight="1" x14ac:dyDescent="0.25">
      <c r="A288" s="60" t="s">
        <v>488</v>
      </c>
      <c r="B288" s="60" t="s">
        <v>489</v>
      </c>
      <c r="C288" s="34">
        <v>4301051666</v>
      </c>
      <c r="D288" s="661">
        <v>4680115880092</v>
      </c>
      <c r="E288" s="661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400</v>
      </c>
      <c r="Y288" s="53">
        <f t="shared" si="43"/>
        <v>400.8</v>
      </c>
      <c r="Z288" s="39">
        <f>IFERROR(IF(Y288=0,"",ROUNDUP(Y288/H288,0)*0.00651),"")</f>
        <v>1.08717</v>
      </c>
      <c r="AA288" s="65" t="s">
        <v>46</v>
      </c>
      <c r="AB288" s="66" t="s">
        <v>46</v>
      </c>
      <c r="AC288" s="381" t="s">
        <v>480</v>
      </c>
      <c r="AG288" s="75"/>
      <c r="AJ288" s="79" t="s">
        <v>46</v>
      </c>
      <c r="AK288" s="79">
        <v>0</v>
      </c>
      <c r="BB288" s="382" t="s">
        <v>67</v>
      </c>
      <c r="BM288" s="75">
        <f t="shared" si="44"/>
        <v>442</v>
      </c>
      <c r="BN288" s="75">
        <f t="shared" si="45"/>
        <v>442.88400000000007</v>
      </c>
      <c r="BO288" s="75">
        <f t="shared" si="46"/>
        <v>0.91575091575091594</v>
      </c>
      <c r="BP288" s="75">
        <f t="shared" si="47"/>
        <v>0.91758241758241765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4301052214</v>
      </c>
      <c r="D289" s="661">
        <v>4680115889064</v>
      </c>
      <c r="E289" s="661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67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4301051668</v>
      </c>
      <c r="D290" s="661">
        <v>4680115880221</v>
      </c>
      <c r="E290" s="661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480</v>
      </c>
      <c r="AG290" s="75"/>
      <c r="AJ290" s="79" t="s">
        <v>46</v>
      </c>
      <c r="AK290" s="79">
        <v>0</v>
      </c>
      <c r="BB290" s="386" t="s">
        <v>67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4301051945</v>
      </c>
      <c r="D291" s="661">
        <v>4680115880504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40</v>
      </c>
      <c r="P291" s="7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496</v>
      </c>
      <c r="AG291" s="75"/>
      <c r="AJ291" s="79" t="s">
        <v>46</v>
      </c>
      <c r="AK291" s="79">
        <v>0</v>
      </c>
      <c r="BB291" s="388" t="s">
        <v>67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4301051410</v>
      </c>
      <c r="D292" s="661">
        <v>4680115882164</v>
      </c>
      <c r="E292" s="661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91</v>
      </c>
      <c r="L292" s="35" t="s">
        <v>46</v>
      </c>
      <c r="M292" s="36" t="s">
        <v>90</v>
      </c>
      <c r="N292" s="36"/>
      <c r="O292" s="35">
        <v>40</v>
      </c>
      <c r="P292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499</v>
      </c>
      <c r="AG292" s="75"/>
      <c r="AJ292" s="79" t="s">
        <v>46</v>
      </c>
      <c r="AK292" s="79">
        <v>0</v>
      </c>
      <c r="BB292" s="390" t="s">
        <v>67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4301052180</v>
      </c>
      <c r="D293" s="661">
        <v>4680115888340</v>
      </c>
      <c r="E293" s="66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7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502</v>
      </c>
      <c r="AG293" s="75"/>
      <c r="AJ293" s="79" t="s">
        <v>46</v>
      </c>
      <c r="AK293" s="79">
        <v>0</v>
      </c>
      <c r="BB293" s="392" t="s">
        <v>67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166.66666666666669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167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1.08717</v>
      </c>
      <c r="AA294" s="64"/>
      <c r="AB294" s="64"/>
      <c r="AC294" s="64"/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0</v>
      </c>
      <c r="X295" s="41">
        <f>IFERROR(SUM(X282:X293),"0")</f>
        <v>400</v>
      </c>
      <c r="Y295" s="41">
        <f>IFERROR(SUM(Y282:Y293),"0")</f>
        <v>400.8</v>
      </c>
      <c r="Z295" s="40"/>
      <c r="AA295" s="64"/>
      <c r="AB295" s="64"/>
      <c r="AC295" s="64"/>
    </row>
    <row r="296" spans="1:68" ht="14.25" hidden="1" customHeight="1" x14ac:dyDescent="0.25">
      <c r="A296" s="660" t="s">
        <v>178</v>
      </c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0"/>
      <c r="P296" s="660"/>
      <c r="Q296" s="660"/>
      <c r="R296" s="660"/>
      <c r="S296" s="660"/>
      <c r="T296" s="660"/>
      <c r="U296" s="660"/>
      <c r="V296" s="660"/>
      <c r="W296" s="660"/>
      <c r="X296" s="660"/>
      <c r="Y296" s="660"/>
      <c r="Z296" s="660"/>
      <c r="AA296" s="63"/>
      <c r="AB296" s="63"/>
      <c r="AC296" s="63"/>
    </row>
    <row r="297" spans="1:68" ht="27" hidden="1" customHeight="1" x14ac:dyDescent="0.25">
      <c r="A297" s="60" t="s">
        <v>503</v>
      </c>
      <c r="B297" s="60" t="s">
        <v>504</v>
      </c>
      <c r="C297" s="34">
        <v>4301060463</v>
      </c>
      <c r="D297" s="661">
        <v>4680115880818</v>
      </c>
      <c r="E297" s="661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91</v>
      </c>
      <c r="L297" s="35" t="s">
        <v>46</v>
      </c>
      <c r="M297" s="36" t="s">
        <v>97</v>
      </c>
      <c r="N297" s="36"/>
      <c r="O297" s="35">
        <v>40</v>
      </c>
      <c r="P297" s="7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3"/>
      <c r="R297" s="663"/>
      <c r="S297" s="663"/>
      <c r="T297" s="664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505</v>
      </c>
      <c r="AG297" s="75"/>
      <c r="AJ297" s="79" t="s">
        <v>46</v>
      </c>
      <c r="AK297" s="79">
        <v>0</v>
      </c>
      <c r="BB297" s="39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506</v>
      </c>
      <c r="B298" s="60" t="s">
        <v>507</v>
      </c>
      <c r="C298" s="34">
        <v>4301060389</v>
      </c>
      <c r="D298" s="661">
        <v>4680115880801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40</v>
      </c>
      <c r="P298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508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651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52"/>
      <c r="P299" s="648" t="s">
        <v>40</v>
      </c>
      <c r="Q299" s="649"/>
      <c r="R299" s="649"/>
      <c r="S299" s="649"/>
      <c r="T299" s="649"/>
      <c r="U299" s="649"/>
      <c r="V299" s="650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667" t="s">
        <v>509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2"/>
      <c r="AB301" s="62"/>
      <c r="AC301" s="62"/>
    </row>
    <row r="302" spans="1:68" ht="14.25" hidden="1" customHeight="1" x14ac:dyDescent="0.25">
      <c r="A302" s="660" t="s">
        <v>122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3"/>
      <c r="AB302" s="63"/>
      <c r="AC302" s="63"/>
    </row>
    <row r="303" spans="1:68" ht="27" hidden="1" customHeight="1" x14ac:dyDescent="0.25">
      <c r="A303" s="60" t="s">
        <v>510</v>
      </c>
      <c r="B303" s="60" t="s">
        <v>511</v>
      </c>
      <c r="C303" s="34">
        <v>4301011826</v>
      </c>
      <c r="D303" s="661">
        <v>4680115884137</v>
      </c>
      <c r="E303" s="661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3"/>
      <c r="R303" s="663"/>
      <c r="S303" s="663"/>
      <c r="T303" s="664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512</v>
      </c>
      <c r="AG303" s="75"/>
      <c r="AJ303" s="79" t="s">
        <v>46</v>
      </c>
      <c r="AK303" s="79">
        <v>0</v>
      </c>
      <c r="BB303" s="398" t="s">
        <v>67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513</v>
      </c>
      <c r="B304" s="60" t="s">
        <v>514</v>
      </c>
      <c r="C304" s="34">
        <v>4301011724</v>
      </c>
      <c r="D304" s="661">
        <v>4680115884236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515</v>
      </c>
      <c r="AG304" s="75"/>
      <c r="AJ304" s="79" t="s">
        <v>46</v>
      </c>
      <c r="AK304" s="79">
        <v>0</v>
      </c>
      <c r="BB304" s="400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516</v>
      </c>
      <c r="B305" s="60" t="s">
        <v>517</v>
      </c>
      <c r="C305" s="34">
        <v>4301011721</v>
      </c>
      <c r="D305" s="661">
        <v>4680115884175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363</v>
      </c>
      <c r="AG305" s="75"/>
      <c r="AJ305" s="79" t="s">
        <v>46</v>
      </c>
      <c r="AK305" s="79">
        <v>0</v>
      </c>
      <c r="BB305" s="402" t="s">
        <v>67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518</v>
      </c>
      <c r="B306" s="60" t="s">
        <v>519</v>
      </c>
      <c r="C306" s="34">
        <v>4301011824</v>
      </c>
      <c r="D306" s="661">
        <v>4680115884144</v>
      </c>
      <c r="E306" s="661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134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512</v>
      </c>
      <c r="AG306" s="75"/>
      <c r="AJ306" s="79" t="s">
        <v>46</v>
      </c>
      <c r="AK306" s="79">
        <v>0</v>
      </c>
      <c r="BB306" s="404" t="s">
        <v>67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520</v>
      </c>
      <c r="B307" s="60" t="s">
        <v>521</v>
      </c>
      <c r="C307" s="34">
        <v>4301012149</v>
      </c>
      <c r="D307" s="661">
        <v>4680115886551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522</v>
      </c>
      <c r="AG307" s="75"/>
      <c r="AJ307" s="79" t="s">
        <v>46</v>
      </c>
      <c r="AK307" s="79">
        <v>0</v>
      </c>
      <c r="BB307" s="406" t="s">
        <v>67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523</v>
      </c>
      <c r="B308" s="60" t="s">
        <v>524</v>
      </c>
      <c r="C308" s="34">
        <v>4301012228</v>
      </c>
      <c r="D308" s="661">
        <v>4680115887282</v>
      </c>
      <c r="E308" s="661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91</v>
      </c>
      <c r="L308" s="35" t="s">
        <v>46</v>
      </c>
      <c r="M308" s="36" t="s">
        <v>126</v>
      </c>
      <c r="N308" s="36"/>
      <c r="O308" s="35">
        <v>55</v>
      </c>
      <c r="P308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525</v>
      </c>
      <c r="AG308" s="75"/>
      <c r="AJ308" s="79" t="s">
        <v>46</v>
      </c>
      <c r="AK308" s="79">
        <v>0</v>
      </c>
      <c r="BB308" s="408" t="s">
        <v>67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526</v>
      </c>
      <c r="B309" s="60" t="s">
        <v>527</v>
      </c>
      <c r="C309" s="34">
        <v>4301011722</v>
      </c>
      <c r="D309" s="661">
        <v>4680115884205</v>
      </c>
      <c r="E309" s="661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134</v>
      </c>
      <c r="L309" s="35" t="s">
        <v>46</v>
      </c>
      <c r="M309" s="36" t="s">
        <v>126</v>
      </c>
      <c r="N309" s="36"/>
      <c r="O309" s="35">
        <v>55</v>
      </c>
      <c r="P309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363</v>
      </c>
      <c r="AG309" s="75"/>
      <c r="AJ309" s="79" t="s">
        <v>46</v>
      </c>
      <c r="AK309" s="79">
        <v>0</v>
      </c>
      <c r="BB309" s="410" t="s">
        <v>67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60" t="s">
        <v>159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3"/>
      <c r="AB312" s="63"/>
      <c r="AC312" s="63"/>
    </row>
    <row r="313" spans="1:68" ht="27" hidden="1" customHeight="1" x14ac:dyDescent="0.25">
      <c r="A313" s="60" t="s">
        <v>528</v>
      </c>
      <c r="B313" s="60" t="s">
        <v>529</v>
      </c>
      <c r="C313" s="34">
        <v>4301020377</v>
      </c>
      <c r="D313" s="661">
        <v>4680115885981</v>
      </c>
      <c r="E313" s="661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82</v>
      </c>
      <c r="L313" s="35" t="s">
        <v>46</v>
      </c>
      <c r="M313" s="36" t="s">
        <v>90</v>
      </c>
      <c r="N313" s="36"/>
      <c r="O313" s="35">
        <v>50</v>
      </c>
      <c r="P313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3"/>
      <c r="R313" s="663"/>
      <c r="S313" s="663"/>
      <c r="T313" s="664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530</v>
      </c>
      <c r="AG313" s="75"/>
      <c r="AJ313" s="79" t="s">
        <v>46</v>
      </c>
      <c r="AK313" s="79">
        <v>0</v>
      </c>
      <c r="BB313" s="41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60" t="s">
        <v>531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3"/>
      <c r="AB316" s="63"/>
      <c r="AC316" s="63"/>
    </row>
    <row r="317" spans="1:68" ht="27" hidden="1" customHeight="1" x14ac:dyDescent="0.25">
      <c r="A317" s="60" t="s">
        <v>532</v>
      </c>
      <c r="B317" s="60" t="s">
        <v>533</v>
      </c>
      <c r="C317" s="34">
        <v>4301040362</v>
      </c>
      <c r="D317" s="661">
        <v>4680115886803</v>
      </c>
      <c r="E317" s="661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340</v>
      </c>
      <c r="L317" s="35" t="s">
        <v>46</v>
      </c>
      <c r="M317" s="36" t="s">
        <v>282</v>
      </c>
      <c r="N317" s="36"/>
      <c r="O317" s="35">
        <v>45</v>
      </c>
      <c r="P317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3"/>
      <c r="R317" s="663"/>
      <c r="S317" s="663"/>
      <c r="T317" s="664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534</v>
      </c>
      <c r="AG317" s="75"/>
      <c r="AJ317" s="79" t="s">
        <v>46</v>
      </c>
      <c r="AK317" s="79">
        <v>0</v>
      </c>
      <c r="BB317" s="41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660" t="s">
        <v>341</v>
      </c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0"/>
      <c r="P320" s="660"/>
      <c r="Q320" s="660"/>
      <c r="R320" s="660"/>
      <c r="S320" s="660"/>
      <c r="T320" s="660"/>
      <c r="U320" s="660"/>
      <c r="V320" s="660"/>
      <c r="W320" s="660"/>
      <c r="X320" s="660"/>
      <c r="Y320" s="660"/>
      <c r="Z320" s="660"/>
      <c r="AA320" s="63"/>
      <c r="AB320" s="63"/>
      <c r="AC320" s="63"/>
    </row>
    <row r="321" spans="1:68" ht="27" hidden="1" customHeight="1" x14ac:dyDescent="0.25">
      <c r="A321" s="60" t="s">
        <v>535</v>
      </c>
      <c r="B321" s="60" t="s">
        <v>536</v>
      </c>
      <c r="C321" s="34">
        <v>4301041008</v>
      </c>
      <c r="D321" s="661">
        <v>4680115886681</v>
      </c>
      <c r="E321" s="661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340</v>
      </c>
      <c r="L321" s="35" t="s">
        <v>46</v>
      </c>
      <c r="M321" s="36" t="s">
        <v>282</v>
      </c>
      <c r="N321" s="36"/>
      <c r="O321" s="35">
        <v>90</v>
      </c>
      <c r="P321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3"/>
      <c r="R321" s="663"/>
      <c r="S321" s="663"/>
      <c r="T321" s="664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537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1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52"/>
      <c r="P322" s="648" t="s">
        <v>40</v>
      </c>
      <c r="Q322" s="649"/>
      <c r="R322" s="649"/>
      <c r="S322" s="649"/>
      <c r="T322" s="649"/>
      <c r="U322" s="649"/>
      <c r="V322" s="650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52"/>
      <c r="P323" s="648" t="s">
        <v>40</v>
      </c>
      <c r="Q323" s="649"/>
      <c r="R323" s="649"/>
      <c r="S323" s="649"/>
      <c r="T323" s="649"/>
      <c r="U323" s="649"/>
      <c r="V323" s="650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7" t="s">
        <v>538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2"/>
      <c r="AB324" s="62"/>
      <c r="AC324" s="62"/>
    </row>
    <row r="325" spans="1:68" ht="14.25" hidden="1" customHeight="1" x14ac:dyDescent="0.25">
      <c r="A325" s="660" t="s">
        <v>122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3"/>
      <c r="AB325" s="63"/>
      <c r="AC325" s="63"/>
    </row>
    <row r="326" spans="1:68" ht="27" hidden="1" customHeight="1" x14ac:dyDescent="0.25">
      <c r="A326" s="60" t="s">
        <v>539</v>
      </c>
      <c r="B326" s="60" t="s">
        <v>540</v>
      </c>
      <c r="C326" s="34">
        <v>4301012390</v>
      </c>
      <c r="D326" s="661">
        <v>4680115889637</v>
      </c>
      <c r="E326" s="66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3"/>
      <c r="R326" s="663"/>
      <c r="S326" s="663"/>
      <c r="T326" s="664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542</v>
      </c>
      <c r="AC326" s="417" t="s">
        <v>541</v>
      </c>
      <c r="AG326" s="75"/>
      <c r="AJ326" s="79" t="s">
        <v>46</v>
      </c>
      <c r="AK326" s="79">
        <v>0</v>
      </c>
      <c r="BB326" s="418" t="s">
        <v>67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543</v>
      </c>
      <c r="B327" s="60" t="s">
        <v>544</v>
      </c>
      <c r="C327" s="34">
        <v>4301011855</v>
      </c>
      <c r="D327" s="661">
        <v>4680115885837</v>
      </c>
      <c r="E327" s="661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3"/>
      <c r="R327" s="663"/>
      <c r="S327" s="663"/>
      <c r="T327" s="664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545</v>
      </c>
      <c r="AG327" s="75"/>
      <c r="AJ327" s="79" t="s">
        <v>46</v>
      </c>
      <c r="AK327" s="79">
        <v>0</v>
      </c>
      <c r="BB327" s="420" t="s">
        <v>67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546</v>
      </c>
      <c r="B328" s="60" t="s">
        <v>547</v>
      </c>
      <c r="C328" s="34">
        <v>4301012234</v>
      </c>
      <c r="D328" s="661">
        <v>4680115887237</v>
      </c>
      <c r="E328" s="661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3"/>
      <c r="R328" s="663"/>
      <c r="S328" s="663"/>
      <c r="T328" s="664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548</v>
      </c>
      <c r="AG328" s="75"/>
      <c r="AJ328" s="79" t="s">
        <v>46</v>
      </c>
      <c r="AK328" s="79">
        <v>0</v>
      </c>
      <c r="BB328" s="422" t="s">
        <v>67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549</v>
      </c>
      <c r="B329" s="60" t="s">
        <v>550</v>
      </c>
      <c r="C329" s="34">
        <v>4301011850</v>
      </c>
      <c r="D329" s="661">
        <v>4680115885806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551</v>
      </c>
      <c r="AG329" s="75"/>
      <c r="AJ329" s="79" t="s">
        <v>46</v>
      </c>
      <c r="AK329" s="79">
        <v>0</v>
      </c>
      <c r="BB329" s="424" t="s">
        <v>67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552</v>
      </c>
      <c r="B330" s="60" t="s">
        <v>553</v>
      </c>
      <c r="C330" s="34">
        <v>4301011852</v>
      </c>
      <c r="D330" s="661">
        <v>4680115885844</v>
      </c>
      <c r="E330" s="661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554</v>
      </c>
      <c r="AG330" s="75"/>
      <c r="AJ330" s="79" t="s">
        <v>46</v>
      </c>
      <c r="AK330" s="79">
        <v>0</v>
      </c>
      <c r="BB330" s="426" t="s">
        <v>67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555</v>
      </c>
      <c r="B331" s="60" t="s">
        <v>556</v>
      </c>
      <c r="C331" s="34">
        <v>4301011851</v>
      </c>
      <c r="D331" s="661">
        <v>4680115885820</v>
      </c>
      <c r="E331" s="661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557</v>
      </c>
      <c r="AG331" s="75"/>
      <c r="AJ331" s="79" t="s">
        <v>46</v>
      </c>
      <c r="AK331" s="79">
        <v>0</v>
      </c>
      <c r="BB331" s="428" t="s">
        <v>67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651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52"/>
      <c r="P332" s="648" t="s">
        <v>40</v>
      </c>
      <c r="Q332" s="649"/>
      <c r="R332" s="649"/>
      <c r="S332" s="649"/>
      <c r="T332" s="649"/>
      <c r="U332" s="649"/>
      <c r="V332" s="650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52"/>
      <c r="P333" s="648" t="s">
        <v>40</v>
      </c>
      <c r="Q333" s="649"/>
      <c r="R333" s="649"/>
      <c r="S333" s="649"/>
      <c r="T333" s="649"/>
      <c r="U333" s="649"/>
      <c r="V333" s="650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667" t="s">
        <v>558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2"/>
      <c r="AB334" s="62"/>
      <c r="AC334" s="62"/>
    </row>
    <row r="335" spans="1:68" ht="14.25" hidden="1" customHeight="1" x14ac:dyDescent="0.25">
      <c r="A335" s="660" t="s">
        <v>86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3"/>
      <c r="AB335" s="63"/>
      <c r="AC335" s="63"/>
    </row>
    <row r="336" spans="1:68" ht="27" hidden="1" customHeight="1" x14ac:dyDescent="0.25">
      <c r="A336" s="60" t="s">
        <v>559</v>
      </c>
      <c r="B336" s="60" t="s">
        <v>560</v>
      </c>
      <c r="C336" s="34">
        <v>4301051893</v>
      </c>
      <c r="D336" s="661">
        <v>4680115886186</v>
      </c>
      <c r="E336" s="661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91</v>
      </c>
      <c r="L336" s="35" t="s">
        <v>46</v>
      </c>
      <c r="M336" s="36" t="s">
        <v>90</v>
      </c>
      <c r="N336" s="36"/>
      <c r="O336" s="35">
        <v>45</v>
      </c>
      <c r="P336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3"/>
      <c r="R336" s="663"/>
      <c r="S336" s="663"/>
      <c r="T336" s="664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561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562</v>
      </c>
      <c r="B337" s="60" t="s">
        <v>563</v>
      </c>
      <c r="C337" s="34">
        <v>4301051795</v>
      </c>
      <c r="D337" s="661">
        <v>4680115881228</v>
      </c>
      <c r="E337" s="661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91</v>
      </c>
      <c r="L337" s="35" t="s">
        <v>46</v>
      </c>
      <c r="M337" s="36" t="s">
        <v>97</v>
      </c>
      <c r="N337" s="36"/>
      <c r="O337" s="35">
        <v>40</v>
      </c>
      <c r="P337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3"/>
      <c r="R337" s="663"/>
      <c r="S337" s="663"/>
      <c r="T337" s="664"/>
      <c r="U337" s="37" t="s">
        <v>46</v>
      </c>
      <c r="V337" s="37" t="s">
        <v>46</v>
      </c>
      <c r="W337" s="38" t="s">
        <v>0</v>
      </c>
      <c r="X337" s="56">
        <v>240</v>
      </c>
      <c r="Y337" s="53">
        <f>IFERROR(IF(X337="",0,CEILING((X337/$H337),1)*$H337),"")</f>
        <v>240</v>
      </c>
      <c r="Z337" s="39">
        <f>IFERROR(IF(Y337=0,"",ROUNDUP(Y337/H337,0)*0.00651),"")</f>
        <v>0.65100000000000002</v>
      </c>
      <c r="AA337" s="65" t="s">
        <v>46</v>
      </c>
      <c r="AB337" s="66" t="s">
        <v>46</v>
      </c>
      <c r="AC337" s="431" t="s">
        <v>564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265.20000000000005</v>
      </c>
      <c r="BN337" s="75">
        <f>IFERROR(Y337*I337/H337,"0")</f>
        <v>265.20000000000005</v>
      </c>
      <c r="BO337" s="75">
        <f>IFERROR(1/J337*(X337/H337),"0")</f>
        <v>0.5494505494505495</v>
      </c>
      <c r="BP337" s="75">
        <f>IFERROR(1/J337*(Y337/H337),"0")</f>
        <v>0.5494505494505495</v>
      </c>
    </row>
    <row r="338" spans="1:68" ht="27" customHeight="1" x14ac:dyDescent="0.25">
      <c r="A338" s="60" t="s">
        <v>565</v>
      </c>
      <c r="B338" s="60" t="s">
        <v>566</v>
      </c>
      <c r="C338" s="34">
        <v>4301051388</v>
      </c>
      <c r="D338" s="661">
        <v>4680115881211</v>
      </c>
      <c r="E338" s="661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200</v>
      </c>
      <c r="Y338" s="53">
        <f>IFERROR(IF(X338="",0,CEILING((X338/$H338),1)*$H338),"")</f>
        <v>201.6</v>
      </c>
      <c r="Z338" s="39">
        <f>IFERROR(IF(Y338=0,"",ROUNDUP(Y338/H338,0)*0.00651),"")</f>
        <v>0.54683999999999999</v>
      </c>
      <c r="AA338" s="65" t="s">
        <v>46</v>
      </c>
      <c r="AB338" s="66" t="s">
        <v>46</v>
      </c>
      <c r="AC338" s="433" t="s">
        <v>561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215</v>
      </c>
      <c r="BN338" s="75">
        <f>IFERROR(Y338*I338/H338,"0")</f>
        <v>216.72000000000003</v>
      </c>
      <c r="BO338" s="75">
        <f>IFERROR(1/J338*(X338/H338),"0")</f>
        <v>0.45787545787545797</v>
      </c>
      <c r="BP338" s="75">
        <f>IFERROR(1/J338*(Y338/H338),"0")</f>
        <v>0.46153846153846156</v>
      </c>
    </row>
    <row r="339" spans="1:68" x14ac:dyDescent="0.2">
      <c r="A339" s="651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2"/>
      <c r="P339" s="648" t="s">
        <v>40</v>
      </c>
      <c r="Q339" s="649"/>
      <c r="R339" s="649"/>
      <c r="S339" s="649"/>
      <c r="T339" s="649"/>
      <c r="U339" s="649"/>
      <c r="V339" s="650"/>
      <c r="W339" s="40" t="s">
        <v>39</v>
      </c>
      <c r="X339" s="41">
        <f>IFERROR(X336/H336,"0")+IFERROR(X337/H337,"0")+IFERROR(X338/H338,"0")</f>
        <v>183.33333333333334</v>
      </c>
      <c r="Y339" s="41">
        <f>IFERROR(Y336/H336,"0")+IFERROR(Y337/H337,"0")+IFERROR(Y338/H338,"0")</f>
        <v>184</v>
      </c>
      <c r="Z339" s="41">
        <f>IFERROR(IF(Z336="",0,Z336),"0")+IFERROR(IF(Z337="",0,Z337),"0")+IFERROR(IF(Z338="",0,Z338),"0")</f>
        <v>1.19784</v>
      </c>
      <c r="AA339" s="64"/>
      <c r="AB339" s="64"/>
      <c r="AC339" s="64"/>
    </row>
    <row r="340" spans="1:68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52"/>
      <c r="P340" s="648" t="s">
        <v>40</v>
      </c>
      <c r="Q340" s="649"/>
      <c r="R340" s="649"/>
      <c r="S340" s="649"/>
      <c r="T340" s="649"/>
      <c r="U340" s="649"/>
      <c r="V340" s="650"/>
      <c r="W340" s="40" t="s">
        <v>0</v>
      </c>
      <c r="X340" s="41">
        <f>IFERROR(SUM(X336:X338),"0")</f>
        <v>440</v>
      </c>
      <c r="Y340" s="41">
        <f>IFERROR(SUM(Y336:Y338),"0")</f>
        <v>441.6</v>
      </c>
      <c r="Z340" s="40"/>
      <c r="AA340" s="64"/>
      <c r="AB340" s="64"/>
      <c r="AC340" s="64"/>
    </row>
    <row r="341" spans="1:68" ht="16.5" hidden="1" customHeight="1" x14ac:dyDescent="0.25">
      <c r="A341" s="667" t="s">
        <v>567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2"/>
      <c r="AB341" s="62"/>
      <c r="AC341" s="62"/>
    </row>
    <row r="342" spans="1:68" ht="14.25" hidden="1" customHeight="1" x14ac:dyDescent="0.25">
      <c r="A342" s="660" t="s">
        <v>77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3"/>
      <c r="AB342" s="63"/>
      <c r="AC342" s="63"/>
    </row>
    <row r="343" spans="1:68" ht="27" hidden="1" customHeight="1" x14ac:dyDescent="0.25">
      <c r="A343" s="60" t="s">
        <v>568</v>
      </c>
      <c r="B343" s="60" t="s">
        <v>569</v>
      </c>
      <c r="C343" s="34">
        <v>4301031445</v>
      </c>
      <c r="D343" s="661">
        <v>4680115888319</v>
      </c>
      <c r="E343" s="661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45</v>
      </c>
      <c r="P343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3"/>
      <c r="R343" s="663"/>
      <c r="S343" s="663"/>
      <c r="T343" s="664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395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570</v>
      </c>
      <c r="B344" s="60" t="s">
        <v>571</v>
      </c>
      <c r="C344" s="34">
        <v>4301031502</v>
      </c>
      <c r="D344" s="661">
        <v>4680115884700</v>
      </c>
      <c r="E344" s="661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3"/>
      <c r="R344" s="663"/>
      <c r="S344" s="663"/>
      <c r="T344" s="664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573</v>
      </c>
      <c r="B345" s="60" t="s">
        <v>574</v>
      </c>
      <c r="C345" s="34">
        <v>4301031307</v>
      </c>
      <c r="D345" s="661">
        <v>4680115880344</v>
      </c>
      <c r="E345" s="661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575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576</v>
      </c>
      <c r="B346" s="60" t="s">
        <v>577</v>
      </c>
      <c r="C346" s="34">
        <v>4301031501</v>
      </c>
      <c r="D346" s="661">
        <v>4680115886919</v>
      </c>
      <c r="E346" s="661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91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578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579</v>
      </c>
      <c r="B347" s="60" t="s">
        <v>580</v>
      </c>
      <c r="C347" s="34">
        <v>4301031246</v>
      </c>
      <c r="D347" s="661">
        <v>4680115883970</v>
      </c>
      <c r="E347" s="661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581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660" t="s">
        <v>86</v>
      </c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0"/>
      <c r="P350" s="660"/>
      <c r="Q350" s="660"/>
      <c r="R350" s="660"/>
      <c r="S350" s="660"/>
      <c r="T350" s="660"/>
      <c r="U350" s="660"/>
      <c r="V350" s="660"/>
      <c r="W350" s="660"/>
      <c r="X350" s="660"/>
      <c r="Y350" s="660"/>
      <c r="Z350" s="660"/>
      <c r="AA350" s="63"/>
      <c r="AB350" s="63"/>
      <c r="AC350" s="63"/>
    </row>
    <row r="351" spans="1:68" ht="27" hidden="1" customHeight="1" x14ac:dyDescent="0.25">
      <c r="A351" s="60" t="s">
        <v>582</v>
      </c>
      <c r="B351" s="60" t="s">
        <v>583</v>
      </c>
      <c r="C351" s="34">
        <v>4301051782</v>
      </c>
      <c r="D351" s="661">
        <v>4680115884618</v>
      </c>
      <c r="E351" s="661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3"/>
      <c r="R351" s="663"/>
      <c r="S351" s="663"/>
      <c r="T351" s="664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584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585</v>
      </c>
      <c r="B352" s="60" t="s">
        <v>586</v>
      </c>
      <c r="C352" s="34">
        <v>4301052057</v>
      </c>
      <c r="D352" s="661">
        <v>4680115887114</v>
      </c>
      <c r="E352" s="661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3"/>
      <c r="R352" s="663"/>
      <c r="S352" s="663"/>
      <c r="T352" s="664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587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52"/>
      <c r="P353" s="648" t="s">
        <v>40</v>
      </c>
      <c r="Q353" s="649"/>
      <c r="R353" s="649"/>
      <c r="S353" s="649"/>
      <c r="T353" s="649"/>
      <c r="U353" s="649"/>
      <c r="V353" s="650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667" t="s">
        <v>588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2"/>
      <c r="AB355" s="62"/>
      <c r="AC355" s="62"/>
    </row>
    <row r="356" spans="1:68" ht="14.25" hidden="1" customHeight="1" x14ac:dyDescent="0.25">
      <c r="A356" s="660" t="s">
        <v>122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3"/>
      <c r="AB356" s="63"/>
      <c r="AC356" s="63"/>
    </row>
    <row r="357" spans="1:68" ht="27" hidden="1" customHeight="1" x14ac:dyDescent="0.25">
      <c r="A357" s="60" t="s">
        <v>589</v>
      </c>
      <c r="B357" s="60" t="s">
        <v>590</v>
      </c>
      <c r="C357" s="34">
        <v>4301012324</v>
      </c>
      <c r="D357" s="661">
        <v>4680115887947</v>
      </c>
      <c r="E357" s="661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3"/>
      <c r="R357" s="663"/>
      <c r="S357" s="663"/>
      <c r="T357" s="664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354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591</v>
      </c>
      <c r="B358" s="60" t="s">
        <v>592</v>
      </c>
      <c r="C358" s="34">
        <v>4301012325</v>
      </c>
      <c r="D358" s="661">
        <v>4680115887978</v>
      </c>
      <c r="E358" s="661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3"/>
      <c r="R358" s="663"/>
      <c r="S358" s="663"/>
      <c r="T358" s="664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593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4301012327</v>
      </c>
      <c r="D359" s="661">
        <v>4680115887992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596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2"/>
      <c r="P360" s="648" t="s">
        <v>40</v>
      </c>
      <c r="Q360" s="649"/>
      <c r="R360" s="649"/>
      <c r="S360" s="649"/>
      <c r="T360" s="649"/>
      <c r="U360" s="649"/>
      <c r="V360" s="650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667" t="s">
        <v>597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2"/>
      <c r="AB362" s="62"/>
      <c r="AC362" s="62"/>
    </row>
    <row r="363" spans="1:68" ht="14.25" hidden="1" customHeight="1" x14ac:dyDescent="0.25">
      <c r="A363" s="660" t="s">
        <v>122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3"/>
      <c r="AB363" s="63"/>
      <c r="AC363" s="63"/>
    </row>
    <row r="364" spans="1:68" ht="27" hidden="1" customHeight="1" x14ac:dyDescent="0.25">
      <c r="A364" s="60" t="s">
        <v>598</v>
      </c>
      <c r="B364" s="60" t="s">
        <v>599</v>
      </c>
      <c r="C364" s="34">
        <v>4301012400</v>
      </c>
      <c r="D364" s="661">
        <v>4680115889880</v>
      </c>
      <c r="E364" s="661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3"/>
      <c r="R364" s="663"/>
      <c r="S364" s="663"/>
      <c r="T364" s="664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542</v>
      </c>
      <c r="AC364" s="455" t="s">
        <v>522</v>
      </c>
      <c r="AG364" s="75"/>
      <c r="AJ364" s="79" t="s">
        <v>46</v>
      </c>
      <c r="AK364" s="79">
        <v>0</v>
      </c>
      <c r="BB364" s="456" t="s">
        <v>67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600</v>
      </c>
      <c r="B365" s="60" t="s">
        <v>601</v>
      </c>
      <c r="C365" s="34">
        <v>4301012360</v>
      </c>
      <c r="D365" s="661">
        <v>4680115889293</v>
      </c>
      <c r="E365" s="661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3"/>
      <c r="R365" s="663"/>
      <c r="S365" s="663"/>
      <c r="T365" s="664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602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603</v>
      </c>
      <c r="B366" s="60" t="s">
        <v>604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605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606</v>
      </c>
      <c r="B367" s="60" t="s">
        <v>607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608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609</v>
      </c>
      <c r="B368" s="60" t="s">
        <v>610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611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605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614</v>
      </c>
      <c r="B370" s="60" t="s">
        <v>615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616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617</v>
      </c>
      <c r="B374" s="60" t="s">
        <v>618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619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620</v>
      </c>
      <c r="B375" s="60" t="s">
        <v>621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622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623</v>
      </c>
      <c r="B376" s="60" t="s">
        <v>624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625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626</v>
      </c>
      <c r="B377" s="60" t="s">
        <v>627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customHeight="1" x14ac:dyDescent="0.25">
      <c r="A378" s="60" t="s">
        <v>628</v>
      </c>
      <c r="B378" s="60" t="s">
        <v>629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700</v>
      </c>
      <c r="Y378" s="53">
        <f t="shared" si="63"/>
        <v>701.4</v>
      </c>
      <c r="Z378" s="39">
        <f>IFERROR(IF(Y378=0,"",ROUNDUP(Y378/H378,0)*0.00502),"")</f>
        <v>1.6766799999999999</v>
      </c>
      <c r="AA378" s="65" t="s">
        <v>46</v>
      </c>
      <c r="AB378" s="66" t="s">
        <v>46</v>
      </c>
      <c r="AC378" s="477" t="s">
        <v>630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733.33333333333337</v>
      </c>
      <c r="BN378" s="75">
        <f t="shared" si="65"/>
        <v>734.80000000000007</v>
      </c>
      <c r="BO378" s="75">
        <f t="shared" si="66"/>
        <v>1.4245014245014245</v>
      </c>
      <c r="BP378" s="75">
        <f t="shared" si="67"/>
        <v>1.4273504273504274</v>
      </c>
    </row>
    <row r="379" spans="1:68" ht="27" hidden="1" customHeight="1" x14ac:dyDescent="0.25">
      <c r="A379" s="60" t="s">
        <v>631</v>
      </c>
      <c r="B379" s="60" t="s">
        <v>632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625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635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333.33333333333331</v>
      </c>
      <c r="Y381" s="41">
        <f>IFERROR(Y374/H374,"0")+IFERROR(Y375/H375,"0")+IFERROR(Y376/H376,"0")+IFERROR(Y377/H377,"0")+IFERROR(Y378/H378,"0")+IFERROR(Y379/H379,"0")+IFERROR(Y380/H380,"0")</f>
        <v>334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1.6766799999999999</v>
      </c>
      <c r="AA381" s="64"/>
      <c r="AB381" s="64"/>
      <c r="AC381" s="64"/>
    </row>
    <row r="382" spans="1:68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700</v>
      </c>
      <c r="Y382" s="41">
        <f>IFERROR(SUM(Y374:Y380),"0")</f>
        <v>701.4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636</v>
      </c>
      <c r="B384" s="60" t="s">
        <v>637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638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639</v>
      </c>
      <c r="B385" s="60" t="s">
        <v>640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641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644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638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178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647</v>
      </c>
      <c r="B391" s="60" t="s">
        <v>648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649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650</v>
      </c>
      <c r="B392" s="60" t="s">
        <v>651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652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655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277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656</v>
      </c>
      <c r="B397" s="60" t="s">
        <v>657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253</v>
      </c>
      <c r="N397" s="36"/>
      <c r="O397" s="35">
        <v>180</v>
      </c>
      <c r="P397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658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253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658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253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658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663</v>
      </c>
      <c r="B400" s="60" t="s">
        <v>664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253</v>
      </c>
      <c r="N400" s="36"/>
      <c r="O400" s="35">
        <v>180</v>
      </c>
      <c r="P40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658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665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666</v>
      </c>
      <c r="B404" s="60" t="s">
        <v>667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669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668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670</v>
      </c>
      <c r="B405" s="60" t="s">
        <v>671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669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672</v>
      </c>
      <c r="B406" s="60" t="s">
        <v>673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669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668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674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675</v>
      </c>
      <c r="B410" s="60" t="s">
        <v>676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669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677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678</v>
      </c>
      <c r="B411" s="60" t="s">
        <v>679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669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680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681</v>
      </c>
      <c r="B412" s="60" t="s">
        <v>682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669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677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683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684</v>
      </c>
      <c r="B417" s="60" t="s">
        <v>685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686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687</v>
      </c>
      <c r="B418" s="60" t="s">
        <v>688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689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691</v>
      </c>
      <c r="B423" s="60" t="s">
        <v>692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693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customHeight="1" x14ac:dyDescent="0.25">
      <c r="A424" s="60" t="s">
        <v>694</v>
      </c>
      <c r="B424" s="60" t="s">
        <v>695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6300</v>
      </c>
      <c r="Y424" s="53">
        <f>IFERROR(IF(X424="",0,CEILING((X424/$H424),1)*$H424),"")</f>
        <v>6300</v>
      </c>
      <c r="Z424" s="39">
        <f>IFERROR(IF(Y424=0,"",ROUNDUP(Y424/H424,0)*0.00651),"")</f>
        <v>19.53</v>
      </c>
      <c r="AA424" s="65" t="s">
        <v>46</v>
      </c>
      <c r="AB424" s="66" t="s">
        <v>46</v>
      </c>
      <c r="AC424" s="523" t="s">
        <v>696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7055.9999999999991</v>
      </c>
      <c r="BN424" s="75">
        <f>IFERROR(Y424*I424/H424,"0")</f>
        <v>7055.9999999999991</v>
      </c>
      <c r="BO424" s="75">
        <f>IFERROR(1/J424*(X424/H424),"0")</f>
        <v>16.483516483516485</v>
      </c>
      <c r="BP424" s="75">
        <f>IFERROR(1/J424*(Y424/H424),"0")</f>
        <v>16.483516483516485</v>
      </c>
    </row>
    <row r="425" spans="1:68" ht="27" customHeight="1" x14ac:dyDescent="0.25">
      <c r="A425" s="60" t="s">
        <v>697</v>
      </c>
      <c r="B425" s="60" t="s">
        <v>698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5005</v>
      </c>
      <c r="Y425" s="53">
        <f>IFERROR(IF(X425="",0,CEILING((X425/$H425),1)*$H425),"")</f>
        <v>5006.4000000000005</v>
      </c>
      <c r="Z425" s="39">
        <f>IFERROR(IF(Y425=0,"",ROUNDUP(Y425/H425,0)*0.00651),"")</f>
        <v>15.51984</v>
      </c>
      <c r="AA425" s="65" t="s">
        <v>46</v>
      </c>
      <c r="AB425" s="66" t="s">
        <v>46</v>
      </c>
      <c r="AC425" s="525" t="s">
        <v>699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5576.9999999999991</v>
      </c>
      <c r="BN425" s="75">
        <f>IFERROR(Y425*I425/H425,"0")</f>
        <v>5578.56</v>
      </c>
      <c r="BO425" s="75">
        <f>IFERROR(1/J425*(X425/H425),"0")</f>
        <v>13.095238095238095</v>
      </c>
      <c r="BP425" s="75">
        <f>IFERROR(1/J425*(Y425/H425),"0")</f>
        <v>13.0989010989011</v>
      </c>
    </row>
    <row r="426" spans="1:68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5383.333333333333</v>
      </c>
      <c r="Y426" s="41">
        <f>IFERROR(Y423/H423,"0")+IFERROR(Y424/H424,"0")+IFERROR(Y425/H425,"0")</f>
        <v>5384</v>
      </c>
      <c r="Z426" s="41">
        <f>IFERROR(IF(Z423="",0,Z423),"0")+IFERROR(IF(Z424="",0,Z424),"0")+IFERROR(IF(Z425="",0,Z425),"0")</f>
        <v>35.049840000000003</v>
      </c>
      <c r="AA426" s="64"/>
      <c r="AB426" s="64"/>
      <c r="AC426" s="64"/>
    </row>
    <row r="427" spans="1:68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11305</v>
      </c>
      <c r="Y427" s="41">
        <f>IFERROR(SUM(Y423:Y425),"0")</f>
        <v>11306.400000000001</v>
      </c>
      <c r="Z427" s="40"/>
      <c r="AA427" s="64"/>
      <c r="AB427" s="64"/>
      <c r="AC427" s="64"/>
    </row>
    <row r="428" spans="1:68" ht="27.75" hidden="1" customHeight="1" x14ac:dyDescent="0.2">
      <c r="A428" s="678" t="s">
        <v>700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701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220</v>
      </c>
      <c r="Y431" s="53">
        <f t="shared" ref="Y431:Y438" si="68">IFERROR(IF(X431="",0,CEILING((X431/$H431),1)*$H431),"")</f>
        <v>225</v>
      </c>
      <c r="Z431" s="39">
        <f>IFERROR(IF(Y431=0,"",ROUNDUP(Y431/H431,0)*0.02175),"")</f>
        <v>0.32624999999999998</v>
      </c>
      <c r="AA431" s="65" t="s">
        <v>46</v>
      </c>
      <c r="AB431" s="66" t="s">
        <v>46</v>
      </c>
      <c r="AC431" s="527" t="s">
        <v>704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9">IFERROR(X431*I431/H431,"0")</f>
        <v>226.89333333333335</v>
      </c>
      <c r="BN431" s="75">
        <f t="shared" ref="BN431:BN438" si="70">IFERROR(Y431*I431/H431,"0")</f>
        <v>232.05</v>
      </c>
      <c r="BO431" s="75">
        <f t="shared" ref="BO431:BO438" si="71">IFERROR(1/J431*(X431/H431),"0")</f>
        <v>0.30555555555555552</v>
      </c>
      <c r="BP431" s="75">
        <f t="shared" ref="BP431:BP438" si="72">IFERROR(1/J431*(Y431/H431),"0")</f>
        <v>0.3125</v>
      </c>
    </row>
    <row r="432" spans="1:68" ht="37.5" hidden="1" customHeight="1" x14ac:dyDescent="0.25">
      <c r="A432" s="60" t="s">
        <v>705</v>
      </c>
      <c r="B432" s="60" t="s">
        <v>706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707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708</v>
      </c>
      <c r="B433" s="60" t="s">
        <v>709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710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711</v>
      </c>
      <c r="B434" s="60" t="s">
        <v>712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713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714</v>
      </c>
      <c r="B435" s="60" t="s">
        <v>715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716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717</v>
      </c>
      <c r="B436" s="60" t="s">
        <v>718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719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720</v>
      </c>
      <c r="B437" s="60" t="s">
        <v>721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722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723</v>
      </c>
      <c r="B438" s="60" t="s">
        <v>724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725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14.666666666666666</v>
      </c>
      <c r="Y439" s="41">
        <f>IFERROR(Y431/H431,"0")+IFERROR(Y432/H432,"0")+IFERROR(Y433/H433,"0")+IFERROR(Y434/H434,"0")+IFERROR(Y435/H435,"0")+IFERROR(Y436/H436,"0")+IFERROR(Y437/H437,"0")+IFERROR(Y438/H438,"0")</f>
        <v>15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0.32624999999999998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220</v>
      </c>
      <c r="Y440" s="41">
        <f>IFERROR(SUM(Y431:Y438),"0")</f>
        <v>225</v>
      </c>
      <c r="Z440" s="40"/>
      <c r="AA440" s="64"/>
      <c r="AB440" s="64"/>
      <c r="AC440" s="64"/>
    </row>
    <row r="441" spans="1:68" ht="14.25" hidden="1" customHeight="1" x14ac:dyDescent="0.25">
      <c r="A441" s="660" t="s">
        <v>159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726</v>
      </c>
      <c r="B442" s="60" t="s">
        <v>727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728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729</v>
      </c>
      <c r="B443" s="60" t="s">
        <v>730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731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732</v>
      </c>
      <c r="B444" s="60" t="s">
        <v>733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734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735</v>
      </c>
      <c r="B448" s="60" t="s">
        <v>736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737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738</v>
      </c>
      <c r="B449" s="60" t="s">
        <v>739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740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741</v>
      </c>
      <c r="B450" s="60" t="s">
        <v>742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743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178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744</v>
      </c>
      <c r="B454" s="60" t="s">
        <v>745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746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747</v>
      </c>
      <c r="B455" s="60" t="s">
        <v>748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749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750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751</v>
      </c>
      <c r="B460" s="60" t="s">
        <v>752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753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754</v>
      </c>
      <c r="B461" s="60" t="s">
        <v>755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753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756</v>
      </c>
      <c r="B465" s="60" t="s">
        <v>757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758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759</v>
      </c>
      <c r="B469" s="60" t="s">
        <v>760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762</v>
      </c>
      <c r="B470" s="60" t="s">
        <v>763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761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762</v>
      </c>
      <c r="B471" s="60" t="s">
        <v>764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765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766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767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768</v>
      </c>
      <c r="B477" s="60" t="s">
        <v>769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770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771</v>
      </c>
      <c r="B478" s="60" t="s">
        <v>772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773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770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778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779</v>
      </c>
      <c r="B481" s="60" t="s">
        <v>780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781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782</v>
      </c>
      <c r="B482" s="60" t="s">
        <v>783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778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784</v>
      </c>
      <c r="B486" s="60" t="s">
        <v>785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786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787</v>
      </c>
      <c r="B487" s="60" t="s">
        <v>788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789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790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159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791</v>
      </c>
      <c r="B492" s="60" t="s">
        <v>792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793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794</v>
      </c>
      <c r="B496" s="60" t="s">
        <v>795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797</v>
      </c>
      <c r="B497" s="60" t="s">
        <v>798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799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799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802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802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803</v>
      </c>
      <c r="B504" s="60" t="s">
        <v>804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805</v>
      </c>
      <c r="B505" s="60" t="s">
        <v>806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807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808</v>
      </c>
      <c r="B506" s="60" t="s">
        <v>809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810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813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814</v>
      </c>
      <c r="B508" s="60" t="s">
        <v>815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816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817</v>
      </c>
      <c r="B509" s="60" t="s">
        <v>818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819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822</v>
      </c>
      <c r="B511" s="60" t="s">
        <v>823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824</v>
      </c>
      <c r="B512" s="60" t="s">
        <v>825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819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159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826</v>
      </c>
      <c r="B516" s="60" t="s">
        <v>827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828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829</v>
      </c>
      <c r="B517" s="60" t="s">
        <v>830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828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831</v>
      </c>
      <c r="B518" s="60" t="s">
        <v>832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828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833</v>
      </c>
      <c r="B522" s="60" t="s">
        <v>834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835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836</v>
      </c>
      <c r="B523" s="60" t="s">
        <v>837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838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839</v>
      </c>
      <c r="B524" s="60" t="s">
        <v>840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841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842</v>
      </c>
      <c r="B525" s="60" t="s">
        <v>843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844</v>
      </c>
      <c r="B527" s="60" t="s">
        <v>846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838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847</v>
      </c>
      <c r="B528" s="60" t="s">
        <v>848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841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849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849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850</v>
      </c>
      <c r="B534" s="60" t="s">
        <v>851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852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159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853</v>
      </c>
      <c r="B538" s="60" t="s">
        <v>854</v>
      </c>
      <c r="C538" s="34">
        <v>4301020444</v>
      </c>
      <c r="D538" s="661">
        <v>4680115889781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90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855</v>
      </c>
      <c r="B542" s="60" t="s">
        <v>856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857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customHeight="1" x14ac:dyDescent="0.25">
      <c r="A546" s="60" t="s">
        <v>858</v>
      </c>
      <c r="B546" s="60" t="s">
        <v>859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1180</v>
      </c>
      <c r="Y546" s="53">
        <f>IFERROR(IF(X546="",0,CEILING((X546/$H546),1)*$H546),"")</f>
        <v>1188</v>
      </c>
      <c r="Z546" s="39">
        <f>IFERROR(IF(Y546=0,"",ROUNDUP(Y546/H546,0)*0.01898),"")</f>
        <v>2.50536</v>
      </c>
      <c r="AA546" s="65" t="s">
        <v>46</v>
      </c>
      <c r="AB546" s="66" t="s">
        <v>46</v>
      </c>
      <c r="AC546" s="639" t="s">
        <v>860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1244.7688888888888</v>
      </c>
      <c r="BN546" s="75">
        <f>IFERROR(Y546*I546/H546,"0")</f>
        <v>1253.2079999999999</v>
      </c>
      <c r="BO546" s="75">
        <f>IFERROR(1/J546*(X546/H546),"0")</f>
        <v>2.0486111111111112</v>
      </c>
      <c r="BP546" s="75">
        <f>IFERROR(1/J546*(Y546/H546),"0")</f>
        <v>2.0625</v>
      </c>
    </row>
    <row r="547" spans="1:68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131.11111111111111</v>
      </c>
      <c r="Y547" s="41">
        <f>IFERROR(Y546/H546,"0")</f>
        <v>132</v>
      </c>
      <c r="Z547" s="41">
        <f>IFERROR(IF(Z546="",0,Z546),"0")</f>
        <v>2.50536</v>
      </c>
      <c r="AA547" s="64"/>
      <c r="AB547" s="64"/>
      <c r="AC547" s="64"/>
    </row>
    <row r="548" spans="1:68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1180</v>
      </c>
      <c r="Y548" s="41">
        <f>IFERROR(SUM(Y546:Y546),"0")</f>
        <v>1188</v>
      </c>
      <c r="Z548" s="40"/>
      <c r="AA548" s="64"/>
      <c r="AB548" s="64"/>
      <c r="AC548" s="64"/>
    </row>
    <row r="549" spans="1:68" ht="14.25" hidden="1" customHeight="1" x14ac:dyDescent="0.25">
      <c r="A549" s="660" t="s">
        <v>178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861</v>
      </c>
      <c r="B550" s="60" t="s">
        <v>862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863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864</v>
      </c>
      <c r="B551" s="60" t="s">
        <v>865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866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867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159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868</v>
      </c>
      <c r="B556" s="60" t="s">
        <v>869</v>
      </c>
      <c r="C556" s="34">
        <v>4301020441</v>
      </c>
      <c r="D556" s="661">
        <v>4680115889798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870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17095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17119.800000000003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18767.005079365077</v>
      </c>
      <c r="Y560" s="41">
        <f>IFERROR(SUM(BN22:BN556),"0")</f>
        <v>18793.201999999997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42</v>
      </c>
      <c r="Y561" s="42">
        <f>ROUNDUP(SUM(BP22:BP556),0)</f>
        <v>42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19817.005079365077</v>
      </c>
      <c r="Y562" s="41">
        <f>GrossWeightTotalR+PalletQtyTotalR*25</f>
        <v>19843.201999999997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7521.9682539682544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7528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49.005380000000009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345</v>
      </c>
      <c r="L566" s="647" t="s">
        <v>345</v>
      </c>
      <c r="M566" s="647" t="s">
        <v>345</v>
      </c>
      <c r="N566" s="657"/>
      <c r="O566" s="647" t="s">
        <v>345</v>
      </c>
      <c r="P566" s="647" t="s">
        <v>345</v>
      </c>
      <c r="Q566" s="647" t="s">
        <v>345</v>
      </c>
      <c r="R566" s="647" t="s">
        <v>345</v>
      </c>
      <c r="S566" s="647" t="s">
        <v>345</v>
      </c>
      <c r="T566" s="647" t="s">
        <v>345</v>
      </c>
      <c r="U566" s="647" t="s">
        <v>345</v>
      </c>
      <c r="V566" s="647" t="s">
        <v>345</v>
      </c>
      <c r="W566" s="647" t="s">
        <v>700</v>
      </c>
      <c r="X566" s="647" t="s">
        <v>700</v>
      </c>
      <c r="Y566" s="647" t="s">
        <v>766</v>
      </c>
      <c r="Z566" s="647" t="s">
        <v>766</v>
      </c>
      <c r="AA566" s="80" t="s">
        <v>802</v>
      </c>
      <c r="AB566" s="647" t="s">
        <v>849</v>
      </c>
      <c r="AC566" s="647" t="s">
        <v>849</v>
      </c>
      <c r="AF566" s="1"/>
    </row>
    <row r="567" spans="1:32" ht="14.25" customHeight="1" thickTop="1" x14ac:dyDescent="0.2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186</v>
      </c>
      <c r="G567" s="647" t="s">
        <v>209</v>
      </c>
      <c r="H567" s="647" t="s">
        <v>249</v>
      </c>
      <c r="I567" s="647" t="s">
        <v>262</v>
      </c>
      <c r="J567" s="647" t="s">
        <v>120</v>
      </c>
      <c r="K567" s="647" t="s">
        <v>346</v>
      </c>
      <c r="L567" s="647" t="s">
        <v>367</v>
      </c>
      <c r="M567" s="647" t="s">
        <v>441</v>
      </c>
      <c r="N567" s="1"/>
      <c r="O567" s="647" t="s">
        <v>509</v>
      </c>
      <c r="P567" s="647" t="s">
        <v>538</v>
      </c>
      <c r="Q567" s="647" t="s">
        <v>558</v>
      </c>
      <c r="R567" s="647" t="s">
        <v>567</v>
      </c>
      <c r="S567" s="647" t="s">
        <v>588</v>
      </c>
      <c r="T567" s="647" t="s">
        <v>597</v>
      </c>
      <c r="U567" s="647" t="s">
        <v>683</v>
      </c>
      <c r="V567" s="647" t="s">
        <v>690</v>
      </c>
      <c r="W567" s="647" t="s">
        <v>701</v>
      </c>
      <c r="X567" s="647" t="s">
        <v>750</v>
      </c>
      <c r="Y567" s="647" t="s">
        <v>767</v>
      </c>
      <c r="Z567" s="647" t="s">
        <v>790</v>
      </c>
      <c r="AA567" s="647" t="s">
        <v>802</v>
      </c>
      <c r="AB567" s="647" t="s">
        <v>849</v>
      </c>
      <c r="AC567" s="647" t="s">
        <v>867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504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1751.4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1002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441.6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701.4</v>
      </c>
      <c r="U569" s="50">
        <f>IFERROR(Y417*1,"0")+IFERROR(Y418*1,"0")</f>
        <v>0</v>
      </c>
      <c r="V569" s="50">
        <f>IFERROR(Y423*1,"0")+IFERROR(Y424*1,"0")+IFERROR(Y425*1,"0")</f>
        <v>11306.400000000001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225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1188</v>
      </c>
      <c r="AC569" s="50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80,00"/>
        <filter val="1 750,00"/>
        <filter val="11 305,00"/>
        <filter val="120,00"/>
        <filter val="131,11"/>
        <filter val="14,67"/>
        <filter val="142,86"/>
        <filter val="166,67"/>
        <filter val="17 095,00"/>
        <filter val="18 767,01"/>
        <filter val="180,00"/>
        <filter val="183,33"/>
        <filter val="19 817,01"/>
        <filter val="200,00"/>
        <filter val="220,00"/>
        <filter val="240,00"/>
        <filter val="300,00"/>
        <filter val="333,33"/>
        <filter val="350,00"/>
        <filter val="400,00"/>
        <filter val="42"/>
        <filter val="440,00"/>
        <filter val="5 005,00"/>
        <filter val="5 383,33"/>
        <filter val="500,00"/>
        <filter val="6 300,00"/>
        <filter val="600,00"/>
        <filter val="7 521,97"/>
        <filter val="700,00"/>
        <filter val="833,33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874</v>
      </c>
      <c r="C6" s="51" t="s">
        <v>875</v>
      </c>
      <c r="D6" s="51" t="s">
        <v>876</v>
      </c>
      <c r="E6" s="51" t="s">
        <v>46</v>
      </c>
    </row>
    <row r="7" spans="2:8" x14ac:dyDescent="0.2">
      <c r="B7" s="51" t="s">
        <v>877</v>
      </c>
      <c r="C7" s="51" t="s">
        <v>878</v>
      </c>
      <c r="D7" s="51" t="s">
        <v>879</v>
      </c>
      <c r="E7" s="51" t="s">
        <v>46</v>
      </c>
    </row>
    <row r="9" spans="2:8" x14ac:dyDescent="0.2">
      <c r="B9" s="51" t="s">
        <v>880</v>
      </c>
      <c r="C9" s="51" t="s">
        <v>875</v>
      </c>
      <c r="D9" s="51" t="s">
        <v>46</v>
      </c>
      <c r="E9" s="51" t="s">
        <v>46</v>
      </c>
    </row>
    <row r="11" spans="2:8" x14ac:dyDescent="0.2">
      <c r="B11" s="51" t="s">
        <v>880</v>
      </c>
      <c r="C11" s="51" t="s">
        <v>878</v>
      </c>
      <c r="D11" s="51" t="s">
        <v>46</v>
      </c>
      <c r="E11" s="51" t="s">
        <v>46</v>
      </c>
    </row>
    <row r="13" spans="2:8" x14ac:dyDescent="0.2">
      <c r="B13" s="51" t="s">
        <v>881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882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883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891</v>
      </c>
      <c r="C23" s="51" t="s">
        <v>46</v>
      </c>
      <c r="D23" s="51" t="s">
        <v>46</v>
      </c>
      <c r="E23" s="51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2026-09-30T17:44:20Z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