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0158F22-9780-475C-97EA-40BC53893B3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P552" i="2"/>
  <c r="X550" i="2"/>
  <c r="X549" i="2"/>
  <c r="BO548" i="2"/>
  <c r="BM548" i="2"/>
  <c r="Z548" i="2"/>
  <c r="Z549" i="2" s="1"/>
  <c r="Y548" i="2"/>
  <c r="Y549" i="2" s="1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P540" i="2"/>
  <c r="Y538" i="2"/>
  <c r="X538" i="2"/>
  <c r="X537" i="2"/>
  <c r="BO536" i="2"/>
  <c r="BM536" i="2"/>
  <c r="Y536" i="2"/>
  <c r="P536" i="2"/>
  <c r="X532" i="2"/>
  <c r="X531" i="2"/>
  <c r="BO530" i="2"/>
  <c r="BM530" i="2"/>
  <c r="Y530" i="2"/>
  <c r="Z530" i="2" s="1"/>
  <c r="P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Z526" i="2" s="1"/>
  <c r="P526" i="2"/>
  <c r="BO525" i="2"/>
  <c r="BM525" i="2"/>
  <c r="Y525" i="2"/>
  <c r="BP525" i="2" s="1"/>
  <c r="P525" i="2"/>
  <c r="BP524" i="2"/>
  <c r="BO524" i="2"/>
  <c r="BN524" i="2"/>
  <c r="BM524" i="2"/>
  <c r="Z524" i="2"/>
  <c r="Y524" i="2"/>
  <c r="P524" i="2"/>
  <c r="X522" i="2"/>
  <c r="X521" i="2"/>
  <c r="BO520" i="2"/>
  <c r="BM520" i="2"/>
  <c r="Y520" i="2"/>
  <c r="Z520" i="2" s="1"/>
  <c r="P520" i="2"/>
  <c r="BO519" i="2"/>
  <c r="BM519" i="2"/>
  <c r="Y519" i="2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Y513" i="2"/>
  <c r="BN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BO508" i="2"/>
  <c r="BM508" i="2"/>
  <c r="Y508" i="2"/>
  <c r="P508" i="2"/>
  <c r="BO507" i="2"/>
  <c r="BM507" i="2"/>
  <c r="Y507" i="2"/>
  <c r="P507" i="2"/>
  <c r="BO506" i="2"/>
  <c r="BM506" i="2"/>
  <c r="Y506" i="2"/>
  <c r="P506" i="2"/>
  <c r="X502" i="2"/>
  <c r="X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Z498" i="2" s="1"/>
  <c r="P498" i="2"/>
  <c r="X496" i="2"/>
  <c r="X495" i="2"/>
  <c r="BO494" i="2"/>
  <c r="BM494" i="2"/>
  <c r="Y494" i="2"/>
  <c r="P494" i="2"/>
  <c r="X491" i="2"/>
  <c r="Y490" i="2"/>
  <c r="X490" i="2"/>
  <c r="BP489" i="2"/>
  <c r="BO489" i="2"/>
  <c r="BN489" i="2"/>
  <c r="BM489" i="2"/>
  <c r="Z489" i="2"/>
  <c r="Y489" i="2"/>
  <c r="P489" i="2"/>
  <c r="BO488" i="2"/>
  <c r="BM488" i="2"/>
  <c r="Z488" i="2"/>
  <c r="Z490" i="2" s="1"/>
  <c r="Y488" i="2"/>
  <c r="Y491" i="2" s="1"/>
  <c r="P488" i="2"/>
  <c r="X486" i="2"/>
  <c r="X485" i="2"/>
  <c r="BO484" i="2"/>
  <c r="BM484" i="2"/>
  <c r="Y484" i="2"/>
  <c r="Z484" i="2" s="1"/>
  <c r="P484" i="2"/>
  <c r="BO483" i="2"/>
  <c r="BM483" i="2"/>
  <c r="Y483" i="2"/>
  <c r="P483" i="2"/>
  <c r="BO482" i="2"/>
  <c r="BM482" i="2"/>
  <c r="Y482" i="2"/>
  <c r="BN482" i="2" s="1"/>
  <c r="P482" i="2"/>
  <c r="BO481" i="2"/>
  <c r="BM481" i="2"/>
  <c r="Y481" i="2"/>
  <c r="Z481" i="2" s="1"/>
  <c r="P481" i="2"/>
  <c r="BO480" i="2"/>
  <c r="BM480" i="2"/>
  <c r="Y480" i="2"/>
  <c r="BP480" i="2" s="1"/>
  <c r="P480" i="2"/>
  <c r="BP479" i="2"/>
  <c r="BO479" i="2"/>
  <c r="BN479" i="2"/>
  <c r="BM479" i="2"/>
  <c r="Z479" i="2"/>
  <c r="Y479" i="2"/>
  <c r="P479" i="2"/>
  <c r="X475" i="2"/>
  <c r="X474" i="2"/>
  <c r="BO473" i="2"/>
  <c r="BM473" i="2"/>
  <c r="Y473" i="2"/>
  <c r="Z473" i="2" s="1"/>
  <c r="P473" i="2"/>
  <c r="BP472" i="2"/>
  <c r="BO472" i="2"/>
  <c r="BM472" i="2"/>
  <c r="Y472" i="2"/>
  <c r="P472" i="2"/>
  <c r="BO471" i="2"/>
  <c r="BM471" i="2"/>
  <c r="Y471" i="2"/>
  <c r="BP471" i="2" s="1"/>
  <c r="P471" i="2"/>
  <c r="X469" i="2"/>
  <c r="X468" i="2"/>
  <c r="BO467" i="2"/>
  <c r="BM467" i="2"/>
  <c r="Y467" i="2"/>
  <c r="Y468" i="2" s="1"/>
  <c r="P467" i="2"/>
  <c r="X465" i="2"/>
  <c r="X464" i="2"/>
  <c r="BO463" i="2"/>
  <c r="BM463" i="2"/>
  <c r="Y463" i="2"/>
  <c r="BN463" i="2" s="1"/>
  <c r="P463" i="2"/>
  <c r="BO462" i="2"/>
  <c r="BM462" i="2"/>
  <c r="Y462" i="2"/>
  <c r="Z462" i="2" s="1"/>
  <c r="P462" i="2"/>
  <c r="X459" i="2"/>
  <c r="X458" i="2"/>
  <c r="BO457" i="2"/>
  <c r="BM457" i="2"/>
  <c r="Y457" i="2"/>
  <c r="Y459" i="2" s="1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Z450" i="2" s="1"/>
  <c r="P450" i="2"/>
  <c r="X448" i="2"/>
  <c r="X447" i="2"/>
  <c r="BO446" i="2"/>
  <c r="BM446" i="2"/>
  <c r="Y446" i="2"/>
  <c r="P446" i="2"/>
  <c r="BO445" i="2"/>
  <c r="BM445" i="2"/>
  <c r="Y445" i="2"/>
  <c r="P445" i="2"/>
  <c r="BO444" i="2"/>
  <c r="BM444" i="2"/>
  <c r="Y444" i="2"/>
  <c r="P444" i="2"/>
  <c r="X442" i="2"/>
  <c r="X441" i="2"/>
  <c r="BO440" i="2"/>
  <c r="BM440" i="2"/>
  <c r="Y440" i="2"/>
  <c r="BN440" i="2" s="1"/>
  <c r="P440" i="2"/>
  <c r="BO439" i="2"/>
  <c r="BM439" i="2"/>
  <c r="Z439" i="2"/>
  <c r="Y439" i="2"/>
  <c r="BN439" i="2" s="1"/>
  <c r="P439" i="2"/>
  <c r="BO438" i="2"/>
  <c r="BM438" i="2"/>
  <c r="Y438" i="2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M427" i="2"/>
  <c r="Z427" i="2"/>
  <c r="Y427" i="2"/>
  <c r="BN427" i="2" s="1"/>
  <c r="P427" i="2"/>
  <c r="BO426" i="2"/>
  <c r="BM426" i="2"/>
  <c r="Z426" i="2"/>
  <c r="Y426" i="2"/>
  <c r="BN426" i="2" s="1"/>
  <c r="P426" i="2"/>
  <c r="BO425" i="2"/>
  <c r="BM425" i="2"/>
  <c r="Y425" i="2"/>
  <c r="P425" i="2"/>
  <c r="X422" i="2"/>
  <c r="Y421" i="2"/>
  <c r="X421" i="2"/>
  <c r="BO420" i="2"/>
  <c r="BM420" i="2"/>
  <c r="Y420" i="2"/>
  <c r="Z420" i="2" s="1"/>
  <c r="P420" i="2"/>
  <c r="BO419" i="2"/>
  <c r="BM419" i="2"/>
  <c r="Z419" i="2"/>
  <c r="Z421" i="2" s="1"/>
  <c r="Y419" i="2"/>
  <c r="U571" i="2" s="1"/>
  <c r="P419" i="2"/>
  <c r="X416" i="2"/>
  <c r="X415" i="2"/>
  <c r="BO414" i="2"/>
  <c r="BM414" i="2"/>
  <c r="Y414" i="2"/>
  <c r="Z414" i="2" s="1"/>
  <c r="P414" i="2"/>
  <c r="BO413" i="2"/>
  <c r="BM413" i="2"/>
  <c r="Y413" i="2"/>
  <c r="Z413" i="2" s="1"/>
  <c r="P413" i="2"/>
  <c r="BO412" i="2"/>
  <c r="BM412" i="2"/>
  <c r="Y412" i="2"/>
  <c r="BP412" i="2" s="1"/>
  <c r="P412" i="2"/>
  <c r="X410" i="2"/>
  <c r="X409" i="2"/>
  <c r="BO408" i="2"/>
  <c r="BM408" i="2"/>
  <c r="Y408" i="2"/>
  <c r="BP408" i="2" s="1"/>
  <c r="P408" i="2"/>
  <c r="BO407" i="2"/>
  <c r="BM407" i="2"/>
  <c r="Y407" i="2"/>
  <c r="BN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N402" i="2" s="1"/>
  <c r="P402" i="2"/>
  <c r="BO401" i="2"/>
  <c r="BM401" i="2"/>
  <c r="Y401" i="2"/>
  <c r="BN401" i="2" s="1"/>
  <c r="P401" i="2"/>
  <c r="BO400" i="2"/>
  <c r="BM400" i="2"/>
  <c r="Z400" i="2"/>
  <c r="Y400" i="2"/>
  <c r="BP400" i="2" s="1"/>
  <c r="P400" i="2"/>
  <c r="BO399" i="2"/>
  <c r="BM399" i="2"/>
  <c r="Y399" i="2"/>
  <c r="Z399" i="2" s="1"/>
  <c r="P399" i="2"/>
  <c r="X397" i="2"/>
  <c r="X396" i="2"/>
  <c r="BO395" i="2"/>
  <c r="BM395" i="2"/>
  <c r="Y395" i="2"/>
  <c r="BN395" i="2" s="1"/>
  <c r="P395" i="2"/>
  <c r="BO394" i="2"/>
  <c r="BM394" i="2"/>
  <c r="Y394" i="2"/>
  <c r="BN394" i="2" s="1"/>
  <c r="P394" i="2"/>
  <c r="BO393" i="2"/>
  <c r="BM393" i="2"/>
  <c r="Y393" i="2"/>
  <c r="Z393" i="2" s="1"/>
  <c r="P393" i="2"/>
  <c r="X391" i="2"/>
  <c r="X390" i="2"/>
  <c r="BO389" i="2"/>
  <c r="BM389" i="2"/>
  <c r="Y389" i="2"/>
  <c r="BN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BP386" i="2"/>
  <c r="BO386" i="2"/>
  <c r="BN386" i="2"/>
  <c r="BM386" i="2"/>
  <c r="Z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Z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Z377" i="2" s="1"/>
  <c r="P377" i="2"/>
  <c r="BO376" i="2"/>
  <c r="BM376" i="2"/>
  <c r="Y376" i="2"/>
  <c r="BN376" i="2" s="1"/>
  <c r="P376" i="2"/>
  <c r="X374" i="2"/>
  <c r="X373" i="2"/>
  <c r="BO372" i="2"/>
  <c r="BM372" i="2"/>
  <c r="Y372" i="2"/>
  <c r="Z372" i="2" s="1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BN369" i="2" s="1"/>
  <c r="P369" i="2"/>
  <c r="BO368" i="2"/>
  <c r="BM368" i="2"/>
  <c r="Y368" i="2"/>
  <c r="Z368" i="2" s="1"/>
  <c r="P368" i="2"/>
  <c r="BP367" i="2"/>
  <c r="BO367" i="2"/>
  <c r="BM367" i="2"/>
  <c r="Y367" i="2"/>
  <c r="P367" i="2"/>
  <c r="BO366" i="2"/>
  <c r="BM366" i="2"/>
  <c r="Y366" i="2"/>
  <c r="P366" i="2"/>
  <c r="Y363" i="2"/>
  <c r="X363" i="2"/>
  <c r="X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S571" i="2" s="1"/>
  <c r="P359" i="2"/>
  <c r="X356" i="2"/>
  <c r="X355" i="2"/>
  <c r="BO354" i="2"/>
  <c r="BM354" i="2"/>
  <c r="Y354" i="2"/>
  <c r="P354" i="2"/>
  <c r="BO353" i="2"/>
  <c r="BM353" i="2"/>
  <c r="Y353" i="2"/>
  <c r="Z353" i="2" s="1"/>
  <c r="P353" i="2"/>
  <c r="X351" i="2"/>
  <c r="X350" i="2"/>
  <c r="BO349" i="2"/>
  <c r="BM349" i="2"/>
  <c r="Z349" i="2"/>
  <c r="Y349" i="2"/>
  <c r="BN349" i="2" s="1"/>
  <c r="P349" i="2"/>
  <c r="BO348" i="2"/>
  <c r="BM348" i="2"/>
  <c r="Y348" i="2"/>
  <c r="BN348" i="2" s="1"/>
  <c r="P348" i="2"/>
  <c r="BO347" i="2"/>
  <c r="BM347" i="2"/>
  <c r="Y347" i="2"/>
  <c r="BN347" i="2" s="1"/>
  <c r="P347" i="2"/>
  <c r="BO346" i="2"/>
  <c r="BM346" i="2"/>
  <c r="Y346" i="2"/>
  <c r="P346" i="2"/>
  <c r="BP345" i="2"/>
  <c r="BO345" i="2"/>
  <c r="BM345" i="2"/>
  <c r="Y345" i="2"/>
  <c r="P345" i="2"/>
  <c r="X342" i="2"/>
  <c r="X341" i="2"/>
  <c r="BO340" i="2"/>
  <c r="BM340" i="2"/>
  <c r="Y340" i="2"/>
  <c r="P340" i="2"/>
  <c r="BO339" i="2"/>
  <c r="BM339" i="2"/>
  <c r="Y339" i="2"/>
  <c r="BN339" i="2" s="1"/>
  <c r="P339" i="2"/>
  <c r="BO338" i="2"/>
  <c r="BM338" i="2"/>
  <c r="Z338" i="2"/>
  <c r="Y338" i="2"/>
  <c r="P338" i="2"/>
  <c r="X335" i="2"/>
  <c r="X334" i="2"/>
  <c r="BO333" i="2"/>
  <c r="BM333" i="2"/>
  <c r="Y333" i="2"/>
  <c r="BN333" i="2" s="1"/>
  <c r="P333" i="2"/>
  <c r="BO332" i="2"/>
  <c r="BM332" i="2"/>
  <c r="Y332" i="2"/>
  <c r="Z332" i="2" s="1"/>
  <c r="P332" i="2"/>
  <c r="BO331" i="2"/>
  <c r="BM331" i="2"/>
  <c r="Y331" i="2"/>
  <c r="BP331" i="2" s="1"/>
  <c r="P331" i="2"/>
  <c r="BO330" i="2"/>
  <c r="BM330" i="2"/>
  <c r="Y330" i="2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Y325" i="2" s="1"/>
  <c r="P323" i="2"/>
  <c r="BO322" i="2"/>
  <c r="BM322" i="2"/>
  <c r="Z322" i="2"/>
  <c r="Y322" i="2"/>
  <c r="BP322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Y310" i="2"/>
  <c r="BP310" i="2" s="1"/>
  <c r="P310" i="2"/>
  <c r="BO309" i="2"/>
  <c r="BM309" i="2"/>
  <c r="Y309" i="2"/>
  <c r="Z309" i="2" s="1"/>
  <c r="P309" i="2"/>
  <c r="BP308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BO304" i="2"/>
  <c r="BM304" i="2"/>
  <c r="Y304" i="2"/>
  <c r="P304" i="2"/>
  <c r="X301" i="2"/>
  <c r="X300" i="2"/>
  <c r="BO299" i="2"/>
  <c r="BN299" i="2"/>
  <c r="BM299" i="2"/>
  <c r="Z299" i="2"/>
  <c r="Y299" i="2"/>
  <c r="BP299" i="2" s="1"/>
  <c r="P299" i="2"/>
  <c r="BO298" i="2"/>
  <c r="BM298" i="2"/>
  <c r="Y298" i="2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Z288" i="2" s="1"/>
  <c r="P288" i="2"/>
  <c r="BO287" i="2"/>
  <c r="BM287" i="2"/>
  <c r="Y287" i="2"/>
  <c r="Z287" i="2" s="1"/>
  <c r="P287" i="2"/>
  <c r="BP286" i="2"/>
  <c r="BO286" i="2"/>
  <c r="BN286" i="2"/>
  <c r="BM286" i="2"/>
  <c r="Z286" i="2"/>
  <c r="Y286" i="2"/>
  <c r="P286" i="2"/>
  <c r="BO285" i="2"/>
  <c r="BM285" i="2"/>
  <c r="Y285" i="2"/>
  <c r="P285" i="2"/>
  <c r="BO284" i="2"/>
  <c r="BM284" i="2"/>
  <c r="Y284" i="2"/>
  <c r="Z284" i="2" s="1"/>
  <c r="P284" i="2"/>
  <c r="BP283" i="2"/>
  <c r="BO283" i="2"/>
  <c r="BM283" i="2"/>
  <c r="Y283" i="2"/>
  <c r="P283" i="2"/>
  <c r="X281" i="2"/>
  <c r="X280" i="2"/>
  <c r="BO279" i="2"/>
  <c r="BN279" i="2"/>
  <c r="BM279" i="2"/>
  <c r="Z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P276" i="2"/>
  <c r="BO276" i="2"/>
  <c r="BN276" i="2"/>
  <c r="BM276" i="2"/>
  <c r="Z276" i="2"/>
  <c r="Y276" i="2"/>
  <c r="P276" i="2"/>
  <c r="BO275" i="2"/>
  <c r="BM275" i="2"/>
  <c r="Y275" i="2"/>
  <c r="P275" i="2"/>
  <c r="BO274" i="2"/>
  <c r="BM274" i="2"/>
  <c r="Y274" i="2"/>
  <c r="BN274" i="2" s="1"/>
  <c r="P274" i="2"/>
  <c r="BP273" i="2"/>
  <c r="BO273" i="2"/>
  <c r="BM273" i="2"/>
  <c r="Y273" i="2"/>
  <c r="P273" i="2"/>
  <c r="BO272" i="2"/>
  <c r="BM272" i="2"/>
  <c r="Y272" i="2"/>
  <c r="P272" i="2"/>
  <c r="X270" i="2"/>
  <c r="X269" i="2"/>
  <c r="BO268" i="2"/>
  <c r="BM268" i="2"/>
  <c r="Y268" i="2"/>
  <c r="Y270" i="2" s="1"/>
  <c r="P268" i="2"/>
  <c r="BP267" i="2"/>
  <c r="BO267" i="2"/>
  <c r="BM267" i="2"/>
  <c r="Y267" i="2"/>
  <c r="P267" i="2"/>
  <c r="X265" i="2"/>
  <c r="X264" i="2"/>
  <c r="BO263" i="2"/>
  <c r="BM263" i="2"/>
  <c r="Y263" i="2"/>
  <c r="P263" i="2"/>
  <c r="BO262" i="2"/>
  <c r="BM262" i="2"/>
  <c r="Y262" i="2"/>
  <c r="Z262" i="2" s="1"/>
  <c r="P262" i="2"/>
  <c r="X259" i="2"/>
  <c r="X258" i="2"/>
  <c r="BO257" i="2"/>
  <c r="BM257" i="2"/>
  <c r="Y257" i="2"/>
  <c r="Z257" i="2" s="1"/>
  <c r="Z258" i="2" s="1"/>
  <c r="P257" i="2"/>
  <c r="X255" i="2"/>
  <c r="X254" i="2"/>
  <c r="BO253" i="2"/>
  <c r="BM253" i="2"/>
  <c r="Y253" i="2"/>
  <c r="Y255" i="2" s="1"/>
  <c r="P253" i="2"/>
  <c r="BP252" i="2"/>
  <c r="BO252" i="2"/>
  <c r="BN252" i="2"/>
  <c r="BM252" i="2"/>
  <c r="Z252" i="2"/>
  <c r="Y252" i="2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N246" i="2"/>
  <c r="BM246" i="2"/>
  <c r="Z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N241" i="2" s="1"/>
  <c r="P241" i="2"/>
  <c r="BO240" i="2"/>
  <c r="BM240" i="2"/>
  <c r="Y240" i="2"/>
  <c r="BN240" i="2" s="1"/>
  <c r="P240" i="2"/>
  <c r="BO239" i="2"/>
  <c r="BM239" i="2"/>
  <c r="Y239" i="2"/>
  <c r="P239" i="2"/>
  <c r="X237" i="2"/>
  <c r="X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Z227" i="2"/>
  <c r="Y227" i="2"/>
  <c r="BP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P211" i="2"/>
  <c r="BO211" i="2"/>
  <c r="BN211" i="2"/>
  <c r="BM211" i="2"/>
  <c r="Z211" i="2"/>
  <c r="Y211" i="2"/>
  <c r="P211" i="2"/>
  <c r="BO210" i="2"/>
  <c r="BM210" i="2"/>
  <c r="Y210" i="2"/>
  <c r="BN210" i="2" s="1"/>
  <c r="P210" i="2"/>
  <c r="BO209" i="2"/>
  <c r="BM209" i="2"/>
  <c r="Y209" i="2"/>
  <c r="BN209" i="2" s="1"/>
  <c r="P209" i="2"/>
  <c r="BO208" i="2"/>
  <c r="BM208" i="2"/>
  <c r="Y208" i="2"/>
  <c r="BP208" i="2" s="1"/>
  <c r="P208" i="2"/>
  <c r="BP207" i="2"/>
  <c r="BO207" i="2"/>
  <c r="BN207" i="2"/>
  <c r="BM207" i="2"/>
  <c r="Z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Y198" i="2"/>
  <c r="X198" i="2"/>
  <c r="X197" i="2"/>
  <c r="BO196" i="2"/>
  <c r="BM196" i="2"/>
  <c r="Y196" i="2"/>
  <c r="Z196" i="2" s="1"/>
  <c r="Z197" i="2" s="1"/>
  <c r="P196" i="2"/>
  <c r="X194" i="2"/>
  <c r="X193" i="2"/>
  <c r="BO192" i="2"/>
  <c r="BM192" i="2"/>
  <c r="Y192" i="2"/>
  <c r="BP192" i="2" s="1"/>
  <c r="P192" i="2"/>
  <c r="BO191" i="2"/>
  <c r="BM191" i="2"/>
  <c r="Y191" i="2"/>
  <c r="BN191" i="2" s="1"/>
  <c r="P191" i="2"/>
  <c r="BO190" i="2"/>
  <c r="BM190" i="2"/>
  <c r="Y190" i="2"/>
  <c r="P190" i="2"/>
  <c r="X188" i="2"/>
  <c r="X187" i="2"/>
  <c r="BO186" i="2"/>
  <c r="BM186" i="2"/>
  <c r="Y186" i="2"/>
  <c r="Z186" i="2" s="1"/>
  <c r="P186" i="2"/>
  <c r="BO185" i="2"/>
  <c r="BM185" i="2"/>
  <c r="Y185" i="2"/>
  <c r="BN185" i="2" s="1"/>
  <c r="P185" i="2"/>
  <c r="BO184" i="2"/>
  <c r="BM184" i="2"/>
  <c r="Z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X174" i="2"/>
  <c r="X173" i="2"/>
  <c r="BO172" i="2"/>
  <c r="BM172" i="2"/>
  <c r="Y172" i="2"/>
  <c r="BP172" i="2" s="1"/>
  <c r="P172" i="2"/>
  <c r="BO171" i="2"/>
  <c r="BM171" i="2"/>
  <c r="Y171" i="2"/>
  <c r="Y173" i="2" s="1"/>
  <c r="P171" i="2"/>
  <c r="X169" i="2"/>
  <c r="X168" i="2"/>
  <c r="BO167" i="2"/>
  <c r="BM167" i="2"/>
  <c r="Z167" i="2"/>
  <c r="Y167" i="2"/>
  <c r="BN167" i="2" s="1"/>
  <c r="P167" i="2"/>
  <c r="BO166" i="2"/>
  <c r="BM166" i="2"/>
  <c r="Y166" i="2"/>
  <c r="BN166" i="2" s="1"/>
  <c r="P166" i="2"/>
  <c r="BO165" i="2"/>
  <c r="BM165" i="2"/>
  <c r="Y165" i="2"/>
  <c r="P165" i="2"/>
  <c r="BO164" i="2"/>
  <c r="BM164" i="2"/>
  <c r="Y164" i="2"/>
  <c r="BN164" i="2" s="1"/>
  <c r="P164" i="2"/>
  <c r="X161" i="2"/>
  <c r="X160" i="2"/>
  <c r="BO159" i="2"/>
  <c r="BM159" i="2"/>
  <c r="Y159" i="2"/>
  <c r="Y160" i="2" s="1"/>
  <c r="P159" i="2"/>
  <c r="X157" i="2"/>
  <c r="X156" i="2"/>
  <c r="BO155" i="2"/>
  <c r="BM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Z152" i="2" s="1"/>
  <c r="P152" i="2"/>
  <c r="BO151" i="2"/>
  <c r="BM151" i="2"/>
  <c r="Y151" i="2"/>
  <c r="BP151" i="2" s="1"/>
  <c r="P151" i="2"/>
  <c r="BO150" i="2"/>
  <c r="BN150" i="2"/>
  <c r="BM150" i="2"/>
  <c r="Z150" i="2"/>
  <c r="Y150" i="2"/>
  <c r="P150" i="2"/>
  <c r="X147" i="2"/>
  <c r="Y146" i="2"/>
  <c r="X146" i="2"/>
  <c r="BO145" i="2"/>
  <c r="BM145" i="2"/>
  <c r="Y145" i="2"/>
  <c r="BP145" i="2" s="1"/>
  <c r="P145" i="2"/>
  <c r="BO144" i="2"/>
  <c r="BM144" i="2"/>
  <c r="Y144" i="2"/>
  <c r="BP144" i="2" s="1"/>
  <c r="P144" i="2"/>
  <c r="X142" i="2"/>
  <c r="X141" i="2"/>
  <c r="BO140" i="2"/>
  <c r="BM140" i="2"/>
  <c r="Z140" i="2"/>
  <c r="Y140" i="2"/>
  <c r="BN140" i="2" s="1"/>
  <c r="P140" i="2"/>
  <c r="BO139" i="2"/>
  <c r="BM139" i="2"/>
  <c r="Y139" i="2"/>
  <c r="Y142" i="2" s="1"/>
  <c r="P139" i="2"/>
  <c r="X137" i="2"/>
  <c r="Y136" i="2"/>
  <c r="X136" i="2"/>
  <c r="BO135" i="2"/>
  <c r="BM135" i="2"/>
  <c r="Y135" i="2"/>
  <c r="Z135" i="2" s="1"/>
  <c r="P135" i="2"/>
  <c r="BO134" i="2"/>
  <c r="BM134" i="2"/>
  <c r="Z134" i="2"/>
  <c r="Z136" i="2" s="1"/>
  <c r="Y134" i="2"/>
  <c r="Y137" i="2" s="1"/>
  <c r="P134" i="2"/>
  <c r="X131" i="2"/>
  <c r="X130" i="2"/>
  <c r="BO129" i="2"/>
  <c r="BM129" i="2"/>
  <c r="Y129" i="2"/>
  <c r="P129" i="2"/>
  <c r="X127" i="2"/>
  <c r="X126" i="2"/>
  <c r="BO125" i="2"/>
  <c r="BM125" i="2"/>
  <c r="Y125" i="2"/>
  <c r="BP125" i="2" s="1"/>
  <c r="P125" i="2"/>
  <c r="BO124" i="2"/>
  <c r="BM124" i="2"/>
  <c r="Y124" i="2"/>
  <c r="Z124" i="2" s="1"/>
  <c r="P124" i="2"/>
  <c r="BO123" i="2"/>
  <c r="BM123" i="2"/>
  <c r="Y123" i="2"/>
  <c r="Y127" i="2" s="1"/>
  <c r="P123" i="2"/>
  <c r="BO122" i="2"/>
  <c r="BM122" i="2"/>
  <c r="Y122" i="2"/>
  <c r="BP122" i="2" s="1"/>
  <c r="P122" i="2"/>
  <c r="X120" i="2"/>
  <c r="X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Z112" i="2" s="1"/>
  <c r="P112" i="2"/>
  <c r="BO111" i="2"/>
  <c r="BM111" i="2"/>
  <c r="Z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BN109" i="2" s="1"/>
  <c r="P109" i="2"/>
  <c r="BO108" i="2"/>
  <c r="BM108" i="2"/>
  <c r="Y108" i="2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P99" i="2"/>
  <c r="BO99" i="2"/>
  <c r="BN99" i="2"/>
  <c r="BM99" i="2"/>
  <c r="Z99" i="2"/>
  <c r="Y99" i="2"/>
  <c r="P99" i="2"/>
  <c r="BO98" i="2"/>
  <c r="BM98" i="2"/>
  <c r="Y98" i="2"/>
  <c r="BN98" i="2" s="1"/>
  <c r="P98" i="2"/>
  <c r="BO97" i="2"/>
  <c r="BM97" i="2"/>
  <c r="Y97" i="2"/>
  <c r="P97" i="2"/>
  <c r="BO96" i="2"/>
  <c r="BM96" i="2"/>
  <c r="Y96" i="2"/>
  <c r="BP96" i="2" s="1"/>
  <c r="P96" i="2"/>
  <c r="X94" i="2"/>
  <c r="X93" i="2"/>
  <c r="BO92" i="2"/>
  <c r="BM92" i="2"/>
  <c r="Y92" i="2"/>
  <c r="Z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Z87" i="2"/>
  <c r="Y87" i="2"/>
  <c r="P87" i="2"/>
  <c r="X84" i="2"/>
  <c r="X83" i="2"/>
  <c r="BO82" i="2"/>
  <c r="BM82" i="2"/>
  <c r="Y82" i="2"/>
  <c r="BP82" i="2" s="1"/>
  <c r="P82" i="2"/>
  <c r="BO81" i="2"/>
  <c r="BM81" i="2"/>
  <c r="Y81" i="2"/>
  <c r="Z81" i="2" s="1"/>
  <c r="P81" i="2"/>
  <c r="BO80" i="2"/>
  <c r="BM80" i="2"/>
  <c r="Y80" i="2"/>
  <c r="Z80" i="2" s="1"/>
  <c r="P80" i="2"/>
  <c r="X78" i="2"/>
  <c r="X77" i="2"/>
  <c r="BO76" i="2"/>
  <c r="BM76" i="2"/>
  <c r="Y76" i="2"/>
  <c r="P76" i="2"/>
  <c r="BO75" i="2"/>
  <c r="BM75" i="2"/>
  <c r="Y75" i="2"/>
  <c r="Z75" i="2" s="1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P69" i="2" s="1"/>
  <c r="P69" i="2"/>
  <c r="BP68" i="2"/>
  <c r="BO68" i="2"/>
  <c r="BN68" i="2"/>
  <c r="BM68" i="2"/>
  <c r="Z68" i="2"/>
  <c r="Y68" i="2"/>
  <c r="P68" i="2"/>
  <c r="BO67" i="2"/>
  <c r="BM67" i="2"/>
  <c r="Y67" i="2"/>
  <c r="Z67" i="2" s="1"/>
  <c r="P67" i="2"/>
  <c r="X65" i="2"/>
  <c r="X64" i="2"/>
  <c r="BO63" i="2"/>
  <c r="BM63" i="2"/>
  <c r="Y63" i="2"/>
  <c r="BP63" i="2" s="1"/>
  <c r="P63" i="2"/>
  <c r="BP62" i="2"/>
  <c r="BO62" i="2"/>
  <c r="BN62" i="2"/>
  <c r="BM62" i="2"/>
  <c r="Z62" i="2"/>
  <c r="Y62" i="2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P58" i="2"/>
  <c r="BO58" i="2"/>
  <c r="BN58" i="2"/>
  <c r="BM58" i="2"/>
  <c r="Z58" i="2"/>
  <c r="Y58" i="2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P49" i="2"/>
  <c r="BO49" i="2"/>
  <c r="BM49" i="2"/>
  <c r="Y49" i="2"/>
  <c r="Z49" i="2" s="1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N29" i="2" s="1"/>
  <c r="P29" i="2"/>
  <c r="BP28" i="2"/>
  <c r="BO28" i="2"/>
  <c r="BN28" i="2"/>
  <c r="BM28" i="2"/>
  <c r="Z28" i="2"/>
  <c r="Y28" i="2"/>
  <c r="P28" i="2"/>
  <c r="BO27" i="2"/>
  <c r="BM27" i="2"/>
  <c r="Y27" i="2"/>
  <c r="P27" i="2"/>
  <c r="X25" i="2"/>
  <c r="X24" i="2"/>
  <c r="BO23" i="2"/>
  <c r="BM23" i="2"/>
  <c r="Y23" i="2"/>
  <c r="Z23" i="2" s="1"/>
  <c r="P23" i="2"/>
  <c r="BO22" i="2"/>
  <c r="BM22" i="2"/>
  <c r="Y22" i="2"/>
  <c r="Y25" i="2" s="1"/>
  <c r="P22" i="2"/>
  <c r="H10" i="2"/>
  <c r="A9" i="2"/>
  <c r="F10" i="2" s="1"/>
  <c r="D7" i="2"/>
  <c r="Q6" i="2"/>
  <c r="P2" i="2"/>
  <c r="Y24" i="2" l="1"/>
  <c r="BN40" i="2"/>
  <c r="BN56" i="2"/>
  <c r="BN63" i="2"/>
  <c r="BN82" i="2"/>
  <c r="BN89" i="2"/>
  <c r="BN96" i="2"/>
  <c r="BP107" i="2"/>
  <c r="BN108" i="2"/>
  <c r="Z108" i="2"/>
  <c r="BP129" i="2"/>
  <c r="Y131" i="2"/>
  <c r="BN159" i="2"/>
  <c r="Y161" i="2"/>
  <c r="BP182" i="2"/>
  <c r="Z182" i="2"/>
  <c r="Y202" i="2"/>
  <c r="Y201" i="2"/>
  <c r="BP200" i="2"/>
  <c r="BN200" i="2"/>
  <c r="Z200" i="2"/>
  <c r="Z201" i="2" s="1"/>
  <c r="BN226" i="2"/>
  <c r="Z226" i="2"/>
  <c r="BP233" i="2"/>
  <c r="BN233" i="2"/>
  <c r="Z233" i="2"/>
  <c r="BP239" i="2"/>
  <c r="BN239" i="2"/>
  <c r="Z239" i="2"/>
  <c r="BN245" i="2"/>
  <c r="BN253" i="2"/>
  <c r="BN275" i="2"/>
  <c r="Z275" i="2"/>
  <c r="BN288" i="2"/>
  <c r="BN309" i="2"/>
  <c r="BN329" i="2"/>
  <c r="Z329" i="2"/>
  <c r="BN346" i="2"/>
  <c r="Z346" i="2"/>
  <c r="BP366" i="2"/>
  <c r="BN366" i="2"/>
  <c r="Z366" i="2"/>
  <c r="BN377" i="2"/>
  <c r="BN433" i="2"/>
  <c r="Z433" i="2"/>
  <c r="BN445" i="2"/>
  <c r="Z445" i="2"/>
  <c r="BN457" i="2"/>
  <c r="BN484" i="2"/>
  <c r="BP507" i="2"/>
  <c r="Z507" i="2"/>
  <c r="BP518" i="2"/>
  <c r="Y522" i="2"/>
  <c r="BP552" i="2"/>
  <c r="Z552" i="2"/>
  <c r="Z22" i="2"/>
  <c r="Z24" i="2" s="1"/>
  <c r="BN22" i="2"/>
  <c r="BP22" i="2"/>
  <c r="BN23" i="2"/>
  <c r="Y33" i="2"/>
  <c r="BN39" i="2"/>
  <c r="D571" i="2"/>
  <c r="BP60" i="2"/>
  <c r="BP70" i="2"/>
  <c r="BN81" i="2"/>
  <c r="BN91" i="2"/>
  <c r="Y100" i="2"/>
  <c r="Z107" i="2"/>
  <c r="BN116" i="2"/>
  <c r="Z116" i="2"/>
  <c r="BN117" i="2"/>
  <c r="BN208" i="2"/>
  <c r="BN212" i="2"/>
  <c r="BN229" i="2"/>
  <c r="BN268" i="2"/>
  <c r="BP272" i="2"/>
  <c r="BN272" i="2"/>
  <c r="Z272" i="2"/>
  <c r="BN277" i="2"/>
  <c r="BN285" i="2"/>
  <c r="Z285" i="2"/>
  <c r="Y300" i="2"/>
  <c r="BP298" i="2"/>
  <c r="BP306" i="2"/>
  <c r="BN306" i="2"/>
  <c r="Z306" i="2"/>
  <c r="Y320" i="2"/>
  <c r="Z318" i="2"/>
  <c r="Z319" i="2" s="1"/>
  <c r="BP329" i="2"/>
  <c r="BP330" i="2"/>
  <c r="BN330" i="2"/>
  <c r="Z330" i="2"/>
  <c r="BN340" i="2"/>
  <c r="Z340" i="2"/>
  <c r="BN368" i="2"/>
  <c r="BN388" i="2"/>
  <c r="BN413" i="2"/>
  <c r="BP433" i="2"/>
  <c r="BN438" i="2"/>
  <c r="Z438" i="2"/>
  <c r="BN529" i="2"/>
  <c r="Y541" i="2"/>
  <c r="Z540" i="2"/>
  <c r="Z541" i="2" s="1"/>
  <c r="BP111" i="2"/>
  <c r="BN112" i="2"/>
  <c r="BN122" i="2"/>
  <c r="BP134" i="2"/>
  <c r="BN135" i="2"/>
  <c r="BP140" i="2"/>
  <c r="BN145" i="2"/>
  <c r="BN154" i="2"/>
  <c r="Y168" i="2"/>
  <c r="BP167" i="2"/>
  <c r="BN179" i="2"/>
  <c r="BP184" i="2"/>
  <c r="BN222" i="2"/>
  <c r="BN234" i="2"/>
  <c r="BN243" i="2"/>
  <c r="BN293" i="2"/>
  <c r="Y315" i="2"/>
  <c r="BN332" i="2"/>
  <c r="BN371" i="2"/>
  <c r="BP419" i="2"/>
  <c r="BN420" i="2"/>
  <c r="BP426" i="2"/>
  <c r="BN456" i="2"/>
  <c r="Y475" i="2"/>
  <c r="BN481" i="2"/>
  <c r="BP488" i="2"/>
  <c r="BN499" i="2"/>
  <c r="Y515" i="2"/>
  <c r="BN511" i="2"/>
  <c r="BN526" i="2"/>
  <c r="Z436" i="2"/>
  <c r="Z435" i="2"/>
  <c r="X562" i="2"/>
  <c r="Z27" i="2"/>
  <c r="Z31" i="2"/>
  <c r="C571" i="2"/>
  <c r="Z41" i="2"/>
  <c r="Y78" i="2"/>
  <c r="BP80" i="2"/>
  <c r="BP23" i="2"/>
  <c r="BP29" i="2"/>
  <c r="Z40" i="2"/>
  <c r="E571" i="2"/>
  <c r="Y77" i="2"/>
  <c r="Z82" i="2"/>
  <c r="Z89" i="2"/>
  <c r="Z96" i="2"/>
  <c r="BP108" i="2"/>
  <c r="BP112" i="2"/>
  <c r="Y120" i="2"/>
  <c r="Z117" i="2"/>
  <c r="Y119" i="2"/>
  <c r="Z122" i="2"/>
  <c r="BN134" i="2"/>
  <c r="BP135" i="2"/>
  <c r="Z145" i="2"/>
  <c r="J571" i="2"/>
  <c r="Z165" i="2"/>
  <c r="Z181" i="2"/>
  <c r="BP185" i="2"/>
  <c r="Y194" i="2"/>
  <c r="BP191" i="2"/>
  <c r="Z209" i="2"/>
  <c r="Y214" i="2"/>
  <c r="Z229" i="2"/>
  <c r="BP232" i="2"/>
  <c r="Z232" i="2"/>
  <c r="BP234" i="2"/>
  <c r="BN235" i="2"/>
  <c r="BP240" i="2"/>
  <c r="Z243" i="2"/>
  <c r="BN244" i="2"/>
  <c r="BP253" i="2"/>
  <c r="Z253" i="2"/>
  <c r="Y258" i="2"/>
  <c r="Y259" i="2"/>
  <c r="BP263" i="2"/>
  <c r="BN263" i="2"/>
  <c r="Y264" i="2"/>
  <c r="Y280" i="2"/>
  <c r="BP275" i="2"/>
  <c r="BN283" i="2"/>
  <c r="Z283" i="2"/>
  <c r="BN287" i="2"/>
  <c r="BP288" i="2"/>
  <c r="Z298" i="2"/>
  <c r="Z300" i="2" s="1"/>
  <c r="Y301" i="2"/>
  <c r="BN298" i="2"/>
  <c r="Z308" i="2"/>
  <c r="BN308" i="2"/>
  <c r="BP333" i="2"/>
  <c r="Z333" i="2"/>
  <c r="BP340" i="2"/>
  <c r="Y351" i="2"/>
  <c r="Z345" i="2"/>
  <c r="Z348" i="2"/>
  <c r="Z367" i="2"/>
  <c r="BN367" i="2"/>
  <c r="BP389" i="2"/>
  <c r="Z389" i="2"/>
  <c r="Z402" i="2"/>
  <c r="Y416" i="2"/>
  <c r="Y429" i="2"/>
  <c r="BN425" i="2"/>
  <c r="BP425" i="2"/>
  <c r="BP437" i="2"/>
  <c r="Z437" i="2"/>
  <c r="BP457" i="2"/>
  <c r="Z457" i="2"/>
  <c r="Z480" i="2"/>
  <c r="BN480" i="2"/>
  <c r="AA571" i="2"/>
  <c r="BN506" i="2"/>
  <c r="BP513" i="2"/>
  <c r="Z519" i="2"/>
  <c r="BN519" i="2"/>
  <c r="Y532" i="2"/>
  <c r="B571" i="2"/>
  <c r="X563" i="2"/>
  <c r="X565" i="2"/>
  <c r="BN27" i="2"/>
  <c r="Z29" i="2"/>
  <c r="BN31" i="2"/>
  <c r="Z39" i="2"/>
  <c r="BN47" i="2"/>
  <c r="Y52" i="2"/>
  <c r="Z63" i="2"/>
  <c r="BN76" i="2"/>
  <c r="BN80" i="2"/>
  <c r="BP81" i="2"/>
  <c r="Y83" i="2"/>
  <c r="F571" i="2"/>
  <c r="BP87" i="2"/>
  <c r="BN90" i="2"/>
  <c r="BP91" i="2"/>
  <c r="BN92" i="2"/>
  <c r="G571" i="2"/>
  <c r="BN106" i="2"/>
  <c r="BN110" i="2"/>
  <c r="BP116" i="2"/>
  <c r="BP124" i="2"/>
  <c r="Y130" i="2"/>
  <c r="H571" i="2"/>
  <c r="BN139" i="2"/>
  <c r="I571" i="2"/>
  <c r="BN152" i="2"/>
  <c r="Z164" i="2"/>
  <c r="BP164" i="2"/>
  <c r="Y174" i="2"/>
  <c r="BN177" i="2"/>
  <c r="Z179" i="2"/>
  <c r="BN183" i="2"/>
  <c r="Z185" i="2"/>
  <c r="Z191" i="2"/>
  <c r="Y197" i="2"/>
  <c r="Z206" i="2"/>
  <c r="Z208" i="2"/>
  <c r="Z212" i="2"/>
  <c r="Z240" i="2"/>
  <c r="BP277" i="2"/>
  <c r="BN278" i="2"/>
  <c r="BP285" i="2"/>
  <c r="BN291" i="2"/>
  <c r="BN310" i="2"/>
  <c r="Y319" i="2"/>
  <c r="BN318" i="2"/>
  <c r="BP318" i="2"/>
  <c r="Y356" i="2"/>
  <c r="BN353" i="2"/>
  <c r="BP353" i="2"/>
  <c r="Z360" i="2"/>
  <c r="BN360" i="2"/>
  <c r="Y374" i="2"/>
  <c r="Z378" i="2"/>
  <c r="BN378" i="2"/>
  <c r="Y384" i="2"/>
  <c r="BP395" i="2"/>
  <c r="Z395" i="2"/>
  <c r="Z425" i="2"/>
  <c r="Z428" i="2" s="1"/>
  <c r="Y428" i="2"/>
  <c r="BP438" i="2"/>
  <c r="BP451" i="2"/>
  <c r="BN451" i="2"/>
  <c r="Z472" i="2"/>
  <c r="BN472" i="2"/>
  <c r="Z513" i="2"/>
  <c r="BP527" i="2"/>
  <c r="Z527" i="2"/>
  <c r="Y537" i="2"/>
  <c r="BN536" i="2"/>
  <c r="BP536" i="2"/>
  <c r="Z536" i="2"/>
  <c r="Z537" i="2" s="1"/>
  <c r="BP41" i="2"/>
  <c r="BP97" i="2"/>
  <c r="BP118" i="2"/>
  <c r="BP171" i="2"/>
  <c r="Y218" i="2"/>
  <c r="Z217" i="2"/>
  <c r="Z218" i="2" s="1"/>
  <c r="BP224" i="2"/>
  <c r="BP228" i="2"/>
  <c r="Z228" i="2"/>
  <c r="BP230" i="2"/>
  <c r="BP242" i="2"/>
  <c r="Z242" i="2"/>
  <c r="BP244" i="2"/>
  <c r="BP287" i="2"/>
  <c r="BP289" i="2"/>
  <c r="Z289" i="2"/>
  <c r="BN304" i="2"/>
  <c r="Y311" i="2"/>
  <c r="BP304" i="2"/>
  <c r="Z331" i="2"/>
  <c r="BN331" i="2"/>
  <c r="BP347" i="2"/>
  <c r="Z347" i="2"/>
  <c r="Y350" i="2"/>
  <c r="BP369" i="2"/>
  <c r="Z369" i="2"/>
  <c r="Z373" i="2" s="1"/>
  <c r="BP376" i="2"/>
  <c r="Z387" i="2"/>
  <c r="Z390" i="2" s="1"/>
  <c r="Y390" i="2"/>
  <c r="BN387" i="2"/>
  <c r="Y391" i="2"/>
  <c r="BP401" i="2"/>
  <c r="Z401" i="2"/>
  <c r="Z403" i="2" s="1"/>
  <c r="BP482" i="2"/>
  <c r="Z482" i="2"/>
  <c r="Z571" i="2"/>
  <c r="Z494" i="2"/>
  <c r="Z495" i="2" s="1"/>
  <c r="Z509" i="2"/>
  <c r="BN509" i="2"/>
  <c r="X561" i="2"/>
  <c r="BP27" i="2"/>
  <c r="Z47" i="2"/>
  <c r="BP47" i="2"/>
  <c r="Y84" i="2"/>
  <c r="Z90" i="2"/>
  <c r="BP92" i="2"/>
  <c r="Z97" i="2"/>
  <c r="Z106" i="2"/>
  <c r="Z110" i="2"/>
  <c r="Z118" i="2"/>
  <c r="Z119" i="2" s="1"/>
  <c r="Z139" i="2"/>
  <c r="Z141" i="2" s="1"/>
  <c r="BP139" i="2"/>
  <c r="BP152" i="2"/>
  <c r="BP165" i="2"/>
  <c r="Z171" i="2"/>
  <c r="Y188" i="2"/>
  <c r="BP181" i="2"/>
  <c r="Z183" i="2"/>
  <c r="Z192" i="2"/>
  <c r="BP209" i="2"/>
  <c r="Y219" i="2"/>
  <c r="Z224" i="2"/>
  <c r="Z230" i="2"/>
  <c r="Y249" i="2"/>
  <c r="Z267" i="2"/>
  <c r="BN267" i="2"/>
  <c r="BN273" i="2"/>
  <c r="Z273" i="2"/>
  <c r="BP291" i="2"/>
  <c r="Z304" i="2"/>
  <c r="BP307" i="2"/>
  <c r="Z307" i="2"/>
  <c r="Z310" i="2"/>
  <c r="BP348" i="2"/>
  <c r="Z376" i="2"/>
  <c r="Z381" i="2"/>
  <c r="BN381" i="2"/>
  <c r="BP402" i="2"/>
  <c r="BP407" i="2"/>
  <c r="Z407" i="2"/>
  <c r="BP446" i="2"/>
  <c r="Z446" i="2"/>
  <c r="Y496" i="2"/>
  <c r="BP506" i="2"/>
  <c r="BP519" i="2"/>
  <c r="Z525" i="2"/>
  <c r="BN525" i="2"/>
  <c r="BN527" i="2"/>
  <c r="Y542" i="2"/>
  <c r="Y546" i="2"/>
  <c r="BN558" i="2"/>
  <c r="BP314" i="2"/>
  <c r="Y316" i="2"/>
  <c r="BN322" i="2"/>
  <c r="Y341" i="2"/>
  <c r="BP338" i="2"/>
  <c r="BN379" i="2"/>
  <c r="Y404" i="2"/>
  <c r="BP399" i="2"/>
  <c r="BP413" i="2"/>
  <c r="BN419" i="2"/>
  <c r="BP420" i="2"/>
  <c r="Y422" i="2"/>
  <c r="BP427" i="2"/>
  <c r="BP435" i="2"/>
  <c r="Y571" i="2"/>
  <c r="BN488" i="2"/>
  <c r="BN507" i="2"/>
  <c r="BN548" i="2"/>
  <c r="BN553" i="2"/>
  <c r="BP226" i="2"/>
  <c r="Y254" i="2"/>
  <c r="Y269" i="2"/>
  <c r="BP309" i="2"/>
  <c r="Z314" i="2"/>
  <c r="Z315" i="2" s="1"/>
  <c r="BP332" i="2"/>
  <c r="Y334" i="2"/>
  <c r="BP346" i="2"/>
  <c r="BP349" i="2"/>
  <c r="Y355" i="2"/>
  <c r="BP368" i="2"/>
  <c r="T571" i="2"/>
  <c r="BP371" i="2"/>
  <c r="BP377" i="2"/>
  <c r="BP388" i="2"/>
  <c r="Y397" i="2"/>
  <c r="BP393" i="2"/>
  <c r="W571" i="2"/>
  <c r="BP439" i="2"/>
  <c r="Y448" i="2"/>
  <c r="BP445" i="2"/>
  <c r="Z458" i="2"/>
  <c r="BP456" i="2"/>
  <c r="Y458" i="2"/>
  <c r="X571" i="2"/>
  <c r="BP462" i="2"/>
  <c r="BP481" i="2"/>
  <c r="Y485" i="2"/>
  <c r="BP484" i="2"/>
  <c r="BP526" i="2"/>
  <c r="BP529" i="2"/>
  <c r="Y545" i="2"/>
  <c r="Z83" i="2"/>
  <c r="Y73" i="2"/>
  <c r="BN30" i="2"/>
  <c r="Y43" i="2"/>
  <c r="Z55" i="2"/>
  <c r="BP67" i="2"/>
  <c r="Z129" i="2"/>
  <c r="Z130" i="2" s="1"/>
  <c r="Z176" i="2"/>
  <c r="BP178" i="2"/>
  <c r="BN186" i="2"/>
  <c r="Y213" i="2"/>
  <c r="BP223" i="2"/>
  <c r="BN284" i="2"/>
  <c r="BN37" i="2"/>
  <c r="BN49" i="2"/>
  <c r="BN60" i="2"/>
  <c r="BN70" i="2"/>
  <c r="BN104" i="2"/>
  <c r="BN124" i="2"/>
  <c r="BP150" i="2"/>
  <c r="BN171" i="2"/>
  <c r="BN345" i="2"/>
  <c r="BN399" i="2"/>
  <c r="Y410" i="2"/>
  <c r="Y469" i="2"/>
  <c r="Y516" i="2"/>
  <c r="Y554" i="2"/>
  <c r="K571" i="2"/>
  <c r="Y42" i="2"/>
  <c r="BN67" i="2"/>
  <c r="Z37" i="2"/>
  <c r="Z104" i="2"/>
  <c r="BP30" i="2"/>
  <c r="BN55" i="2"/>
  <c r="BN75" i="2"/>
  <c r="BP88" i="2"/>
  <c r="BP98" i="2"/>
  <c r="BP109" i="2"/>
  <c r="BN129" i="2"/>
  <c r="BN153" i="2"/>
  <c r="Y156" i="2"/>
  <c r="BP166" i="2"/>
  <c r="BN176" i="2"/>
  <c r="BP186" i="2"/>
  <c r="BN196" i="2"/>
  <c r="BP210" i="2"/>
  <c r="BN221" i="2"/>
  <c r="BP231" i="2"/>
  <c r="BP241" i="2"/>
  <c r="BP251" i="2"/>
  <c r="BN262" i="2"/>
  <c r="BP274" i="2"/>
  <c r="BP284" i="2"/>
  <c r="BN292" i="2"/>
  <c r="Y295" i="2"/>
  <c r="BP305" i="2"/>
  <c r="BP328" i="2"/>
  <c r="BP339" i="2"/>
  <c r="BN361" i="2"/>
  <c r="BN372" i="2"/>
  <c r="BN382" i="2"/>
  <c r="BP394" i="2"/>
  <c r="BN414" i="2"/>
  <c r="BP440" i="2"/>
  <c r="BN450" i="2"/>
  <c r="Y453" i="2"/>
  <c r="BP463" i="2"/>
  <c r="BN473" i="2"/>
  <c r="Y486" i="2"/>
  <c r="BN498" i="2"/>
  <c r="Y501" i="2"/>
  <c r="BN510" i="2"/>
  <c r="BN520" i="2"/>
  <c r="BN530" i="2"/>
  <c r="BN544" i="2"/>
  <c r="L571" i="2"/>
  <c r="Y550" i="2"/>
  <c r="M571" i="2"/>
  <c r="F9" i="2"/>
  <c r="BP55" i="2"/>
  <c r="BP75" i="2"/>
  <c r="Z151" i="2"/>
  <c r="BP153" i="2"/>
  <c r="BP176" i="2"/>
  <c r="Y187" i="2"/>
  <c r="BP196" i="2"/>
  <c r="BP221" i="2"/>
  <c r="Z247" i="2"/>
  <c r="BP262" i="2"/>
  <c r="Z290" i="2"/>
  <c r="BP292" i="2"/>
  <c r="Z323" i="2"/>
  <c r="Z324" i="2" s="1"/>
  <c r="Z359" i="2"/>
  <c r="Z362" i="2" s="1"/>
  <c r="BP361" i="2"/>
  <c r="Z370" i="2"/>
  <c r="BP372" i="2"/>
  <c r="Z380" i="2"/>
  <c r="BP382" i="2"/>
  <c r="Z412" i="2"/>
  <c r="Z415" i="2" s="1"/>
  <c r="BP414" i="2"/>
  <c r="Y441" i="2"/>
  <c r="BP450" i="2"/>
  <c r="Y464" i="2"/>
  <c r="Z471" i="2"/>
  <c r="Z474" i="2" s="1"/>
  <c r="BP473" i="2"/>
  <c r="Z483" i="2"/>
  <c r="Z485" i="2" s="1"/>
  <c r="BP498" i="2"/>
  <c r="Z508" i="2"/>
  <c r="BP510" i="2"/>
  <c r="Z518" i="2"/>
  <c r="Z521" i="2" s="1"/>
  <c r="BP520" i="2"/>
  <c r="Z528" i="2"/>
  <c r="Z531" i="2" s="1"/>
  <c r="BP530" i="2"/>
  <c r="BP544" i="2"/>
  <c r="Y555" i="2"/>
  <c r="O571" i="2"/>
  <c r="Y157" i="2"/>
  <c r="Y296" i="2"/>
  <c r="Y454" i="2"/>
  <c r="Y502" i="2"/>
  <c r="P571" i="2"/>
  <c r="H9" i="2"/>
  <c r="Z50" i="2"/>
  <c r="Z61" i="2"/>
  <c r="Z105" i="2"/>
  <c r="Z125" i="2"/>
  <c r="BN151" i="2"/>
  <c r="BN247" i="2"/>
  <c r="Y281" i="2"/>
  <c r="BN290" i="2"/>
  <c r="Y312" i="2"/>
  <c r="BN323" i="2"/>
  <c r="Y335" i="2"/>
  <c r="BN359" i="2"/>
  <c r="Y362" i="2"/>
  <c r="BN370" i="2"/>
  <c r="Y373" i="2"/>
  <c r="BN380" i="2"/>
  <c r="Y383" i="2"/>
  <c r="BN412" i="2"/>
  <c r="Y415" i="2"/>
  <c r="BN471" i="2"/>
  <c r="Y474" i="2"/>
  <c r="BN483" i="2"/>
  <c r="BN508" i="2"/>
  <c r="BN518" i="2"/>
  <c r="Y521" i="2"/>
  <c r="BN528" i="2"/>
  <c r="Y531" i="2"/>
  <c r="Q571" i="2"/>
  <c r="Z38" i="2"/>
  <c r="A10" i="2"/>
  <c r="Y113" i="2"/>
  <c r="Z154" i="2"/>
  <c r="Z222" i="2"/>
  <c r="Z263" i="2"/>
  <c r="Z264" i="2" s="1"/>
  <c r="Z293" i="2"/>
  <c r="Y442" i="2"/>
  <c r="Z451" i="2"/>
  <c r="Y465" i="2"/>
  <c r="Z499" i="2"/>
  <c r="Z511" i="2"/>
  <c r="Z558" i="2"/>
  <c r="Z559" i="2" s="1"/>
  <c r="R571" i="2"/>
  <c r="J9" i="2"/>
  <c r="Z71" i="2"/>
  <c r="Z172" i="2"/>
  <c r="Z173" i="2" s="1"/>
  <c r="Z56" i="2"/>
  <c r="Z76" i="2"/>
  <c r="Z77" i="2" s="1"/>
  <c r="Z177" i="2"/>
  <c r="BN38" i="2"/>
  <c r="BN50" i="2"/>
  <c r="BN61" i="2"/>
  <c r="Y64" i="2"/>
  <c r="BN71" i="2"/>
  <c r="BN105" i="2"/>
  <c r="BN125" i="2"/>
  <c r="Y141" i="2"/>
  <c r="Z159" i="2"/>
  <c r="Z160" i="2" s="1"/>
  <c r="BN172" i="2"/>
  <c r="BN182" i="2"/>
  <c r="BN192" i="2"/>
  <c r="BN206" i="2"/>
  <c r="BN217" i="2"/>
  <c r="BN227" i="2"/>
  <c r="Z235" i="2"/>
  <c r="Z245" i="2"/>
  <c r="BP247" i="2"/>
  <c r="BN257" i="2"/>
  <c r="Z268" i="2"/>
  <c r="Z269" i="2" s="1"/>
  <c r="Z278" i="2"/>
  <c r="BP323" i="2"/>
  <c r="BP359" i="2"/>
  <c r="BP370" i="2"/>
  <c r="BN400" i="2"/>
  <c r="Y403" i="2"/>
  <c r="BN436" i="2"/>
  <c r="BN446" i="2"/>
  <c r="BP483" i="2"/>
  <c r="BN494" i="2"/>
  <c r="Z506" i="2"/>
  <c r="BP508" i="2"/>
  <c r="BN540" i="2"/>
  <c r="BN552" i="2"/>
  <c r="Z69" i="2"/>
  <c r="Z123" i="2"/>
  <c r="BP217" i="2"/>
  <c r="BP257" i="2"/>
  <c r="Y324" i="2"/>
  <c r="Z354" i="2"/>
  <c r="Z355" i="2" s="1"/>
  <c r="Z408" i="2"/>
  <c r="Z434" i="2"/>
  <c r="Z444" i="2"/>
  <c r="Z467" i="2"/>
  <c r="Z468" i="2" s="1"/>
  <c r="BP494" i="2"/>
  <c r="Z514" i="2"/>
  <c r="BP540" i="2"/>
  <c r="Z48" i="2"/>
  <c r="Z59" i="2"/>
  <c r="Y114" i="2"/>
  <c r="Z180" i="2"/>
  <c r="Z190" i="2"/>
  <c r="Z193" i="2" s="1"/>
  <c r="Z225" i="2"/>
  <c r="Y248" i="2"/>
  <c r="Y32" i="2"/>
  <c r="Y65" i="2"/>
  <c r="BP76" i="2"/>
  <c r="BN87" i="2"/>
  <c r="BN97" i="2"/>
  <c r="BN165" i="2"/>
  <c r="BN338" i="2"/>
  <c r="BN393" i="2"/>
  <c r="Y396" i="2"/>
  <c r="BN462" i="2"/>
  <c r="BP558" i="2"/>
  <c r="V571" i="2"/>
  <c r="BN48" i="2"/>
  <c r="Y51" i="2"/>
  <c r="BN59" i="2"/>
  <c r="BN69" i="2"/>
  <c r="Y72" i="2"/>
  <c r="BN123" i="2"/>
  <c r="Y126" i="2"/>
  <c r="Y147" i="2"/>
  <c r="BP159" i="2"/>
  <c r="BN180" i="2"/>
  <c r="BN190" i="2"/>
  <c r="Y193" i="2"/>
  <c r="BN225" i="2"/>
  <c r="BP268" i="2"/>
  <c r="BN354" i="2"/>
  <c r="BN408" i="2"/>
  <c r="BN434" i="2"/>
  <c r="BN444" i="2"/>
  <c r="Y447" i="2"/>
  <c r="BN467" i="2"/>
  <c r="Y495" i="2"/>
  <c r="BN514" i="2"/>
  <c r="Z553" i="2"/>
  <c r="Y559" i="2"/>
  <c r="BP48" i="2"/>
  <c r="Z57" i="2"/>
  <c r="Y93" i="2"/>
  <c r="Y101" i="2"/>
  <c r="BP123" i="2"/>
  <c r="Z144" i="2"/>
  <c r="Z146" i="2" s="1"/>
  <c r="Z155" i="2"/>
  <c r="Y169" i="2"/>
  <c r="Z178" i="2"/>
  <c r="BP190" i="2"/>
  <c r="Z223" i="2"/>
  <c r="Y236" i="2"/>
  <c r="Z294" i="2"/>
  <c r="Y342" i="2"/>
  <c r="BP354" i="2"/>
  <c r="Z406" i="2"/>
  <c r="BP444" i="2"/>
  <c r="Z452" i="2"/>
  <c r="BP467" i="2"/>
  <c r="Z500" i="2"/>
  <c r="Z512" i="2"/>
  <c r="Z88" i="2"/>
  <c r="Z93" i="2" s="1"/>
  <c r="Z98" i="2"/>
  <c r="Z100" i="2" s="1"/>
  <c r="Z109" i="2"/>
  <c r="BN144" i="2"/>
  <c r="BN155" i="2"/>
  <c r="Z166" i="2"/>
  <c r="Z210" i="2"/>
  <c r="Z213" i="2" s="1"/>
  <c r="Z231" i="2"/>
  <c r="Z241" i="2"/>
  <c r="Z251" i="2"/>
  <c r="Y265" i="2"/>
  <c r="Z274" i="2"/>
  <c r="BN294" i="2"/>
  <c r="Z305" i="2"/>
  <c r="Z328" i="2"/>
  <c r="Z334" i="2" s="1"/>
  <c r="Z339" i="2"/>
  <c r="Z341" i="2" s="1"/>
  <c r="Z394" i="2"/>
  <c r="Z396" i="2" s="1"/>
  <c r="BN406" i="2"/>
  <c r="Y409" i="2"/>
  <c r="Z440" i="2"/>
  <c r="BN452" i="2"/>
  <c r="Z463" i="2"/>
  <c r="Z464" i="2" s="1"/>
  <c r="BN500" i="2"/>
  <c r="BN512" i="2"/>
  <c r="BP548" i="2"/>
  <c r="Y560" i="2"/>
  <c r="AB571" i="2"/>
  <c r="BN57" i="2"/>
  <c r="Y94" i="2"/>
  <c r="Y237" i="2"/>
  <c r="BN251" i="2"/>
  <c r="Z311" i="2" l="1"/>
  <c r="Z280" i="2"/>
  <c r="Z254" i="2"/>
  <c r="Z168" i="2"/>
  <c r="Z554" i="2"/>
  <c r="Z447" i="2"/>
  <c r="Z72" i="2"/>
  <c r="Z453" i="2"/>
  <c r="Z383" i="2"/>
  <c r="X564" i="2"/>
  <c r="Z501" i="2"/>
  <c r="Y563" i="2"/>
  <c r="Z42" i="2"/>
  <c r="Z441" i="2"/>
  <c r="Z350" i="2"/>
  <c r="Z32" i="2"/>
  <c r="Z236" i="2"/>
  <c r="Z248" i="2"/>
  <c r="Z51" i="2"/>
  <c r="Y565" i="2"/>
  <c r="Z126" i="2"/>
  <c r="Z295" i="2"/>
  <c r="Y562" i="2"/>
  <c r="Y561" i="2"/>
  <c r="Z113" i="2"/>
  <c r="Z156" i="2"/>
  <c r="Z187" i="2"/>
  <c r="Z409" i="2"/>
  <c r="Z64" i="2"/>
  <c r="Z515" i="2"/>
  <c r="Y564" i="2" l="1"/>
  <c r="Z566" i="2"/>
</calcChain>
</file>

<file path=xl/sharedStrings.xml><?xml version="1.0" encoding="utf-8"?>
<sst xmlns="http://schemas.openxmlformats.org/spreadsheetml/2006/main" count="4313" uniqueCount="897">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</sst>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34" sqref="AA43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66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67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 t="s">
        <v>895</v>
      </c>
      <c r="I5" s="1004"/>
      <c r="J5" s="1004"/>
      <c r="K5" s="1004"/>
      <c r="L5" s="1004"/>
      <c r="M5" s="1004"/>
      <c r="N5" s="72"/>
      <c r="P5" s="27" t="s">
        <v>4</v>
      </c>
      <c r="Q5" s="1006">
        <v>46297</v>
      </c>
      <c r="R5" s="1006"/>
      <c r="T5" s="1007" t="s">
        <v>3</v>
      </c>
      <c r="U5" s="1008"/>
      <c r="V5" s="1009" t="s">
        <v>876</v>
      </c>
      <c r="W5" s="1010"/>
      <c r="AB5" s="59"/>
      <c r="AC5" s="59"/>
      <c r="AD5" s="59"/>
      <c r="AE5" s="59"/>
    </row>
    <row r="6" spans="1:32" s="17" customFormat="1" ht="24" customHeight="1" x14ac:dyDescent="0.2">
      <c r="A6" s="1003" t="s">
        <v>1</v>
      </c>
      <c r="B6" s="1003"/>
      <c r="C6" s="1003"/>
      <c r="D6" s="1011" t="s">
        <v>877</v>
      </c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Пятница</v>
      </c>
      <c r="R6" s="1012"/>
      <c r="T6" s="1013" t="s">
        <v>5</v>
      </c>
      <c r="U6" s="1014"/>
      <c r="V6" s="1015" t="s">
        <v>69</v>
      </c>
      <c r="W6" s="101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1" t="str">
        <f>IFERROR(VLOOKUP(DeliveryAddress,Table,3,0),1)</f>
        <v>1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">
      <c r="A8" s="1024" t="s">
        <v>57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0.5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50000000000003" customHeight="1" x14ac:dyDescent="0.2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70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896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3" t="s">
        <v>71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">
      <c r="A13" s="983" t="s">
        <v>72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3" t="s">
        <v>73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6" t="s">
        <v>74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60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8" t="s">
        <v>58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65</v>
      </c>
      <c r="L17" s="958" t="s">
        <v>63</v>
      </c>
      <c r="M17" s="958" t="s">
        <v>2</v>
      </c>
      <c r="N17" s="958" t="s">
        <v>62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55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59</v>
      </c>
      <c r="AB17" s="964" t="s">
        <v>19</v>
      </c>
      <c r="AC17" s="964" t="s">
        <v>64</v>
      </c>
      <c r="AD17" s="966" t="s">
        <v>56</v>
      </c>
      <c r="AE17" s="967"/>
      <c r="AF17" s="968"/>
      <c r="AG17" s="82"/>
      <c r="BD17" s="81" t="s">
        <v>61</v>
      </c>
    </row>
    <row r="18" spans="1:68" ht="14.25" customHeight="1" x14ac:dyDescent="0.2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hidden="1" customHeight="1" x14ac:dyDescent="0.2">
      <c r="A19" s="680" t="s">
        <v>75</v>
      </c>
      <c r="B19" s="680"/>
      <c r="C19" s="680"/>
      <c r="D19" s="680"/>
      <c r="E19" s="680"/>
      <c r="F19" s="680"/>
      <c r="G19" s="680"/>
      <c r="H19" s="680"/>
      <c r="I19" s="680"/>
      <c r="J19" s="680"/>
      <c r="K19" s="680"/>
      <c r="L19" s="680"/>
      <c r="M19" s="680"/>
      <c r="N19" s="680"/>
      <c r="O19" s="680"/>
      <c r="P19" s="680"/>
      <c r="Q19" s="680"/>
      <c r="R19" s="680"/>
      <c r="S19" s="680"/>
      <c r="T19" s="680"/>
      <c r="U19" s="680"/>
      <c r="V19" s="680"/>
      <c r="W19" s="680"/>
      <c r="X19" s="680"/>
      <c r="Y19" s="680"/>
      <c r="Z19" s="680"/>
      <c r="AA19" s="54"/>
      <c r="AB19" s="54"/>
      <c r="AC19" s="54"/>
    </row>
    <row r="20" spans="1:68" ht="16.5" hidden="1" customHeight="1" x14ac:dyDescent="0.25">
      <c r="A20" s="665" t="s">
        <v>75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5"/>
      <c r="AB20" s="65"/>
      <c r="AC20" s="79"/>
    </row>
    <row r="21" spans="1:68" ht="14.25" hidden="1" customHeight="1" x14ac:dyDescent="0.25">
      <c r="A21" s="666" t="s">
        <v>76</v>
      </c>
      <c r="B21" s="666"/>
      <c r="C21" s="666"/>
      <c r="D21" s="666"/>
      <c r="E21" s="666"/>
      <c r="F21" s="666"/>
      <c r="G21" s="666"/>
      <c r="H21" s="666"/>
      <c r="I21" s="666"/>
      <c r="J21" s="666"/>
      <c r="K21" s="666"/>
      <c r="L21" s="666"/>
      <c r="M21" s="666"/>
      <c r="N21" s="666"/>
      <c r="O21" s="666"/>
      <c r="P21" s="666"/>
      <c r="Q21" s="666"/>
      <c r="R21" s="666"/>
      <c r="S21" s="666"/>
      <c r="T21" s="666"/>
      <c r="U21" s="666"/>
      <c r="V21" s="666"/>
      <c r="W21" s="666"/>
      <c r="X21" s="666"/>
      <c r="Y21" s="666"/>
      <c r="Z21" s="66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67">
        <v>4680115886643</v>
      </c>
      <c r="E22" s="66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9"/>
      <c r="R22" s="669"/>
      <c r="S22" s="669"/>
      <c r="T22" s="67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67">
        <v>4680115889071</v>
      </c>
      <c r="E23" s="66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9"/>
      <c r="R23" s="669"/>
      <c r="S23" s="669"/>
      <c r="T23" s="67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3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4"/>
      <c r="P24" s="660" t="s">
        <v>40</v>
      </c>
      <c r="Q24" s="661"/>
      <c r="R24" s="661"/>
      <c r="S24" s="661"/>
      <c r="T24" s="661"/>
      <c r="U24" s="661"/>
      <c r="V24" s="66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4"/>
      <c r="P25" s="660" t="s">
        <v>40</v>
      </c>
      <c r="Q25" s="661"/>
      <c r="R25" s="661"/>
      <c r="S25" s="661"/>
      <c r="T25" s="661"/>
      <c r="U25" s="661"/>
      <c r="V25" s="66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6" t="s">
        <v>85</v>
      </c>
      <c r="B26" s="666"/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  <c r="N26" s="666"/>
      <c r="O26" s="666"/>
      <c r="P26" s="666"/>
      <c r="Q26" s="666"/>
      <c r="R26" s="666"/>
      <c r="S26" s="666"/>
      <c r="T26" s="666"/>
      <c r="U26" s="666"/>
      <c r="V26" s="666"/>
      <c r="W26" s="666"/>
      <c r="X26" s="666"/>
      <c r="Y26" s="666"/>
      <c r="Z26" s="66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67">
        <v>4680115885912</v>
      </c>
      <c r="E27" s="66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9"/>
      <c r="R27" s="669"/>
      <c r="S27" s="669"/>
      <c r="T27" s="67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67">
        <v>4607091388237</v>
      </c>
      <c r="E28" s="66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9"/>
      <c r="R28" s="669"/>
      <c r="S28" s="669"/>
      <c r="T28" s="67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67">
        <v>4680115887350</v>
      </c>
      <c r="E29" s="66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9"/>
      <c r="R29" s="669"/>
      <c r="S29" s="669"/>
      <c r="T29" s="67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67">
        <v>4680115885905</v>
      </c>
      <c r="E30" s="66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9"/>
      <c r="R30" s="669"/>
      <c r="S30" s="669"/>
      <c r="T30" s="67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67">
        <v>4680115887619</v>
      </c>
      <c r="E31" s="66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9"/>
      <c r="R31" s="669"/>
      <c r="S31" s="669"/>
      <c r="T31" s="67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3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4"/>
      <c r="P32" s="660" t="s">
        <v>40</v>
      </c>
      <c r="Q32" s="661"/>
      <c r="R32" s="661"/>
      <c r="S32" s="661"/>
      <c r="T32" s="661"/>
      <c r="U32" s="661"/>
      <c r="V32" s="66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4"/>
      <c r="P33" s="660" t="s">
        <v>40</v>
      </c>
      <c r="Q33" s="661"/>
      <c r="R33" s="661"/>
      <c r="S33" s="661"/>
      <c r="T33" s="661"/>
      <c r="U33" s="661"/>
      <c r="V33" s="66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0" t="s">
        <v>45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54"/>
      <c r="AB34" s="54"/>
      <c r="AC34" s="54"/>
    </row>
    <row r="35" spans="1:68" ht="16.5" hidden="1" customHeight="1" x14ac:dyDescent="0.25">
      <c r="A35" s="665" t="s">
        <v>103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5"/>
      <c r="AB35" s="65"/>
      <c r="AC35" s="79"/>
    </row>
    <row r="36" spans="1:68" ht="14.25" hidden="1" customHeight="1" x14ac:dyDescent="0.25">
      <c r="A36" s="666" t="s">
        <v>85</v>
      </c>
      <c r="B36" s="666"/>
      <c r="C36" s="666"/>
      <c r="D36" s="666"/>
      <c r="E36" s="666"/>
      <c r="F36" s="666"/>
      <c r="G36" s="666"/>
      <c r="H36" s="666"/>
      <c r="I36" s="666"/>
      <c r="J36" s="666"/>
      <c r="K36" s="666"/>
      <c r="L36" s="666"/>
      <c r="M36" s="666"/>
      <c r="N36" s="666"/>
      <c r="O36" s="666"/>
      <c r="P36" s="666"/>
      <c r="Q36" s="666"/>
      <c r="R36" s="666"/>
      <c r="S36" s="666"/>
      <c r="T36" s="666"/>
      <c r="U36" s="666"/>
      <c r="V36" s="666"/>
      <c r="W36" s="666"/>
      <c r="X36" s="666"/>
      <c r="Y36" s="666"/>
      <c r="Z36" s="666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67">
        <v>4680115889354</v>
      </c>
      <c r="E37" s="66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9"/>
      <c r="R37" s="669"/>
      <c r="S37" s="669"/>
      <c r="T37" s="67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67">
        <v>4680115888463</v>
      </c>
      <c r="E38" s="66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9"/>
      <c r="R38" s="669"/>
      <c r="S38" s="669"/>
      <c r="T38" s="67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67">
        <v>4680115889590</v>
      </c>
      <c r="E39" s="66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9"/>
      <c r="R39" s="669"/>
      <c r="S39" s="669"/>
      <c r="T39" s="67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67">
        <v>4680115888272</v>
      </c>
      <c r="E40" s="66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9"/>
      <c r="R40" s="669"/>
      <c r="S40" s="669"/>
      <c r="T40" s="67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67">
        <v>4680115888364</v>
      </c>
      <c r="E41" s="66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9"/>
      <c r="R41" s="669"/>
      <c r="S41" s="669"/>
      <c r="T41" s="67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3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64"/>
      <c r="P42" s="660" t="s">
        <v>40</v>
      </c>
      <c r="Q42" s="661"/>
      <c r="R42" s="661"/>
      <c r="S42" s="661"/>
      <c r="T42" s="661"/>
      <c r="U42" s="661"/>
      <c r="V42" s="66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64"/>
      <c r="P43" s="660" t="s">
        <v>40</v>
      </c>
      <c r="Q43" s="661"/>
      <c r="R43" s="661"/>
      <c r="S43" s="661"/>
      <c r="T43" s="661"/>
      <c r="U43" s="661"/>
      <c r="V43" s="66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0" t="s">
        <v>119</v>
      </c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0"/>
      <c r="P44" s="680"/>
      <c r="Q44" s="680"/>
      <c r="R44" s="680"/>
      <c r="S44" s="680"/>
      <c r="T44" s="680"/>
      <c r="U44" s="680"/>
      <c r="V44" s="680"/>
      <c r="W44" s="680"/>
      <c r="X44" s="680"/>
      <c r="Y44" s="680"/>
      <c r="Z44" s="680"/>
      <c r="AA44" s="54"/>
      <c r="AB44" s="54"/>
      <c r="AC44" s="54"/>
    </row>
    <row r="45" spans="1:68" ht="16.5" hidden="1" customHeight="1" x14ac:dyDescent="0.25">
      <c r="A45" s="665" t="s">
        <v>120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5"/>
      <c r="AB45" s="65"/>
      <c r="AC45" s="79"/>
    </row>
    <row r="46" spans="1:68" ht="14.25" hidden="1" customHeight="1" x14ac:dyDescent="0.25">
      <c r="A46" s="666" t="s">
        <v>121</v>
      </c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67">
        <v>4607091385670</v>
      </c>
      <c r="E47" s="66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9"/>
      <c r="R47" s="669"/>
      <c r="S47" s="669"/>
      <c r="T47" s="67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67">
        <v>4680115887725</v>
      </c>
      <c r="E48" s="66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9"/>
      <c r="R48" s="669"/>
      <c r="S48" s="669"/>
      <c r="T48" s="67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67">
        <v>4607091385687</v>
      </c>
      <c r="E49" s="66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9"/>
      <c r="R49" s="669"/>
      <c r="S49" s="669"/>
      <c r="T49" s="67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67">
        <v>4680115882539</v>
      </c>
      <c r="E50" s="66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9"/>
      <c r="R50" s="669"/>
      <c r="S50" s="669"/>
      <c r="T50" s="67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3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64"/>
      <c r="P51" s="660" t="s">
        <v>40</v>
      </c>
      <c r="Q51" s="661"/>
      <c r="R51" s="661"/>
      <c r="S51" s="661"/>
      <c r="T51" s="661"/>
      <c r="U51" s="661"/>
      <c r="V51" s="66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4"/>
      <c r="P52" s="660" t="s">
        <v>40</v>
      </c>
      <c r="Q52" s="661"/>
      <c r="R52" s="661"/>
      <c r="S52" s="661"/>
      <c r="T52" s="661"/>
      <c r="U52" s="661"/>
      <c r="V52" s="66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5" t="s">
        <v>136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5"/>
      <c r="AB53" s="65"/>
      <c r="AC53" s="79"/>
    </row>
    <row r="54" spans="1:68" ht="14.25" hidden="1" customHeight="1" x14ac:dyDescent="0.25">
      <c r="A54" s="666" t="s">
        <v>121</v>
      </c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67">
        <v>4680115885882</v>
      </c>
      <c r="E55" s="66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9"/>
      <c r="R55" s="669"/>
      <c r="S55" s="669"/>
      <c r="T55" s="67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67">
        <v>4680115881426</v>
      </c>
      <c r="E56" s="66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9"/>
      <c r="R56" s="669"/>
      <c r="S56" s="669"/>
      <c r="T56" s="67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140</v>
      </c>
      <c r="B57" s="63" t="s">
        <v>143</v>
      </c>
      <c r="C57" s="36">
        <v>4301012162</v>
      </c>
      <c r="D57" s="667">
        <v>4680115881426</v>
      </c>
      <c r="E57" s="66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9"/>
      <c r="R57" s="669"/>
      <c r="S57" s="669"/>
      <c r="T57" s="67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67">
        <v>4680115880283</v>
      </c>
      <c r="E58" s="66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9"/>
      <c r="R58" s="669"/>
      <c r="S58" s="669"/>
      <c r="T58" s="67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67">
        <v>4680115881525</v>
      </c>
      <c r="E59" s="66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9"/>
      <c r="R59" s="669"/>
      <c r="S59" s="669"/>
      <c r="T59" s="67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148</v>
      </c>
      <c r="B60" s="63" t="s">
        <v>151</v>
      </c>
      <c r="C60" s="36">
        <v>4301012159</v>
      </c>
      <c r="D60" s="667">
        <v>4680115881525</v>
      </c>
      <c r="E60" s="66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9"/>
      <c r="R60" s="669"/>
      <c r="S60" s="669"/>
      <c r="T60" s="67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144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4301012165</v>
      </c>
      <c r="D61" s="667">
        <v>4680115885899</v>
      </c>
      <c r="E61" s="66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9"/>
      <c r="R61" s="669"/>
      <c r="S61" s="669"/>
      <c r="T61" s="67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139</v>
      </c>
      <c r="AG61" s="78"/>
      <c r="AJ61" s="84" t="s">
        <v>46</v>
      </c>
      <c r="AK61" s="84">
        <v>0</v>
      </c>
      <c r="BB61" s="131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154</v>
      </c>
      <c r="B62" s="63" t="s">
        <v>155</v>
      </c>
      <c r="C62" s="36">
        <v>4301011801</v>
      </c>
      <c r="D62" s="667">
        <v>4680115881419</v>
      </c>
      <c r="E62" s="66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9"/>
      <c r="R62" s="669"/>
      <c r="S62" s="669"/>
      <c r="T62" s="67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154</v>
      </c>
      <c r="B63" s="63" t="s">
        <v>157</v>
      </c>
      <c r="C63" s="36">
        <v>4301012158</v>
      </c>
      <c r="D63" s="667">
        <v>4680115881419</v>
      </c>
      <c r="E63" s="66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133</v>
      </c>
      <c r="L63" s="37" t="s">
        <v>46</v>
      </c>
      <c r="M63" s="38" t="s">
        <v>125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9"/>
      <c r="R63" s="669"/>
      <c r="S63" s="669"/>
      <c r="T63" s="67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144</v>
      </c>
      <c r="AG63" s="78"/>
      <c r="AJ63" s="84" t="s">
        <v>46</v>
      </c>
      <c r="AK63" s="84">
        <v>0</v>
      </c>
      <c r="BB63" s="135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663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4"/>
      <c r="P64" s="660" t="s">
        <v>40</v>
      </c>
      <c r="Q64" s="661"/>
      <c r="R64" s="661"/>
      <c r="S64" s="661"/>
      <c r="T64" s="661"/>
      <c r="U64" s="661"/>
      <c r="V64" s="662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4"/>
      <c r="P65" s="660" t="s">
        <v>40</v>
      </c>
      <c r="Q65" s="661"/>
      <c r="R65" s="661"/>
      <c r="S65" s="661"/>
      <c r="T65" s="661"/>
      <c r="U65" s="661"/>
      <c r="V65" s="662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666" t="s">
        <v>158</v>
      </c>
      <c r="B66" s="666"/>
      <c r="C66" s="666"/>
      <c r="D66" s="666"/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"/>
      <c r="AB66" s="66"/>
      <c r="AC66" s="80"/>
    </row>
    <row r="67" spans="1:68" ht="16.5" hidden="1" customHeight="1" x14ac:dyDescent="0.25">
      <c r="A67" s="63" t="s">
        <v>159</v>
      </c>
      <c r="B67" s="63" t="s">
        <v>160</v>
      </c>
      <c r="C67" s="36">
        <v>4301020298</v>
      </c>
      <c r="D67" s="667">
        <v>4680115881440</v>
      </c>
      <c r="E67" s="66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126</v>
      </c>
      <c r="L67" s="37" t="s">
        <v>46</v>
      </c>
      <c r="M67" s="38" t="s">
        <v>125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9"/>
      <c r="R67" s="669"/>
      <c r="S67" s="669"/>
      <c r="T67" s="67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159</v>
      </c>
      <c r="B68" s="63" t="s">
        <v>162</v>
      </c>
      <c r="C68" s="36">
        <v>4301020390</v>
      </c>
      <c r="D68" s="667">
        <v>4680115881440</v>
      </c>
      <c r="E68" s="66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126</v>
      </c>
      <c r="L68" s="37" t="s">
        <v>46</v>
      </c>
      <c r="M68" s="38" t="s">
        <v>125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9"/>
      <c r="R68" s="669"/>
      <c r="S68" s="669"/>
      <c r="T68" s="67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163</v>
      </c>
      <c r="AG68" s="78"/>
      <c r="AJ68" s="84" t="s">
        <v>46</v>
      </c>
      <c r="AK68" s="84">
        <v>0</v>
      </c>
      <c r="BB68" s="139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164</v>
      </c>
      <c r="B69" s="63" t="s">
        <v>165</v>
      </c>
      <c r="C69" s="36">
        <v>4301020358</v>
      </c>
      <c r="D69" s="667">
        <v>4680115885950</v>
      </c>
      <c r="E69" s="66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90</v>
      </c>
      <c r="L69" s="37" t="s">
        <v>46</v>
      </c>
      <c r="M69" s="38" t="s">
        <v>89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9"/>
      <c r="R69" s="669"/>
      <c r="S69" s="669"/>
      <c r="T69" s="67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166</v>
      </c>
      <c r="B70" s="63" t="s">
        <v>167</v>
      </c>
      <c r="C70" s="36">
        <v>4301020371</v>
      </c>
      <c r="D70" s="667">
        <v>4680115887688</v>
      </c>
      <c r="E70" s="66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130</v>
      </c>
      <c r="L70" s="37" t="s">
        <v>46</v>
      </c>
      <c r="M70" s="38" t="s">
        <v>80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9"/>
      <c r="R70" s="669"/>
      <c r="S70" s="669"/>
      <c r="T70" s="67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168</v>
      </c>
      <c r="AG70" s="78"/>
      <c r="AJ70" s="84" t="s">
        <v>46</v>
      </c>
      <c r="AK70" s="84">
        <v>0</v>
      </c>
      <c r="BB70" s="143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169</v>
      </c>
      <c r="B71" s="63" t="s">
        <v>170</v>
      </c>
      <c r="C71" s="36">
        <v>4301020389</v>
      </c>
      <c r="D71" s="667">
        <v>4680115881433</v>
      </c>
      <c r="E71" s="66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90</v>
      </c>
      <c r="L71" s="37" t="s">
        <v>46</v>
      </c>
      <c r="M71" s="38" t="s">
        <v>125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9"/>
      <c r="R71" s="669"/>
      <c r="S71" s="669"/>
      <c r="T71" s="67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163</v>
      </c>
      <c r="AG71" s="78"/>
      <c r="AJ71" s="84" t="s">
        <v>46</v>
      </c>
      <c r="AK71" s="84">
        <v>0</v>
      </c>
      <c r="BB71" s="145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663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4"/>
      <c r="P72" s="660" t="s">
        <v>40</v>
      </c>
      <c r="Q72" s="661"/>
      <c r="R72" s="661"/>
      <c r="S72" s="661"/>
      <c r="T72" s="661"/>
      <c r="U72" s="661"/>
      <c r="V72" s="662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4"/>
      <c r="P73" s="660" t="s">
        <v>40</v>
      </c>
      <c r="Q73" s="661"/>
      <c r="R73" s="661"/>
      <c r="S73" s="661"/>
      <c r="T73" s="661"/>
      <c r="U73" s="661"/>
      <c r="V73" s="662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666" t="s">
        <v>85</v>
      </c>
      <c r="B74" s="666"/>
      <c r="C74" s="666"/>
      <c r="D74" s="666"/>
      <c r="E74" s="666"/>
      <c r="F74" s="666"/>
      <c r="G74" s="666"/>
      <c r="H74" s="666"/>
      <c r="I74" s="666"/>
      <c r="J74" s="666"/>
      <c r="K74" s="666"/>
      <c r="L74" s="666"/>
      <c r="M74" s="666"/>
      <c r="N74" s="666"/>
      <c r="O74" s="666"/>
      <c r="P74" s="666"/>
      <c r="Q74" s="666"/>
      <c r="R74" s="666"/>
      <c r="S74" s="666"/>
      <c r="T74" s="666"/>
      <c r="U74" s="666"/>
      <c r="V74" s="666"/>
      <c r="W74" s="666"/>
      <c r="X74" s="666"/>
      <c r="Y74" s="666"/>
      <c r="Z74" s="666"/>
      <c r="AA74" s="66"/>
      <c r="AB74" s="66"/>
      <c r="AC74" s="80"/>
    </row>
    <row r="75" spans="1:68" ht="16.5" hidden="1" customHeight="1" x14ac:dyDescent="0.25">
      <c r="A75" s="63" t="s">
        <v>171</v>
      </c>
      <c r="B75" s="63" t="s">
        <v>172</v>
      </c>
      <c r="C75" s="36">
        <v>4301051837</v>
      </c>
      <c r="D75" s="667">
        <v>4680115884311</v>
      </c>
      <c r="E75" s="66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90</v>
      </c>
      <c r="L75" s="37" t="s">
        <v>46</v>
      </c>
      <c r="M75" s="38" t="s">
        <v>89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9"/>
      <c r="R75" s="669"/>
      <c r="S75" s="669"/>
      <c r="T75" s="67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173</v>
      </c>
      <c r="AG75" s="78"/>
      <c r="AJ75" s="84" t="s">
        <v>46</v>
      </c>
      <c r="AK75" s="84">
        <v>0</v>
      </c>
      <c r="BB75" s="147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174</v>
      </c>
      <c r="B76" s="63" t="s">
        <v>175</v>
      </c>
      <c r="C76" s="36">
        <v>4301052083</v>
      </c>
      <c r="D76" s="667">
        <v>4680115884403</v>
      </c>
      <c r="E76" s="66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90</v>
      </c>
      <c r="L76" s="37" t="s">
        <v>46</v>
      </c>
      <c r="M76" s="38" t="s">
        <v>89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9"/>
      <c r="R76" s="669"/>
      <c r="S76" s="669"/>
      <c r="T76" s="67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176</v>
      </c>
      <c r="AG76" s="78"/>
      <c r="AJ76" s="84" t="s">
        <v>46</v>
      </c>
      <c r="AK76" s="84">
        <v>0</v>
      </c>
      <c r="BB76" s="149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3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64"/>
      <c r="P77" s="660" t="s">
        <v>40</v>
      </c>
      <c r="Q77" s="661"/>
      <c r="R77" s="661"/>
      <c r="S77" s="661"/>
      <c r="T77" s="661"/>
      <c r="U77" s="661"/>
      <c r="V77" s="662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64"/>
      <c r="P78" s="660" t="s">
        <v>40</v>
      </c>
      <c r="Q78" s="661"/>
      <c r="R78" s="661"/>
      <c r="S78" s="661"/>
      <c r="T78" s="661"/>
      <c r="U78" s="661"/>
      <c r="V78" s="662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6" t="s">
        <v>177</v>
      </c>
      <c r="B79" s="666"/>
      <c r="C79" s="666"/>
      <c r="D79" s="666"/>
      <c r="E79" s="666"/>
      <c r="F79" s="666"/>
      <c r="G79" s="666"/>
      <c r="H79" s="666"/>
      <c r="I79" s="666"/>
      <c r="J79" s="666"/>
      <c r="K79" s="666"/>
      <c r="L79" s="666"/>
      <c r="M79" s="666"/>
      <c r="N79" s="666"/>
      <c r="O79" s="666"/>
      <c r="P79" s="666"/>
      <c r="Q79" s="666"/>
      <c r="R79" s="666"/>
      <c r="S79" s="666"/>
      <c r="T79" s="666"/>
      <c r="U79" s="666"/>
      <c r="V79" s="666"/>
      <c r="W79" s="666"/>
      <c r="X79" s="666"/>
      <c r="Y79" s="666"/>
      <c r="Z79" s="666"/>
      <c r="AA79" s="66"/>
      <c r="AB79" s="66"/>
      <c r="AC79" s="80"/>
    </row>
    <row r="80" spans="1:68" ht="27" hidden="1" customHeight="1" x14ac:dyDescent="0.25">
      <c r="A80" s="63" t="s">
        <v>178</v>
      </c>
      <c r="B80" s="63" t="s">
        <v>179</v>
      </c>
      <c r="C80" s="36">
        <v>4301060455</v>
      </c>
      <c r="D80" s="667">
        <v>4680115881532</v>
      </c>
      <c r="E80" s="66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126</v>
      </c>
      <c r="L80" s="37" t="s">
        <v>46</v>
      </c>
      <c r="M80" s="38" t="s">
        <v>96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9"/>
      <c r="R80" s="669"/>
      <c r="S80" s="669"/>
      <c r="T80" s="67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178</v>
      </c>
      <c r="B81" s="63" t="s">
        <v>181</v>
      </c>
      <c r="C81" s="36">
        <v>4301060526</v>
      </c>
      <c r="D81" s="667">
        <v>4680115881532</v>
      </c>
      <c r="E81" s="66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126</v>
      </c>
      <c r="L81" s="37" t="s">
        <v>46</v>
      </c>
      <c r="M81" s="38" t="s">
        <v>96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9"/>
      <c r="R81" s="669"/>
      <c r="S81" s="669"/>
      <c r="T81" s="67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180</v>
      </c>
      <c r="AG81" s="78"/>
      <c r="AJ81" s="84" t="s">
        <v>46</v>
      </c>
      <c r="AK81" s="84">
        <v>0</v>
      </c>
      <c r="BB81" s="153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182</v>
      </c>
      <c r="B82" s="63" t="s">
        <v>183</v>
      </c>
      <c r="C82" s="36">
        <v>4301060527</v>
      </c>
      <c r="D82" s="667">
        <v>4680115881464</v>
      </c>
      <c r="E82" s="66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133</v>
      </c>
      <c r="L82" s="37" t="s">
        <v>46</v>
      </c>
      <c r="M82" s="38" t="s">
        <v>89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9"/>
      <c r="R82" s="669"/>
      <c r="S82" s="669"/>
      <c r="T82" s="67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184</v>
      </c>
      <c r="AG82" s="78"/>
      <c r="AJ82" s="84" t="s">
        <v>46</v>
      </c>
      <c r="AK82" s="84">
        <v>0</v>
      </c>
      <c r="BB82" s="155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63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4"/>
      <c r="P83" s="660" t="s">
        <v>40</v>
      </c>
      <c r="Q83" s="661"/>
      <c r="R83" s="661"/>
      <c r="S83" s="661"/>
      <c r="T83" s="661"/>
      <c r="U83" s="661"/>
      <c r="V83" s="662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4"/>
      <c r="P84" s="660" t="s">
        <v>40</v>
      </c>
      <c r="Q84" s="661"/>
      <c r="R84" s="661"/>
      <c r="S84" s="661"/>
      <c r="T84" s="661"/>
      <c r="U84" s="661"/>
      <c r="V84" s="662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65" t="s">
        <v>185</v>
      </c>
      <c r="B85" s="665"/>
      <c r="C85" s="665"/>
      <c r="D85" s="665"/>
      <c r="E85" s="66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5"/>
      <c r="AB85" s="65"/>
      <c r="AC85" s="79"/>
    </row>
    <row r="86" spans="1:68" ht="14.25" hidden="1" customHeight="1" x14ac:dyDescent="0.25">
      <c r="A86" s="666" t="s">
        <v>121</v>
      </c>
      <c r="B86" s="666"/>
      <c r="C86" s="666"/>
      <c r="D86" s="666"/>
      <c r="E86" s="666"/>
      <c r="F86" s="666"/>
      <c r="G86" s="666"/>
      <c r="H86" s="666"/>
      <c r="I86" s="666"/>
      <c r="J86" s="666"/>
      <c r="K86" s="666"/>
      <c r="L86" s="666"/>
      <c r="M86" s="666"/>
      <c r="N86" s="666"/>
      <c r="O86" s="666"/>
      <c r="P86" s="666"/>
      <c r="Q86" s="666"/>
      <c r="R86" s="666"/>
      <c r="S86" s="666"/>
      <c r="T86" s="666"/>
      <c r="U86" s="666"/>
      <c r="V86" s="666"/>
      <c r="W86" s="666"/>
      <c r="X86" s="666"/>
      <c r="Y86" s="666"/>
      <c r="Z86" s="666"/>
      <c r="AA86" s="66"/>
      <c r="AB86" s="66"/>
      <c r="AC86" s="80"/>
    </row>
    <row r="87" spans="1:68" ht="27" hidden="1" customHeight="1" x14ac:dyDescent="0.25">
      <c r="A87" s="63" t="s">
        <v>186</v>
      </c>
      <c r="B87" s="63" t="s">
        <v>187</v>
      </c>
      <c r="C87" s="36">
        <v>4301011468</v>
      </c>
      <c r="D87" s="667">
        <v>4680115881327</v>
      </c>
      <c r="E87" s="66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126</v>
      </c>
      <c r="L87" s="37" t="s">
        <v>46</v>
      </c>
      <c r="M87" s="38" t="s">
        <v>96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9"/>
      <c r="R87" s="669"/>
      <c r="S87" s="669"/>
      <c r="T87" s="67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ref="Y87:Y92" si="5"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66</v>
      </c>
      <c r="BM87" s="78">
        <f t="shared" ref="BM87:BM92" si="6">IFERROR(X87*I87/H87,"0")</f>
        <v>0</v>
      </c>
      <c r="BN87" s="78">
        <f t="shared" ref="BN87:BN92" si="7">IFERROR(Y87*I87/H87,"0")</f>
        <v>0</v>
      </c>
      <c r="BO87" s="78">
        <f t="shared" ref="BO87:BO92" si="8">IFERROR(1/J87*(X87/H87),"0")</f>
        <v>0</v>
      </c>
      <c r="BP87" s="78">
        <f t="shared" ref="BP87:BP92" si="9">IFERROR(1/J87*(Y87/H87),"0")</f>
        <v>0</v>
      </c>
    </row>
    <row r="88" spans="1:68" ht="27" hidden="1" customHeight="1" x14ac:dyDescent="0.25">
      <c r="A88" s="63" t="s">
        <v>186</v>
      </c>
      <c r="B88" s="63" t="s">
        <v>189</v>
      </c>
      <c r="C88" s="36">
        <v>4301012251</v>
      </c>
      <c r="D88" s="667">
        <v>4680115881327</v>
      </c>
      <c r="E88" s="66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126</v>
      </c>
      <c r="L88" s="37" t="s">
        <v>46</v>
      </c>
      <c r="M88" s="38" t="s">
        <v>125</v>
      </c>
      <c r="N88" s="38"/>
      <c r="O88" s="37">
        <v>50</v>
      </c>
      <c r="P88" s="92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69"/>
      <c r="R88" s="669"/>
      <c r="S88" s="669"/>
      <c r="T88" s="67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188</v>
      </c>
      <c r="AG88" s="78"/>
      <c r="AJ88" s="84" t="s">
        <v>46</v>
      </c>
      <c r="AK88" s="84">
        <v>0</v>
      </c>
      <c r="BB88" s="159" t="s">
        <v>66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190</v>
      </c>
      <c r="B89" s="63" t="s">
        <v>191</v>
      </c>
      <c r="C89" s="36">
        <v>4301012392</v>
      </c>
      <c r="D89" s="667">
        <v>4680115887732</v>
      </c>
      <c r="E89" s="66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130</v>
      </c>
      <c r="L89" s="37" t="s">
        <v>46</v>
      </c>
      <c r="M89" s="38" t="s">
        <v>80</v>
      </c>
      <c r="N89" s="38"/>
      <c r="O89" s="37">
        <v>30</v>
      </c>
      <c r="P89" s="92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9"/>
      <c r="R89" s="669"/>
      <c r="S89" s="669"/>
      <c r="T89" s="67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192</v>
      </c>
      <c r="AG89" s="78"/>
      <c r="AJ89" s="84" t="s">
        <v>46</v>
      </c>
      <c r="AK89" s="84">
        <v>0</v>
      </c>
      <c r="BB89" s="161" t="s">
        <v>66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193</v>
      </c>
      <c r="B90" s="63" t="s">
        <v>194</v>
      </c>
      <c r="C90" s="36">
        <v>4301011476</v>
      </c>
      <c r="D90" s="667">
        <v>4680115881518</v>
      </c>
      <c r="E90" s="66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133</v>
      </c>
      <c r="L90" s="37" t="s">
        <v>46</v>
      </c>
      <c r="M90" s="38" t="s">
        <v>89</v>
      </c>
      <c r="N90" s="38"/>
      <c r="O90" s="37">
        <v>50</v>
      </c>
      <c r="P90" s="9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9"/>
      <c r="R90" s="669"/>
      <c r="S90" s="669"/>
      <c r="T90" s="67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188</v>
      </c>
      <c r="AG90" s="78"/>
      <c r="AJ90" s="84" t="s">
        <v>46</v>
      </c>
      <c r="AK90" s="84">
        <v>0</v>
      </c>
      <c r="BB90" s="163" t="s">
        <v>66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193</v>
      </c>
      <c r="B91" s="63" t="s">
        <v>195</v>
      </c>
      <c r="C91" s="36">
        <v>4301012252</v>
      </c>
      <c r="D91" s="667">
        <v>4680115881518</v>
      </c>
      <c r="E91" s="66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133</v>
      </c>
      <c r="L91" s="37" t="s">
        <v>46</v>
      </c>
      <c r="M91" s="38" t="s">
        <v>125</v>
      </c>
      <c r="N91" s="38"/>
      <c r="O91" s="37">
        <v>50</v>
      </c>
      <c r="P91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9"/>
      <c r="R91" s="669"/>
      <c r="S91" s="669"/>
      <c r="T91" s="67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188</v>
      </c>
      <c r="AG91" s="78"/>
      <c r="AJ91" s="84" t="s">
        <v>46</v>
      </c>
      <c r="AK91" s="84">
        <v>0</v>
      </c>
      <c r="BB91" s="165" t="s">
        <v>66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4301012250</v>
      </c>
      <c r="D92" s="667">
        <v>4680115881303</v>
      </c>
      <c r="E92" s="66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133</v>
      </c>
      <c r="L92" s="37" t="s">
        <v>46</v>
      </c>
      <c r="M92" s="38" t="s">
        <v>125</v>
      </c>
      <c r="N92" s="38"/>
      <c r="O92" s="37">
        <v>50</v>
      </c>
      <c r="P92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9"/>
      <c r="R92" s="669"/>
      <c r="S92" s="669"/>
      <c r="T92" s="670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188</v>
      </c>
      <c r="AG92" s="78"/>
      <c r="AJ92" s="84" t="s">
        <v>46</v>
      </c>
      <c r="AK92" s="84">
        <v>0</v>
      </c>
      <c r="BB92" s="167" t="s">
        <v>66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idden="1" x14ac:dyDescent="0.2">
      <c r="A93" s="663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64"/>
      <c r="P93" s="660" t="s">
        <v>40</v>
      </c>
      <c r="Q93" s="661"/>
      <c r="R93" s="661"/>
      <c r="S93" s="661"/>
      <c r="T93" s="661"/>
      <c r="U93" s="661"/>
      <c r="V93" s="662"/>
      <c r="W93" s="42" t="s">
        <v>39</v>
      </c>
      <c r="X93" s="43">
        <f>IFERROR(X87/H87,"0")+IFERROR(X88/H88,"0")+IFERROR(X89/H89,"0")+IFERROR(X90/H90,"0")+IFERROR(X91/H91,"0")+IFERROR(X92/H92,"0")</f>
        <v>0</v>
      </c>
      <c r="Y93" s="43">
        <f>IFERROR(Y87/H87,"0")+IFERROR(Y88/H88,"0")+IFERROR(Y89/H89,"0")+IFERROR(Y90/H90,"0")+IFERROR(Y91/H91,"0")+IFERROR(Y92/H92,"0")</f>
        <v>0</v>
      </c>
      <c r="Z93" s="43">
        <f>IFERROR(IF(Z87="",0,Z87),"0")+IFERROR(IF(Z88="",0,Z88),"0")+IFERROR(IF(Z89="",0,Z89),"0")+IFERROR(IF(Z90="",0,Z90),"0")+IFERROR(IF(Z91="",0,Z91),"0")+IFERROR(IF(Z92="",0,Z92),"0")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hidden="1" x14ac:dyDescent="0.2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4"/>
      <c r="P94" s="660" t="s">
        <v>40</v>
      </c>
      <c r="Q94" s="661"/>
      <c r="R94" s="661"/>
      <c r="S94" s="661"/>
      <c r="T94" s="661"/>
      <c r="U94" s="661"/>
      <c r="V94" s="662"/>
      <c r="W94" s="42" t="s">
        <v>0</v>
      </c>
      <c r="X94" s="43">
        <f>IFERROR(SUM(X87:X92),"0")</f>
        <v>0</v>
      </c>
      <c r="Y94" s="43">
        <f>IFERROR(SUM(Y87:Y92),"0")</f>
        <v>0</v>
      </c>
      <c r="Z94" s="42"/>
      <c r="AA94" s="67"/>
      <c r="AB94" s="67"/>
      <c r="AC94" s="67"/>
    </row>
    <row r="95" spans="1:68" ht="14.25" hidden="1" customHeight="1" x14ac:dyDescent="0.25">
      <c r="A95" s="666" t="s">
        <v>85</v>
      </c>
      <c r="B95" s="666"/>
      <c r="C95" s="666"/>
      <c r="D95" s="666"/>
      <c r="E95" s="666"/>
      <c r="F95" s="666"/>
      <c r="G95" s="666"/>
      <c r="H95" s="666"/>
      <c r="I95" s="666"/>
      <c r="J95" s="666"/>
      <c r="K95" s="666"/>
      <c r="L95" s="666"/>
      <c r="M95" s="666"/>
      <c r="N95" s="666"/>
      <c r="O95" s="666"/>
      <c r="P95" s="666"/>
      <c r="Q95" s="666"/>
      <c r="R95" s="666"/>
      <c r="S95" s="666"/>
      <c r="T95" s="666"/>
      <c r="U95" s="666"/>
      <c r="V95" s="666"/>
      <c r="W95" s="666"/>
      <c r="X95" s="666"/>
      <c r="Y95" s="666"/>
      <c r="Z95" s="666"/>
      <c r="AA95" s="66"/>
      <c r="AB95" s="66"/>
      <c r="AC95" s="80"/>
    </row>
    <row r="96" spans="1:68" ht="27" hidden="1" customHeight="1" x14ac:dyDescent="0.25">
      <c r="A96" s="63" t="s">
        <v>198</v>
      </c>
      <c r="B96" s="63" t="s">
        <v>199</v>
      </c>
      <c r="C96" s="36">
        <v>4301052101</v>
      </c>
      <c r="D96" s="667">
        <v>4607091386967</v>
      </c>
      <c r="E96" s="66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126</v>
      </c>
      <c r="L96" s="37" t="s">
        <v>46</v>
      </c>
      <c r="M96" s="38" t="s">
        <v>96</v>
      </c>
      <c r="N96" s="38"/>
      <c r="O96" s="37">
        <v>45</v>
      </c>
      <c r="P96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9"/>
      <c r="R96" s="669"/>
      <c r="S96" s="669"/>
      <c r="T96" s="67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200</v>
      </c>
      <c r="AG96" s="78"/>
      <c r="AJ96" s="84" t="s">
        <v>46</v>
      </c>
      <c r="AK96" s="84">
        <v>0</v>
      </c>
      <c r="BB96" s="169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201</v>
      </c>
      <c r="B97" s="63" t="s">
        <v>202</v>
      </c>
      <c r="C97" s="36">
        <v>4301052090</v>
      </c>
      <c r="D97" s="667">
        <v>4680115884953</v>
      </c>
      <c r="E97" s="66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90</v>
      </c>
      <c r="L97" s="37" t="s">
        <v>46</v>
      </c>
      <c r="M97" s="38" t="s">
        <v>89</v>
      </c>
      <c r="N97" s="38"/>
      <c r="O97" s="37">
        <v>45</v>
      </c>
      <c r="P97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9"/>
      <c r="R97" s="669"/>
      <c r="S97" s="669"/>
      <c r="T97" s="67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203</v>
      </c>
      <c r="AG97" s="78"/>
      <c r="AJ97" s="84" t="s">
        <v>46</v>
      </c>
      <c r="AK97" s="84">
        <v>0</v>
      </c>
      <c r="BB97" s="171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hidden="1" customHeight="1" x14ac:dyDescent="0.25">
      <c r="A98" s="63" t="s">
        <v>204</v>
      </c>
      <c r="B98" s="63" t="s">
        <v>205</v>
      </c>
      <c r="C98" s="36">
        <v>4301052094</v>
      </c>
      <c r="D98" s="667">
        <v>4607091385731</v>
      </c>
      <c r="E98" s="66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90</v>
      </c>
      <c r="L98" s="37" t="s">
        <v>46</v>
      </c>
      <c r="M98" s="38" t="s">
        <v>96</v>
      </c>
      <c r="N98" s="38"/>
      <c r="O98" s="37">
        <v>45</v>
      </c>
      <c r="P98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9"/>
      <c r="R98" s="669"/>
      <c r="S98" s="669"/>
      <c r="T98" s="67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200</v>
      </c>
      <c r="AG98" s="78"/>
      <c r="AJ98" s="84" t="s">
        <v>46</v>
      </c>
      <c r="AK98" s="84">
        <v>0</v>
      </c>
      <c r="BB98" s="173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hidden="1" customHeight="1" x14ac:dyDescent="0.25">
      <c r="A99" s="63" t="s">
        <v>206</v>
      </c>
      <c r="B99" s="63" t="s">
        <v>207</v>
      </c>
      <c r="C99" s="36">
        <v>4301052092</v>
      </c>
      <c r="D99" s="667">
        <v>4680115880894</v>
      </c>
      <c r="E99" s="66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90</v>
      </c>
      <c r="L99" s="37" t="s">
        <v>46</v>
      </c>
      <c r="M99" s="38" t="s">
        <v>89</v>
      </c>
      <c r="N99" s="38"/>
      <c r="O99" s="37">
        <v>45</v>
      </c>
      <c r="P99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9"/>
      <c r="R99" s="669"/>
      <c r="S99" s="669"/>
      <c r="T99" s="67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208</v>
      </c>
      <c r="AG99" s="78"/>
      <c r="AJ99" s="84" t="s">
        <v>46</v>
      </c>
      <c r="AK99" s="84">
        <v>0</v>
      </c>
      <c r="BB99" s="175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idden="1" x14ac:dyDescent="0.2">
      <c r="A100" s="663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64"/>
      <c r="P100" s="660" t="s">
        <v>40</v>
      </c>
      <c r="Q100" s="661"/>
      <c r="R100" s="661"/>
      <c r="S100" s="661"/>
      <c r="T100" s="661"/>
      <c r="U100" s="661"/>
      <c r="V100" s="662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4"/>
      <c r="P101" s="660" t="s">
        <v>40</v>
      </c>
      <c r="Q101" s="661"/>
      <c r="R101" s="661"/>
      <c r="S101" s="661"/>
      <c r="T101" s="661"/>
      <c r="U101" s="661"/>
      <c r="V101" s="662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hidden="1" customHeight="1" x14ac:dyDescent="0.25">
      <c r="A102" s="665" t="s">
        <v>209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5"/>
      <c r="AB102" s="65"/>
      <c r="AC102" s="79"/>
    </row>
    <row r="103" spans="1:68" ht="14.25" hidden="1" customHeight="1" x14ac:dyDescent="0.25">
      <c r="A103" s="666" t="s">
        <v>121</v>
      </c>
      <c r="B103" s="666"/>
      <c r="C103" s="666"/>
      <c r="D103" s="666"/>
      <c r="E103" s="666"/>
      <c r="F103" s="666"/>
      <c r="G103" s="666"/>
      <c r="H103" s="666"/>
      <c r="I103" s="666"/>
      <c r="J103" s="666"/>
      <c r="K103" s="666"/>
      <c r="L103" s="666"/>
      <c r="M103" s="666"/>
      <c r="N103" s="666"/>
      <c r="O103" s="666"/>
      <c r="P103" s="666"/>
      <c r="Q103" s="666"/>
      <c r="R103" s="666"/>
      <c r="S103" s="666"/>
      <c r="T103" s="666"/>
      <c r="U103" s="666"/>
      <c r="V103" s="666"/>
      <c r="W103" s="666"/>
      <c r="X103" s="666"/>
      <c r="Y103" s="666"/>
      <c r="Z103" s="666"/>
      <c r="AA103" s="66"/>
      <c r="AB103" s="66"/>
      <c r="AC103" s="80"/>
    </row>
    <row r="104" spans="1:68" ht="37.5" hidden="1" customHeight="1" x14ac:dyDescent="0.25">
      <c r="A104" s="63" t="s">
        <v>210</v>
      </c>
      <c r="B104" s="63" t="s">
        <v>211</v>
      </c>
      <c r="C104" s="36">
        <v>4301011514</v>
      </c>
      <c r="D104" s="667">
        <v>4680115882133</v>
      </c>
      <c r="E104" s="66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9"/>
      <c r="R104" s="669"/>
      <c r="S104" s="669"/>
      <c r="T104" s="67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212</v>
      </c>
      <c r="AG104" s="78"/>
      <c r="AJ104" s="84" t="s">
        <v>46</v>
      </c>
      <c r="AK104" s="84">
        <v>0</v>
      </c>
      <c r="BB104" s="177" t="s">
        <v>66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hidden="1" customHeight="1" x14ac:dyDescent="0.25">
      <c r="A105" s="63" t="s">
        <v>210</v>
      </c>
      <c r="B105" s="63" t="s">
        <v>213</v>
      </c>
      <c r="C105" s="36">
        <v>4301012256</v>
      </c>
      <c r="D105" s="667">
        <v>4680115882133</v>
      </c>
      <c r="E105" s="66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126</v>
      </c>
      <c r="L105" s="37" t="s">
        <v>46</v>
      </c>
      <c r="M105" s="38" t="s">
        <v>125</v>
      </c>
      <c r="N105" s="38"/>
      <c r="O105" s="37">
        <v>50</v>
      </c>
      <c r="P105" s="91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9"/>
      <c r="R105" s="669"/>
      <c r="S105" s="669"/>
      <c r="T105" s="67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215</v>
      </c>
      <c r="B106" s="63" t="s">
        <v>216</v>
      </c>
      <c r="C106" s="36">
        <v>4301012379</v>
      </c>
      <c r="D106" s="667">
        <v>4680115887718</v>
      </c>
      <c r="E106" s="66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9"/>
      <c r="R106" s="669"/>
      <c r="S106" s="669"/>
      <c r="T106" s="67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217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667">
        <v>4680115880269</v>
      </c>
      <c r="E107" s="66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9"/>
      <c r="R107" s="669"/>
      <c r="S107" s="669"/>
      <c r="T107" s="67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218</v>
      </c>
      <c r="B108" s="63" t="s">
        <v>220</v>
      </c>
      <c r="C108" s="36">
        <v>4301012253</v>
      </c>
      <c r="D108" s="667">
        <v>4680115880269</v>
      </c>
      <c r="E108" s="66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133</v>
      </c>
      <c r="L108" s="37" t="s">
        <v>46</v>
      </c>
      <c r="M108" s="38" t="s">
        <v>125</v>
      </c>
      <c r="N108" s="38"/>
      <c r="O108" s="37">
        <v>50</v>
      </c>
      <c r="P108" s="91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9"/>
      <c r="R108" s="669"/>
      <c r="S108" s="669"/>
      <c r="T108" s="67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221</v>
      </c>
      <c r="B109" s="63" t="s">
        <v>222</v>
      </c>
      <c r="C109" s="36">
        <v>4301012254</v>
      </c>
      <c r="D109" s="667">
        <v>4680115880429</v>
      </c>
      <c r="E109" s="66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91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9"/>
      <c r="R109" s="669"/>
      <c r="S109" s="669"/>
      <c r="T109" s="67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214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223</v>
      </c>
      <c r="B110" s="63" t="s">
        <v>224</v>
      </c>
      <c r="C110" s="36">
        <v>4301011462</v>
      </c>
      <c r="D110" s="667">
        <v>4680115881457</v>
      </c>
      <c r="E110" s="66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9"/>
      <c r="R110" s="669"/>
      <c r="S110" s="669"/>
      <c r="T110" s="67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223</v>
      </c>
      <c r="B111" s="63" t="s">
        <v>225</v>
      </c>
      <c r="C111" s="36">
        <v>4301012255</v>
      </c>
      <c r="D111" s="667">
        <v>4680115881457</v>
      </c>
      <c r="E111" s="66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133</v>
      </c>
      <c r="L111" s="37" t="s">
        <v>46</v>
      </c>
      <c r="M111" s="38" t="s">
        <v>125</v>
      </c>
      <c r="N111" s="38"/>
      <c r="O111" s="37">
        <v>50</v>
      </c>
      <c r="P111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9"/>
      <c r="R111" s="669"/>
      <c r="S111" s="669"/>
      <c r="T111" s="67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214</v>
      </c>
      <c r="AG111" s="78"/>
      <c r="AJ111" s="84" t="s">
        <v>46</v>
      </c>
      <c r="AK111" s="84">
        <v>0</v>
      </c>
      <c r="BB111" s="191" t="s">
        <v>66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4301012366</v>
      </c>
      <c r="D112" s="667">
        <v>4680115889477</v>
      </c>
      <c r="E112" s="66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125</v>
      </c>
      <c r="N112" s="38"/>
      <c r="O112" s="37">
        <v>55</v>
      </c>
      <c r="P112" s="90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9"/>
      <c r="R112" s="669"/>
      <c r="S112" s="669"/>
      <c r="T112" s="67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228</v>
      </c>
      <c r="AG112" s="78"/>
      <c r="AJ112" s="84" t="s">
        <v>46</v>
      </c>
      <c r="AK112" s="84">
        <v>0</v>
      </c>
      <c r="BB112" s="193" t="s">
        <v>66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63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4"/>
      <c r="P113" s="660" t="s">
        <v>40</v>
      </c>
      <c r="Q113" s="661"/>
      <c r="R113" s="661"/>
      <c r="S113" s="661"/>
      <c r="T113" s="661"/>
      <c r="U113" s="661"/>
      <c r="V113" s="662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4"/>
      <c r="P114" s="660" t="s">
        <v>40</v>
      </c>
      <c r="Q114" s="661"/>
      <c r="R114" s="661"/>
      <c r="S114" s="661"/>
      <c r="T114" s="661"/>
      <c r="U114" s="661"/>
      <c r="V114" s="662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66" t="s">
        <v>158</v>
      </c>
      <c r="B115" s="666"/>
      <c r="C115" s="666"/>
      <c r="D115" s="666"/>
      <c r="E115" s="666"/>
      <c r="F115" s="666"/>
      <c r="G115" s="666"/>
      <c r="H115" s="666"/>
      <c r="I115" s="666"/>
      <c r="J115" s="666"/>
      <c r="K115" s="666"/>
      <c r="L115" s="666"/>
      <c r="M115" s="666"/>
      <c r="N115" s="666"/>
      <c r="O115" s="666"/>
      <c r="P115" s="666"/>
      <c r="Q115" s="666"/>
      <c r="R115" s="666"/>
      <c r="S115" s="666"/>
      <c r="T115" s="666"/>
      <c r="U115" s="666"/>
      <c r="V115" s="666"/>
      <c r="W115" s="666"/>
      <c r="X115" s="666"/>
      <c r="Y115" s="666"/>
      <c r="Z115" s="666"/>
      <c r="AA115" s="66"/>
      <c r="AB115" s="66"/>
      <c r="AC115" s="80"/>
    </row>
    <row r="116" spans="1:68" ht="27" hidden="1" customHeight="1" x14ac:dyDescent="0.25">
      <c r="A116" s="63" t="s">
        <v>229</v>
      </c>
      <c r="B116" s="63" t="s">
        <v>230</v>
      </c>
      <c r="C116" s="36">
        <v>4301020391</v>
      </c>
      <c r="D116" s="667">
        <v>4680115881488</v>
      </c>
      <c r="E116" s="66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126</v>
      </c>
      <c r="L116" s="37" t="s">
        <v>46</v>
      </c>
      <c r="M116" s="38" t="s">
        <v>125</v>
      </c>
      <c r="N116" s="38"/>
      <c r="O116" s="37">
        <v>55</v>
      </c>
      <c r="P116" s="90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9"/>
      <c r="R116" s="669"/>
      <c r="S116" s="669"/>
      <c r="T116" s="67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232</v>
      </c>
      <c r="B117" s="63" t="s">
        <v>233</v>
      </c>
      <c r="C117" s="36">
        <v>4301020393</v>
      </c>
      <c r="D117" s="667">
        <v>4680115882775</v>
      </c>
      <c r="E117" s="66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90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9"/>
      <c r="R117" s="669"/>
      <c r="S117" s="669"/>
      <c r="T117" s="67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234</v>
      </c>
      <c r="B118" s="63" t="s">
        <v>235</v>
      </c>
      <c r="C118" s="36">
        <v>4301020392</v>
      </c>
      <c r="D118" s="667">
        <v>4680115880658</v>
      </c>
      <c r="E118" s="66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9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9"/>
      <c r="R118" s="669"/>
      <c r="S118" s="669"/>
      <c r="T118" s="67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231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3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64"/>
      <c r="P119" s="660" t="s">
        <v>40</v>
      </c>
      <c r="Q119" s="661"/>
      <c r="R119" s="661"/>
      <c r="S119" s="661"/>
      <c r="T119" s="661"/>
      <c r="U119" s="661"/>
      <c r="V119" s="662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64"/>
      <c r="P120" s="660" t="s">
        <v>40</v>
      </c>
      <c r="Q120" s="661"/>
      <c r="R120" s="661"/>
      <c r="S120" s="661"/>
      <c r="T120" s="661"/>
      <c r="U120" s="661"/>
      <c r="V120" s="662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6" t="s">
        <v>85</v>
      </c>
      <c r="B121" s="666"/>
      <c r="C121" s="666"/>
      <c r="D121" s="666"/>
      <c r="E121" s="666"/>
      <c r="F121" s="666"/>
      <c r="G121" s="666"/>
      <c r="H121" s="666"/>
      <c r="I121" s="666"/>
      <c r="J121" s="666"/>
      <c r="K121" s="666"/>
      <c r="L121" s="666"/>
      <c r="M121" s="666"/>
      <c r="N121" s="666"/>
      <c r="O121" s="666"/>
      <c r="P121" s="666"/>
      <c r="Q121" s="666"/>
      <c r="R121" s="666"/>
      <c r="S121" s="666"/>
      <c r="T121" s="666"/>
      <c r="U121" s="666"/>
      <c r="V121" s="666"/>
      <c r="W121" s="666"/>
      <c r="X121" s="666"/>
      <c r="Y121" s="666"/>
      <c r="Z121" s="666"/>
      <c r="AA121" s="66"/>
      <c r="AB121" s="66"/>
      <c r="AC121" s="80"/>
    </row>
    <row r="122" spans="1:68" ht="27" hidden="1" customHeight="1" x14ac:dyDescent="0.25">
      <c r="A122" s="63" t="s">
        <v>236</v>
      </c>
      <c r="B122" s="63" t="s">
        <v>237</v>
      </c>
      <c r="C122" s="36">
        <v>4301052088</v>
      </c>
      <c r="D122" s="667">
        <v>4607091385168</v>
      </c>
      <c r="E122" s="66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89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9"/>
      <c r="R122" s="669"/>
      <c r="S122" s="669"/>
      <c r="T122" s="67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239</v>
      </c>
      <c r="B123" s="63" t="s">
        <v>240</v>
      </c>
      <c r="C123" s="36">
        <v>4301052087</v>
      </c>
      <c r="D123" s="667">
        <v>4607091383256</v>
      </c>
      <c r="E123" s="66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9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9"/>
      <c r="R123" s="669"/>
      <c r="S123" s="669"/>
      <c r="T123" s="67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241</v>
      </c>
      <c r="B124" s="63" t="s">
        <v>242</v>
      </c>
      <c r="C124" s="36">
        <v>4301052086</v>
      </c>
      <c r="D124" s="667">
        <v>4607091385748</v>
      </c>
      <c r="E124" s="66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45</v>
      </c>
      <c r="P124" s="90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9"/>
      <c r="R124" s="669"/>
      <c r="S124" s="669"/>
      <c r="T124" s="67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238</v>
      </c>
      <c r="AG124" s="78"/>
      <c r="AJ124" s="84" t="s">
        <v>46</v>
      </c>
      <c r="AK124" s="84">
        <v>0</v>
      </c>
      <c r="BB124" s="205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243</v>
      </c>
      <c r="B125" s="63" t="s">
        <v>244</v>
      </c>
      <c r="C125" s="36">
        <v>4301052085</v>
      </c>
      <c r="D125" s="667">
        <v>4680115884533</v>
      </c>
      <c r="E125" s="66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90</v>
      </c>
      <c r="L125" s="37" t="s">
        <v>46</v>
      </c>
      <c r="M125" s="38" t="s">
        <v>89</v>
      </c>
      <c r="N125" s="38"/>
      <c r="O125" s="37">
        <v>45</v>
      </c>
      <c r="P125" s="90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9"/>
      <c r="R125" s="669"/>
      <c r="S125" s="669"/>
      <c r="T125" s="67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245</v>
      </c>
      <c r="AG125" s="78"/>
      <c r="AJ125" s="84" t="s">
        <v>46</v>
      </c>
      <c r="AK125" s="84">
        <v>0</v>
      </c>
      <c r="BB125" s="207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63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64"/>
      <c r="P126" s="660" t="s">
        <v>40</v>
      </c>
      <c r="Q126" s="661"/>
      <c r="R126" s="661"/>
      <c r="S126" s="661"/>
      <c r="T126" s="661"/>
      <c r="U126" s="661"/>
      <c r="V126" s="662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64"/>
      <c r="P127" s="660" t="s">
        <v>40</v>
      </c>
      <c r="Q127" s="661"/>
      <c r="R127" s="661"/>
      <c r="S127" s="661"/>
      <c r="T127" s="661"/>
      <c r="U127" s="661"/>
      <c r="V127" s="662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666" t="s">
        <v>177</v>
      </c>
      <c r="B128" s="666"/>
      <c r="C128" s="666"/>
      <c r="D128" s="666"/>
      <c r="E128" s="666"/>
      <c r="F128" s="666"/>
      <c r="G128" s="666"/>
      <c r="H128" s="666"/>
      <c r="I128" s="666"/>
      <c r="J128" s="666"/>
      <c r="K128" s="666"/>
      <c r="L128" s="666"/>
      <c r="M128" s="666"/>
      <c r="N128" s="666"/>
      <c r="O128" s="666"/>
      <c r="P128" s="666"/>
      <c r="Q128" s="666"/>
      <c r="R128" s="666"/>
      <c r="S128" s="666"/>
      <c r="T128" s="666"/>
      <c r="U128" s="666"/>
      <c r="V128" s="666"/>
      <c r="W128" s="666"/>
      <c r="X128" s="666"/>
      <c r="Y128" s="666"/>
      <c r="Z128" s="666"/>
      <c r="AA128" s="66"/>
      <c r="AB128" s="66"/>
      <c r="AC128" s="80"/>
    </row>
    <row r="129" spans="1:68" ht="16.5" hidden="1" customHeight="1" x14ac:dyDescent="0.25">
      <c r="A129" s="63" t="s">
        <v>246</v>
      </c>
      <c r="B129" s="63" t="s">
        <v>247</v>
      </c>
      <c r="C129" s="36">
        <v>4301060525</v>
      </c>
      <c r="D129" s="667">
        <v>4680115880238</v>
      </c>
      <c r="E129" s="66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90</v>
      </c>
      <c r="L129" s="37" t="s">
        <v>46</v>
      </c>
      <c r="M129" s="38" t="s">
        <v>89</v>
      </c>
      <c r="N129" s="38"/>
      <c r="O129" s="37">
        <v>40</v>
      </c>
      <c r="P129" s="90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9"/>
      <c r="R129" s="669"/>
      <c r="S129" s="669"/>
      <c r="T129" s="67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248</v>
      </c>
      <c r="AG129" s="78"/>
      <c r="AJ129" s="84" t="s">
        <v>46</v>
      </c>
      <c r="AK129" s="84">
        <v>0</v>
      </c>
      <c r="BB129" s="209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63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4"/>
      <c r="P130" s="660" t="s">
        <v>40</v>
      </c>
      <c r="Q130" s="661"/>
      <c r="R130" s="661"/>
      <c r="S130" s="661"/>
      <c r="T130" s="661"/>
      <c r="U130" s="661"/>
      <c r="V130" s="662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64"/>
      <c r="P131" s="660" t="s">
        <v>40</v>
      </c>
      <c r="Q131" s="661"/>
      <c r="R131" s="661"/>
      <c r="S131" s="661"/>
      <c r="T131" s="661"/>
      <c r="U131" s="661"/>
      <c r="V131" s="662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65" t="s">
        <v>249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5"/>
      <c r="AB132" s="65"/>
      <c r="AC132" s="79"/>
    </row>
    <row r="133" spans="1:68" ht="14.25" hidden="1" customHeight="1" x14ac:dyDescent="0.25">
      <c r="A133" s="666" t="s">
        <v>121</v>
      </c>
      <c r="B133" s="666"/>
      <c r="C133" s="666"/>
      <c r="D133" s="666"/>
      <c r="E133" s="666"/>
      <c r="F133" s="666"/>
      <c r="G133" s="666"/>
      <c r="H133" s="666"/>
      <c r="I133" s="666"/>
      <c r="J133" s="666"/>
      <c r="K133" s="666"/>
      <c r="L133" s="666"/>
      <c r="M133" s="666"/>
      <c r="N133" s="666"/>
      <c r="O133" s="666"/>
      <c r="P133" s="666"/>
      <c r="Q133" s="666"/>
      <c r="R133" s="666"/>
      <c r="S133" s="666"/>
      <c r="T133" s="666"/>
      <c r="U133" s="666"/>
      <c r="V133" s="666"/>
      <c r="W133" s="666"/>
      <c r="X133" s="666"/>
      <c r="Y133" s="666"/>
      <c r="Z133" s="666"/>
      <c r="AA133" s="66"/>
      <c r="AB133" s="66"/>
      <c r="AC133" s="80"/>
    </row>
    <row r="134" spans="1:68" ht="27" hidden="1" customHeight="1" x14ac:dyDescent="0.25">
      <c r="A134" s="63" t="s">
        <v>250</v>
      </c>
      <c r="B134" s="63" t="s">
        <v>251</v>
      </c>
      <c r="C134" s="36">
        <v>4301011562</v>
      </c>
      <c r="D134" s="667">
        <v>4680115882577</v>
      </c>
      <c r="E134" s="66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253</v>
      </c>
      <c r="N134" s="38"/>
      <c r="O134" s="37">
        <v>90</v>
      </c>
      <c r="P134" s="8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9"/>
      <c r="R134" s="669"/>
      <c r="S134" s="669"/>
      <c r="T134" s="67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250</v>
      </c>
      <c r="B135" s="63" t="s">
        <v>254</v>
      </c>
      <c r="C135" s="36">
        <v>4301011564</v>
      </c>
      <c r="D135" s="667">
        <v>4680115882577</v>
      </c>
      <c r="E135" s="66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253</v>
      </c>
      <c r="N135" s="38"/>
      <c r="O135" s="37">
        <v>90</v>
      </c>
      <c r="P135" s="8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9"/>
      <c r="R135" s="669"/>
      <c r="S135" s="669"/>
      <c r="T135" s="67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252</v>
      </c>
      <c r="AG135" s="78"/>
      <c r="AJ135" s="84" t="s">
        <v>46</v>
      </c>
      <c r="AK135" s="84">
        <v>0</v>
      </c>
      <c r="BB135" s="21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3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4"/>
      <c r="P136" s="660" t="s">
        <v>40</v>
      </c>
      <c r="Q136" s="661"/>
      <c r="R136" s="661"/>
      <c r="S136" s="661"/>
      <c r="T136" s="661"/>
      <c r="U136" s="661"/>
      <c r="V136" s="662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64"/>
      <c r="P137" s="660" t="s">
        <v>40</v>
      </c>
      <c r="Q137" s="661"/>
      <c r="R137" s="661"/>
      <c r="S137" s="661"/>
      <c r="T137" s="661"/>
      <c r="U137" s="661"/>
      <c r="V137" s="662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66" t="s">
        <v>76</v>
      </c>
      <c r="B138" s="666"/>
      <c r="C138" s="666"/>
      <c r="D138" s="666"/>
      <c r="E138" s="666"/>
      <c r="F138" s="666"/>
      <c r="G138" s="666"/>
      <c r="H138" s="666"/>
      <c r="I138" s="666"/>
      <c r="J138" s="666"/>
      <c r="K138" s="666"/>
      <c r="L138" s="666"/>
      <c r="M138" s="666"/>
      <c r="N138" s="666"/>
      <c r="O138" s="666"/>
      <c r="P138" s="666"/>
      <c r="Q138" s="666"/>
      <c r="R138" s="666"/>
      <c r="S138" s="666"/>
      <c r="T138" s="666"/>
      <c r="U138" s="666"/>
      <c r="V138" s="666"/>
      <c r="W138" s="666"/>
      <c r="X138" s="666"/>
      <c r="Y138" s="666"/>
      <c r="Z138" s="666"/>
      <c r="AA138" s="66"/>
      <c r="AB138" s="66"/>
      <c r="AC138" s="80"/>
    </row>
    <row r="139" spans="1:68" ht="27" hidden="1" customHeight="1" x14ac:dyDescent="0.25">
      <c r="A139" s="63" t="s">
        <v>255</v>
      </c>
      <c r="B139" s="63" t="s">
        <v>256</v>
      </c>
      <c r="C139" s="36">
        <v>4301031234</v>
      </c>
      <c r="D139" s="667">
        <v>4680115883444</v>
      </c>
      <c r="E139" s="66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90</v>
      </c>
      <c r="L139" s="37" t="s">
        <v>46</v>
      </c>
      <c r="M139" s="38" t="s">
        <v>253</v>
      </c>
      <c r="N139" s="38"/>
      <c r="O139" s="37">
        <v>90</v>
      </c>
      <c r="P139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9"/>
      <c r="R139" s="669"/>
      <c r="S139" s="669"/>
      <c r="T139" s="67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255</v>
      </c>
      <c r="B140" s="63" t="s">
        <v>258</v>
      </c>
      <c r="C140" s="36">
        <v>4301031235</v>
      </c>
      <c r="D140" s="667">
        <v>4680115883444</v>
      </c>
      <c r="E140" s="66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90</v>
      </c>
      <c r="L140" s="37" t="s">
        <v>46</v>
      </c>
      <c r="M140" s="38" t="s">
        <v>253</v>
      </c>
      <c r="N140" s="38"/>
      <c r="O140" s="37">
        <v>90</v>
      </c>
      <c r="P140" s="8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9"/>
      <c r="R140" s="669"/>
      <c r="S140" s="669"/>
      <c r="T140" s="67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257</v>
      </c>
      <c r="AG140" s="78"/>
      <c r="AJ140" s="84" t="s">
        <v>46</v>
      </c>
      <c r="AK140" s="84">
        <v>0</v>
      </c>
      <c r="BB140" s="217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63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64"/>
      <c r="P141" s="660" t="s">
        <v>40</v>
      </c>
      <c r="Q141" s="661"/>
      <c r="R141" s="661"/>
      <c r="S141" s="661"/>
      <c r="T141" s="661"/>
      <c r="U141" s="661"/>
      <c r="V141" s="662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64"/>
      <c r="P142" s="660" t="s">
        <v>40</v>
      </c>
      <c r="Q142" s="661"/>
      <c r="R142" s="661"/>
      <c r="S142" s="661"/>
      <c r="T142" s="661"/>
      <c r="U142" s="661"/>
      <c r="V142" s="662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66" t="s">
        <v>85</v>
      </c>
      <c r="B143" s="666"/>
      <c r="C143" s="666"/>
      <c r="D143" s="666"/>
      <c r="E143" s="666"/>
      <c r="F143" s="666"/>
      <c r="G143" s="666"/>
      <c r="H143" s="666"/>
      <c r="I143" s="666"/>
      <c r="J143" s="666"/>
      <c r="K143" s="666"/>
      <c r="L143" s="666"/>
      <c r="M143" s="666"/>
      <c r="N143" s="666"/>
      <c r="O143" s="666"/>
      <c r="P143" s="666"/>
      <c r="Q143" s="666"/>
      <c r="R143" s="666"/>
      <c r="S143" s="666"/>
      <c r="T143" s="666"/>
      <c r="U143" s="666"/>
      <c r="V143" s="666"/>
      <c r="W143" s="666"/>
      <c r="X143" s="666"/>
      <c r="Y143" s="666"/>
      <c r="Z143" s="666"/>
      <c r="AA143" s="66"/>
      <c r="AB143" s="66"/>
      <c r="AC143" s="80"/>
    </row>
    <row r="144" spans="1:68" ht="16.5" hidden="1" customHeight="1" x14ac:dyDescent="0.25">
      <c r="A144" s="63" t="s">
        <v>259</v>
      </c>
      <c r="B144" s="63" t="s">
        <v>260</v>
      </c>
      <c r="C144" s="36">
        <v>4301051476</v>
      </c>
      <c r="D144" s="667">
        <v>4680115882584</v>
      </c>
      <c r="E144" s="66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90</v>
      </c>
      <c r="L144" s="37" t="s">
        <v>46</v>
      </c>
      <c r="M144" s="38" t="s">
        <v>253</v>
      </c>
      <c r="N144" s="38"/>
      <c r="O144" s="37">
        <v>60</v>
      </c>
      <c r="P144" s="8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9"/>
      <c r="R144" s="669"/>
      <c r="S144" s="669"/>
      <c r="T144" s="67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259</v>
      </c>
      <c r="B145" s="63" t="s">
        <v>261</v>
      </c>
      <c r="C145" s="36">
        <v>4301051477</v>
      </c>
      <c r="D145" s="667">
        <v>4680115882584</v>
      </c>
      <c r="E145" s="66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90</v>
      </c>
      <c r="L145" s="37" t="s">
        <v>46</v>
      </c>
      <c r="M145" s="38" t="s">
        <v>253</v>
      </c>
      <c r="N145" s="38"/>
      <c r="O145" s="37">
        <v>60</v>
      </c>
      <c r="P145" s="8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9"/>
      <c r="R145" s="669"/>
      <c r="S145" s="669"/>
      <c r="T145" s="67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252</v>
      </c>
      <c r="AG145" s="78"/>
      <c r="AJ145" s="84" t="s">
        <v>46</v>
      </c>
      <c r="AK145" s="84">
        <v>0</v>
      </c>
      <c r="BB145" s="221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63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4"/>
      <c r="P146" s="660" t="s">
        <v>40</v>
      </c>
      <c r="Q146" s="661"/>
      <c r="R146" s="661"/>
      <c r="S146" s="661"/>
      <c r="T146" s="661"/>
      <c r="U146" s="661"/>
      <c r="V146" s="66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4"/>
      <c r="P147" s="660" t="s">
        <v>40</v>
      </c>
      <c r="Q147" s="661"/>
      <c r="R147" s="661"/>
      <c r="S147" s="661"/>
      <c r="T147" s="661"/>
      <c r="U147" s="661"/>
      <c r="V147" s="66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65" t="s">
        <v>262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5"/>
      <c r="AB148" s="65"/>
      <c r="AC148" s="79"/>
    </row>
    <row r="149" spans="1:68" ht="14.25" hidden="1" customHeight="1" x14ac:dyDescent="0.25">
      <c r="A149" s="666" t="s">
        <v>85</v>
      </c>
      <c r="B149" s="666"/>
      <c r="C149" s="666"/>
      <c r="D149" s="666"/>
      <c r="E149" s="666"/>
      <c r="F149" s="666"/>
      <c r="G149" s="666"/>
      <c r="H149" s="666"/>
      <c r="I149" s="666"/>
      <c r="J149" s="666"/>
      <c r="K149" s="666"/>
      <c r="L149" s="666"/>
      <c r="M149" s="666"/>
      <c r="N149" s="666"/>
      <c r="O149" s="666"/>
      <c r="P149" s="666"/>
      <c r="Q149" s="666"/>
      <c r="R149" s="666"/>
      <c r="S149" s="666"/>
      <c r="T149" s="666"/>
      <c r="U149" s="666"/>
      <c r="V149" s="666"/>
      <c r="W149" s="666"/>
      <c r="X149" s="666"/>
      <c r="Y149" s="666"/>
      <c r="Z149" s="666"/>
      <c r="AA149" s="66"/>
      <c r="AB149" s="66"/>
      <c r="AC149" s="80"/>
    </row>
    <row r="150" spans="1:68" ht="27" hidden="1" customHeight="1" x14ac:dyDescent="0.25">
      <c r="A150" s="63" t="s">
        <v>263</v>
      </c>
      <c r="B150" s="63" t="s">
        <v>264</v>
      </c>
      <c r="C150" s="36">
        <v>4301052254</v>
      </c>
      <c r="D150" s="667">
        <v>4680115888203</v>
      </c>
      <c r="E150" s="66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9"/>
      <c r="R150" s="669"/>
      <c r="S150" s="669"/>
      <c r="T150" s="67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265</v>
      </c>
      <c r="AG150" s="78"/>
      <c r="AJ150" s="84" t="s">
        <v>46</v>
      </c>
      <c r="AK150" s="84">
        <v>0</v>
      </c>
      <c r="BB150" s="223" t="s">
        <v>66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266</v>
      </c>
      <c r="B151" s="63" t="s">
        <v>267</v>
      </c>
      <c r="C151" s="36">
        <v>4301052172</v>
      </c>
      <c r="D151" s="667">
        <v>4680115888180</v>
      </c>
      <c r="E151" s="66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9"/>
      <c r="R151" s="669"/>
      <c r="S151" s="669"/>
      <c r="T151" s="67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66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266</v>
      </c>
      <c r="B152" s="63" t="s">
        <v>269</v>
      </c>
      <c r="C152" s="36">
        <v>4301052252</v>
      </c>
      <c r="D152" s="667">
        <v>4680115888180</v>
      </c>
      <c r="E152" s="66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9"/>
      <c r="R152" s="669"/>
      <c r="S152" s="669"/>
      <c r="T152" s="67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268</v>
      </c>
      <c r="AG152" s="78"/>
      <c r="AJ152" s="84" t="s">
        <v>46</v>
      </c>
      <c r="AK152" s="84">
        <v>0</v>
      </c>
      <c r="BB152" s="227" t="s">
        <v>66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270</v>
      </c>
      <c r="B153" s="63" t="s">
        <v>271</v>
      </c>
      <c r="C153" s="36">
        <v>4301052253</v>
      </c>
      <c r="D153" s="667">
        <v>4680115888197</v>
      </c>
      <c r="E153" s="66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9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9"/>
      <c r="R153" s="669"/>
      <c r="S153" s="669"/>
      <c r="T153" s="67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272</v>
      </c>
      <c r="AG153" s="78"/>
      <c r="AJ153" s="84" t="s">
        <v>46</v>
      </c>
      <c r="AK153" s="84">
        <v>0</v>
      </c>
      <c r="BB153" s="229" t="s">
        <v>66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273</v>
      </c>
      <c r="B154" s="63" t="s">
        <v>274</v>
      </c>
      <c r="C154" s="36">
        <v>4301052175</v>
      </c>
      <c r="D154" s="667">
        <v>4680115888210</v>
      </c>
      <c r="E154" s="66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9"/>
      <c r="R154" s="669"/>
      <c r="S154" s="669"/>
      <c r="T154" s="67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273</v>
      </c>
      <c r="B155" s="63" t="s">
        <v>276</v>
      </c>
      <c r="C155" s="36">
        <v>4301052255</v>
      </c>
      <c r="D155" s="667">
        <v>4680115888210</v>
      </c>
      <c r="E155" s="66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8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9"/>
      <c r="R155" s="669"/>
      <c r="S155" s="669"/>
      <c r="T155" s="67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275</v>
      </c>
      <c r="AG155" s="78"/>
      <c r="AJ155" s="84" t="s">
        <v>46</v>
      </c>
      <c r="AK155" s="84">
        <v>0</v>
      </c>
      <c r="BB155" s="233" t="s">
        <v>66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663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4"/>
      <c r="P156" s="660" t="s">
        <v>40</v>
      </c>
      <c r="Q156" s="661"/>
      <c r="R156" s="661"/>
      <c r="S156" s="661"/>
      <c r="T156" s="661"/>
      <c r="U156" s="661"/>
      <c r="V156" s="662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4"/>
      <c r="P157" s="660" t="s">
        <v>40</v>
      </c>
      <c r="Q157" s="661"/>
      <c r="R157" s="661"/>
      <c r="S157" s="661"/>
      <c r="T157" s="661"/>
      <c r="U157" s="661"/>
      <c r="V157" s="662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6" t="s">
        <v>277</v>
      </c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"/>
      <c r="AB158" s="66"/>
      <c r="AC158" s="80"/>
    </row>
    <row r="159" spans="1:68" ht="27" hidden="1" customHeight="1" x14ac:dyDescent="0.25">
      <c r="A159" s="63" t="s">
        <v>278</v>
      </c>
      <c r="B159" s="63" t="s">
        <v>279</v>
      </c>
      <c r="C159" s="36">
        <v>4301032067</v>
      </c>
      <c r="D159" s="667">
        <v>4680115889132</v>
      </c>
      <c r="E159" s="66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283</v>
      </c>
      <c r="L159" s="37" t="s">
        <v>46</v>
      </c>
      <c r="M159" s="38" t="s">
        <v>282</v>
      </c>
      <c r="N159" s="38"/>
      <c r="O159" s="37">
        <v>120</v>
      </c>
      <c r="P159" s="88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9"/>
      <c r="R159" s="669"/>
      <c r="S159" s="669"/>
      <c r="T159" s="67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280</v>
      </c>
      <c r="AG159" s="78"/>
      <c r="AJ159" s="84" t="s">
        <v>46</v>
      </c>
      <c r="AK159" s="84">
        <v>0</v>
      </c>
      <c r="BB159" s="235" t="s">
        <v>281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63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4"/>
      <c r="P160" s="660" t="s">
        <v>40</v>
      </c>
      <c r="Q160" s="661"/>
      <c r="R160" s="661"/>
      <c r="S160" s="661"/>
      <c r="T160" s="661"/>
      <c r="U160" s="661"/>
      <c r="V160" s="66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4"/>
      <c r="P161" s="660" t="s">
        <v>40</v>
      </c>
      <c r="Q161" s="661"/>
      <c r="R161" s="661"/>
      <c r="S161" s="661"/>
      <c r="T161" s="661"/>
      <c r="U161" s="661"/>
      <c r="V161" s="66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5" t="s">
        <v>119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5"/>
      <c r="AB162" s="65"/>
      <c r="AC162" s="79"/>
    </row>
    <row r="163" spans="1:68" ht="14.25" hidden="1" customHeight="1" x14ac:dyDescent="0.25">
      <c r="A163" s="666" t="s">
        <v>121</v>
      </c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"/>
      <c r="AB163" s="66"/>
      <c r="AC163" s="80"/>
    </row>
    <row r="164" spans="1:68" ht="27" hidden="1" customHeight="1" x14ac:dyDescent="0.25">
      <c r="A164" s="63" t="s">
        <v>284</v>
      </c>
      <c r="B164" s="63" t="s">
        <v>285</v>
      </c>
      <c r="C164" s="36">
        <v>4301012338</v>
      </c>
      <c r="D164" s="667">
        <v>4680115887374</v>
      </c>
      <c r="E164" s="66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126</v>
      </c>
      <c r="L164" s="37" t="s">
        <v>46</v>
      </c>
      <c r="M164" s="38" t="s">
        <v>125</v>
      </c>
      <c r="N164" s="38"/>
      <c r="O164" s="37">
        <v>55</v>
      </c>
      <c r="P164" s="88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9"/>
      <c r="R164" s="669"/>
      <c r="S164" s="669"/>
      <c r="T164" s="67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286</v>
      </c>
      <c r="AG164" s="78"/>
      <c r="AJ164" s="84" t="s">
        <v>46</v>
      </c>
      <c r="AK164" s="84">
        <v>0</v>
      </c>
      <c r="BB164" s="237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288</v>
      </c>
      <c r="C165" s="36">
        <v>4301011705</v>
      </c>
      <c r="D165" s="667">
        <v>4607091384604</v>
      </c>
      <c r="E165" s="66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133</v>
      </c>
      <c r="L165" s="37" t="s">
        <v>46</v>
      </c>
      <c r="M165" s="38" t="s">
        <v>125</v>
      </c>
      <c r="N165" s="38"/>
      <c r="O165" s="37">
        <v>50</v>
      </c>
      <c r="P165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9"/>
      <c r="R165" s="669"/>
      <c r="S165" s="669"/>
      <c r="T165" s="67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287</v>
      </c>
      <c r="B166" s="63" t="s">
        <v>290</v>
      </c>
      <c r="C166" s="36">
        <v>4301012258</v>
      </c>
      <c r="D166" s="667">
        <v>4607091384604</v>
      </c>
      <c r="E166" s="66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133</v>
      </c>
      <c r="L166" s="37" t="s">
        <v>46</v>
      </c>
      <c r="M166" s="38" t="s">
        <v>125</v>
      </c>
      <c r="N166" s="38"/>
      <c r="O166" s="37">
        <v>50</v>
      </c>
      <c r="P166" s="88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9"/>
      <c r="R166" s="669"/>
      <c r="S166" s="669"/>
      <c r="T166" s="67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289</v>
      </c>
      <c r="AG166" s="78"/>
      <c r="AJ166" s="84" t="s">
        <v>46</v>
      </c>
      <c r="AK166" s="84">
        <v>0</v>
      </c>
      <c r="BB166" s="241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291</v>
      </c>
      <c r="B167" s="63" t="s">
        <v>292</v>
      </c>
      <c r="C167" s="36">
        <v>4301012344</v>
      </c>
      <c r="D167" s="667">
        <v>4680115888876</v>
      </c>
      <c r="E167" s="66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90</v>
      </c>
      <c r="L167" s="37" t="s">
        <v>46</v>
      </c>
      <c r="M167" s="38" t="s">
        <v>89</v>
      </c>
      <c r="N167" s="38"/>
      <c r="O167" s="37">
        <v>55</v>
      </c>
      <c r="P167" s="88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9"/>
      <c r="R167" s="669"/>
      <c r="S167" s="669"/>
      <c r="T167" s="67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293</v>
      </c>
      <c r="AG167" s="78"/>
      <c r="AJ167" s="84" t="s">
        <v>46</v>
      </c>
      <c r="AK167" s="84">
        <v>0</v>
      </c>
      <c r="BB167" s="243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63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4"/>
      <c r="P168" s="660" t="s">
        <v>40</v>
      </c>
      <c r="Q168" s="661"/>
      <c r="R168" s="661"/>
      <c r="S168" s="661"/>
      <c r="T168" s="661"/>
      <c r="U168" s="661"/>
      <c r="V168" s="662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4"/>
      <c r="P169" s="660" t="s">
        <v>40</v>
      </c>
      <c r="Q169" s="661"/>
      <c r="R169" s="661"/>
      <c r="S169" s="661"/>
      <c r="T169" s="661"/>
      <c r="U169" s="661"/>
      <c r="V169" s="662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66" t="s">
        <v>158</v>
      </c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"/>
      <c r="AB170" s="66"/>
      <c r="AC170" s="80"/>
    </row>
    <row r="171" spans="1:68" ht="16.5" hidden="1" customHeight="1" x14ac:dyDescent="0.25">
      <c r="A171" s="63" t="s">
        <v>294</v>
      </c>
      <c r="B171" s="63" t="s">
        <v>295</v>
      </c>
      <c r="C171" s="36">
        <v>4301020410</v>
      </c>
      <c r="D171" s="667">
        <v>4680115887695</v>
      </c>
      <c r="E171" s="66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81</v>
      </c>
      <c r="L171" s="37" t="s">
        <v>46</v>
      </c>
      <c r="M171" s="38" t="s">
        <v>80</v>
      </c>
      <c r="N171" s="38"/>
      <c r="O171" s="37">
        <v>30</v>
      </c>
      <c r="P171" s="88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9"/>
      <c r="R171" s="669"/>
      <c r="S171" s="669"/>
      <c r="T171" s="67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296</v>
      </c>
      <c r="AG171" s="78"/>
      <c r="AJ171" s="84" t="s">
        <v>46</v>
      </c>
      <c r="AK171" s="84">
        <v>0</v>
      </c>
      <c r="BB171" s="245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297</v>
      </c>
      <c r="B172" s="63" t="s">
        <v>298</v>
      </c>
      <c r="C172" s="36">
        <v>4301020439</v>
      </c>
      <c r="D172" s="667">
        <v>4680115889491</v>
      </c>
      <c r="E172" s="66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125</v>
      </c>
      <c r="N172" s="38"/>
      <c r="O172" s="37">
        <v>55</v>
      </c>
      <c r="P172" s="88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9"/>
      <c r="R172" s="669"/>
      <c r="S172" s="669"/>
      <c r="T172" s="67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299</v>
      </c>
      <c r="AG172" s="78"/>
      <c r="AJ172" s="84" t="s">
        <v>46</v>
      </c>
      <c r="AK172" s="84">
        <v>0</v>
      </c>
      <c r="BB172" s="247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63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4"/>
      <c r="P173" s="660" t="s">
        <v>40</v>
      </c>
      <c r="Q173" s="661"/>
      <c r="R173" s="661"/>
      <c r="S173" s="661"/>
      <c r="T173" s="661"/>
      <c r="U173" s="661"/>
      <c r="V173" s="662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4"/>
      <c r="P174" s="660" t="s">
        <v>40</v>
      </c>
      <c r="Q174" s="661"/>
      <c r="R174" s="661"/>
      <c r="S174" s="661"/>
      <c r="T174" s="661"/>
      <c r="U174" s="661"/>
      <c r="V174" s="662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66" t="s">
        <v>76</v>
      </c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"/>
      <c r="AB175" s="66"/>
      <c r="AC175" s="80"/>
    </row>
    <row r="176" spans="1:68" ht="27" hidden="1" customHeight="1" x14ac:dyDescent="0.25">
      <c r="A176" s="63" t="s">
        <v>300</v>
      </c>
      <c r="B176" s="63" t="s">
        <v>301</v>
      </c>
      <c r="C176" s="36">
        <v>4301031496</v>
      </c>
      <c r="D176" s="667">
        <v>4680115887428</v>
      </c>
      <c r="E176" s="66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133</v>
      </c>
      <c r="L176" s="37" t="s">
        <v>46</v>
      </c>
      <c r="M176" s="38" t="s">
        <v>80</v>
      </c>
      <c r="N176" s="38"/>
      <c r="O176" s="37">
        <v>40</v>
      </c>
      <c r="P176" s="8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9"/>
      <c r="R176" s="669"/>
      <c r="S176" s="669"/>
      <c r="T176" s="67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302</v>
      </c>
      <c r="AG176" s="78"/>
      <c r="AJ176" s="84" t="s">
        <v>46</v>
      </c>
      <c r="AK176" s="84">
        <v>0</v>
      </c>
      <c r="BB176" s="249" t="s">
        <v>66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303</v>
      </c>
      <c r="B177" s="63" t="s">
        <v>304</v>
      </c>
      <c r="C177" s="36">
        <v>4301031509</v>
      </c>
      <c r="D177" s="667">
        <v>4680115889170</v>
      </c>
      <c r="E177" s="66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45</v>
      </c>
      <c r="P177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9"/>
      <c r="R177" s="669"/>
      <c r="S177" s="669"/>
      <c r="T177" s="67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305</v>
      </c>
      <c r="AG177" s="78"/>
      <c r="AJ177" s="84" t="s">
        <v>46</v>
      </c>
      <c r="AK177" s="84">
        <v>0</v>
      </c>
      <c r="BB177" s="251" t="s">
        <v>66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306</v>
      </c>
      <c r="B178" s="63" t="s">
        <v>307</v>
      </c>
      <c r="C178" s="36">
        <v>4301031522</v>
      </c>
      <c r="D178" s="667">
        <v>4680115887398</v>
      </c>
      <c r="E178" s="66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45</v>
      </c>
      <c r="P178" s="87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9"/>
      <c r="R178" s="669"/>
      <c r="S178" s="669"/>
      <c r="T178" s="67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308</v>
      </c>
      <c r="AG178" s="78"/>
      <c r="AJ178" s="84" t="s">
        <v>46</v>
      </c>
      <c r="AK178" s="84">
        <v>0</v>
      </c>
      <c r="BB178" s="253" t="s">
        <v>66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309</v>
      </c>
      <c r="B179" s="63" t="s">
        <v>310</v>
      </c>
      <c r="C179" s="36">
        <v>4301031520</v>
      </c>
      <c r="D179" s="667">
        <v>4680115887336</v>
      </c>
      <c r="E179" s="66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133</v>
      </c>
      <c r="L179" s="37" t="s">
        <v>46</v>
      </c>
      <c r="M179" s="38" t="s">
        <v>80</v>
      </c>
      <c r="N179" s="38"/>
      <c r="O179" s="37">
        <v>45</v>
      </c>
      <c r="P179" s="87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9"/>
      <c r="R179" s="669"/>
      <c r="S179" s="669"/>
      <c r="T179" s="67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311</v>
      </c>
      <c r="AG179" s="78"/>
      <c r="AJ179" s="84" t="s">
        <v>46</v>
      </c>
      <c r="AK179" s="84">
        <v>0</v>
      </c>
      <c r="BB179" s="255" t="s">
        <v>66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312</v>
      </c>
      <c r="B180" s="63" t="s">
        <v>313</v>
      </c>
      <c r="C180" s="36">
        <v>4301032049</v>
      </c>
      <c r="D180" s="667">
        <v>4680115887787</v>
      </c>
      <c r="E180" s="66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130</v>
      </c>
      <c r="L180" s="37" t="s">
        <v>46</v>
      </c>
      <c r="M180" s="38" t="s">
        <v>80</v>
      </c>
      <c r="N180" s="38"/>
      <c r="O180" s="37">
        <v>45</v>
      </c>
      <c r="P180" s="87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9"/>
      <c r="R180" s="669"/>
      <c r="S180" s="669"/>
      <c r="T180" s="67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66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312</v>
      </c>
      <c r="B181" s="63" t="s">
        <v>315</v>
      </c>
      <c r="C181" s="36">
        <v>4301031528</v>
      </c>
      <c r="D181" s="667">
        <v>4680115887787</v>
      </c>
      <c r="E181" s="66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7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9"/>
      <c r="R181" s="669"/>
      <c r="S181" s="669"/>
      <c r="T181" s="67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314</v>
      </c>
      <c r="AG181" s="78"/>
      <c r="AJ181" s="84" t="s">
        <v>46</v>
      </c>
      <c r="AK181" s="84">
        <v>0</v>
      </c>
      <c r="BB181" s="259" t="s">
        <v>66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4301031448</v>
      </c>
      <c r="D182" s="667">
        <v>4680115887503</v>
      </c>
      <c r="E182" s="66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9"/>
      <c r="R182" s="669"/>
      <c r="S182" s="669"/>
      <c r="T182" s="67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302</v>
      </c>
      <c r="AG182" s="78"/>
      <c r="AJ182" s="84" t="s">
        <v>46</v>
      </c>
      <c r="AK182" s="84">
        <v>0</v>
      </c>
      <c r="BB182" s="261" t="s">
        <v>66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318</v>
      </c>
      <c r="B183" s="63" t="s">
        <v>319</v>
      </c>
      <c r="C183" s="36">
        <v>4301031389</v>
      </c>
      <c r="D183" s="667">
        <v>4680115887763</v>
      </c>
      <c r="E183" s="66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130</v>
      </c>
      <c r="L183" s="37" t="s">
        <v>46</v>
      </c>
      <c r="M183" s="38" t="s">
        <v>80</v>
      </c>
      <c r="N183" s="38"/>
      <c r="O183" s="37">
        <v>45</v>
      </c>
      <c r="P183" s="8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9"/>
      <c r="R183" s="669"/>
      <c r="S183" s="669"/>
      <c r="T183" s="67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320</v>
      </c>
      <c r="AG183" s="78"/>
      <c r="AJ183" s="84" t="s">
        <v>46</v>
      </c>
      <c r="AK183" s="84">
        <v>0</v>
      </c>
      <c r="BB183" s="263" t="s">
        <v>66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321</v>
      </c>
      <c r="B184" s="63" t="s">
        <v>322</v>
      </c>
      <c r="C184" s="36">
        <v>4301031521</v>
      </c>
      <c r="D184" s="667">
        <v>4680115887480</v>
      </c>
      <c r="E184" s="66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9"/>
      <c r="R184" s="669"/>
      <c r="S184" s="669"/>
      <c r="T184" s="67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308</v>
      </c>
      <c r="AG184" s="78"/>
      <c r="AJ184" s="84" t="s">
        <v>46</v>
      </c>
      <c r="AK184" s="84">
        <v>0</v>
      </c>
      <c r="BB184" s="265" t="s">
        <v>66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323</v>
      </c>
      <c r="B185" s="63" t="s">
        <v>324</v>
      </c>
      <c r="C185" s="36">
        <v>4301031434</v>
      </c>
      <c r="D185" s="667">
        <v>4680115888067</v>
      </c>
      <c r="E185" s="66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9"/>
      <c r="R185" s="669"/>
      <c r="S185" s="669"/>
      <c r="T185" s="67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325</v>
      </c>
      <c r="AG185" s="78"/>
      <c r="AJ185" s="84" t="s">
        <v>46</v>
      </c>
      <c r="AK185" s="84">
        <v>0</v>
      </c>
      <c r="BB185" s="267" t="s">
        <v>66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326</v>
      </c>
      <c r="B186" s="63" t="s">
        <v>327</v>
      </c>
      <c r="C186" s="36">
        <v>4301031519</v>
      </c>
      <c r="D186" s="667">
        <v>4680115887435</v>
      </c>
      <c r="E186" s="66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81</v>
      </c>
      <c r="L186" s="37" t="s">
        <v>46</v>
      </c>
      <c r="M186" s="38" t="s">
        <v>80</v>
      </c>
      <c r="N186" s="38"/>
      <c r="O186" s="37">
        <v>45</v>
      </c>
      <c r="P186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9"/>
      <c r="R186" s="669"/>
      <c r="S186" s="669"/>
      <c r="T186" s="67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311</v>
      </c>
      <c r="AG186" s="78"/>
      <c r="AJ186" s="84" t="s">
        <v>46</v>
      </c>
      <c r="AK186" s="84">
        <v>0</v>
      </c>
      <c r="BB186" s="269" t="s">
        <v>66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663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4"/>
      <c r="P187" s="660" t="s">
        <v>40</v>
      </c>
      <c r="Q187" s="661"/>
      <c r="R187" s="661"/>
      <c r="S187" s="661"/>
      <c r="T187" s="661"/>
      <c r="U187" s="661"/>
      <c r="V187" s="662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4"/>
      <c r="P188" s="660" t="s">
        <v>40</v>
      </c>
      <c r="Q188" s="661"/>
      <c r="R188" s="661"/>
      <c r="S188" s="661"/>
      <c r="T188" s="661"/>
      <c r="U188" s="661"/>
      <c r="V188" s="662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66" t="s">
        <v>85</v>
      </c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"/>
      <c r="AB189" s="66"/>
      <c r="AC189" s="80"/>
    </row>
    <row r="190" spans="1:68" ht="16.5" hidden="1" customHeight="1" x14ac:dyDescent="0.25">
      <c r="A190" s="63" t="s">
        <v>328</v>
      </c>
      <c r="B190" s="63" t="s">
        <v>329</v>
      </c>
      <c r="C190" s="36">
        <v>4301052193</v>
      </c>
      <c r="D190" s="667">
        <v>4680115888395</v>
      </c>
      <c r="E190" s="66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90</v>
      </c>
      <c r="L190" s="37" t="s">
        <v>46</v>
      </c>
      <c r="M190" s="38" t="s">
        <v>96</v>
      </c>
      <c r="N190" s="38"/>
      <c r="O190" s="37">
        <v>40</v>
      </c>
      <c r="P190" s="8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9"/>
      <c r="R190" s="669"/>
      <c r="S190" s="669"/>
      <c r="T190" s="67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330</v>
      </c>
      <c r="AG190" s="78"/>
      <c r="AJ190" s="84" t="s">
        <v>46</v>
      </c>
      <c r="AK190" s="84">
        <v>0</v>
      </c>
      <c r="BB190" s="27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331</v>
      </c>
      <c r="B191" s="63" t="s">
        <v>332</v>
      </c>
      <c r="C191" s="36">
        <v>4301052191</v>
      </c>
      <c r="D191" s="667">
        <v>4680115888371</v>
      </c>
      <c r="E191" s="66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6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9"/>
      <c r="R191" s="669"/>
      <c r="S191" s="669"/>
      <c r="T191" s="67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333</v>
      </c>
      <c r="AG191" s="78"/>
      <c r="AJ191" s="84" t="s">
        <v>46</v>
      </c>
      <c r="AK191" s="84">
        <v>0</v>
      </c>
      <c r="BB191" s="27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334</v>
      </c>
      <c r="B192" s="63" t="s">
        <v>335</v>
      </c>
      <c r="C192" s="36">
        <v>4301052064</v>
      </c>
      <c r="D192" s="667">
        <v>4680115887459</v>
      </c>
      <c r="E192" s="66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90</v>
      </c>
      <c r="L192" s="37" t="s">
        <v>46</v>
      </c>
      <c r="M192" s="38" t="s">
        <v>89</v>
      </c>
      <c r="N192" s="38"/>
      <c r="O192" s="37">
        <v>45</v>
      </c>
      <c r="P192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9"/>
      <c r="R192" s="669"/>
      <c r="S192" s="669"/>
      <c r="T192" s="67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336</v>
      </c>
      <c r="AG192" s="78"/>
      <c r="AJ192" s="84" t="s">
        <v>46</v>
      </c>
      <c r="AK192" s="84">
        <v>0</v>
      </c>
      <c r="BB192" s="27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63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4"/>
      <c r="P193" s="660" t="s">
        <v>40</v>
      </c>
      <c r="Q193" s="661"/>
      <c r="R193" s="661"/>
      <c r="S193" s="661"/>
      <c r="T193" s="661"/>
      <c r="U193" s="661"/>
      <c r="V193" s="662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4"/>
      <c r="P194" s="660" t="s">
        <v>40</v>
      </c>
      <c r="Q194" s="661"/>
      <c r="R194" s="661"/>
      <c r="S194" s="661"/>
      <c r="T194" s="661"/>
      <c r="U194" s="661"/>
      <c r="V194" s="662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66" t="s">
        <v>277</v>
      </c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"/>
      <c r="AB195" s="66"/>
      <c r="AC195" s="80"/>
    </row>
    <row r="196" spans="1:68" ht="16.5" hidden="1" customHeight="1" x14ac:dyDescent="0.25">
      <c r="A196" s="63" t="s">
        <v>337</v>
      </c>
      <c r="B196" s="63" t="s">
        <v>338</v>
      </c>
      <c r="C196" s="36">
        <v>4301032058</v>
      </c>
      <c r="D196" s="667">
        <v>4680115889026</v>
      </c>
      <c r="E196" s="66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340</v>
      </c>
      <c r="L196" s="37" t="s">
        <v>46</v>
      </c>
      <c r="M196" s="38" t="s">
        <v>282</v>
      </c>
      <c r="N196" s="38"/>
      <c r="O196" s="37">
        <v>60</v>
      </c>
      <c r="P196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9"/>
      <c r="R196" s="669"/>
      <c r="S196" s="669"/>
      <c r="T196" s="67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339</v>
      </c>
      <c r="AG196" s="78"/>
      <c r="AJ196" s="84" t="s">
        <v>46</v>
      </c>
      <c r="AK196" s="84">
        <v>0</v>
      </c>
      <c r="BB196" s="277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63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4"/>
      <c r="P197" s="660" t="s">
        <v>40</v>
      </c>
      <c r="Q197" s="661"/>
      <c r="R197" s="661"/>
      <c r="S197" s="661"/>
      <c r="T197" s="661"/>
      <c r="U197" s="661"/>
      <c r="V197" s="662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4"/>
      <c r="P198" s="660" t="s">
        <v>40</v>
      </c>
      <c r="Q198" s="661"/>
      <c r="R198" s="661"/>
      <c r="S198" s="661"/>
      <c r="T198" s="661"/>
      <c r="U198" s="661"/>
      <c r="V198" s="662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6" t="s">
        <v>341</v>
      </c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"/>
      <c r="AB199" s="66"/>
      <c r="AC199" s="80"/>
    </row>
    <row r="200" spans="1:68" ht="27" hidden="1" customHeight="1" x14ac:dyDescent="0.25">
      <c r="A200" s="63" t="s">
        <v>342</v>
      </c>
      <c r="B200" s="63" t="s">
        <v>343</v>
      </c>
      <c r="C200" s="36">
        <v>4301041009</v>
      </c>
      <c r="D200" s="667">
        <v>4680115889033</v>
      </c>
      <c r="E200" s="66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340</v>
      </c>
      <c r="L200" s="37" t="s">
        <v>46</v>
      </c>
      <c r="M200" s="38" t="s">
        <v>282</v>
      </c>
      <c r="N200" s="38"/>
      <c r="O200" s="37">
        <v>60</v>
      </c>
      <c r="P20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9"/>
      <c r="R200" s="669"/>
      <c r="S200" s="669"/>
      <c r="T200" s="67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344</v>
      </c>
      <c r="AG200" s="78"/>
      <c r="AJ200" s="84" t="s">
        <v>46</v>
      </c>
      <c r="AK200" s="84">
        <v>0</v>
      </c>
      <c r="BB200" s="279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63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4"/>
      <c r="P201" s="660" t="s">
        <v>40</v>
      </c>
      <c r="Q201" s="661"/>
      <c r="R201" s="661"/>
      <c r="S201" s="661"/>
      <c r="T201" s="661"/>
      <c r="U201" s="661"/>
      <c r="V201" s="66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4"/>
      <c r="P202" s="660" t="s">
        <v>40</v>
      </c>
      <c r="Q202" s="661"/>
      <c r="R202" s="661"/>
      <c r="S202" s="661"/>
      <c r="T202" s="661"/>
      <c r="U202" s="661"/>
      <c r="V202" s="66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80" t="s">
        <v>345</v>
      </c>
      <c r="B203" s="680"/>
      <c r="C203" s="680"/>
      <c r="D203" s="680"/>
      <c r="E203" s="680"/>
      <c r="F203" s="680"/>
      <c r="G203" s="680"/>
      <c r="H203" s="680"/>
      <c r="I203" s="680"/>
      <c r="J203" s="680"/>
      <c r="K203" s="680"/>
      <c r="L203" s="680"/>
      <c r="M203" s="680"/>
      <c r="N203" s="680"/>
      <c r="O203" s="680"/>
      <c r="P203" s="680"/>
      <c r="Q203" s="680"/>
      <c r="R203" s="680"/>
      <c r="S203" s="680"/>
      <c r="T203" s="680"/>
      <c r="U203" s="680"/>
      <c r="V203" s="680"/>
      <c r="W203" s="680"/>
      <c r="X203" s="680"/>
      <c r="Y203" s="680"/>
      <c r="Z203" s="680"/>
      <c r="AA203" s="54"/>
      <c r="AB203" s="54"/>
      <c r="AC203" s="54"/>
    </row>
    <row r="204" spans="1:68" ht="16.5" hidden="1" customHeight="1" x14ac:dyDescent="0.25">
      <c r="A204" s="665" t="s">
        <v>346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5"/>
      <c r="AB204" s="65"/>
      <c r="AC204" s="79"/>
    </row>
    <row r="205" spans="1:68" ht="14.25" hidden="1" customHeight="1" x14ac:dyDescent="0.25">
      <c r="A205" s="666" t="s">
        <v>121</v>
      </c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"/>
      <c r="AB205" s="66"/>
      <c r="AC205" s="80"/>
    </row>
    <row r="206" spans="1:68" ht="27" hidden="1" customHeight="1" x14ac:dyDescent="0.25">
      <c r="A206" s="63" t="s">
        <v>347</v>
      </c>
      <c r="B206" s="63" t="s">
        <v>348</v>
      </c>
      <c r="C206" s="36">
        <v>4301011223</v>
      </c>
      <c r="D206" s="667">
        <v>4607091383423</v>
      </c>
      <c r="E206" s="66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126</v>
      </c>
      <c r="L206" s="37" t="s">
        <v>46</v>
      </c>
      <c r="M206" s="38" t="s">
        <v>89</v>
      </c>
      <c r="N206" s="38"/>
      <c r="O206" s="37">
        <v>35</v>
      </c>
      <c r="P206" s="86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9"/>
      <c r="R206" s="669"/>
      <c r="S206" s="669"/>
      <c r="T206" s="67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124</v>
      </c>
      <c r="AG206" s="78"/>
      <c r="AJ206" s="84" t="s">
        <v>46</v>
      </c>
      <c r="AK206" s="84">
        <v>0</v>
      </c>
      <c r="BB206" s="281" t="s">
        <v>66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349</v>
      </c>
      <c r="B207" s="63" t="s">
        <v>350</v>
      </c>
      <c r="C207" s="36">
        <v>4301012340</v>
      </c>
      <c r="D207" s="667">
        <v>4680115888760</v>
      </c>
      <c r="E207" s="66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9"/>
      <c r="R207" s="669"/>
      <c r="S207" s="669"/>
      <c r="T207" s="67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351</v>
      </c>
      <c r="AG207" s="78"/>
      <c r="AJ207" s="84" t="s">
        <v>46</v>
      </c>
      <c r="AK207" s="84">
        <v>0</v>
      </c>
      <c r="BB207" s="283" t="s">
        <v>66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352</v>
      </c>
      <c r="B208" s="63" t="s">
        <v>353</v>
      </c>
      <c r="C208" s="36">
        <v>4301012341</v>
      </c>
      <c r="D208" s="667">
        <v>4680115888807</v>
      </c>
      <c r="E208" s="66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9"/>
      <c r="R208" s="669"/>
      <c r="S208" s="669"/>
      <c r="T208" s="67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354</v>
      </c>
      <c r="AG208" s="78"/>
      <c r="AJ208" s="84" t="s">
        <v>46</v>
      </c>
      <c r="AK208" s="84">
        <v>0</v>
      </c>
      <c r="BB208" s="285" t="s">
        <v>66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355</v>
      </c>
      <c r="B209" s="63" t="s">
        <v>356</v>
      </c>
      <c r="C209" s="36">
        <v>4301012342</v>
      </c>
      <c r="D209" s="667">
        <v>4680115888852</v>
      </c>
      <c r="E209" s="66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5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9"/>
      <c r="R209" s="669"/>
      <c r="S209" s="669"/>
      <c r="T209" s="67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357</v>
      </c>
      <c r="AG209" s="78"/>
      <c r="AJ209" s="84" t="s">
        <v>46</v>
      </c>
      <c r="AK209" s="84">
        <v>0</v>
      </c>
      <c r="BB209" s="287" t="s">
        <v>66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358</v>
      </c>
      <c r="B210" s="63" t="s">
        <v>359</v>
      </c>
      <c r="C210" s="36">
        <v>4301012370</v>
      </c>
      <c r="D210" s="667">
        <v>4680115886957</v>
      </c>
      <c r="E210" s="66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5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9"/>
      <c r="R210" s="669"/>
      <c r="S210" s="669"/>
      <c r="T210" s="67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360</v>
      </c>
      <c r="AG210" s="78"/>
      <c r="AJ210" s="84" t="s">
        <v>46</v>
      </c>
      <c r="AK210" s="84">
        <v>0</v>
      </c>
      <c r="BB210" s="289" t="s">
        <v>66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361</v>
      </c>
      <c r="B211" s="63" t="s">
        <v>362</v>
      </c>
      <c r="C211" s="36">
        <v>4301012098</v>
      </c>
      <c r="D211" s="667">
        <v>4680115885660</v>
      </c>
      <c r="E211" s="66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6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9"/>
      <c r="R211" s="669"/>
      <c r="S211" s="669"/>
      <c r="T211" s="67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363</v>
      </c>
      <c r="AG211" s="78"/>
      <c r="AJ211" s="84" t="s">
        <v>46</v>
      </c>
      <c r="AK211" s="84">
        <v>0</v>
      </c>
      <c r="BB211" s="291" t="s">
        <v>66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4301012369</v>
      </c>
      <c r="D212" s="667">
        <v>4680115886773</v>
      </c>
      <c r="E212" s="66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9"/>
      <c r="R212" s="669"/>
      <c r="S212" s="669"/>
      <c r="T212" s="67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66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663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4"/>
      <c r="P213" s="660" t="s">
        <v>40</v>
      </c>
      <c r="Q213" s="661"/>
      <c r="R213" s="661"/>
      <c r="S213" s="661"/>
      <c r="T213" s="661"/>
      <c r="U213" s="661"/>
      <c r="V213" s="66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4"/>
      <c r="P214" s="660" t="s">
        <v>40</v>
      </c>
      <c r="Q214" s="661"/>
      <c r="R214" s="661"/>
      <c r="S214" s="661"/>
      <c r="T214" s="661"/>
      <c r="U214" s="661"/>
      <c r="V214" s="66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5" t="s">
        <v>367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5"/>
      <c r="AB215" s="65"/>
      <c r="AC215" s="79"/>
    </row>
    <row r="216" spans="1:68" ht="14.25" hidden="1" customHeight="1" x14ac:dyDescent="0.25">
      <c r="A216" s="666" t="s">
        <v>158</v>
      </c>
      <c r="B216" s="666"/>
      <c r="C216" s="666"/>
      <c r="D216" s="666"/>
      <c r="E216" s="666"/>
      <c r="F216" s="666"/>
      <c r="G216" s="666"/>
      <c r="H216" s="666"/>
      <c r="I216" s="666"/>
      <c r="J216" s="666"/>
      <c r="K216" s="666"/>
      <c r="L216" s="666"/>
      <c r="M216" s="666"/>
      <c r="N216" s="666"/>
      <c r="O216" s="666"/>
      <c r="P216" s="666"/>
      <c r="Q216" s="666"/>
      <c r="R216" s="666"/>
      <c r="S216" s="666"/>
      <c r="T216" s="666"/>
      <c r="U216" s="666"/>
      <c r="V216" s="666"/>
      <c r="W216" s="666"/>
      <c r="X216" s="666"/>
      <c r="Y216" s="666"/>
      <c r="Z216" s="666"/>
      <c r="AA216" s="66"/>
      <c r="AB216" s="66"/>
      <c r="AC216" s="80"/>
    </row>
    <row r="217" spans="1:68" ht="27" hidden="1" customHeight="1" x14ac:dyDescent="0.25">
      <c r="A217" s="63" t="s">
        <v>368</v>
      </c>
      <c r="B217" s="63" t="s">
        <v>369</v>
      </c>
      <c r="C217" s="36">
        <v>4301020323</v>
      </c>
      <c r="D217" s="667">
        <v>4680115886223</v>
      </c>
      <c r="E217" s="66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9"/>
      <c r="R217" s="669"/>
      <c r="S217" s="669"/>
      <c r="T217" s="67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370</v>
      </c>
      <c r="AG217" s="78"/>
      <c r="AJ217" s="84" t="s">
        <v>46</v>
      </c>
      <c r="AK217" s="84">
        <v>0</v>
      </c>
      <c r="BB217" s="295" t="s">
        <v>66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63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4"/>
      <c r="P218" s="660" t="s">
        <v>40</v>
      </c>
      <c r="Q218" s="661"/>
      <c r="R218" s="661"/>
      <c r="S218" s="661"/>
      <c r="T218" s="661"/>
      <c r="U218" s="661"/>
      <c r="V218" s="66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4"/>
      <c r="P219" s="660" t="s">
        <v>40</v>
      </c>
      <c r="Q219" s="661"/>
      <c r="R219" s="661"/>
      <c r="S219" s="661"/>
      <c r="T219" s="661"/>
      <c r="U219" s="661"/>
      <c r="V219" s="66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6" t="s">
        <v>76</v>
      </c>
      <c r="B220" s="666"/>
      <c r="C220" s="666"/>
      <c r="D220" s="666"/>
      <c r="E220" s="666"/>
      <c r="F220" s="666"/>
      <c r="G220" s="666"/>
      <c r="H220" s="666"/>
      <c r="I220" s="666"/>
      <c r="J220" s="666"/>
      <c r="K220" s="666"/>
      <c r="L220" s="666"/>
      <c r="M220" s="666"/>
      <c r="N220" s="666"/>
      <c r="O220" s="666"/>
      <c r="P220" s="666"/>
      <c r="Q220" s="666"/>
      <c r="R220" s="666"/>
      <c r="S220" s="666"/>
      <c r="T220" s="666"/>
      <c r="U220" s="666"/>
      <c r="V220" s="666"/>
      <c r="W220" s="666"/>
      <c r="X220" s="666"/>
      <c r="Y220" s="666"/>
      <c r="Z220" s="666"/>
      <c r="AA220" s="66"/>
      <c r="AB220" s="66"/>
      <c r="AC220" s="80"/>
    </row>
    <row r="221" spans="1:68" ht="27" hidden="1" customHeight="1" x14ac:dyDescent="0.25">
      <c r="A221" s="63" t="s">
        <v>371</v>
      </c>
      <c r="B221" s="63" t="s">
        <v>372</v>
      </c>
      <c r="C221" s="36">
        <v>4301031191</v>
      </c>
      <c r="D221" s="667">
        <v>4680115880993</v>
      </c>
      <c r="E221" s="66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133</v>
      </c>
      <c r="L221" s="37" t="s">
        <v>46</v>
      </c>
      <c r="M221" s="38" t="s">
        <v>80</v>
      </c>
      <c r="N221" s="38"/>
      <c r="O221" s="37">
        <v>40</v>
      </c>
      <c r="P221" s="8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9"/>
      <c r="R221" s="669"/>
      <c r="S221" s="669"/>
      <c r="T221" s="67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373</v>
      </c>
      <c r="AG221" s="78"/>
      <c r="AJ221" s="84" t="s">
        <v>46</v>
      </c>
      <c r="AK221" s="84">
        <v>0</v>
      </c>
      <c r="BB221" s="297" t="s">
        <v>66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hidden="1" customHeight="1" x14ac:dyDescent="0.25">
      <c r="A222" s="63" t="s">
        <v>374</v>
      </c>
      <c r="B222" s="63" t="s">
        <v>375</v>
      </c>
      <c r="C222" s="36">
        <v>4301031204</v>
      </c>
      <c r="D222" s="667">
        <v>4680115881761</v>
      </c>
      <c r="E222" s="66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9"/>
      <c r="R222" s="669"/>
      <c r="S222" s="669"/>
      <c r="T222" s="67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376</v>
      </c>
      <c r="AG222" s="78"/>
      <c r="AJ222" s="84" t="s">
        <v>46</v>
      </c>
      <c r="AK222" s="84">
        <v>0</v>
      </c>
      <c r="BB222" s="299" t="s">
        <v>66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377</v>
      </c>
      <c r="B223" s="63" t="s">
        <v>378</v>
      </c>
      <c r="C223" s="36">
        <v>4301031201</v>
      </c>
      <c r="D223" s="667">
        <v>4680115881563</v>
      </c>
      <c r="E223" s="66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9"/>
      <c r="R223" s="669"/>
      <c r="S223" s="669"/>
      <c r="T223" s="67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379</v>
      </c>
      <c r="AG223" s="78"/>
      <c r="AJ223" s="84" t="s">
        <v>46</v>
      </c>
      <c r="AK223" s="84">
        <v>0</v>
      </c>
      <c r="BB223" s="301" t="s">
        <v>66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380</v>
      </c>
      <c r="B224" s="63" t="s">
        <v>381</v>
      </c>
      <c r="C224" s="36">
        <v>4301031447</v>
      </c>
      <c r="D224" s="667">
        <v>4680115887565</v>
      </c>
      <c r="E224" s="66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9"/>
      <c r="R224" s="669"/>
      <c r="S224" s="669"/>
      <c r="T224" s="67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382</v>
      </c>
      <c r="AG224" s="78"/>
      <c r="AJ224" s="84" t="s">
        <v>46</v>
      </c>
      <c r="AK224" s="84">
        <v>0</v>
      </c>
      <c r="BB224" s="303" t="s">
        <v>66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383</v>
      </c>
      <c r="B225" s="63" t="s">
        <v>384</v>
      </c>
      <c r="C225" s="36">
        <v>4301031199</v>
      </c>
      <c r="D225" s="667">
        <v>4680115880986</v>
      </c>
      <c r="E225" s="66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9"/>
      <c r="R225" s="669"/>
      <c r="S225" s="669"/>
      <c r="T225" s="67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66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385</v>
      </c>
      <c r="B226" s="63" t="s">
        <v>386</v>
      </c>
      <c r="C226" s="36">
        <v>4301031443</v>
      </c>
      <c r="D226" s="667">
        <v>4680115887213</v>
      </c>
      <c r="E226" s="66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5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9"/>
      <c r="R226" s="669"/>
      <c r="S226" s="669"/>
      <c r="T226" s="67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4301031205</v>
      </c>
      <c r="D227" s="667">
        <v>4680115881785</v>
      </c>
      <c r="E227" s="66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4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9"/>
      <c r="R227" s="669"/>
      <c r="S227" s="669"/>
      <c r="T227" s="67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376</v>
      </c>
      <c r="AG227" s="78"/>
      <c r="AJ227" s="84" t="s">
        <v>46</v>
      </c>
      <c r="AK227" s="84">
        <v>0</v>
      </c>
      <c r="BB227" s="309" t="s">
        <v>66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390</v>
      </c>
      <c r="B228" s="63" t="s">
        <v>391</v>
      </c>
      <c r="C228" s="36">
        <v>4301031499</v>
      </c>
      <c r="D228" s="667">
        <v>4680115888432</v>
      </c>
      <c r="E228" s="66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9"/>
      <c r="R228" s="669"/>
      <c r="S228" s="669"/>
      <c r="T228" s="67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392</v>
      </c>
      <c r="AG228" s="78"/>
      <c r="AJ228" s="84" t="s">
        <v>46</v>
      </c>
      <c r="AK228" s="84">
        <v>0</v>
      </c>
      <c r="BB228" s="311" t="s">
        <v>66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393</v>
      </c>
      <c r="B229" s="63" t="s">
        <v>394</v>
      </c>
      <c r="C229" s="36">
        <v>4301031427</v>
      </c>
      <c r="D229" s="667">
        <v>4680115888104</v>
      </c>
      <c r="E229" s="66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9"/>
      <c r="R229" s="669"/>
      <c r="S229" s="669"/>
      <c r="T229" s="67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395</v>
      </c>
      <c r="AG229" s="78"/>
      <c r="AJ229" s="84" t="s">
        <v>46</v>
      </c>
      <c r="AK229" s="84">
        <v>0</v>
      </c>
      <c r="BB229" s="313" t="s">
        <v>66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396</v>
      </c>
      <c r="B230" s="63" t="s">
        <v>397</v>
      </c>
      <c r="C230" s="36">
        <v>4301031503</v>
      </c>
      <c r="D230" s="667">
        <v>4680115886537</v>
      </c>
      <c r="E230" s="66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4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9"/>
      <c r="R230" s="669"/>
      <c r="S230" s="669"/>
      <c r="T230" s="67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66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4301031279</v>
      </c>
      <c r="D231" s="667">
        <v>4680115887596</v>
      </c>
      <c r="E231" s="66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130</v>
      </c>
      <c r="L231" s="37" t="s">
        <v>46</v>
      </c>
      <c r="M231" s="38" t="s">
        <v>80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9"/>
      <c r="R231" s="669"/>
      <c r="S231" s="669"/>
      <c r="T231" s="67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402</v>
      </c>
      <c r="B232" s="63" t="s">
        <v>403</v>
      </c>
      <c r="C232" s="36">
        <v>4301031530</v>
      </c>
      <c r="D232" s="667">
        <v>4680115881679</v>
      </c>
      <c r="E232" s="66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45</v>
      </c>
      <c r="P232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9"/>
      <c r="R232" s="669"/>
      <c r="S232" s="669"/>
      <c r="T232" s="67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66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4301031158</v>
      </c>
      <c r="D233" s="667">
        <v>4680115880191</v>
      </c>
      <c r="E233" s="66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90</v>
      </c>
      <c r="L233" s="37" t="s">
        <v>46</v>
      </c>
      <c r="M233" s="38" t="s">
        <v>80</v>
      </c>
      <c r="N233" s="38"/>
      <c r="O233" s="37">
        <v>40</v>
      </c>
      <c r="P233" s="8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9"/>
      <c r="R233" s="669"/>
      <c r="S233" s="669"/>
      <c r="T233" s="67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66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404</v>
      </c>
      <c r="B234" s="63" t="s">
        <v>406</v>
      </c>
      <c r="C234" s="36">
        <v>4301031531</v>
      </c>
      <c r="D234" s="667">
        <v>4680115880191</v>
      </c>
      <c r="E234" s="66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90</v>
      </c>
      <c r="L234" s="37" t="s">
        <v>46</v>
      </c>
      <c r="M234" s="38" t="s">
        <v>80</v>
      </c>
      <c r="N234" s="38"/>
      <c r="O234" s="37">
        <v>45</v>
      </c>
      <c r="P234" s="84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9"/>
      <c r="R234" s="669"/>
      <c r="S234" s="669"/>
      <c r="T234" s="67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379</v>
      </c>
      <c r="AG234" s="78"/>
      <c r="AJ234" s="84" t="s">
        <v>46</v>
      </c>
      <c r="AK234" s="84">
        <v>0</v>
      </c>
      <c r="BB234" s="323" t="s">
        <v>66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407</v>
      </c>
      <c r="B235" s="63" t="s">
        <v>408</v>
      </c>
      <c r="C235" s="36">
        <v>4301031245</v>
      </c>
      <c r="D235" s="667">
        <v>4680115883963</v>
      </c>
      <c r="E235" s="66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9"/>
      <c r="R235" s="669"/>
      <c r="S235" s="669"/>
      <c r="T235" s="67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409</v>
      </c>
      <c r="AG235" s="78"/>
      <c r="AJ235" s="84" t="s">
        <v>46</v>
      </c>
      <c r="AK235" s="84">
        <v>0</v>
      </c>
      <c r="BB235" s="325" t="s">
        <v>66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hidden="1" x14ac:dyDescent="0.2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64"/>
      <c r="P236" s="660" t="s">
        <v>40</v>
      </c>
      <c r="Q236" s="661"/>
      <c r="R236" s="661"/>
      <c r="S236" s="661"/>
      <c r="T236" s="661"/>
      <c r="U236" s="661"/>
      <c r="V236" s="662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hidden="1" x14ac:dyDescent="0.2">
      <c r="A237" s="663"/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4"/>
      <c r="P237" s="660" t="s">
        <v>40</v>
      </c>
      <c r="Q237" s="661"/>
      <c r="R237" s="661"/>
      <c r="S237" s="661"/>
      <c r="T237" s="661"/>
      <c r="U237" s="661"/>
      <c r="V237" s="662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hidden="1" customHeight="1" x14ac:dyDescent="0.25">
      <c r="A238" s="666" t="s">
        <v>85</v>
      </c>
      <c r="B238" s="666"/>
      <c r="C238" s="666"/>
      <c r="D238" s="666"/>
      <c r="E238" s="666"/>
      <c r="F238" s="666"/>
      <c r="G238" s="666"/>
      <c r="H238" s="666"/>
      <c r="I238" s="666"/>
      <c r="J238" s="666"/>
      <c r="K238" s="666"/>
      <c r="L238" s="666"/>
      <c r="M238" s="666"/>
      <c r="N238" s="666"/>
      <c r="O238" s="666"/>
      <c r="P238" s="666"/>
      <c r="Q238" s="666"/>
      <c r="R238" s="666"/>
      <c r="S238" s="666"/>
      <c r="T238" s="666"/>
      <c r="U238" s="666"/>
      <c r="V238" s="666"/>
      <c r="W238" s="666"/>
      <c r="X238" s="666"/>
      <c r="Y238" s="666"/>
      <c r="Z238" s="666"/>
      <c r="AA238" s="66"/>
      <c r="AB238" s="66"/>
      <c r="AC238" s="80"/>
    </row>
    <row r="239" spans="1:68" ht="16.5" hidden="1" customHeight="1" x14ac:dyDescent="0.25">
      <c r="A239" s="63" t="s">
        <v>410</v>
      </c>
      <c r="B239" s="63" t="s">
        <v>411</v>
      </c>
      <c r="C239" s="36">
        <v>4301052209</v>
      </c>
      <c r="D239" s="667">
        <v>4680115888692</v>
      </c>
      <c r="E239" s="66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126</v>
      </c>
      <c r="L239" s="37" t="s">
        <v>46</v>
      </c>
      <c r="M239" s="38" t="s">
        <v>96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9"/>
      <c r="R239" s="669"/>
      <c r="S239" s="669"/>
      <c r="T239" s="67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412</v>
      </c>
      <c r="AG239" s="78"/>
      <c r="AJ239" s="84" t="s">
        <v>46</v>
      </c>
      <c r="AK239" s="84">
        <v>0</v>
      </c>
      <c r="BB239" s="327" t="s">
        <v>66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410</v>
      </c>
      <c r="B240" s="63" t="s">
        <v>413</v>
      </c>
      <c r="C240" s="36">
        <v>4301052279</v>
      </c>
      <c r="D240" s="667">
        <v>4680115888692</v>
      </c>
      <c r="E240" s="66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126</v>
      </c>
      <c r="L240" s="37" t="s">
        <v>46</v>
      </c>
      <c r="M240" s="38" t="s">
        <v>96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9"/>
      <c r="R240" s="669"/>
      <c r="S240" s="669"/>
      <c r="T240" s="67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414</v>
      </c>
      <c r="AG240" s="78"/>
      <c r="AJ240" s="84" t="s">
        <v>46</v>
      </c>
      <c r="AK240" s="84">
        <v>0</v>
      </c>
      <c r="BB240" s="329" t="s">
        <v>66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415</v>
      </c>
      <c r="B241" s="63" t="s">
        <v>416</v>
      </c>
      <c r="C241" s="36">
        <v>4301052213</v>
      </c>
      <c r="D241" s="667">
        <v>4680115888722</v>
      </c>
      <c r="E241" s="66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126</v>
      </c>
      <c r="L241" s="37" t="s">
        <v>46</v>
      </c>
      <c r="M241" s="38" t="s">
        <v>96</v>
      </c>
      <c r="N241" s="38"/>
      <c r="O241" s="37">
        <v>35</v>
      </c>
      <c r="P241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9"/>
      <c r="R241" s="669"/>
      <c r="S241" s="669"/>
      <c r="T241" s="67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417</v>
      </c>
      <c r="AG241" s="78"/>
      <c r="AJ241" s="84" t="s">
        <v>46</v>
      </c>
      <c r="AK241" s="84">
        <v>0</v>
      </c>
      <c r="BB241" s="331" t="s">
        <v>66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415</v>
      </c>
      <c r="B242" s="63" t="s">
        <v>418</v>
      </c>
      <c r="C242" s="36">
        <v>4301052280</v>
      </c>
      <c r="D242" s="667">
        <v>4680115888722</v>
      </c>
      <c r="E242" s="66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126</v>
      </c>
      <c r="L242" s="37" t="s">
        <v>46</v>
      </c>
      <c r="M242" s="38" t="s">
        <v>96</v>
      </c>
      <c r="N242" s="38"/>
      <c r="O242" s="37">
        <v>40</v>
      </c>
      <c r="P242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9"/>
      <c r="R242" s="669"/>
      <c r="S242" s="669"/>
      <c r="T242" s="67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419</v>
      </c>
      <c r="AG242" s="78"/>
      <c r="AJ242" s="84" t="s">
        <v>46</v>
      </c>
      <c r="AK242" s="84">
        <v>0</v>
      </c>
      <c r="BB242" s="333" t="s">
        <v>66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420</v>
      </c>
      <c r="B243" s="63" t="s">
        <v>421</v>
      </c>
      <c r="C243" s="36">
        <v>4301052177</v>
      </c>
      <c r="D243" s="667">
        <v>4680115888951</v>
      </c>
      <c r="E243" s="66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133</v>
      </c>
      <c r="L243" s="37" t="s">
        <v>46</v>
      </c>
      <c r="M243" s="38" t="s">
        <v>96</v>
      </c>
      <c r="N243" s="38"/>
      <c r="O243" s="37">
        <v>35</v>
      </c>
      <c r="P243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9"/>
      <c r="R243" s="669"/>
      <c r="S243" s="669"/>
      <c r="T243" s="67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422</v>
      </c>
      <c r="AG243" s="78"/>
      <c r="AJ243" s="84" t="s">
        <v>46</v>
      </c>
      <c r="AK243" s="84">
        <v>0</v>
      </c>
      <c r="BB243" s="335" t="s">
        <v>66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420</v>
      </c>
      <c r="B244" s="63" t="s">
        <v>423</v>
      </c>
      <c r="C244" s="36">
        <v>4301052276</v>
      </c>
      <c r="D244" s="667">
        <v>4680115888951</v>
      </c>
      <c r="E244" s="66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133</v>
      </c>
      <c r="L244" s="37" t="s">
        <v>46</v>
      </c>
      <c r="M244" s="38" t="s">
        <v>96</v>
      </c>
      <c r="N244" s="38"/>
      <c r="O244" s="37">
        <v>40</v>
      </c>
      <c r="P244" s="83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9"/>
      <c r="R244" s="669"/>
      <c r="S244" s="669"/>
      <c r="T244" s="67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414</v>
      </c>
      <c r="AG244" s="78"/>
      <c r="AJ244" s="84" t="s">
        <v>46</v>
      </c>
      <c r="AK244" s="84">
        <v>0</v>
      </c>
      <c r="BB244" s="337" t="s">
        <v>66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4301052178</v>
      </c>
      <c r="D245" s="667">
        <v>4680115888975</v>
      </c>
      <c r="E245" s="66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9"/>
      <c r="R245" s="669"/>
      <c r="S245" s="669"/>
      <c r="T245" s="67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426</v>
      </c>
      <c r="AG245" s="78"/>
      <c r="AJ245" s="84" t="s">
        <v>46</v>
      </c>
      <c r="AK245" s="84">
        <v>0</v>
      </c>
      <c r="BB245" s="339" t="s">
        <v>66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427</v>
      </c>
      <c r="B246" s="63" t="s">
        <v>428</v>
      </c>
      <c r="C246" s="36">
        <v>4301052176</v>
      </c>
      <c r="D246" s="667">
        <v>4680115888982</v>
      </c>
      <c r="E246" s="66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9"/>
      <c r="R246" s="669"/>
      <c r="S246" s="669"/>
      <c r="T246" s="67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417</v>
      </c>
      <c r="AG246" s="78"/>
      <c r="AJ246" s="84" t="s">
        <v>46</v>
      </c>
      <c r="AK246" s="84">
        <v>0</v>
      </c>
      <c r="BB246" s="341" t="s">
        <v>66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427</v>
      </c>
      <c r="B247" s="63" t="s">
        <v>429</v>
      </c>
      <c r="C247" s="36">
        <v>4301052277</v>
      </c>
      <c r="D247" s="667">
        <v>4680115888982</v>
      </c>
      <c r="E247" s="66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40</v>
      </c>
      <c r="P247" s="82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9"/>
      <c r="R247" s="669"/>
      <c r="S247" s="669"/>
      <c r="T247" s="67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419</v>
      </c>
      <c r="AG247" s="78"/>
      <c r="AJ247" s="84" t="s">
        <v>46</v>
      </c>
      <c r="AK247" s="84">
        <v>0</v>
      </c>
      <c r="BB247" s="343" t="s">
        <v>66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4"/>
      <c r="P248" s="660" t="s">
        <v>40</v>
      </c>
      <c r="Q248" s="661"/>
      <c r="R248" s="661"/>
      <c r="S248" s="661"/>
      <c r="T248" s="661"/>
      <c r="U248" s="661"/>
      <c r="V248" s="662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3"/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4"/>
      <c r="P249" s="660" t="s">
        <v>40</v>
      </c>
      <c r="Q249" s="661"/>
      <c r="R249" s="661"/>
      <c r="S249" s="661"/>
      <c r="T249" s="661"/>
      <c r="U249" s="661"/>
      <c r="V249" s="662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6" t="s">
        <v>277</v>
      </c>
      <c r="B250" s="666"/>
      <c r="C250" s="666"/>
      <c r="D250" s="666"/>
      <c r="E250" s="666"/>
      <c r="F250" s="666"/>
      <c r="G250" s="666"/>
      <c r="H250" s="666"/>
      <c r="I250" s="666"/>
      <c r="J250" s="666"/>
      <c r="K250" s="666"/>
      <c r="L250" s="666"/>
      <c r="M250" s="666"/>
      <c r="N250" s="666"/>
      <c r="O250" s="666"/>
      <c r="P250" s="666"/>
      <c r="Q250" s="666"/>
      <c r="R250" s="666"/>
      <c r="S250" s="666"/>
      <c r="T250" s="666"/>
      <c r="U250" s="666"/>
      <c r="V250" s="666"/>
      <c r="W250" s="666"/>
      <c r="X250" s="666"/>
      <c r="Y250" s="666"/>
      <c r="Z250" s="666"/>
      <c r="AA250" s="66"/>
      <c r="AB250" s="66"/>
      <c r="AC250" s="80"/>
    </row>
    <row r="251" spans="1:68" ht="27" hidden="1" customHeight="1" x14ac:dyDescent="0.25">
      <c r="A251" s="63" t="s">
        <v>430</v>
      </c>
      <c r="B251" s="63" t="s">
        <v>431</v>
      </c>
      <c r="C251" s="36">
        <v>4301032053</v>
      </c>
      <c r="D251" s="667">
        <v>4680115886780</v>
      </c>
      <c r="E251" s="66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60</v>
      </c>
      <c r="P251" s="8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9"/>
      <c r="R251" s="669"/>
      <c r="S251" s="669"/>
      <c r="T251" s="67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432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433</v>
      </c>
      <c r="B252" s="63" t="s">
        <v>434</v>
      </c>
      <c r="C252" s="36">
        <v>4301032051</v>
      </c>
      <c r="D252" s="667">
        <v>4680115886742</v>
      </c>
      <c r="E252" s="66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9"/>
      <c r="R252" s="669"/>
      <c r="S252" s="669"/>
      <c r="T252" s="67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436</v>
      </c>
      <c r="B253" s="63" t="s">
        <v>437</v>
      </c>
      <c r="C253" s="36">
        <v>4301032052</v>
      </c>
      <c r="D253" s="667">
        <v>4680115886766</v>
      </c>
      <c r="E253" s="66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340</v>
      </c>
      <c r="L253" s="37" t="s">
        <v>46</v>
      </c>
      <c r="M253" s="38" t="s">
        <v>282</v>
      </c>
      <c r="N253" s="38"/>
      <c r="O253" s="37">
        <v>90</v>
      </c>
      <c r="P253" s="8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9"/>
      <c r="R253" s="669"/>
      <c r="S253" s="669"/>
      <c r="T253" s="67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435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64"/>
      <c r="P254" s="660" t="s">
        <v>40</v>
      </c>
      <c r="Q254" s="661"/>
      <c r="R254" s="661"/>
      <c r="S254" s="661"/>
      <c r="T254" s="661"/>
      <c r="U254" s="661"/>
      <c r="V254" s="66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3"/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4"/>
      <c r="P255" s="660" t="s">
        <v>40</v>
      </c>
      <c r="Q255" s="661"/>
      <c r="R255" s="661"/>
      <c r="S255" s="661"/>
      <c r="T255" s="661"/>
      <c r="U255" s="661"/>
      <c r="V255" s="66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6" t="s">
        <v>438</v>
      </c>
      <c r="B256" s="666"/>
      <c r="C256" s="666"/>
      <c r="D256" s="666"/>
      <c r="E256" s="666"/>
      <c r="F256" s="666"/>
      <c r="G256" s="666"/>
      <c r="H256" s="666"/>
      <c r="I256" s="666"/>
      <c r="J256" s="666"/>
      <c r="K256" s="666"/>
      <c r="L256" s="666"/>
      <c r="M256" s="666"/>
      <c r="N256" s="666"/>
      <c r="O256" s="666"/>
      <c r="P256" s="666"/>
      <c r="Q256" s="666"/>
      <c r="R256" s="666"/>
      <c r="S256" s="666"/>
      <c r="T256" s="666"/>
      <c r="U256" s="666"/>
      <c r="V256" s="666"/>
      <c r="W256" s="666"/>
      <c r="X256" s="666"/>
      <c r="Y256" s="666"/>
      <c r="Z256" s="666"/>
      <c r="AA256" s="66"/>
      <c r="AB256" s="66"/>
      <c r="AC256" s="80"/>
    </row>
    <row r="257" spans="1:68" ht="27" hidden="1" customHeight="1" x14ac:dyDescent="0.25">
      <c r="A257" s="63" t="s">
        <v>439</v>
      </c>
      <c r="B257" s="63" t="s">
        <v>440</v>
      </c>
      <c r="C257" s="36">
        <v>4301170013</v>
      </c>
      <c r="D257" s="667">
        <v>4680115886797</v>
      </c>
      <c r="E257" s="66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340</v>
      </c>
      <c r="L257" s="37" t="s">
        <v>46</v>
      </c>
      <c r="M257" s="38" t="s">
        <v>282</v>
      </c>
      <c r="N257" s="38"/>
      <c r="O257" s="37">
        <v>90</v>
      </c>
      <c r="P257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9"/>
      <c r="R257" s="669"/>
      <c r="S257" s="669"/>
      <c r="T257" s="67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435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4"/>
      <c r="P258" s="660" t="s">
        <v>40</v>
      </c>
      <c r="Q258" s="661"/>
      <c r="R258" s="661"/>
      <c r="S258" s="661"/>
      <c r="T258" s="661"/>
      <c r="U258" s="661"/>
      <c r="V258" s="66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3"/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4"/>
      <c r="P259" s="660" t="s">
        <v>40</v>
      </c>
      <c r="Q259" s="661"/>
      <c r="R259" s="661"/>
      <c r="S259" s="661"/>
      <c r="T259" s="661"/>
      <c r="U259" s="661"/>
      <c r="V259" s="66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5" t="s">
        <v>441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5"/>
      <c r="AB260" s="65"/>
      <c r="AC260" s="79"/>
    </row>
    <row r="261" spans="1:68" ht="14.25" hidden="1" customHeight="1" x14ac:dyDescent="0.25">
      <c r="A261" s="666" t="s">
        <v>121</v>
      </c>
      <c r="B261" s="666"/>
      <c r="C261" s="666"/>
      <c r="D261" s="666"/>
      <c r="E261" s="666"/>
      <c r="F261" s="666"/>
      <c r="G261" s="666"/>
      <c r="H261" s="666"/>
      <c r="I261" s="666"/>
      <c r="J261" s="666"/>
      <c r="K261" s="666"/>
      <c r="L261" s="666"/>
      <c r="M261" s="666"/>
      <c r="N261" s="666"/>
      <c r="O261" s="666"/>
      <c r="P261" s="666"/>
      <c r="Q261" s="666"/>
      <c r="R261" s="666"/>
      <c r="S261" s="666"/>
      <c r="T261" s="666"/>
      <c r="U261" s="666"/>
      <c r="V261" s="666"/>
      <c r="W261" s="666"/>
      <c r="X261" s="666"/>
      <c r="Y261" s="666"/>
      <c r="Z261" s="666"/>
      <c r="AA261" s="66"/>
      <c r="AB261" s="66"/>
      <c r="AC261" s="80"/>
    </row>
    <row r="262" spans="1:68" ht="27" hidden="1" customHeight="1" x14ac:dyDescent="0.25">
      <c r="A262" s="63" t="s">
        <v>442</v>
      </c>
      <c r="B262" s="63" t="s">
        <v>443</v>
      </c>
      <c r="C262" s="36">
        <v>4301011450</v>
      </c>
      <c r="D262" s="667">
        <v>4680115881402</v>
      </c>
      <c r="E262" s="66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9"/>
      <c r="R262" s="669"/>
      <c r="S262" s="669"/>
      <c r="T262" s="67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445</v>
      </c>
      <c r="B263" s="63" t="s">
        <v>446</v>
      </c>
      <c r="C263" s="36">
        <v>4301011768</v>
      </c>
      <c r="D263" s="667">
        <v>4680115881396</v>
      </c>
      <c r="E263" s="66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9"/>
      <c r="R263" s="669"/>
      <c r="S263" s="669"/>
      <c r="T263" s="67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444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64"/>
      <c r="P264" s="660" t="s">
        <v>40</v>
      </c>
      <c r="Q264" s="661"/>
      <c r="R264" s="661"/>
      <c r="S264" s="661"/>
      <c r="T264" s="661"/>
      <c r="U264" s="661"/>
      <c r="V264" s="66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3"/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4"/>
      <c r="P265" s="660" t="s">
        <v>40</v>
      </c>
      <c r="Q265" s="661"/>
      <c r="R265" s="661"/>
      <c r="S265" s="661"/>
      <c r="T265" s="661"/>
      <c r="U265" s="661"/>
      <c r="V265" s="66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6" t="s">
        <v>158</v>
      </c>
      <c r="B266" s="666"/>
      <c r="C266" s="666"/>
      <c r="D266" s="666"/>
      <c r="E266" s="666"/>
      <c r="F266" s="666"/>
      <c r="G266" s="666"/>
      <c r="H266" s="666"/>
      <c r="I266" s="666"/>
      <c r="J266" s="666"/>
      <c r="K266" s="666"/>
      <c r="L266" s="666"/>
      <c r="M266" s="666"/>
      <c r="N266" s="666"/>
      <c r="O266" s="666"/>
      <c r="P266" s="666"/>
      <c r="Q266" s="666"/>
      <c r="R266" s="666"/>
      <c r="S266" s="666"/>
      <c r="T266" s="666"/>
      <c r="U266" s="666"/>
      <c r="V266" s="666"/>
      <c r="W266" s="666"/>
      <c r="X266" s="666"/>
      <c r="Y266" s="666"/>
      <c r="Z266" s="666"/>
      <c r="AA266" s="66"/>
      <c r="AB266" s="66"/>
      <c r="AC266" s="80"/>
    </row>
    <row r="267" spans="1:68" ht="16.5" hidden="1" customHeight="1" x14ac:dyDescent="0.25">
      <c r="A267" s="63" t="s">
        <v>447</v>
      </c>
      <c r="B267" s="63" t="s">
        <v>448</v>
      </c>
      <c r="C267" s="36">
        <v>4301020261</v>
      </c>
      <c r="D267" s="667">
        <v>4680115882935</v>
      </c>
      <c r="E267" s="66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9"/>
      <c r="R267" s="669"/>
      <c r="S267" s="669"/>
      <c r="T267" s="67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450</v>
      </c>
      <c r="B268" s="63" t="s">
        <v>451</v>
      </c>
      <c r="C268" s="36">
        <v>4301020220</v>
      </c>
      <c r="D268" s="667">
        <v>4680115880764</v>
      </c>
      <c r="E268" s="66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9"/>
      <c r="R268" s="669"/>
      <c r="S268" s="669"/>
      <c r="T268" s="67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449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64"/>
      <c r="P269" s="660" t="s">
        <v>40</v>
      </c>
      <c r="Q269" s="661"/>
      <c r="R269" s="661"/>
      <c r="S269" s="661"/>
      <c r="T269" s="661"/>
      <c r="U269" s="661"/>
      <c r="V269" s="66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3"/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4"/>
      <c r="P270" s="660" t="s">
        <v>40</v>
      </c>
      <c r="Q270" s="661"/>
      <c r="R270" s="661"/>
      <c r="S270" s="661"/>
      <c r="T270" s="661"/>
      <c r="U270" s="661"/>
      <c r="V270" s="66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6" t="s">
        <v>76</v>
      </c>
      <c r="B271" s="666"/>
      <c r="C271" s="666"/>
      <c r="D271" s="666"/>
      <c r="E271" s="666"/>
      <c r="F271" s="666"/>
      <c r="G271" s="666"/>
      <c r="H271" s="666"/>
      <c r="I271" s="666"/>
      <c r="J271" s="666"/>
      <c r="K271" s="666"/>
      <c r="L271" s="666"/>
      <c r="M271" s="666"/>
      <c r="N271" s="666"/>
      <c r="O271" s="666"/>
      <c r="P271" s="666"/>
      <c r="Q271" s="666"/>
      <c r="R271" s="666"/>
      <c r="S271" s="666"/>
      <c r="T271" s="666"/>
      <c r="U271" s="666"/>
      <c r="V271" s="666"/>
      <c r="W271" s="666"/>
      <c r="X271" s="666"/>
      <c r="Y271" s="666"/>
      <c r="Z271" s="666"/>
      <c r="AA271" s="66"/>
      <c r="AB271" s="66"/>
      <c r="AC271" s="80"/>
    </row>
    <row r="272" spans="1:68" ht="27" hidden="1" customHeight="1" x14ac:dyDescent="0.25">
      <c r="A272" s="63" t="s">
        <v>452</v>
      </c>
      <c r="B272" s="63" t="s">
        <v>453</v>
      </c>
      <c r="C272" s="36">
        <v>4301031224</v>
      </c>
      <c r="D272" s="667">
        <v>4680115882683</v>
      </c>
      <c r="E272" s="66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9"/>
      <c r="R272" s="669"/>
      <c r="S272" s="669"/>
      <c r="T272" s="67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454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455</v>
      </c>
      <c r="B273" s="63" t="s">
        <v>456</v>
      </c>
      <c r="C273" s="36">
        <v>4301031230</v>
      </c>
      <c r="D273" s="667">
        <v>4680115882690</v>
      </c>
      <c r="E273" s="66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9"/>
      <c r="R273" s="669"/>
      <c r="S273" s="669"/>
      <c r="T273" s="67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457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458</v>
      </c>
      <c r="B274" s="63" t="s">
        <v>459</v>
      </c>
      <c r="C274" s="36">
        <v>4301031220</v>
      </c>
      <c r="D274" s="667">
        <v>4680115882669</v>
      </c>
      <c r="E274" s="66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9"/>
      <c r="R274" s="669"/>
      <c r="S274" s="669"/>
      <c r="T274" s="67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460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461</v>
      </c>
      <c r="B275" s="63" t="s">
        <v>462</v>
      </c>
      <c r="C275" s="36">
        <v>4301031221</v>
      </c>
      <c r="D275" s="667">
        <v>4680115882676</v>
      </c>
      <c r="E275" s="66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9"/>
      <c r="R275" s="669"/>
      <c r="S275" s="669"/>
      <c r="T275" s="67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463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464</v>
      </c>
      <c r="B276" s="63" t="s">
        <v>465</v>
      </c>
      <c r="C276" s="36">
        <v>4301031223</v>
      </c>
      <c r="D276" s="667">
        <v>4680115884014</v>
      </c>
      <c r="E276" s="66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9"/>
      <c r="R276" s="669"/>
      <c r="S276" s="669"/>
      <c r="T276" s="67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454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4301031222</v>
      </c>
      <c r="D277" s="667">
        <v>4680115884007</v>
      </c>
      <c r="E277" s="66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9"/>
      <c r="R277" s="669"/>
      <c r="S277" s="669"/>
      <c r="T277" s="67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457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468</v>
      </c>
      <c r="B278" s="63" t="s">
        <v>469</v>
      </c>
      <c r="C278" s="36">
        <v>4301031229</v>
      </c>
      <c r="D278" s="667">
        <v>4680115884038</v>
      </c>
      <c r="E278" s="66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9"/>
      <c r="R278" s="669"/>
      <c r="S278" s="669"/>
      <c r="T278" s="67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460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470</v>
      </c>
      <c r="B279" s="63" t="s">
        <v>471</v>
      </c>
      <c r="C279" s="36">
        <v>4301031225</v>
      </c>
      <c r="D279" s="667">
        <v>4680115884021</v>
      </c>
      <c r="E279" s="66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9"/>
      <c r="R279" s="669"/>
      <c r="S279" s="669"/>
      <c r="T279" s="67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463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4"/>
      <c r="P280" s="660" t="s">
        <v>40</v>
      </c>
      <c r="Q280" s="661"/>
      <c r="R280" s="661"/>
      <c r="S280" s="661"/>
      <c r="T280" s="661"/>
      <c r="U280" s="661"/>
      <c r="V280" s="66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3"/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4"/>
      <c r="P281" s="660" t="s">
        <v>40</v>
      </c>
      <c r="Q281" s="661"/>
      <c r="R281" s="661"/>
      <c r="S281" s="661"/>
      <c r="T281" s="661"/>
      <c r="U281" s="661"/>
      <c r="V281" s="66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6" t="s">
        <v>85</v>
      </c>
      <c r="B282" s="666"/>
      <c r="C282" s="666"/>
      <c r="D282" s="666"/>
      <c r="E282" s="666"/>
      <c r="F282" s="666"/>
      <c r="G282" s="666"/>
      <c r="H282" s="666"/>
      <c r="I282" s="666"/>
      <c r="J282" s="666"/>
      <c r="K282" s="666"/>
      <c r="L282" s="666"/>
      <c r="M282" s="666"/>
      <c r="N282" s="666"/>
      <c r="O282" s="666"/>
      <c r="P282" s="666"/>
      <c r="Q282" s="666"/>
      <c r="R282" s="666"/>
      <c r="S282" s="666"/>
      <c r="T282" s="666"/>
      <c r="U282" s="666"/>
      <c r="V282" s="666"/>
      <c r="W282" s="666"/>
      <c r="X282" s="666"/>
      <c r="Y282" s="666"/>
      <c r="Z282" s="666"/>
      <c r="AA282" s="66"/>
      <c r="AB282" s="66"/>
      <c r="AC282" s="80"/>
    </row>
    <row r="283" spans="1:68" ht="27" hidden="1" customHeight="1" x14ac:dyDescent="0.25">
      <c r="A283" s="63" t="s">
        <v>472</v>
      </c>
      <c r="B283" s="63" t="s">
        <v>473</v>
      </c>
      <c r="C283" s="36">
        <v>4301051408</v>
      </c>
      <c r="D283" s="667">
        <v>4680115881594</v>
      </c>
      <c r="E283" s="66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9"/>
      <c r="R283" s="669"/>
      <c r="S283" s="669"/>
      <c r="T283" s="67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474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475</v>
      </c>
      <c r="B284" s="63" t="s">
        <v>476</v>
      </c>
      <c r="C284" s="36">
        <v>4301051411</v>
      </c>
      <c r="D284" s="667">
        <v>4680115881617</v>
      </c>
      <c r="E284" s="66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9"/>
      <c r="R284" s="669"/>
      <c r="S284" s="669"/>
      <c r="T284" s="67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478</v>
      </c>
      <c r="B285" s="63" t="s">
        <v>479</v>
      </c>
      <c r="C285" s="36">
        <v>4301051656</v>
      </c>
      <c r="D285" s="667">
        <v>4680115880573</v>
      </c>
      <c r="E285" s="66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9"/>
      <c r="R285" s="669"/>
      <c r="S285" s="669"/>
      <c r="T285" s="67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480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481</v>
      </c>
      <c r="B286" s="63" t="s">
        <v>482</v>
      </c>
      <c r="C286" s="36">
        <v>4301051407</v>
      </c>
      <c r="D286" s="667">
        <v>4680115882195</v>
      </c>
      <c r="E286" s="66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9"/>
      <c r="R286" s="669"/>
      <c r="S286" s="669"/>
      <c r="T286" s="67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474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483</v>
      </c>
      <c r="B287" s="63" t="s">
        <v>484</v>
      </c>
      <c r="C287" s="36">
        <v>4301051752</v>
      </c>
      <c r="D287" s="667">
        <v>4680115882607</v>
      </c>
      <c r="E287" s="66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9"/>
      <c r="R287" s="669"/>
      <c r="S287" s="669"/>
      <c r="T287" s="67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480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485</v>
      </c>
      <c r="B288" s="63" t="s">
        <v>486</v>
      </c>
      <c r="C288" s="36">
        <v>4301052143</v>
      </c>
      <c r="D288" s="667">
        <v>4680115882607</v>
      </c>
      <c r="E288" s="66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0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9"/>
      <c r="R288" s="669"/>
      <c r="S288" s="669"/>
      <c r="T288" s="67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487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488</v>
      </c>
      <c r="B289" s="63" t="s">
        <v>489</v>
      </c>
      <c r="C289" s="36">
        <v>4301051666</v>
      </c>
      <c r="D289" s="667">
        <v>4680115880092</v>
      </c>
      <c r="E289" s="66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9"/>
      <c r="R289" s="669"/>
      <c r="S289" s="669"/>
      <c r="T289" s="67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480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490</v>
      </c>
      <c r="B290" s="63" t="s">
        <v>491</v>
      </c>
      <c r="C290" s="36">
        <v>4301052214</v>
      </c>
      <c r="D290" s="667">
        <v>4680115889064</v>
      </c>
      <c r="E290" s="66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0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9"/>
      <c r="R290" s="669"/>
      <c r="S290" s="669"/>
      <c r="T290" s="67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487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492</v>
      </c>
      <c r="B291" s="63" t="s">
        <v>493</v>
      </c>
      <c r="C291" s="36">
        <v>4301051668</v>
      </c>
      <c r="D291" s="667">
        <v>4680115880221</v>
      </c>
      <c r="E291" s="66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9"/>
      <c r="R291" s="669"/>
      <c r="S291" s="669"/>
      <c r="T291" s="67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480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494</v>
      </c>
      <c r="B292" s="63" t="s">
        <v>495</v>
      </c>
      <c r="C292" s="36">
        <v>4301051945</v>
      </c>
      <c r="D292" s="667">
        <v>4680115880504</v>
      </c>
      <c r="E292" s="66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9"/>
      <c r="R292" s="669"/>
      <c r="S292" s="669"/>
      <c r="T292" s="67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496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497</v>
      </c>
      <c r="B293" s="63" t="s">
        <v>498</v>
      </c>
      <c r="C293" s="36">
        <v>4301051410</v>
      </c>
      <c r="D293" s="667">
        <v>4680115882164</v>
      </c>
      <c r="E293" s="66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9"/>
      <c r="R293" s="669"/>
      <c r="S293" s="669"/>
      <c r="T293" s="67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499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500</v>
      </c>
      <c r="B294" s="63" t="s">
        <v>501</v>
      </c>
      <c r="C294" s="36">
        <v>4301052180</v>
      </c>
      <c r="D294" s="667">
        <v>4680115888340</v>
      </c>
      <c r="E294" s="66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9"/>
      <c r="R294" s="669"/>
      <c r="S294" s="669"/>
      <c r="T294" s="67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502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64"/>
      <c r="P295" s="660" t="s">
        <v>40</v>
      </c>
      <c r="Q295" s="661"/>
      <c r="R295" s="661"/>
      <c r="S295" s="661"/>
      <c r="T295" s="661"/>
      <c r="U295" s="661"/>
      <c r="V295" s="66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3"/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4"/>
      <c r="P296" s="660" t="s">
        <v>40</v>
      </c>
      <c r="Q296" s="661"/>
      <c r="R296" s="661"/>
      <c r="S296" s="661"/>
      <c r="T296" s="661"/>
      <c r="U296" s="661"/>
      <c r="V296" s="66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6" t="s">
        <v>177</v>
      </c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"/>
      <c r="AB297" s="66"/>
      <c r="AC297" s="80"/>
    </row>
    <row r="298" spans="1:68" ht="27" hidden="1" customHeight="1" x14ac:dyDescent="0.25">
      <c r="A298" s="63" t="s">
        <v>503</v>
      </c>
      <c r="B298" s="63" t="s">
        <v>504</v>
      </c>
      <c r="C298" s="36">
        <v>4301060463</v>
      </c>
      <c r="D298" s="667">
        <v>4680115880818</v>
      </c>
      <c r="E298" s="66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9"/>
      <c r="R298" s="669"/>
      <c r="S298" s="669"/>
      <c r="T298" s="670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505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4301060389</v>
      </c>
      <c r="D299" s="667">
        <v>4680115880801</v>
      </c>
      <c r="E299" s="66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9"/>
      <c r="R299" s="669"/>
      <c r="S299" s="669"/>
      <c r="T299" s="67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508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64"/>
      <c r="P300" s="660" t="s">
        <v>40</v>
      </c>
      <c r="Q300" s="661"/>
      <c r="R300" s="661"/>
      <c r="S300" s="661"/>
      <c r="T300" s="661"/>
      <c r="U300" s="661"/>
      <c r="V300" s="66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3"/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4"/>
      <c r="P301" s="660" t="s">
        <v>40</v>
      </c>
      <c r="Q301" s="661"/>
      <c r="R301" s="661"/>
      <c r="S301" s="661"/>
      <c r="T301" s="661"/>
      <c r="U301" s="661"/>
      <c r="V301" s="66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5" t="s">
        <v>509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5"/>
      <c r="AB302" s="65"/>
      <c r="AC302" s="79"/>
    </row>
    <row r="303" spans="1:68" ht="14.25" hidden="1" customHeight="1" x14ac:dyDescent="0.25">
      <c r="A303" s="666" t="s">
        <v>121</v>
      </c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"/>
      <c r="AB303" s="66"/>
      <c r="AC303" s="80"/>
    </row>
    <row r="304" spans="1:68" ht="27" hidden="1" customHeight="1" x14ac:dyDescent="0.25">
      <c r="A304" s="63" t="s">
        <v>510</v>
      </c>
      <c r="B304" s="63" t="s">
        <v>511</v>
      </c>
      <c r="C304" s="36">
        <v>4301011826</v>
      </c>
      <c r="D304" s="667">
        <v>4680115884137</v>
      </c>
      <c r="E304" s="66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9"/>
      <c r="R304" s="669"/>
      <c r="S304" s="669"/>
      <c r="T304" s="67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512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513</v>
      </c>
      <c r="B305" s="63" t="s">
        <v>514</v>
      </c>
      <c r="C305" s="36">
        <v>4301011724</v>
      </c>
      <c r="D305" s="667">
        <v>4680115884236</v>
      </c>
      <c r="E305" s="66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9"/>
      <c r="R305" s="669"/>
      <c r="S305" s="669"/>
      <c r="T305" s="67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515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516</v>
      </c>
      <c r="B306" s="63" t="s">
        <v>517</v>
      </c>
      <c r="C306" s="36">
        <v>4301011721</v>
      </c>
      <c r="D306" s="667">
        <v>4680115884175</v>
      </c>
      <c r="E306" s="66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9"/>
      <c r="R306" s="669"/>
      <c r="S306" s="669"/>
      <c r="T306" s="67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363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518</v>
      </c>
      <c r="B307" s="63" t="s">
        <v>519</v>
      </c>
      <c r="C307" s="36">
        <v>4301011824</v>
      </c>
      <c r="D307" s="667">
        <v>4680115884144</v>
      </c>
      <c r="E307" s="66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9"/>
      <c r="R307" s="669"/>
      <c r="S307" s="669"/>
      <c r="T307" s="67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512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520</v>
      </c>
      <c r="B308" s="63" t="s">
        <v>521</v>
      </c>
      <c r="C308" s="36">
        <v>4301012149</v>
      </c>
      <c r="D308" s="667">
        <v>4680115886551</v>
      </c>
      <c r="E308" s="66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79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9"/>
      <c r="R308" s="669"/>
      <c r="S308" s="669"/>
      <c r="T308" s="67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522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523</v>
      </c>
      <c r="B309" s="63" t="s">
        <v>524</v>
      </c>
      <c r="C309" s="36">
        <v>4301012228</v>
      </c>
      <c r="D309" s="667">
        <v>4680115887282</v>
      </c>
      <c r="E309" s="66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79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9"/>
      <c r="R309" s="669"/>
      <c r="S309" s="669"/>
      <c r="T309" s="67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525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526</v>
      </c>
      <c r="B310" s="63" t="s">
        <v>527</v>
      </c>
      <c r="C310" s="36">
        <v>4301011722</v>
      </c>
      <c r="D310" s="667">
        <v>4680115884205</v>
      </c>
      <c r="E310" s="66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7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9"/>
      <c r="R310" s="669"/>
      <c r="S310" s="669"/>
      <c r="T310" s="67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363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64"/>
      <c r="P311" s="660" t="s">
        <v>40</v>
      </c>
      <c r="Q311" s="661"/>
      <c r="R311" s="661"/>
      <c r="S311" s="661"/>
      <c r="T311" s="661"/>
      <c r="U311" s="661"/>
      <c r="V311" s="66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3"/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4"/>
      <c r="P312" s="660" t="s">
        <v>40</v>
      </c>
      <c r="Q312" s="661"/>
      <c r="R312" s="661"/>
      <c r="S312" s="661"/>
      <c r="T312" s="661"/>
      <c r="U312" s="661"/>
      <c r="V312" s="66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6" t="s">
        <v>158</v>
      </c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"/>
      <c r="AB313" s="66"/>
      <c r="AC313" s="80"/>
    </row>
    <row r="314" spans="1:68" ht="27" hidden="1" customHeight="1" x14ac:dyDescent="0.25">
      <c r="A314" s="63" t="s">
        <v>528</v>
      </c>
      <c r="B314" s="63" t="s">
        <v>529</v>
      </c>
      <c r="C314" s="36">
        <v>4301020377</v>
      </c>
      <c r="D314" s="667">
        <v>4680115885981</v>
      </c>
      <c r="E314" s="66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9"/>
      <c r="R314" s="669"/>
      <c r="S314" s="669"/>
      <c r="T314" s="67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530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64"/>
      <c r="P315" s="660" t="s">
        <v>40</v>
      </c>
      <c r="Q315" s="661"/>
      <c r="R315" s="661"/>
      <c r="S315" s="661"/>
      <c r="T315" s="661"/>
      <c r="U315" s="661"/>
      <c r="V315" s="66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3"/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4"/>
      <c r="P316" s="660" t="s">
        <v>40</v>
      </c>
      <c r="Q316" s="661"/>
      <c r="R316" s="661"/>
      <c r="S316" s="661"/>
      <c r="T316" s="661"/>
      <c r="U316" s="661"/>
      <c r="V316" s="66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6" t="s">
        <v>531</v>
      </c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"/>
      <c r="AB317" s="66"/>
      <c r="AC317" s="80"/>
    </row>
    <row r="318" spans="1:68" ht="27" hidden="1" customHeight="1" x14ac:dyDescent="0.25">
      <c r="A318" s="63" t="s">
        <v>532</v>
      </c>
      <c r="B318" s="63" t="s">
        <v>533</v>
      </c>
      <c r="C318" s="36">
        <v>4301040362</v>
      </c>
      <c r="D318" s="667">
        <v>4680115886803</v>
      </c>
      <c r="E318" s="66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340</v>
      </c>
      <c r="L318" s="37" t="s">
        <v>46</v>
      </c>
      <c r="M318" s="38" t="s">
        <v>282</v>
      </c>
      <c r="N318" s="38"/>
      <c r="O318" s="37">
        <v>45</v>
      </c>
      <c r="P318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9"/>
      <c r="R318" s="669"/>
      <c r="S318" s="669"/>
      <c r="T318" s="67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534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64"/>
      <c r="P319" s="660" t="s">
        <v>40</v>
      </c>
      <c r="Q319" s="661"/>
      <c r="R319" s="661"/>
      <c r="S319" s="661"/>
      <c r="T319" s="661"/>
      <c r="U319" s="661"/>
      <c r="V319" s="66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3"/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4"/>
      <c r="P320" s="660" t="s">
        <v>40</v>
      </c>
      <c r="Q320" s="661"/>
      <c r="R320" s="661"/>
      <c r="S320" s="661"/>
      <c r="T320" s="661"/>
      <c r="U320" s="661"/>
      <c r="V320" s="66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6" t="s">
        <v>341</v>
      </c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"/>
      <c r="AB321" s="66"/>
      <c r="AC321" s="80"/>
    </row>
    <row r="322" spans="1:68" ht="27" hidden="1" customHeight="1" x14ac:dyDescent="0.25">
      <c r="A322" s="63" t="s">
        <v>535</v>
      </c>
      <c r="B322" s="63" t="s">
        <v>536</v>
      </c>
      <c r="C322" s="36">
        <v>4301041008</v>
      </c>
      <c r="D322" s="667">
        <v>4680115886681</v>
      </c>
      <c r="E322" s="66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340</v>
      </c>
      <c r="L322" s="37" t="s">
        <v>46</v>
      </c>
      <c r="M322" s="38" t="s">
        <v>282</v>
      </c>
      <c r="N322" s="38"/>
      <c r="O322" s="37">
        <v>90</v>
      </c>
      <c r="P322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9"/>
      <c r="R322" s="669"/>
      <c r="S322" s="669"/>
      <c r="T322" s="67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537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539</v>
      </c>
      <c r="B323" s="63" t="s">
        <v>540</v>
      </c>
      <c r="C323" s="36">
        <v>4301041007</v>
      </c>
      <c r="D323" s="667">
        <v>4680115886735</v>
      </c>
      <c r="E323" s="66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340</v>
      </c>
      <c r="L323" s="37" t="s">
        <v>46</v>
      </c>
      <c r="M323" s="38" t="s">
        <v>282</v>
      </c>
      <c r="N323" s="38"/>
      <c r="O323" s="37">
        <v>90</v>
      </c>
      <c r="P323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669"/>
      <c r="R323" s="669"/>
      <c r="S323" s="669"/>
      <c r="T323" s="670"/>
      <c r="U323" s="39" t="s">
        <v>538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537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63"/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4"/>
      <c r="P324" s="660" t="s">
        <v>40</v>
      </c>
      <c r="Q324" s="661"/>
      <c r="R324" s="661"/>
      <c r="S324" s="661"/>
      <c r="T324" s="661"/>
      <c r="U324" s="661"/>
      <c r="V324" s="662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hidden="1" x14ac:dyDescent="0.2">
      <c r="A325" s="663"/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4"/>
      <c r="P325" s="660" t="s">
        <v>40</v>
      </c>
      <c r="Q325" s="661"/>
      <c r="R325" s="661"/>
      <c r="S325" s="661"/>
      <c r="T325" s="661"/>
      <c r="U325" s="661"/>
      <c r="V325" s="662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65" t="s">
        <v>541</v>
      </c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5"/>
      <c r="AB326" s="65"/>
      <c r="AC326" s="79"/>
    </row>
    <row r="327" spans="1:68" ht="14.25" hidden="1" customHeight="1" x14ac:dyDescent="0.25">
      <c r="A327" s="666" t="s">
        <v>121</v>
      </c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"/>
      <c r="AB327" s="66"/>
      <c r="AC327" s="80"/>
    </row>
    <row r="328" spans="1:68" ht="27" hidden="1" customHeight="1" x14ac:dyDescent="0.25">
      <c r="A328" s="63" t="s">
        <v>542</v>
      </c>
      <c r="B328" s="63" t="s">
        <v>543</v>
      </c>
      <c r="C328" s="36">
        <v>4301012390</v>
      </c>
      <c r="D328" s="667">
        <v>4680115889637</v>
      </c>
      <c r="E328" s="66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126</v>
      </c>
      <c r="L328" s="37" t="s">
        <v>46</v>
      </c>
      <c r="M328" s="38" t="s">
        <v>125</v>
      </c>
      <c r="N328" s="38"/>
      <c r="O328" s="37">
        <v>55</v>
      </c>
      <c r="P328" s="79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69"/>
      <c r="R328" s="669"/>
      <c r="S328" s="669"/>
      <c r="T328" s="67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545</v>
      </c>
      <c r="AC328" s="426" t="s">
        <v>544</v>
      </c>
      <c r="AG328" s="78"/>
      <c r="AJ328" s="84" t="s">
        <v>46</v>
      </c>
      <c r="AK328" s="84">
        <v>0</v>
      </c>
      <c r="BB328" s="427" t="s">
        <v>66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hidden="1" customHeight="1" x14ac:dyDescent="0.25">
      <c r="A329" s="63" t="s">
        <v>546</v>
      </c>
      <c r="B329" s="63" t="s">
        <v>547</v>
      </c>
      <c r="C329" s="36">
        <v>4301011855</v>
      </c>
      <c r="D329" s="667">
        <v>4680115885837</v>
      </c>
      <c r="E329" s="66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9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9"/>
      <c r="R329" s="669"/>
      <c r="S329" s="669"/>
      <c r="T329" s="67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548</v>
      </c>
      <c r="AG329" s="78"/>
      <c r="AJ329" s="84" t="s">
        <v>46</v>
      </c>
      <c r="AK329" s="84">
        <v>0</v>
      </c>
      <c r="BB329" s="429" t="s">
        <v>66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hidden="1" customHeight="1" x14ac:dyDescent="0.25">
      <c r="A330" s="63" t="s">
        <v>549</v>
      </c>
      <c r="B330" s="63" t="s">
        <v>550</v>
      </c>
      <c r="C330" s="36">
        <v>4301012234</v>
      </c>
      <c r="D330" s="667">
        <v>4680115887237</v>
      </c>
      <c r="E330" s="66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9"/>
      <c r="R330" s="669"/>
      <c r="S330" s="669"/>
      <c r="T330" s="67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551</v>
      </c>
      <c r="AG330" s="78"/>
      <c r="AJ330" s="84" t="s">
        <v>46</v>
      </c>
      <c r="AK330" s="84">
        <v>0</v>
      </c>
      <c r="BB330" s="431" t="s">
        <v>66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552</v>
      </c>
      <c r="B331" s="63" t="s">
        <v>553</v>
      </c>
      <c r="C331" s="36">
        <v>4301011850</v>
      </c>
      <c r="D331" s="667">
        <v>4680115885806</v>
      </c>
      <c r="E331" s="66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9"/>
      <c r="R331" s="669"/>
      <c r="S331" s="669"/>
      <c r="T331" s="67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554</v>
      </c>
      <c r="AG331" s="78"/>
      <c r="AJ331" s="84" t="s">
        <v>46</v>
      </c>
      <c r="AK331" s="84">
        <v>0</v>
      </c>
      <c r="BB331" s="433" t="s">
        <v>66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hidden="1" customHeight="1" x14ac:dyDescent="0.25">
      <c r="A332" s="63" t="s">
        <v>555</v>
      </c>
      <c r="B332" s="63" t="s">
        <v>556</v>
      </c>
      <c r="C332" s="36">
        <v>4301011852</v>
      </c>
      <c r="D332" s="667">
        <v>4680115885844</v>
      </c>
      <c r="E332" s="66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9"/>
      <c r="R332" s="669"/>
      <c r="S332" s="669"/>
      <c r="T332" s="67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557</v>
      </c>
      <c r="AG332" s="78"/>
      <c r="AJ332" s="84" t="s">
        <v>46</v>
      </c>
      <c r="AK332" s="84">
        <v>0</v>
      </c>
      <c r="BB332" s="435" t="s">
        <v>66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558</v>
      </c>
      <c r="B333" s="63" t="s">
        <v>559</v>
      </c>
      <c r="C333" s="36">
        <v>4301011851</v>
      </c>
      <c r="D333" s="667">
        <v>4680115885820</v>
      </c>
      <c r="E333" s="66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9"/>
      <c r="R333" s="669"/>
      <c r="S333" s="669"/>
      <c r="T333" s="67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560</v>
      </c>
      <c r="AG333" s="78"/>
      <c r="AJ333" s="84" t="s">
        <v>46</v>
      </c>
      <c r="AK333" s="84">
        <v>0</v>
      </c>
      <c r="BB333" s="437" t="s">
        <v>66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hidden="1" x14ac:dyDescent="0.2">
      <c r="A334" s="663"/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4"/>
      <c r="P334" s="660" t="s">
        <v>40</v>
      </c>
      <c r="Q334" s="661"/>
      <c r="R334" s="661"/>
      <c r="S334" s="661"/>
      <c r="T334" s="661"/>
      <c r="U334" s="661"/>
      <c r="V334" s="662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3"/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4"/>
      <c r="P335" s="660" t="s">
        <v>40</v>
      </c>
      <c r="Q335" s="661"/>
      <c r="R335" s="661"/>
      <c r="S335" s="661"/>
      <c r="T335" s="661"/>
      <c r="U335" s="661"/>
      <c r="V335" s="662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5" t="s">
        <v>561</v>
      </c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5"/>
      <c r="AB336" s="65"/>
      <c r="AC336" s="79"/>
    </row>
    <row r="337" spans="1:68" ht="14.25" hidden="1" customHeight="1" x14ac:dyDescent="0.25">
      <c r="A337" s="666" t="s">
        <v>85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"/>
      <c r="AB337" s="66"/>
      <c r="AC337" s="80"/>
    </row>
    <row r="338" spans="1:68" ht="27" hidden="1" customHeight="1" x14ac:dyDescent="0.25">
      <c r="A338" s="63" t="s">
        <v>562</v>
      </c>
      <c r="B338" s="63" t="s">
        <v>563</v>
      </c>
      <c r="C338" s="36">
        <v>4301051893</v>
      </c>
      <c r="D338" s="667">
        <v>4680115886186</v>
      </c>
      <c r="E338" s="66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9"/>
      <c r="R338" s="669"/>
      <c r="S338" s="669"/>
      <c r="T338" s="67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564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565</v>
      </c>
      <c r="B339" s="63" t="s">
        <v>566</v>
      </c>
      <c r="C339" s="36">
        <v>4301051795</v>
      </c>
      <c r="D339" s="667">
        <v>4680115881228</v>
      </c>
      <c r="E339" s="66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9"/>
      <c r="R339" s="669"/>
      <c r="S339" s="669"/>
      <c r="T339" s="67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567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568</v>
      </c>
      <c r="B340" s="63" t="s">
        <v>569</v>
      </c>
      <c r="C340" s="36">
        <v>4301051388</v>
      </c>
      <c r="D340" s="667">
        <v>4680115881211</v>
      </c>
      <c r="E340" s="66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9"/>
      <c r="R340" s="669"/>
      <c r="S340" s="669"/>
      <c r="T340" s="67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564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3"/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4"/>
      <c r="P341" s="660" t="s">
        <v>40</v>
      </c>
      <c r="Q341" s="661"/>
      <c r="R341" s="661"/>
      <c r="S341" s="661"/>
      <c r="T341" s="661"/>
      <c r="U341" s="661"/>
      <c r="V341" s="66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3"/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4"/>
      <c r="P342" s="660" t="s">
        <v>40</v>
      </c>
      <c r="Q342" s="661"/>
      <c r="R342" s="661"/>
      <c r="S342" s="661"/>
      <c r="T342" s="661"/>
      <c r="U342" s="661"/>
      <c r="V342" s="66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5" t="s">
        <v>570</v>
      </c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5"/>
      <c r="AB343" s="65"/>
      <c r="AC343" s="79"/>
    </row>
    <row r="344" spans="1:68" ht="14.25" hidden="1" customHeight="1" x14ac:dyDescent="0.25">
      <c r="A344" s="666" t="s">
        <v>76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"/>
      <c r="AB344" s="66"/>
      <c r="AC344" s="80"/>
    </row>
    <row r="345" spans="1:68" ht="27" hidden="1" customHeight="1" x14ac:dyDescent="0.25">
      <c r="A345" s="63" t="s">
        <v>571</v>
      </c>
      <c r="B345" s="63" t="s">
        <v>572</v>
      </c>
      <c r="C345" s="36">
        <v>4301031445</v>
      </c>
      <c r="D345" s="667">
        <v>4680115888319</v>
      </c>
      <c r="E345" s="66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9"/>
      <c r="R345" s="669"/>
      <c r="S345" s="669"/>
      <c r="T345" s="67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395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573</v>
      </c>
      <c r="B346" s="63" t="s">
        <v>574</v>
      </c>
      <c r="C346" s="36">
        <v>4301031502</v>
      </c>
      <c r="D346" s="667">
        <v>4680115884700</v>
      </c>
      <c r="E346" s="66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9"/>
      <c r="R346" s="669"/>
      <c r="S346" s="669"/>
      <c r="T346" s="67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575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576</v>
      </c>
      <c r="B347" s="63" t="s">
        <v>577</v>
      </c>
      <c r="C347" s="36">
        <v>4301031307</v>
      </c>
      <c r="D347" s="667">
        <v>4680115880344</v>
      </c>
      <c r="E347" s="66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9"/>
      <c r="R347" s="669"/>
      <c r="S347" s="669"/>
      <c r="T347" s="67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578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579</v>
      </c>
      <c r="B348" s="63" t="s">
        <v>580</v>
      </c>
      <c r="C348" s="36">
        <v>4301031501</v>
      </c>
      <c r="D348" s="667">
        <v>4680115886919</v>
      </c>
      <c r="E348" s="66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8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9"/>
      <c r="R348" s="669"/>
      <c r="S348" s="669"/>
      <c r="T348" s="67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581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582</v>
      </c>
      <c r="B349" s="63" t="s">
        <v>583</v>
      </c>
      <c r="C349" s="36">
        <v>4301031246</v>
      </c>
      <c r="D349" s="667">
        <v>4680115883970</v>
      </c>
      <c r="E349" s="66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8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9"/>
      <c r="R349" s="669"/>
      <c r="S349" s="669"/>
      <c r="T349" s="67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584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3"/>
      <c r="B350" s="663"/>
      <c r="C350" s="663"/>
      <c r="D350" s="663"/>
      <c r="E350" s="663"/>
      <c r="F350" s="663"/>
      <c r="G350" s="663"/>
      <c r="H350" s="663"/>
      <c r="I350" s="663"/>
      <c r="J350" s="663"/>
      <c r="K350" s="663"/>
      <c r="L350" s="663"/>
      <c r="M350" s="663"/>
      <c r="N350" s="663"/>
      <c r="O350" s="664"/>
      <c r="P350" s="660" t="s">
        <v>40</v>
      </c>
      <c r="Q350" s="661"/>
      <c r="R350" s="661"/>
      <c r="S350" s="661"/>
      <c r="T350" s="661"/>
      <c r="U350" s="661"/>
      <c r="V350" s="66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3"/>
      <c r="B351" s="663"/>
      <c r="C351" s="663"/>
      <c r="D351" s="663"/>
      <c r="E351" s="663"/>
      <c r="F351" s="663"/>
      <c r="G351" s="663"/>
      <c r="H351" s="663"/>
      <c r="I351" s="663"/>
      <c r="J351" s="663"/>
      <c r="K351" s="663"/>
      <c r="L351" s="663"/>
      <c r="M351" s="663"/>
      <c r="N351" s="663"/>
      <c r="O351" s="664"/>
      <c r="P351" s="660" t="s">
        <v>40</v>
      </c>
      <c r="Q351" s="661"/>
      <c r="R351" s="661"/>
      <c r="S351" s="661"/>
      <c r="T351" s="661"/>
      <c r="U351" s="661"/>
      <c r="V351" s="66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6" t="s">
        <v>85</v>
      </c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"/>
      <c r="AB352" s="66"/>
      <c r="AC352" s="80"/>
    </row>
    <row r="353" spans="1:68" ht="27" hidden="1" customHeight="1" x14ac:dyDescent="0.25">
      <c r="A353" s="63" t="s">
        <v>585</v>
      </c>
      <c r="B353" s="63" t="s">
        <v>586</v>
      </c>
      <c r="C353" s="36">
        <v>4301051782</v>
      </c>
      <c r="D353" s="667">
        <v>4680115884618</v>
      </c>
      <c r="E353" s="66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9"/>
      <c r="R353" s="669"/>
      <c r="S353" s="669"/>
      <c r="T353" s="67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587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588</v>
      </c>
      <c r="B354" s="63" t="s">
        <v>589</v>
      </c>
      <c r="C354" s="36">
        <v>4301052057</v>
      </c>
      <c r="D354" s="667">
        <v>4680115887114</v>
      </c>
      <c r="E354" s="66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9"/>
      <c r="R354" s="669"/>
      <c r="S354" s="669"/>
      <c r="T354" s="67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590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3"/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4"/>
      <c r="P355" s="660" t="s">
        <v>40</v>
      </c>
      <c r="Q355" s="661"/>
      <c r="R355" s="661"/>
      <c r="S355" s="661"/>
      <c r="T355" s="661"/>
      <c r="U355" s="661"/>
      <c r="V355" s="66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3"/>
      <c r="B356" s="663"/>
      <c r="C356" s="663"/>
      <c r="D356" s="663"/>
      <c r="E356" s="663"/>
      <c r="F356" s="663"/>
      <c r="G356" s="663"/>
      <c r="H356" s="663"/>
      <c r="I356" s="663"/>
      <c r="J356" s="663"/>
      <c r="K356" s="663"/>
      <c r="L356" s="663"/>
      <c r="M356" s="663"/>
      <c r="N356" s="663"/>
      <c r="O356" s="664"/>
      <c r="P356" s="660" t="s">
        <v>40</v>
      </c>
      <c r="Q356" s="661"/>
      <c r="R356" s="661"/>
      <c r="S356" s="661"/>
      <c r="T356" s="661"/>
      <c r="U356" s="661"/>
      <c r="V356" s="66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5" t="s">
        <v>591</v>
      </c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5"/>
      <c r="AB357" s="65"/>
      <c r="AC357" s="79"/>
    </row>
    <row r="358" spans="1:68" ht="14.25" hidden="1" customHeight="1" x14ac:dyDescent="0.25">
      <c r="A358" s="666" t="s">
        <v>121</v>
      </c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"/>
      <c r="AB358" s="66"/>
      <c r="AC358" s="80"/>
    </row>
    <row r="359" spans="1:68" ht="27" hidden="1" customHeight="1" x14ac:dyDescent="0.25">
      <c r="A359" s="63" t="s">
        <v>592</v>
      </c>
      <c r="B359" s="63" t="s">
        <v>593</v>
      </c>
      <c r="C359" s="36">
        <v>4301012324</v>
      </c>
      <c r="D359" s="667">
        <v>4680115887947</v>
      </c>
      <c r="E359" s="66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9"/>
      <c r="R359" s="669"/>
      <c r="S359" s="669"/>
      <c r="T359" s="67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354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594</v>
      </c>
      <c r="B360" s="63" t="s">
        <v>595</v>
      </c>
      <c r="C360" s="36">
        <v>4301012325</v>
      </c>
      <c r="D360" s="667">
        <v>4680115887978</v>
      </c>
      <c r="E360" s="66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9"/>
      <c r="R360" s="669"/>
      <c r="S360" s="669"/>
      <c r="T360" s="67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596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597</v>
      </c>
      <c r="B361" s="63" t="s">
        <v>598</v>
      </c>
      <c r="C361" s="36">
        <v>4301012327</v>
      </c>
      <c r="D361" s="667">
        <v>4680115887992</v>
      </c>
      <c r="E361" s="66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6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9"/>
      <c r="R361" s="669"/>
      <c r="S361" s="669"/>
      <c r="T361" s="67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599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3"/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4"/>
      <c r="P362" s="660" t="s">
        <v>40</v>
      </c>
      <c r="Q362" s="661"/>
      <c r="R362" s="661"/>
      <c r="S362" s="661"/>
      <c r="T362" s="661"/>
      <c r="U362" s="661"/>
      <c r="V362" s="66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3"/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4"/>
      <c r="P363" s="660" t="s">
        <v>40</v>
      </c>
      <c r="Q363" s="661"/>
      <c r="R363" s="661"/>
      <c r="S363" s="661"/>
      <c r="T363" s="661"/>
      <c r="U363" s="661"/>
      <c r="V363" s="66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5" t="s">
        <v>600</v>
      </c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5"/>
      <c r="AB364" s="65"/>
      <c r="AC364" s="79"/>
    </row>
    <row r="365" spans="1:68" ht="14.25" hidden="1" customHeight="1" x14ac:dyDescent="0.25">
      <c r="A365" s="666" t="s">
        <v>121</v>
      </c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"/>
      <c r="AB365" s="66"/>
      <c r="AC365" s="80"/>
    </row>
    <row r="366" spans="1:68" ht="27" hidden="1" customHeight="1" x14ac:dyDescent="0.25">
      <c r="A366" s="63" t="s">
        <v>601</v>
      </c>
      <c r="B366" s="63" t="s">
        <v>602</v>
      </c>
      <c r="C366" s="36">
        <v>4301012400</v>
      </c>
      <c r="D366" s="667">
        <v>4680115889880</v>
      </c>
      <c r="E366" s="66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69"/>
      <c r="R366" s="669"/>
      <c r="S366" s="669"/>
      <c r="T366" s="67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545</v>
      </c>
      <c r="AC366" s="464" t="s">
        <v>522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603</v>
      </c>
      <c r="B367" s="63" t="s">
        <v>604</v>
      </c>
      <c r="C367" s="36">
        <v>4301012360</v>
      </c>
      <c r="D367" s="667">
        <v>4680115889293</v>
      </c>
      <c r="E367" s="66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69"/>
      <c r="R367" s="669"/>
      <c r="S367" s="669"/>
      <c r="T367" s="67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605</v>
      </c>
      <c r="AG367" s="78"/>
      <c r="AJ367" s="84" t="s">
        <v>46</v>
      </c>
      <c r="AK367" s="84">
        <v>0</v>
      </c>
      <c r="BB367" s="467" t="s">
        <v>66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hidden="1" customHeight="1" x14ac:dyDescent="0.25">
      <c r="A368" s="63" t="s">
        <v>606</v>
      </c>
      <c r="B368" s="63" t="s">
        <v>607</v>
      </c>
      <c r="C368" s="36">
        <v>4301012235</v>
      </c>
      <c r="D368" s="667">
        <v>4680115887190</v>
      </c>
      <c r="E368" s="66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69"/>
      <c r="R368" s="669"/>
      <c r="S368" s="669"/>
      <c r="T368" s="67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608</v>
      </c>
      <c r="AG368" s="78"/>
      <c r="AJ368" s="84" t="s">
        <v>46</v>
      </c>
      <c r="AK368" s="84">
        <v>0</v>
      </c>
      <c r="BB368" s="469" t="s">
        <v>66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hidden="1" customHeight="1" x14ac:dyDescent="0.25">
      <c r="A369" s="63" t="s">
        <v>609</v>
      </c>
      <c r="B369" s="63" t="s">
        <v>610</v>
      </c>
      <c r="C369" s="36">
        <v>4301012233</v>
      </c>
      <c r="D369" s="667">
        <v>4680115887138</v>
      </c>
      <c r="E369" s="66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125</v>
      </c>
      <c r="N369" s="38"/>
      <c r="O369" s="37">
        <v>55</v>
      </c>
      <c r="P369" s="7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69"/>
      <c r="R369" s="669"/>
      <c r="S369" s="669"/>
      <c r="T369" s="67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611</v>
      </c>
      <c r="AG369" s="78"/>
      <c r="AJ369" s="84" t="s">
        <v>46</v>
      </c>
      <c r="AK369" s="84">
        <v>0</v>
      </c>
      <c r="BB369" s="471" t="s">
        <v>66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612</v>
      </c>
      <c r="B370" s="63" t="s">
        <v>613</v>
      </c>
      <c r="C370" s="36">
        <v>4301012016</v>
      </c>
      <c r="D370" s="667">
        <v>4680115885554</v>
      </c>
      <c r="E370" s="66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126</v>
      </c>
      <c r="L370" s="37" t="s">
        <v>46</v>
      </c>
      <c r="M370" s="38" t="s">
        <v>89</v>
      </c>
      <c r="N370" s="38"/>
      <c r="O370" s="37">
        <v>55</v>
      </c>
      <c r="P370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69"/>
      <c r="R370" s="669"/>
      <c r="S370" s="669"/>
      <c r="T370" s="67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614</v>
      </c>
      <c r="AG370" s="78"/>
      <c r="AJ370" s="84" t="s">
        <v>46</v>
      </c>
      <c r="AK370" s="84">
        <v>0</v>
      </c>
      <c r="BB370" s="473" t="s">
        <v>66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4301012236</v>
      </c>
      <c r="D371" s="667">
        <v>4680115887220</v>
      </c>
      <c r="E371" s="66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69"/>
      <c r="R371" s="669"/>
      <c r="S371" s="669"/>
      <c r="T371" s="67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608</v>
      </c>
      <c r="AG371" s="78"/>
      <c r="AJ371" s="84" t="s">
        <v>46</v>
      </c>
      <c r="AK371" s="84">
        <v>0</v>
      </c>
      <c r="BB371" s="475" t="s">
        <v>66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617</v>
      </c>
      <c r="B372" s="63" t="s">
        <v>618</v>
      </c>
      <c r="C372" s="36">
        <v>4301011859</v>
      </c>
      <c r="D372" s="667">
        <v>4680115885608</v>
      </c>
      <c r="E372" s="66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133</v>
      </c>
      <c r="L372" s="37" t="s">
        <v>46</v>
      </c>
      <c r="M372" s="38" t="s">
        <v>125</v>
      </c>
      <c r="N372" s="38"/>
      <c r="O372" s="37">
        <v>55</v>
      </c>
      <c r="P372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69"/>
      <c r="R372" s="669"/>
      <c r="S372" s="669"/>
      <c r="T372" s="67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619</v>
      </c>
      <c r="AG372" s="78"/>
      <c r="AJ372" s="84" t="s">
        <v>46</v>
      </c>
      <c r="AK372" s="84">
        <v>0</v>
      </c>
      <c r="BB372" s="477" t="s">
        <v>66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idden="1" x14ac:dyDescent="0.2">
      <c r="A373" s="663"/>
      <c r="B373" s="663"/>
      <c r="C373" s="663"/>
      <c r="D373" s="663"/>
      <c r="E373" s="663"/>
      <c r="F373" s="663"/>
      <c r="G373" s="663"/>
      <c r="H373" s="663"/>
      <c r="I373" s="663"/>
      <c r="J373" s="663"/>
      <c r="K373" s="663"/>
      <c r="L373" s="663"/>
      <c r="M373" s="663"/>
      <c r="N373" s="663"/>
      <c r="O373" s="664"/>
      <c r="P373" s="660" t="s">
        <v>40</v>
      </c>
      <c r="Q373" s="661"/>
      <c r="R373" s="661"/>
      <c r="S373" s="661"/>
      <c r="T373" s="661"/>
      <c r="U373" s="661"/>
      <c r="V373" s="662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663"/>
      <c r="B374" s="663"/>
      <c r="C374" s="663"/>
      <c r="D374" s="663"/>
      <c r="E374" s="663"/>
      <c r="F374" s="663"/>
      <c r="G374" s="663"/>
      <c r="H374" s="663"/>
      <c r="I374" s="663"/>
      <c r="J374" s="663"/>
      <c r="K374" s="663"/>
      <c r="L374" s="663"/>
      <c r="M374" s="663"/>
      <c r="N374" s="663"/>
      <c r="O374" s="664"/>
      <c r="P374" s="660" t="s">
        <v>40</v>
      </c>
      <c r="Q374" s="661"/>
      <c r="R374" s="661"/>
      <c r="S374" s="661"/>
      <c r="T374" s="661"/>
      <c r="U374" s="661"/>
      <c r="V374" s="662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666" t="s">
        <v>76</v>
      </c>
      <c r="B375" s="666"/>
      <c r="C375" s="666"/>
      <c r="D375" s="666"/>
      <c r="E375" s="666"/>
      <c r="F375" s="666"/>
      <c r="G375" s="666"/>
      <c r="H375" s="666"/>
      <c r="I375" s="666"/>
      <c r="J375" s="666"/>
      <c r="K375" s="666"/>
      <c r="L375" s="666"/>
      <c r="M375" s="666"/>
      <c r="N375" s="666"/>
      <c r="O375" s="666"/>
      <c r="P375" s="666"/>
      <c r="Q375" s="666"/>
      <c r="R375" s="666"/>
      <c r="S375" s="666"/>
      <c r="T375" s="666"/>
      <c r="U375" s="666"/>
      <c r="V375" s="666"/>
      <c r="W375" s="666"/>
      <c r="X375" s="666"/>
      <c r="Y375" s="666"/>
      <c r="Z375" s="666"/>
      <c r="AA375" s="66"/>
      <c r="AB375" s="66"/>
      <c r="AC375" s="80"/>
    </row>
    <row r="376" spans="1:68" ht="27" hidden="1" customHeight="1" x14ac:dyDescent="0.25">
      <c r="A376" s="63" t="s">
        <v>620</v>
      </c>
      <c r="B376" s="63" t="s">
        <v>621</v>
      </c>
      <c r="C376" s="36">
        <v>4301030878</v>
      </c>
      <c r="D376" s="667">
        <v>4607091387193</v>
      </c>
      <c r="E376" s="66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35</v>
      </c>
      <c r="P376" s="7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69"/>
      <c r="R376" s="669"/>
      <c r="S376" s="669"/>
      <c r="T376" s="67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8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622</v>
      </c>
      <c r="AG376" s="78"/>
      <c r="AJ376" s="84" t="s">
        <v>46</v>
      </c>
      <c r="AK376" s="84">
        <v>0</v>
      </c>
      <c r="BB376" s="479" t="s">
        <v>66</v>
      </c>
      <c r="BM376" s="78">
        <f t="shared" ref="BM376:BM382" si="69">IFERROR(X376*I376/H376,"0")</f>
        <v>0</v>
      </c>
      <c r="BN376" s="78">
        <f t="shared" ref="BN376:BN382" si="70">IFERROR(Y376*I376/H376,"0")</f>
        <v>0</v>
      </c>
      <c r="BO376" s="78">
        <f t="shared" ref="BO376:BO382" si="71">IFERROR(1/J376*(X376/H376),"0")</f>
        <v>0</v>
      </c>
      <c r="BP376" s="78">
        <f t="shared" ref="BP376:BP382" si="72">IFERROR(1/J376*(Y376/H376),"0")</f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4301031153</v>
      </c>
      <c r="D377" s="667">
        <v>4607091387230</v>
      </c>
      <c r="E377" s="66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40</v>
      </c>
      <c r="P377" s="7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69"/>
      <c r="R377" s="669"/>
      <c r="S377" s="669"/>
      <c r="T377" s="67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625</v>
      </c>
      <c r="AG377" s="78"/>
      <c r="AJ377" s="84" t="s">
        <v>46</v>
      </c>
      <c r="AK377" s="84">
        <v>0</v>
      </c>
      <c r="BB377" s="481" t="s">
        <v>66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626</v>
      </c>
      <c r="B378" s="63" t="s">
        <v>627</v>
      </c>
      <c r="C378" s="36">
        <v>4301031154</v>
      </c>
      <c r="D378" s="667">
        <v>4607091387292</v>
      </c>
      <c r="E378" s="66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133</v>
      </c>
      <c r="L378" s="37" t="s">
        <v>46</v>
      </c>
      <c r="M378" s="38" t="s">
        <v>80</v>
      </c>
      <c r="N378" s="38"/>
      <c r="O378" s="37">
        <v>45</v>
      </c>
      <c r="P378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69"/>
      <c r="R378" s="669"/>
      <c r="S378" s="669"/>
      <c r="T378" s="67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66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4301031152</v>
      </c>
      <c r="D379" s="667">
        <v>4607091387285</v>
      </c>
      <c r="E379" s="66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69"/>
      <c r="R379" s="669"/>
      <c r="S379" s="669"/>
      <c r="T379" s="67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66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631</v>
      </c>
      <c r="B380" s="63" t="s">
        <v>632</v>
      </c>
      <c r="C380" s="36">
        <v>4301031305</v>
      </c>
      <c r="D380" s="667">
        <v>4607091389845</v>
      </c>
      <c r="E380" s="66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81</v>
      </c>
      <c r="L380" s="37" t="s">
        <v>46</v>
      </c>
      <c r="M380" s="38" t="s">
        <v>80</v>
      </c>
      <c r="N380" s="38"/>
      <c r="O380" s="37">
        <v>40</v>
      </c>
      <c r="P380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69"/>
      <c r="R380" s="669"/>
      <c r="S380" s="669"/>
      <c r="T380" s="67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633</v>
      </c>
      <c r="AG380" s="78"/>
      <c r="AJ380" s="84" t="s">
        <v>46</v>
      </c>
      <c r="AK380" s="84">
        <v>0</v>
      </c>
      <c r="BB380" s="487" t="s">
        <v>66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4301031460</v>
      </c>
      <c r="D381" s="667">
        <v>4680115887442</v>
      </c>
      <c r="E381" s="66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133</v>
      </c>
      <c r="L381" s="37" t="s">
        <v>46</v>
      </c>
      <c r="M381" s="38" t="s">
        <v>80</v>
      </c>
      <c r="N381" s="38"/>
      <c r="O381" s="37">
        <v>45</v>
      </c>
      <c r="P381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69"/>
      <c r="R381" s="669"/>
      <c r="S381" s="669"/>
      <c r="T381" s="67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628</v>
      </c>
      <c r="AG381" s="78"/>
      <c r="AJ381" s="84" t="s">
        <v>46</v>
      </c>
      <c r="AK381" s="84">
        <v>0</v>
      </c>
      <c r="BB381" s="489" t="s">
        <v>66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hidden="1" customHeight="1" x14ac:dyDescent="0.25">
      <c r="A382" s="63" t="s">
        <v>636</v>
      </c>
      <c r="B382" s="63" t="s">
        <v>637</v>
      </c>
      <c r="C382" s="36">
        <v>4301031066</v>
      </c>
      <c r="D382" s="667">
        <v>4607091383836</v>
      </c>
      <c r="E382" s="66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90</v>
      </c>
      <c r="L382" s="37" t="s">
        <v>46</v>
      </c>
      <c r="M382" s="38" t="s">
        <v>80</v>
      </c>
      <c r="N382" s="38"/>
      <c r="O382" s="37">
        <v>40</v>
      </c>
      <c r="P382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69"/>
      <c r="R382" s="669"/>
      <c r="S382" s="669"/>
      <c r="T382" s="67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66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hidden="1" x14ac:dyDescent="0.2">
      <c r="A383" s="663"/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4"/>
      <c r="P383" s="660" t="s">
        <v>40</v>
      </c>
      <c r="Q383" s="661"/>
      <c r="R383" s="661"/>
      <c r="S383" s="661"/>
      <c r="T383" s="661"/>
      <c r="U383" s="661"/>
      <c r="V383" s="662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3"/>
      <c r="B384" s="663"/>
      <c r="C384" s="663"/>
      <c r="D384" s="663"/>
      <c r="E384" s="663"/>
      <c r="F384" s="663"/>
      <c r="G384" s="663"/>
      <c r="H384" s="663"/>
      <c r="I384" s="663"/>
      <c r="J384" s="663"/>
      <c r="K384" s="663"/>
      <c r="L384" s="663"/>
      <c r="M384" s="663"/>
      <c r="N384" s="663"/>
      <c r="O384" s="664"/>
      <c r="P384" s="660" t="s">
        <v>40</v>
      </c>
      <c r="Q384" s="661"/>
      <c r="R384" s="661"/>
      <c r="S384" s="661"/>
      <c r="T384" s="661"/>
      <c r="U384" s="661"/>
      <c r="V384" s="662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6" t="s">
        <v>85</v>
      </c>
      <c r="B385" s="666"/>
      <c r="C385" s="666"/>
      <c r="D385" s="666"/>
      <c r="E385" s="666"/>
      <c r="F385" s="666"/>
      <c r="G385" s="666"/>
      <c r="H385" s="666"/>
      <c r="I385" s="666"/>
      <c r="J385" s="666"/>
      <c r="K385" s="666"/>
      <c r="L385" s="666"/>
      <c r="M385" s="666"/>
      <c r="N385" s="666"/>
      <c r="O385" s="666"/>
      <c r="P385" s="666"/>
      <c r="Q385" s="666"/>
      <c r="R385" s="666"/>
      <c r="S385" s="666"/>
      <c r="T385" s="666"/>
      <c r="U385" s="666"/>
      <c r="V385" s="666"/>
      <c r="W385" s="666"/>
      <c r="X385" s="666"/>
      <c r="Y385" s="666"/>
      <c r="Z385" s="666"/>
      <c r="AA385" s="66"/>
      <c r="AB385" s="66"/>
      <c r="AC385" s="80"/>
    </row>
    <row r="386" spans="1:68" ht="27" hidden="1" customHeight="1" x14ac:dyDescent="0.25">
      <c r="A386" s="63" t="s">
        <v>639</v>
      </c>
      <c r="B386" s="63" t="s">
        <v>640</v>
      </c>
      <c r="C386" s="36">
        <v>4301051100</v>
      </c>
      <c r="D386" s="667">
        <v>4607091387766</v>
      </c>
      <c r="E386" s="66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69"/>
      <c r="R386" s="669"/>
      <c r="S386" s="669"/>
      <c r="T386" s="67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641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642</v>
      </c>
      <c r="B387" s="63" t="s">
        <v>643</v>
      </c>
      <c r="C387" s="36">
        <v>4301051818</v>
      </c>
      <c r="D387" s="667">
        <v>4607091387957</v>
      </c>
      <c r="E387" s="66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69"/>
      <c r="R387" s="669"/>
      <c r="S387" s="669"/>
      <c r="T387" s="67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644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4301051819</v>
      </c>
      <c r="D388" s="667">
        <v>4607091387964</v>
      </c>
      <c r="E388" s="66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126</v>
      </c>
      <c r="L388" s="37" t="s">
        <v>46</v>
      </c>
      <c r="M388" s="38" t="s">
        <v>89</v>
      </c>
      <c r="N388" s="38"/>
      <c r="O388" s="37">
        <v>40</v>
      </c>
      <c r="P388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69"/>
      <c r="R388" s="669"/>
      <c r="S388" s="669"/>
      <c r="T388" s="67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647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648</v>
      </c>
      <c r="B389" s="63" t="s">
        <v>649</v>
      </c>
      <c r="C389" s="36">
        <v>4301051734</v>
      </c>
      <c r="D389" s="667">
        <v>4680115884588</v>
      </c>
      <c r="E389" s="66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90</v>
      </c>
      <c r="L389" s="37" t="s">
        <v>46</v>
      </c>
      <c r="M389" s="38" t="s">
        <v>89</v>
      </c>
      <c r="N389" s="38"/>
      <c r="O389" s="37">
        <v>40</v>
      </c>
      <c r="P389" s="7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69"/>
      <c r="R389" s="669"/>
      <c r="S389" s="669"/>
      <c r="T389" s="67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641</v>
      </c>
      <c r="AG389" s="78"/>
      <c r="AJ389" s="84" t="s">
        <v>46</v>
      </c>
      <c r="AK389" s="84">
        <v>0</v>
      </c>
      <c r="BB389" s="499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63"/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4"/>
      <c r="P390" s="660" t="s">
        <v>40</v>
      </c>
      <c r="Q390" s="661"/>
      <c r="R390" s="661"/>
      <c r="S390" s="661"/>
      <c r="T390" s="661"/>
      <c r="U390" s="661"/>
      <c r="V390" s="662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63"/>
      <c r="B391" s="663"/>
      <c r="C391" s="663"/>
      <c r="D391" s="663"/>
      <c r="E391" s="663"/>
      <c r="F391" s="663"/>
      <c r="G391" s="663"/>
      <c r="H391" s="663"/>
      <c r="I391" s="663"/>
      <c r="J391" s="663"/>
      <c r="K391" s="663"/>
      <c r="L391" s="663"/>
      <c r="M391" s="663"/>
      <c r="N391" s="663"/>
      <c r="O391" s="664"/>
      <c r="P391" s="660" t="s">
        <v>40</v>
      </c>
      <c r="Q391" s="661"/>
      <c r="R391" s="661"/>
      <c r="S391" s="661"/>
      <c r="T391" s="661"/>
      <c r="U391" s="661"/>
      <c r="V391" s="662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6" t="s">
        <v>177</v>
      </c>
      <c r="B392" s="666"/>
      <c r="C392" s="666"/>
      <c r="D392" s="666"/>
      <c r="E392" s="666"/>
      <c r="F392" s="666"/>
      <c r="G392" s="666"/>
      <c r="H392" s="666"/>
      <c r="I392" s="666"/>
      <c r="J392" s="666"/>
      <c r="K392" s="666"/>
      <c r="L392" s="666"/>
      <c r="M392" s="666"/>
      <c r="N392" s="666"/>
      <c r="O392" s="666"/>
      <c r="P392" s="666"/>
      <c r="Q392" s="666"/>
      <c r="R392" s="666"/>
      <c r="S392" s="666"/>
      <c r="T392" s="666"/>
      <c r="U392" s="666"/>
      <c r="V392" s="666"/>
      <c r="W392" s="666"/>
      <c r="X392" s="666"/>
      <c r="Y392" s="666"/>
      <c r="Z392" s="666"/>
      <c r="AA392" s="66"/>
      <c r="AB392" s="66"/>
      <c r="AC392" s="80"/>
    </row>
    <row r="393" spans="1:68" ht="27" hidden="1" customHeight="1" x14ac:dyDescent="0.25">
      <c r="A393" s="63" t="s">
        <v>650</v>
      </c>
      <c r="B393" s="63" t="s">
        <v>651</v>
      </c>
      <c r="C393" s="36">
        <v>4301060387</v>
      </c>
      <c r="D393" s="667">
        <v>4607091380880</v>
      </c>
      <c r="E393" s="66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69"/>
      <c r="R393" s="669"/>
      <c r="S393" s="669"/>
      <c r="T393" s="67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652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653</v>
      </c>
      <c r="B394" s="63" t="s">
        <v>654</v>
      </c>
      <c r="C394" s="36">
        <v>4301060406</v>
      </c>
      <c r="D394" s="667">
        <v>4607091384482</v>
      </c>
      <c r="E394" s="66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126</v>
      </c>
      <c r="L394" s="37" t="s">
        <v>46</v>
      </c>
      <c r="M394" s="38" t="s">
        <v>89</v>
      </c>
      <c r="N394" s="38"/>
      <c r="O394" s="37">
        <v>30</v>
      </c>
      <c r="P394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69"/>
      <c r="R394" s="669"/>
      <c r="S394" s="669"/>
      <c r="T394" s="67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655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4301060484</v>
      </c>
      <c r="D395" s="667">
        <v>4607091380897</v>
      </c>
      <c r="E395" s="66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126</v>
      </c>
      <c r="L395" s="37" t="s">
        <v>46</v>
      </c>
      <c r="M395" s="38" t="s">
        <v>96</v>
      </c>
      <c r="N395" s="38"/>
      <c r="O395" s="37">
        <v>30</v>
      </c>
      <c r="P395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69"/>
      <c r="R395" s="669"/>
      <c r="S395" s="669"/>
      <c r="T395" s="67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658</v>
      </c>
      <c r="AG395" s="78"/>
      <c r="AJ395" s="84" t="s">
        <v>46</v>
      </c>
      <c r="AK395" s="84">
        <v>0</v>
      </c>
      <c r="BB395" s="505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3"/>
      <c r="B396" s="663"/>
      <c r="C396" s="663"/>
      <c r="D396" s="663"/>
      <c r="E396" s="663"/>
      <c r="F396" s="663"/>
      <c r="G396" s="663"/>
      <c r="H396" s="663"/>
      <c r="I396" s="663"/>
      <c r="J396" s="663"/>
      <c r="K396" s="663"/>
      <c r="L396" s="663"/>
      <c r="M396" s="663"/>
      <c r="N396" s="663"/>
      <c r="O396" s="664"/>
      <c r="P396" s="660" t="s">
        <v>40</v>
      </c>
      <c r="Q396" s="661"/>
      <c r="R396" s="661"/>
      <c r="S396" s="661"/>
      <c r="T396" s="661"/>
      <c r="U396" s="661"/>
      <c r="V396" s="662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3"/>
      <c r="B397" s="663"/>
      <c r="C397" s="663"/>
      <c r="D397" s="663"/>
      <c r="E397" s="663"/>
      <c r="F397" s="663"/>
      <c r="G397" s="663"/>
      <c r="H397" s="663"/>
      <c r="I397" s="663"/>
      <c r="J397" s="663"/>
      <c r="K397" s="663"/>
      <c r="L397" s="663"/>
      <c r="M397" s="663"/>
      <c r="N397" s="663"/>
      <c r="O397" s="664"/>
      <c r="P397" s="660" t="s">
        <v>40</v>
      </c>
      <c r="Q397" s="661"/>
      <c r="R397" s="661"/>
      <c r="S397" s="661"/>
      <c r="T397" s="661"/>
      <c r="U397" s="661"/>
      <c r="V397" s="662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66" t="s">
        <v>277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6"/>
      <c r="AB398" s="66"/>
      <c r="AC398" s="80"/>
    </row>
    <row r="399" spans="1:68" ht="27" hidden="1" customHeight="1" x14ac:dyDescent="0.25">
      <c r="A399" s="63" t="s">
        <v>659</v>
      </c>
      <c r="B399" s="63" t="s">
        <v>660</v>
      </c>
      <c r="C399" s="36">
        <v>4301030235</v>
      </c>
      <c r="D399" s="667">
        <v>4607091388381</v>
      </c>
      <c r="E399" s="66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133</v>
      </c>
      <c r="L399" s="37" t="s">
        <v>46</v>
      </c>
      <c r="M399" s="38" t="s">
        <v>253</v>
      </c>
      <c r="N399" s="38"/>
      <c r="O399" s="37">
        <v>180</v>
      </c>
      <c r="P399" s="7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69"/>
      <c r="R399" s="669"/>
      <c r="S399" s="669"/>
      <c r="T399" s="67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661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4301030232</v>
      </c>
      <c r="D400" s="667">
        <v>4607091388374</v>
      </c>
      <c r="E400" s="66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133</v>
      </c>
      <c r="L400" s="37" t="s">
        <v>46</v>
      </c>
      <c r="M400" s="38" t="s">
        <v>253</v>
      </c>
      <c r="N400" s="38"/>
      <c r="O400" s="37">
        <v>180</v>
      </c>
      <c r="P400" s="7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69"/>
      <c r="R400" s="669"/>
      <c r="S400" s="669"/>
      <c r="T400" s="67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661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664</v>
      </c>
      <c r="B401" s="63" t="s">
        <v>665</v>
      </c>
      <c r="C401" s="36">
        <v>4301032015</v>
      </c>
      <c r="D401" s="667">
        <v>4607091383102</v>
      </c>
      <c r="E401" s="66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90</v>
      </c>
      <c r="L401" s="37" t="s">
        <v>46</v>
      </c>
      <c r="M401" s="38" t="s">
        <v>253</v>
      </c>
      <c r="N401" s="38"/>
      <c r="O401" s="37">
        <v>180</v>
      </c>
      <c r="P401" s="7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69"/>
      <c r="R401" s="669"/>
      <c r="S401" s="669"/>
      <c r="T401" s="67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661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666</v>
      </c>
      <c r="B402" s="63" t="s">
        <v>667</v>
      </c>
      <c r="C402" s="36">
        <v>4301030233</v>
      </c>
      <c r="D402" s="667">
        <v>4607091388404</v>
      </c>
      <c r="E402" s="66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90</v>
      </c>
      <c r="L402" s="37" t="s">
        <v>46</v>
      </c>
      <c r="M402" s="38" t="s">
        <v>253</v>
      </c>
      <c r="N402" s="38"/>
      <c r="O402" s="37">
        <v>180</v>
      </c>
      <c r="P402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69"/>
      <c r="R402" s="669"/>
      <c r="S402" s="669"/>
      <c r="T402" s="67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661</v>
      </c>
      <c r="AG402" s="78"/>
      <c r="AJ402" s="84" t="s">
        <v>46</v>
      </c>
      <c r="AK402" s="84">
        <v>0</v>
      </c>
      <c r="BB402" s="51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63"/>
      <c r="B403" s="663"/>
      <c r="C403" s="663"/>
      <c r="D403" s="663"/>
      <c r="E403" s="663"/>
      <c r="F403" s="663"/>
      <c r="G403" s="663"/>
      <c r="H403" s="663"/>
      <c r="I403" s="663"/>
      <c r="J403" s="663"/>
      <c r="K403" s="663"/>
      <c r="L403" s="663"/>
      <c r="M403" s="663"/>
      <c r="N403" s="663"/>
      <c r="O403" s="664"/>
      <c r="P403" s="660" t="s">
        <v>40</v>
      </c>
      <c r="Q403" s="661"/>
      <c r="R403" s="661"/>
      <c r="S403" s="661"/>
      <c r="T403" s="661"/>
      <c r="U403" s="661"/>
      <c r="V403" s="662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63"/>
      <c r="B404" s="663"/>
      <c r="C404" s="663"/>
      <c r="D404" s="663"/>
      <c r="E404" s="663"/>
      <c r="F404" s="663"/>
      <c r="G404" s="663"/>
      <c r="H404" s="663"/>
      <c r="I404" s="663"/>
      <c r="J404" s="663"/>
      <c r="K404" s="663"/>
      <c r="L404" s="663"/>
      <c r="M404" s="663"/>
      <c r="N404" s="663"/>
      <c r="O404" s="664"/>
      <c r="P404" s="660" t="s">
        <v>40</v>
      </c>
      <c r="Q404" s="661"/>
      <c r="R404" s="661"/>
      <c r="S404" s="661"/>
      <c r="T404" s="661"/>
      <c r="U404" s="661"/>
      <c r="V404" s="662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6" t="s">
        <v>668</v>
      </c>
      <c r="B405" s="666"/>
      <c r="C405" s="666"/>
      <c r="D405" s="666"/>
      <c r="E405" s="666"/>
      <c r="F405" s="666"/>
      <c r="G405" s="666"/>
      <c r="H405" s="666"/>
      <c r="I405" s="666"/>
      <c r="J405" s="666"/>
      <c r="K405" s="666"/>
      <c r="L405" s="666"/>
      <c r="M405" s="666"/>
      <c r="N405" s="666"/>
      <c r="O405" s="666"/>
      <c r="P405" s="666"/>
      <c r="Q405" s="666"/>
      <c r="R405" s="666"/>
      <c r="S405" s="666"/>
      <c r="T405" s="666"/>
      <c r="U405" s="666"/>
      <c r="V405" s="666"/>
      <c r="W405" s="666"/>
      <c r="X405" s="666"/>
      <c r="Y405" s="666"/>
      <c r="Z405" s="666"/>
      <c r="AA405" s="66"/>
      <c r="AB405" s="66"/>
      <c r="AC405" s="80"/>
    </row>
    <row r="406" spans="1:68" ht="16.5" hidden="1" customHeight="1" x14ac:dyDescent="0.25">
      <c r="A406" s="63" t="s">
        <v>669</v>
      </c>
      <c r="B406" s="63" t="s">
        <v>670</v>
      </c>
      <c r="C406" s="36">
        <v>4301180007</v>
      </c>
      <c r="D406" s="667">
        <v>4680115881808</v>
      </c>
      <c r="E406" s="66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672</v>
      </c>
      <c r="N406" s="38"/>
      <c r="O406" s="37">
        <v>731</v>
      </c>
      <c r="P406" s="7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69"/>
      <c r="R406" s="669"/>
      <c r="S406" s="669"/>
      <c r="T406" s="67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671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673</v>
      </c>
      <c r="B407" s="63" t="s">
        <v>674</v>
      </c>
      <c r="C407" s="36">
        <v>4301180006</v>
      </c>
      <c r="D407" s="667">
        <v>4680115881822</v>
      </c>
      <c r="E407" s="66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672</v>
      </c>
      <c r="N407" s="38"/>
      <c r="O407" s="37">
        <v>731</v>
      </c>
      <c r="P407" s="7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69"/>
      <c r="R407" s="669"/>
      <c r="S407" s="669"/>
      <c r="T407" s="67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671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675</v>
      </c>
      <c r="B408" s="63" t="s">
        <v>676</v>
      </c>
      <c r="C408" s="36">
        <v>4301180001</v>
      </c>
      <c r="D408" s="667">
        <v>4680115880016</v>
      </c>
      <c r="E408" s="66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90</v>
      </c>
      <c r="L408" s="37" t="s">
        <v>46</v>
      </c>
      <c r="M408" s="38" t="s">
        <v>672</v>
      </c>
      <c r="N408" s="38"/>
      <c r="O408" s="37">
        <v>731</v>
      </c>
      <c r="P408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69"/>
      <c r="R408" s="669"/>
      <c r="S408" s="669"/>
      <c r="T408" s="67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671</v>
      </c>
      <c r="AG408" s="78"/>
      <c r="AJ408" s="84" t="s">
        <v>46</v>
      </c>
      <c r="AK408" s="84">
        <v>0</v>
      </c>
      <c r="BB408" s="519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63"/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4"/>
      <c r="P409" s="660" t="s">
        <v>40</v>
      </c>
      <c r="Q409" s="661"/>
      <c r="R409" s="661"/>
      <c r="S409" s="661"/>
      <c r="T409" s="661"/>
      <c r="U409" s="661"/>
      <c r="V409" s="66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63"/>
      <c r="B410" s="663"/>
      <c r="C410" s="663"/>
      <c r="D410" s="663"/>
      <c r="E410" s="663"/>
      <c r="F410" s="663"/>
      <c r="G410" s="663"/>
      <c r="H410" s="663"/>
      <c r="I410" s="663"/>
      <c r="J410" s="663"/>
      <c r="K410" s="663"/>
      <c r="L410" s="663"/>
      <c r="M410" s="663"/>
      <c r="N410" s="663"/>
      <c r="O410" s="664"/>
      <c r="P410" s="660" t="s">
        <v>40</v>
      </c>
      <c r="Q410" s="661"/>
      <c r="R410" s="661"/>
      <c r="S410" s="661"/>
      <c r="T410" s="661"/>
      <c r="U410" s="661"/>
      <c r="V410" s="66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666" t="s">
        <v>677</v>
      </c>
      <c r="B411" s="666"/>
      <c r="C411" s="666"/>
      <c r="D411" s="666"/>
      <c r="E411" s="666"/>
      <c r="F411" s="666"/>
      <c r="G411" s="666"/>
      <c r="H411" s="666"/>
      <c r="I411" s="666"/>
      <c r="J411" s="666"/>
      <c r="K411" s="666"/>
      <c r="L411" s="666"/>
      <c r="M411" s="666"/>
      <c r="N411" s="666"/>
      <c r="O411" s="666"/>
      <c r="P411" s="666"/>
      <c r="Q411" s="666"/>
      <c r="R411" s="666"/>
      <c r="S411" s="666"/>
      <c r="T411" s="666"/>
      <c r="U411" s="666"/>
      <c r="V411" s="666"/>
      <c r="W411" s="666"/>
      <c r="X411" s="666"/>
      <c r="Y411" s="666"/>
      <c r="Z411" s="666"/>
      <c r="AA411" s="66"/>
      <c r="AB411" s="66"/>
      <c r="AC411" s="80"/>
    </row>
    <row r="412" spans="1:68" ht="27" hidden="1" customHeight="1" x14ac:dyDescent="0.25">
      <c r="A412" s="63" t="s">
        <v>678</v>
      </c>
      <c r="B412" s="63" t="s">
        <v>679</v>
      </c>
      <c r="C412" s="36">
        <v>4301220003</v>
      </c>
      <c r="D412" s="667">
        <v>4680115888678</v>
      </c>
      <c r="E412" s="66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90</v>
      </c>
      <c r="L412" s="37" t="s">
        <v>46</v>
      </c>
      <c r="M412" s="38" t="s">
        <v>672</v>
      </c>
      <c r="N412" s="38"/>
      <c r="O412" s="37">
        <v>1096</v>
      </c>
      <c r="P412" s="7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69"/>
      <c r="R412" s="669"/>
      <c r="S412" s="669"/>
      <c r="T412" s="67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680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681</v>
      </c>
      <c r="B413" s="63" t="s">
        <v>682</v>
      </c>
      <c r="C413" s="36">
        <v>4301220001</v>
      </c>
      <c r="D413" s="667">
        <v>4680115888654</v>
      </c>
      <c r="E413" s="66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133</v>
      </c>
      <c r="L413" s="37" t="s">
        <v>46</v>
      </c>
      <c r="M413" s="38" t="s">
        <v>672</v>
      </c>
      <c r="N413" s="38"/>
      <c r="O413" s="37">
        <v>1096</v>
      </c>
      <c r="P413" s="7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69"/>
      <c r="R413" s="669"/>
      <c r="S413" s="669"/>
      <c r="T413" s="67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684</v>
      </c>
      <c r="B414" s="63" t="s">
        <v>685</v>
      </c>
      <c r="C414" s="36">
        <v>4301220002</v>
      </c>
      <c r="D414" s="667">
        <v>4680115888753</v>
      </c>
      <c r="E414" s="66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90</v>
      </c>
      <c r="L414" s="37" t="s">
        <v>46</v>
      </c>
      <c r="M414" s="38" t="s">
        <v>672</v>
      </c>
      <c r="N414" s="38"/>
      <c r="O414" s="37">
        <v>1096</v>
      </c>
      <c r="P414" s="7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69"/>
      <c r="R414" s="669"/>
      <c r="S414" s="669"/>
      <c r="T414" s="67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680</v>
      </c>
      <c r="AG414" s="78"/>
      <c r="AJ414" s="84" t="s">
        <v>46</v>
      </c>
      <c r="AK414" s="84">
        <v>0</v>
      </c>
      <c r="BB414" s="52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63"/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4"/>
      <c r="P415" s="660" t="s">
        <v>40</v>
      </c>
      <c r="Q415" s="661"/>
      <c r="R415" s="661"/>
      <c r="S415" s="661"/>
      <c r="T415" s="661"/>
      <c r="U415" s="661"/>
      <c r="V415" s="662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663"/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4"/>
      <c r="P416" s="660" t="s">
        <v>40</v>
      </c>
      <c r="Q416" s="661"/>
      <c r="R416" s="661"/>
      <c r="S416" s="661"/>
      <c r="T416" s="661"/>
      <c r="U416" s="661"/>
      <c r="V416" s="662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5" t="s">
        <v>686</v>
      </c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5"/>
      <c r="AB417" s="65"/>
      <c r="AC417" s="79"/>
    </row>
    <row r="418" spans="1:68" ht="14.25" hidden="1" customHeight="1" x14ac:dyDescent="0.25">
      <c r="A418" s="666" t="s">
        <v>85</v>
      </c>
      <c r="B418" s="666"/>
      <c r="C418" s="666"/>
      <c r="D418" s="666"/>
      <c r="E418" s="666"/>
      <c r="F418" s="666"/>
      <c r="G418" s="666"/>
      <c r="H418" s="666"/>
      <c r="I418" s="666"/>
      <c r="J418" s="666"/>
      <c r="K418" s="666"/>
      <c r="L418" s="666"/>
      <c r="M418" s="666"/>
      <c r="N418" s="666"/>
      <c r="O418" s="666"/>
      <c r="P418" s="666"/>
      <c r="Q418" s="666"/>
      <c r="R418" s="666"/>
      <c r="S418" s="666"/>
      <c r="T418" s="666"/>
      <c r="U418" s="666"/>
      <c r="V418" s="666"/>
      <c r="W418" s="666"/>
      <c r="X418" s="666"/>
      <c r="Y418" s="666"/>
      <c r="Z418" s="666"/>
      <c r="AA418" s="66"/>
      <c r="AB418" s="66"/>
      <c r="AC418" s="80"/>
    </row>
    <row r="419" spans="1:68" ht="16.5" hidden="1" customHeight="1" x14ac:dyDescent="0.25">
      <c r="A419" s="63" t="s">
        <v>687</v>
      </c>
      <c r="B419" s="63" t="s">
        <v>688</v>
      </c>
      <c r="C419" s="36">
        <v>4301052235</v>
      </c>
      <c r="D419" s="667">
        <v>4680115889415</v>
      </c>
      <c r="E419" s="66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69"/>
      <c r="R419" s="669"/>
      <c r="S419" s="669"/>
      <c r="T419" s="67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689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690</v>
      </c>
      <c r="B420" s="63" t="s">
        <v>691</v>
      </c>
      <c r="C420" s="36">
        <v>4301052236</v>
      </c>
      <c r="D420" s="667">
        <v>4680115889422</v>
      </c>
      <c r="E420" s="66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126</v>
      </c>
      <c r="L420" s="37" t="s">
        <v>46</v>
      </c>
      <c r="M420" s="38" t="s">
        <v>89</v>
      </c>
      <c r="N420" s="38"/>
      <c r="O420" s="37">
        <v>40</v>
      </c>
      <c r="P420" s="7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69"/>
      <c r="R420" s="669"/>
      <c r="S420" s="669"/>
      <c r="T420" s="67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692</v>
      </c>
      <c r="AG420" s="78"/>
      <c r="AJ420" s="84" t="s">
        <v>46</v>
      </c>
      <c r="AK420" s="84">
        <v>0</v>
      </c>
      <c r="BB420" s="529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3"/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4"/>
      <c r="P421" s="660" t="s">
        <v>40</v>
      </c>
      <c r="Q421" s="661"/>
      <c r="R421" s="661"/>
      <c r="S421" s="661"/>
      <c r="T421" s="661"/>
      <c r="U421" s="661"/>
      <c r="V421" s="662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663"/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4"/>
      <c r="P422" s="660" t="s">
        <v>40</v>
      </c>
      <c r="Q422" s="661"/>
      <c r="R422" s="661"/>
      <c r="S422" s="661"/>
      <c r="T422" s="661"/>
      <c r="U422" s="661"/>
      <c r="V422" s="662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665" t="s">
        <v>693</v>
      </c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5"/>
      <c r="AB423" s="65"/>
      <c r="AC423" s="79"/>
    </row>
    <row r="424" spans="1:68" ht="14.25" hidden="1" customHeight="1" x14ac:dyDescent="0.25">
      <c r="A424" s="666" t="s">
        <v>85</v>
      </c>
      <c r="B424" s="666"/>
      <c r="C424" s="666"/>
      <c r="D424" s="666"/>
      <c r="E424" s="666"/>
      <c r="F424" s="666"/>
      <c r="G424" s="666"/>
      <c r="H424" s="666"/>
      <c r="I424" s="666"/>
      <c r="J424" s="666"/>
      <c r="K424" s="666"/>
      <c r="L424" s="666"/>
      <c r="M424" s="666"/>
      <c r="N424" s="666"/>
      <c r="O424" s="666"/>
      <c r="P424" s="666"/>
      <c r="Q424" s="666"/>
      <c r="R424" s="666"/>
      <c r="S424" s="666"/>
      <c r="T424" s="666"/>
      <c r="U424" s="666"/>
      <c r="V424" s="666"/>
      <c r="W424" s="666"/>
      <c r="X424" s="666"/>
      <c r="Y424" s="666"/>
      <c r="Z424" s="666"/>
      <c r="AA424" s="66"/>
      <c r="AB424" s="66"/>
      <c r="AC424" s="80"/>
    </row>
    <row r="425" spans="1:68" ht="27" hidden="1" customHeight="1" x14ac:dyDescent="0.25">
      <c r="A425" s="63" t="s">
        <v>694</v>
      </c>
      <c r="B425" s="63" t="s">
        <v>695</v>
      </c>
      <c r="C425" s="36">
        <v>4301051489</v>
      </c>
      <c r="D425" s="667">
        <v>4607091387919</v>
      </c>
      <c r="E425" s="66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126</v>
      </c>
      <c r="L425" s="37" t="s">
        <v>46</v>
      </c>
      <c r="M425" s="38" t="s">
        <v>96</v>
      </c>
      <c r="N425" s="38"/>
      <c r="O425" s="37">
        <v>45</v>
      </c>
      <c r="P425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69"/>
      <c r="R425" s="669"/>
      <c r="S425" s="669"/>
      <c r="T425" s="67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696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697</v>
      </c>
      <c r="B426" s="63" t="s">
        <v>698</v>
      </c>
      <c r="C426" s="36">
        <v>4301051461</v>
      </c>
      <c r="D426" s="667">
        <v>4680115883604</v>
      </c>
      <c r="E426" s="66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90</v>
      </c>
      <c r="L426" s="37" t="s">
        <v>46</v>
      </c>
      <c r="M426" s="38" t="s">
        <v>89</v>
      </c>
      <c r="N426" s="38"/>
      <c r="O426" s="37">
        <v>45</v>
      </c>
      <c r="P426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69"/>
      <c r="R426" s="669"/>
      <c r="S426" s="669"/>
      <c r="T426" s="67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699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700</v>
      </c>
      <c r="B427" s="63" t="s">
        <v>701</v>
      </c>
      <c r="C427" s="36">
        <v>4301051864</v>
      </c>
      <c r="D427" s="667">
        <v>4680115883567</v>
      </c>
      <c r="E427" s="66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90</v>
      </c>
      <c r="L427" s="37" t="s">
        <v>46</v>
      </c>
      <c r="M427" s="38" t="s">
        <v>96</v>
      </c>
      <c r="N427" s="38"/>
      <c r="O427" s="37">
        <v>40</v>
      </c>
      <c r="P427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69"/>
      <c r="R427" s="669"/>
      <c r="S427" s="669"/>
      <c r="T427" s="67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702</v>
      </c>
      <c r="AG427" s="78"/>
      <c r="AJ427" s="84" t="s">
        <v>46</v>
      </c>
      <c r="AK427" s="84">
        <v>0</v>
      </c>
      <c r="BB427" s="535" t="s">
        <v>66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663"/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4"/>
      <c r="P428" s="660" t="s">
        <v>40</v>
      </c>
      <c r="Q428" s="661"/>
      <c r="R428" s="661"/>
      <c r="S428" s="661"/>
      <c r="T428" s="661"/>
      <c r="U428" s="661"/>
      <c r="V428" s="662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663"/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4"/>
      <c r="P429" s="660" t="s">
        <v>40</v>
      </c>
      <c r="Q429" s="661"/>
      <c r="R429" s="661"/>
      <c r="S429" s="661"/>
      <c r="T429" s="661"/>
      <c r="U429" s="661"/>
      <c r="V429" s="662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680" t="s">
        <v>703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54"/>
      <c r="AB430" s="54"/>
      <c r="AC430" s="54"/>
    </row>
    <row r="431" spans="1:68" ht="16.5" hidden="1" customHeight="1" x14ac:dyDescent="0.25">
      <c r="A431" s="665" t="s">
        <v>704</v>
      </c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5"/>
      <c r="AB431" s="65"/>
      <c r="AC431" s="79"/>
    </row>
    <row r="432" spans="1:68" ht="14.25" hidden="1" customHeight="1" x14ac:dyDescent="0.25">
      <c r="A432" s="666" t="s">
        <v>121</v>
      </c>
      <c r="B432" s="666"/>
      <c r="C432" s="666"/>
      <c r="D432" s="666"/>
      <c r="E432" s="666"/>
      <c r="F432" s="666"/>
      <c r="G432" s="666"/>
      <c r="H432" s="666"/>
      <c r="I432" s="666"/>
      <c r="J432" s="666"/>
      <c r="K432" s="666"/>
      <c r="L432" s="666"/>
      <c r="M432" s="666"/>
      <c r="N432" s="666"/>
      <c r="O432" s="666"/>
      <c r="P432" s="666"/>
      <c r="Q432" s="666"/>
      <c r="R432" s="666"/>
      <c r="S432" s="666"/>
      <c r="T432" s="666"/>
      <c r="U432" s="666"/>
      <c r="V432" s="666"/>
      <c r="W432" s="666"/>
      <c r="X432" s="666"/>
      <c r="Y432" s="666"/>
      <c r="Z432" s="666"/>
      <c r="AA432" s="66"/>
      <c r="AB432" s="66"/>
      <c r="AC432" s="80"/>
    </row>
    <row r="433" spans="1:68" ht="27" hidden="1" customHeight="1" x14ac:dyDescent="0.25">
      <c r="A433" s="63" t="s">
        <v>705</v>
      </c>
      <c r="B433" s="63" t="s">
        <v>706</v>
      </c>
      <c r="C433" s="36">
        <v>4301012332</v>
      </c>
      <c r="D433" s="667">
        <v>4680115888401</v>
      </c>
      <c r="E433" s="66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96</v>
      </c>
      <c r="N433" s="38"/>
      <c r="O433" s="37">
        <v>60</v>
      </c>
      <c r="P433" s="7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69"/>
      <c r="R433" s="669"/>
      <c r="S433" s="669"/>
      <c r="T433" s="67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73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707</v>
      </c>
      <c r="AG433" s="78"/>
      <c r="AJ433" s="84" t="s">
        <v>46</v>
      </c>
      <c r="AK433" s="84">
        <v>0</v>
      </c>
      <c r="BB433" s="537" t="s">
        <v>66</v>
      </c>
      <c r="BM433" s="78">
        <f t="shared" ref="BM433:BM440" si="74">IFERROR(X433*I433/H433,"0")</f>
        <v>0</v>
      </c>
      <c r="BN433" s="78">
        <f t="shared" ref="BN433:BN440" si="75">IFERROR(Y433*I433/H433,"0")</f>
        <v>0</v>
      </c>
      <c r="BO433" s="78">
        <f t="shared" ref="BO433:BO440" si="76">IFERROR(1/J433*(X433/H433),"0")</f>
        <v>0</v>
      </c>
      <c r="BP433" s="78">
        <f t="shared" ref="BP433:BP440" si="77">IFERROR(1/J433*(Y433/H433),"0")</f>
        <v>0</v>
      </c>
    </row>
    <row r="434" spans="1:68" ht="37.5" customHeight="1" x14ac:dyDescent="0.25">
      <c r="A434" s="63" t="s">
        <v>708</v>
      </c>
      <c r="B434" s="63" t="s">
        <v>709</v>
      </c>
      <c r="C434" s="36">
        <v>4301011869</v>
      </c>
      <c r="D434" s="667">
        <v>4680115884847</v>
      </c>
      <c r="E434" s="66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80</v>
      </c>
      <c r="N434" s="38"/>
      <c r="O434" s="37">
        <v>60</v>
      </c>
      <c r="P434" s="7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69"/>
      <c r="R434" s="669"/>
      <c r="S434" s="669"/>
      <c r="T434" s="670"/>
      <c r="U434" s="39" t="s">
        <v>46</v>
      </c>
      <c r="V434" s="39" t="s">
        <v>46</v>
      </c>
      <c r="W434" s="40" t="s">
        <v>0</v>
      </c>
      <c r="X434" s="58">
        <v>100</v>
      </c>
      <c r="Y434" s="55">
        <f t="shared" si="73"/>
        <v>105</v>
      </c>
      <c r="Z434" s="41">
        <f>IFERROR(IF(Y434=0,"",ROUNDUP(Y434/H434,0)*0.02175),"")</f>
        <v>0.15225</v>
      </c>
      <c r="AA434" s="68" t="s">
        <v>46</v>
      </c>
      <c r="AB434" s="69" t="s">
        <v>46</v>
      </c>
      <c r="AC434" s="538" t="s">
        <v>710</v>
      </c>
      <c r="AG434" s="78"/>
      <c r="AJ434" s="84" t="s">
        <v>46</v>
      </c>
      <c r="AK434" s="84">
        <v>0</v>
      </c>
      <c r="BB434" s="539" t="s">
        <v>66</v>
      </c>
      <c r="BM434" s="78">
        <f t="shared" si="74"/>
        <v>103.13333333333334</v>
      </c>
      <c r="BN434" s="78">
        <f t="shared" si="75"/>
        <v>108.29</v>
      </c>
      <c r="BO434" s="78">
        <f t="shared" si="76"/>
        <v>0.1388888888888889</v>
      </c>
      <c r="BP434" s="78">
        <f t="shared" si="77"/>
        <v>0.14583333333333331</v>
      </c>
    </row>
    <row r="435" spans="1:68" ht="27" customHeight="1" x14ac:dyDescent="0.25">
      <c r="A435" s="63" t="s">
        <v>711</v>
      </c>
      <c r="B435" s="63" t="s">
        <v>712</v>
      </c>
      <c r="C435" s="36">
        <v>4301012083</v>
      </c>
      <c r="D435" s="667">
        <v>4680115884854</v>
      </c>
      <c r="E435" s="66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125</v>
      </c>
      <c r="N435" s="38"/>
      <c r="O435" s="37">
        <v>60</v>
      </c>
      <c r="P435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69"/>
      <c r="R435" s="669"/>
      <c r="S435" s="669"/>
      <c r="T435" s="670"/>
      <c r="U435" s="39" t="s">
        <v>46</v>
      </c>
      <c r="V435" s="39" t="s">
        <v>46</v>
      </c>
      <c r="W435" s="40" t="s">
        <v>0</v>
      </c>
      <c r="X435" s="58">
        <v>100</v>
      </c>
      <c r="Y435" s="55">
        <f t="shared" si="73"/>
        <v>105</v>
      </c>
      <c r="Z435" s="41">
        <f>IFERROR(IF(Y435=0,"",ROUNDUP(Y435/H435,0)*0.02175),"")</f>
        <v>0.15225</v>
      </c>
      <c r="AA435" s="68" t="s">
        <v>46</v>
      </c>
      <c r="AB435" s="69" t="s">
        <v>46</v>
      </c>
      <c r="AC435" s="540" t="s">
        <v>713</v>
      </c>
      <c r="AG435" s="78"/>
      <c r="AJ435" s="84" t="s">
        <v>46</v>
      </c>
      <c r="AK435" s="84">
        <v>0</v>
      </c>
      <c r="BB435" s="541" t="s">
        <v>66</v>
      </c>
      <c r="BM435" s="78">
        <f t="shared" si="74"/>
        <v>103.13333333333334</v>
      </c>
      <c r="BN435" s="78">
        <f t="shared" si="75"/>
        <v>108.29</v>
      </c>
      <c r="BO435" s="78">
        <f t="shared" si="76"/>
        <v>0.1388888888888889</v>
      </c>
      <c r="BP435" s="78">
        <f t="shared" si="77"/>
        <v>0.14583333333333331</v>
      </c>
    </row>
    <row r="436" spans="1:68" ht="27" customHeight="1" x14ac:dyDescent="0.25">
      <c r="A436" s="63" t="s">
        <v>714</v>
      </c>
      <c r="B436" s="63" t="s">
        <v>715</v>
      </c>
      <c r="C436" s="36">
        <v>4301011867</v>
      </c>
      <c r="D436" s="667">
        <v>4680115884830</v>
      </c>
      <c r="E436" s="66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80</v>
      </c>
      <c r="N436" s="38"/>
      <c r="O436" s="37">
        <v>60</v>
      </c>
      <c r="P436" s="7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69"/>
      <c r="R436" s="669"/>
      <c r="S436" s="669"/>
      <c r="T436" s="670"/>
      <c r="U436" s="39" t="s">
        <v>46</v>
      </c>
      <c r="V436" s="39" t="s">
        <v>46</v>
      </c>
      <c r="W436" s="40" t="s">
        <v>0</v>
      </c>
      <c r="X436" s="58">
        <v>120</v>
      </c>
      <c r="Y436" s="55">
        <f t="shared" si="73"/>
        <v>120</v>
      </c>
      <c r="Z436" s="41">
        <f>IFERROR(IF(Y436=0,"",ROUNDUP(Y436/H436,0)*0.02175),"")</f>
        <v>0.17399999999999999</v>
      </c>
      <c r="AA436" s="68" t="s">
        <v>46</v>
      </c>
      <c r="AB436" s="69" t="s">
        <v>46</v>
      </c>
      <c r="AC436" s="542" t="s">
        <v>716</v>
      </c>
      <c r="AG436" s="78"/>
      <c r="AJ436" s="84" t="s">
        <v>46</v>
      </c>
      <c r="AK436" s="84">
        <v>0</v>
      </c>
      <c r="BB436" s="543" t="s">
        <v>66</v>
      </c>
      <c r="BM436" s="78">
        <f t="shared" si="74"/>
        <v>123.76</v>
      </c>
      <c r="BN436" s="78">
        <f t="shared" si="75"/>
        <v>123.76</v>
      </c>
      <c r="BO436" s="78">
        <f t="shared" si="76"/>
        <v>0.16666666666666666</v>
      </c>
      <c r="BP436" s="78">
        <f t="shared" si="77"/>
        <v>0.16666666666666666</v>
      </c>
    </row>
    <row r="437" spans="1:68" ht="27" customHeight="1" x14ac:dyDescent="0.25">
      <c r="A437" s="63" t="s">
        <v>717</v>
      </c>
      <c r="B437" s="63" t="s">
        <v>718</v>
      </c>
      <c r="C437" s="36">
        <v>4301012356</v>
      </c>
      <c r="D437" s="667">
        <v>4680115889231</v>
      </c>
      <c r="E437" s="66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96</v>
      </c>
      <c r="N437" s="38"/>
      <c r="O437" s="37">
        <v>60</v>
      </c>
      <c r="P437" s="72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69"/>
      <c r="R437" s="669"/>
      <c r="S437" s="669"/>
      <c r="T437" s="670"/>
      <c r="U437" s="39" t="s">
        <v>46</v>
      </c>
      <c r="V437" s="39" t="s">
        <v>46</v>
      </c>
      <c r="W437" s="40" t="s">
        <v>0</v>
      </c>
      <c r="X437" s="58">
        <v>100</v>
      </c>
      <c r="Y437" s="55">
        <f t="shared" si="73"/>
        <v>105</v>
      </c>
      <c r="Z437" s="41">
        <f>IFERROR(IF(Y437=0,"",ROUNDUP(Y437/H437,0)*0.02175),"")</f>
        <v>0.15225</v>
      </c>
      <c r="AA437" s="68" t="s">
        <v>46</v>
      </c>
      <c r="AB437" s="69" t="s">
        <v>46</v>
      </c>
      <c r="AC437" s="544" t="s">
        <v>719</v>
      </c>
      <c r="AG437" s="78"/>
      <c r="AJ437" s="84" t="s">
        <v>46</v>
      </c>
      <c r="AK437" s="84">
        <v>0</v>
      </c>
      <c r="BB437" s="545" t="s">
        <v>66</v>
      </c>
      <c r="BM437" s="78">
        <f t="shared" si="74"/>
        <v>103.13333333333334</v>
      </c>
      <c r="BN437" s="78">
        <f t="shared" si="75"/>
        <v>108.29</v>
      </c>
      <c r="BO437" s="78">
        <f t="shared" si="76"/>
        <v>0.1388888888888889</v>
      </c>
      <c r="BP437" s="78">
        <f t="shared" si="77"/>
        <v>0.14583333333333331</v>
      </c>
    </row>
    <row r="438" spans="1:68" ht="27" hidden="1" customHeight="1" x14ac:dyDescent="0.25">
      <c r="A438" s="63" t="s">
        <v>720</v>
      </c>
      <c r="B438" s="63" t="s">
        <v>721</v>
      </c>
      <c r="C438" s="36">
        <v>4301011433</v>
      </c>
      <c r="D438" s="667">
        <v>4680115882638</v>
      </c>
      <c r="E438" s="66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133</v>
      </c>
      <c r="L438" s="37" t="s">
        <v>46</v>
      </c>
      <c r="M438" s="38" t="s">
        <v>125</v>
      </c>
      <c r="N438" s="38"/>
      <c r="O438" s="37">
        <v>90</v>
      </c>
      <c r="P438" s="7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69"/>
      <c r="R438" s="669"/>
      <c r="S438" s="669"/>
      <c r="T438" s="67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722</v>
      </c>
      <c r="AG438" s="78"/>
      <c r="AJ438" s="84" t="s">
        <v>46</v>
      </c>
      <c r="AK438" s="84">
        <v>0</v>
      </c>
      <c r="BB438" s="547" t="s">
        <v>66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723</v>
      </c>
      <c r="B439" s="63" t="s">
        <v>724</v>
      </c>
      <c r="C439" s="36">
        <v>4301011952</v>
      </c>
      <c r="D439" s="667">
        <v>4680115884922</v>
      </c>
      <c r="E439" s="66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69"/>
      <c r="R439" s="669"/>
      <c r="S439" s="669"/>
      <c r="T439" s="67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725</v>
      </c>
      <c r="AG439" s="78"/>
      <c r="AJ439" s="84" t="s">
        <v>46</v>
      </c>
      <c r="AK439" s="84">
        <v>0</v>
      </c>
      <c r="BB439" s="549" t="s">
        <v>66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hidden="1" customHeight="1" x14ac:dyDescent="0.25">
      <c r="A440" s="63" t="s">
        <v>726</v>
      </c>
      <c r="B440" s="63" t="s">
        <v>727</v>
      </c>
      <c r="C440" s="36">
        <v>4301011868</v>
      </c>
      <c r="D440" s="667">
        <v>4680115884861</v>
      </c>
      <c r="E440" s="66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133</v>
      </c>
      <c r="L440" s="37" t="s">
        <v>46</v>
      </c>
      <c r="M440" s="38" t="s">
        <v>80</v>
      </c>
      <c r="N440" s="38"/>
      <c r="O440" s="37">
        <v>60</v>
      </c>
      <c r="P440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69"/>
      <c r="R440" s="669"/>
      <c r="S440" s="669"/>
      <c r="T440" s="67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728</v>
      </c>
      <c r="AG440" s="78"/>
      <c r="AJ440" s="84" t="s">
        <v>46</v>
      </c>
      <c r="AK440" s="84">
        <v>0</v>
      </c>
      <c r="BB440" s="551" t="s">
        <v>66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x14ac:dyDescent="0.2">
      <c r="A441" s="663"/>
      <c r="B441" s="663"/>
      <c r="C441" s="663"/>
      <c r="D441" s="663"/>
      <c r="E441" s="663"/>
      <c r="F441" s="663"/>
      <c r="G441" s="663"/>
      <c r="H441" s="663"/>
      <c r="I441" s="663"/>
      <c r="J441" s="663"/>
      <c r="K441" s="663"/>
      <c r="L441" s="663"/>
      <c r="M441" s="663"/>
      <c r="N441" s="663"/>
      <c r="O441" s="664"/>
      <c r="P441" s="660" t="s">
        <v>40</v>
      </c>
      <c r="Q441" s="661"/>
      <c r="R441" s="661"/>
      <c r="S441" s="661"/>
      <c r="T441" s="661"/>
      <c r="U441" s="661"/>
      <c r="V441" s="662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28.000000000000004</v>
      </c>
      <c r="Y441" s="43">
        <f>IFERROR(Y433/H433,"0")+IFERROR(Y434/H434,"0")+IFERROR(Y435/H435,"0")+IFERROR(Y436/H436,"0")+IFERROR(Y437/H437,"0")+IFERROR(Y438/H438,"0")+IFERROR(Y439/H439,"0")+IFERROR(Y440/H440,"0")</f>
        <v>29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0.63074999999999992</v>
      </c>
      <c r="AA441" s="67"/>
      <c r="AB441" s="67"/>
      <c r="AC441" s="67"/>
    </row>
    <row r="442" spans="1:68" x14ac:dyDescent="0.2">
      <c r="A442" s="663"/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4"/>
      <c r="P442" s="660" t="s">
        <v>40</v>
      </c>
      <c r="Q442" s="661"/>
      <c r="R442" s="661"/>
      <c r="S442" s="661"/>
      <c r="T442" s="661"/>
      <c r="U442" s="661"/>
      <c r="V442" s="662"/>
      <c r="W442" s="42" t="s">
        <v>0</v>
      </c>
      <c r="X442" s="43">
        <f>IFERROR(SUM(X433:X440),"0")</f>
        <v>420</v>
      </c>
      <c r="Y442" s="43">
        <f>IFERROR(SUM(Y433:Y440),"0")</f>
        <v>435</v>
      </c>
      <c r="Z442" s="42"/>
      <c r="AA442" s="67"/>
      <c r="AB442" s="67"/>
      <c r="AC442" s="67"/>
    </row>
    <row r="443" spans="1:68" ht="14.25" hidden="1" customHeight="1" x14ac:dyDescent="0.25">
      <c r="A443" s="666" t="s">
        <v>158</v>
      </c>
      <c r="B443" s="666"/>
      <c r="C443" s="666"/>
      <c r="D443" s="666"/>
      <c r="E443" s="666"/>
      <c r="F443" s="666"/>
      <c r="G443" s="666"/>
      <c r="H443" s="666"/>
      <c r="I443" s="666"/>
      <c r="J443" s="666"/>
      <c r="K443" s="666"/>
      <c r="L443" s="666"/>
      <c r="M443" s="666"/>
      <c r="N443" s="666"/>
      <c r="O443" s="666"/>
      <c r="P443" s="666"/>
      <c r="Q443" s="666"/>
      <c r="R443" s="666"/>
      <c r="S443" s="666"/>
      <c r="T443" s="666"/>
      <c r="U443" s="666"/>
      <c r="V443" s="666"/>
      <c r="W443" s="666"/>
      <c r="X443" s="666"/>
      <c r="Y443" s="666"/>
      <c r="Z443" s="666"/>
      <c r="AA443" s="66"/>
      <c r="AB443" s="66"/>
      <c r="AC443" s="80"/>
    </row>
    <row r="444" spans="1:68" ht="27" customHeight="1" x14ac:dyDescent="0.25">
      <c r="A444" s="63" t="s">
        <v>729</v>
      </c>
      <c r="B444" s="63" t="s">
        <v>730</v>
      </c>
      <c r="C444" s="36">
        <v>4301020178</v>
      </c>
      <c r="D444" s="667">
        <v>4607091383980</v>
      </c>
      <c r="E444" s="66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69"/>
      <c r="R444" s="669"/>
      <c r="S444" s="669"/>
      <c r="T444" s="670"/>
      <c r="U444" s="39" t="s">
        <v>46</v>
      </c>
      <c r="V444" s="39" t="s">
        <v>46</v>
      </c>
      <c r="W444" s="40" t="s">
        <v>0</v>
      </c>
      <c r="X444" s="58">
        <v>100</v>
      </c>
      <c r="Y444" s="55">
        <f>IFERROR(IF(X444="",0,CEILING((X444/$H444),1)*$H444),"")</f>
        <v>105</v>
      </c>
      <c r="Z444" s="41">
        <f>IFERROR(IF(Y444=0,"",ROUNDUP(Y444/H444,0)*0.02175),"")</f>
        <v>0.15225</v>
      </c>
      <c r="AA444" s="68" t="s">
        <v>46</v>
      </c>
      <c r="AB444" s="69" t="s">
        <v>46</v>
      </c>
      <c r="AC444" s="552" t="s">
        <v>731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103.13333333333334</v>
      </c>
      <c r="BN444" s="78">
        <f>IFERROR(Y444*I444/H444,"0")</f>
        <v>108.29</v>
      </c>
      <c r="BO444" s="78">
        <f>IFERROR(1/J444*(X444/H444),"0")</f>
        <v>0.1388888888888889</v>
      </c>
      <c r="BP444" s="78">
        <f>IFERROR(1/J444*(Y444/H444),"0")</f>
        <v>0.14583333333333331</v>
      </c>
    </row>
    <row r="445" spans="1:68" ht="27" hidden="1" customHeight="1" x14ac:dyDescent="0.25">
      <c r="A445" s="63" t="s">
        <v>732</v>
      </c>
      <c r="B445" s="63" t="s">
        <v>733</v>
      </c>
      <c r="C445" s="36">
        <v>4301020355</v>
      </c>
      <c r="D445" s="667">
        <v>4680115888425</v>
      </c>
      <c r="E445" s="66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126</v>
      </c>
      <c r="L445" s="37" t="s">
        <v>46</v>
      </c>
      <c r="M445" s="38" t="s">
        <v>125</v>
      </c>
      <c r="N445" s="38"/>
      <c r="O445" s="37">
        <v>50</v>
      </c>
      <c r="P445" s="72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69"/>
      <c r="R445" s="669"/>
      <c r="S445" s="669"/>
      <c r="T445" s="67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734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735</v>
      </c>
      <c r="B446" s="63" t="s">
        <v>736</v>
      </c>
      <c r="C446" s="36">
        <v>4301020179</v>
      </c>
      <c r="D446" s="667">
        <v>4607091384178</v>
      </c>
      <c r="E446" s="66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133</v>
      </c>
      <c r="L446" s="37" t="s">
        <v>46</v>
      </c>
      <c r="M446" s="38" t="s">
        <v>125</v>
      </c>
      <c r="N446" s="38"/>
      <c r="O446" s="37">
        <v>50</v>
      </c>
      <c r="P446" s="72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69"/>
      <c r="R446" s="669"/>
      <c r="S446" s="669"/>
      <c r="T446" s="67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737</v>
      </c>
      <c r="AG446" s="78"/>
      <c r="AJ446" s="84" t="s">
        <v>46</v>
      </c>
      <c r="AK446" s="84">
        <v>0</v>
      </c>
      <c r="BB446" s="55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63"/>
      <c r="B447" s="663"/>
      <c r="C447" s="663"/>
      <c r="D447" s="663"/>
      <c r="E447" s="663"/>
      <c r="F447" s="663"/>
      <c r="G447" s="663"/>
      <c r="H447" s="663"/>
      <c r="I447" s="663"/>
      <c r="J447" s="663"/>
      <c r="K447" s="663"/>
      <c r="L447" s="663"/>
      <c r="M447" s="663"/>
      <c r="N447" s="663"/>
      <c r="O447" s="664"/>
      <c r="P447" s="660" t="s">
        <v>40</v>
      </c>
      <c r="Q447" s="661"/>
      <c r="R447" s="661"/>
      <c r="S447" s="661"/>
      <c r="T447" s="661"/>
      <c r="U447" s="661"/>
      <c r="V447" s="662"/>
      <c r="W447" s="42" t="s">
        <v>39</v>
      </c>
      <c r="X447" s="43">
        <f>IFERROR(X444/H444,"0")+IFERROR(X445/H445,"0")+IFERROR(X446/H446,"0")</f>
        <v>6.666666666666667</v>
      </c>
      <c r="Y447" s="43">
        <f>IFERROR(Y444/H444,"0")+IFERROR(Y445/H445,"0")+IFERROR(Y446/H446,"0")</f>
        <v>7</v>
      </c>
      <c r="Z447" s="43">
        <f>IFERROR(IF(Z444="",0,Z444),"0")+IFERROR(IF(Z445="",0,Z445),"0")+IFERROR(IF(Z446="",0,Z446),"0")</f>
        <v>0.15225</v>
      </c>
      <c r="AA447" s="67"/>
      <c r="AB447" s="67"/>
      <c r="AC447" s="67"/>
    </row>
    <row r="448" spans="1:68" x14ac:dyDescent="0.2">
      <c r="A448" s="663"/>
      <c r="B448" s="663"/>
      <c r="C448" s="663"/>
      <c r="D448" s="663"/>
      <c r="E448" s="663"/>
      <c r="F448" s="663"/>
      <c r="G448" s="663"/>
      <c r="H448" s="663"/>
      <c r="I448" s="663"/>
      <c r="J448" s="663"/>
      <c r="K448" s="663"/>
      <c r="L448" s="663"/>
      <c r="M448" s="663"/>
      <c r="N448" s="663"/>
      <c r="O448" s="664"/>
      <c r="P448" s="660" t="s">
        <v>40</v>
      </c>
      <c r="Q448" s="661"/>
      <c r="R448" s="661"/>
      <c r="S448" s="661"/>
      <c r="T448" s="661"/>
      <c r="U448" s="661"/>
      <c r="V448" s="662"/>
      <c r="W448" s="42" t="s">
        <v>0</v>
      </c>
      <c r="X448" s="43">
        <f>IFERROR(SUM(X444:X446),"0")</f>
        <v>100</v>
      </c>
      <c r="Y448" s="43">
        <f>IFERROR(SUM(Y444:Y446),"0")</f>
        <v>105</v>
      </c>
      <c r="Z448" s="42"/>
      <c r="AA448" s="67"/>
      <c r="AB448" s="67"/>
      <c r="AC448" s="67"/>
    </row>
    <row r="449" spans="1:68" ht="14.25" hidden="1" customHeight="1" x14ac:dyDescent="0.25">
      <c r="A449" s="666" t="s">
        <v>85</v>
      </c>
      <c r="B449" s="666"/>
      <c r="C449" s="666"/>
      <c r="D449" s="666"/>
      <c r="E449" s="666"/>
      <c r="F449" s="666"/>
      <c r="G449" s="666"/>
      <c r="H449" s="666"/>
      <c r="I449" s="666"/>
      <c r="J449" s="666"/>
      <c r="K449" s="666"/>
      <c r="L449" s="666"/>
      <c r="M449" s="666"/>
      <c r="N449" s="666"/>
      <c r="O449" s="666"/>
      <c r="P449" s="666"/>
      <c r="Q449" s="666"/>
      <c r="R449" s="666"/>
      <c r="S449" s="666"/>
      <c r="T449" s="666"/>
      <c r="U449" s="666"/>
      <c r="V449" s="666"/>
      <c r="W449" s="666"/>
      <c r="X449" s="666"/>
      <c r="Y449" s="666"/>
      <c r="Z449" s="666"/>
      <c r="AA449" s="66"/>
      <c r="AB449" s="66"/>
      <c r="AC449" s="80"/>
    </row>
    <row r="450" spans="1:68" ht="27" hidden="1" customHeight="1" x14ac:dyDescent="0.25">
      <c r="A450" s="63" t="s">
        <v>738</v>
      </c>
      <c r="B450" s="63" t="s">
        <v>739</v>
      </c>
      <c r="C450" s="36">
        <v>4301051903</v>
      </c>
      <c r="D450" s="667">
        <v>4607091383928</v>
      </c>
      <c r="E450" s="66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69"/>
      <c r="R450" s="669"/>
      <c r="S450" s="669"/>
      <c r="T450" s="67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740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741</v>
      </c>
      <c r="B451" s="63" t="s">
        <v>742</v>
      </c>
      <c r="C451" s="36">
        <v>4301051897</v>
      </c>
      <c r="D451" s="667">
        <v>4607091384260</v>
      </c>
      <c r="E451" s="66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126</v>
      </c>
      <c r="L451" s="37" t="s">
        <v>46</v>
      </c>
      <c r="M451" s="38" t="s">
        <v>89</v>
      </c>
      <c r="N451" s="38"/>
      <c r="O451" s="37">
        <v>40</v>
      </c>
      <c r="P451" s="7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69"/>
      <c r="R451" s="669"/>
      <c r="S451" s="669"/>
      <c r="T451" s="67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743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744</v>
      </c>
      <c r="B452" s="63" t="s">
        <v>745</v>
      </c>
      <c r="C452" s="36">
        <v>4301052220</v>
      </c>
      <c r="D452" s="667">
        <v>4680115889538</v>
      </c>
      <c r="E452" s="66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126</v>
      </c>
      <c r="L452" s="37" t="s">
        <v>46</v>
      </c>
      <c r="M452" s="38" t="s">
        <v>89</v>
      </c>
      <c r="N452" s="38"/>
      <c r="O452" s="37">
        <v>45</v>
      </c>
      <c r="P452" s="7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69"/>
      <c r="R452" s="669"/>
      <c r="S452" s="669"/>
      <c r="T452" s="67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746</v>
      </c>
      <c r="AG452" s="78"/>
      <c r="AJ452" s="84" t="s">
        <v>46</v>
      </c>
      <c r="AK452" s="84">
        <v>0</v>
      </c>
      <c r="BB452" s="56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663"/>
      <c r="B453" s="663"/>
      <c r="C453" s="663"/>
      <c r="D453" s="663"/>
      <c r="E453" s="663"/>
      <c r="F453" s="663"/>
      <c r="G453" s="663"/>
      <c r="H453" s="663"/>
      <c r="I453" s="663"/>
      <c r="J453" s="663"/>
      <c r="K453" s="663"/>
      <c r="L453" s="663"/>
      <c r="M453" s="663"/>
      <c r="N453" s="663"/>
      <c r="O453" s="664"/>
      <c r="P453" s="660" t="s">
        <v>40</v>
      </c>
      <c r="Q453" s="661"/>
      <c r="R453" s="661"/>
      <c r="S453" s="661"/>
      <c r="T453" s="661"/>
      <c r="U453" s="661"/>
      <c r="V453" s="662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663"/>
      <c r="B454" s="663"/>
      <c r="C454" s="663"/>
      <c r="D454" s="663"/>
      <c r="E454" s="663"/>
      <c r="F454" s="663"/>
      <c r="G454" s="663"/>
      <c r="H454" s="663"/>
      <c r="I454" s="663"/>
      <c r="J454" s="663"/>
      <c r="K454" s="663"/>
      <c r="L454" s="663"/>
      <c r="M454" s="663"/>
      <c r="N454" s="663"/>
      <c r="O454" s="664"/>
      <c r="P454" s="660" t="s">
        <v>40</v>
      </c>
      <c r="Q454" s="661"/>
      <c r="R454" s="661"/>
      <c r="S454" s="661"/>
      <c r="T454" s="661"/>
      <c r="U454" s="661"/>
      <c r="V454" s="662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66" t="s">
        <v>177</v>
      </c>
      <c r="B455" s="666"/>
      <c r="C455" s="666"/>
      <c r="D455" s="666"/>
      <c r="E455" s="666"/>
      <c r="F455" s="666"/>
      <c r="G455" s="666"/>
      <c r="H455" s="666"/>
      <c r="I455" s="666"/>
      <c r="J455" s="666"/>
      <c r="K455" s="666"/>
      <c r="L455" s="666"/>
      <c r="M455" s="666"/>
      <c r="N455" s="666"/>
      <c r="O455" s="666"/>
      <c r="P455" s="666"/>
      <c r="Q455" s="666"/>
      <c r="R455" s="666"/>
      <c r="S455" s="666"/>
      <c r="T455" s="666"/>
      <c r="U455" s="666"/>
      <c r="V455" s="666"/>
      <c r="W455" s="666"/>
      <c r="X455" s="666"/>
      <c r="Y455" s="666"/>
      <c r="Z455" s="666"/>
      <c r="AA455" s="66"/>
      <c r="AB455" s="66"/>
      <c r="AC455" s="80"/>
    </row>
    <row r="456" spans="1:68" ht="27" hidden="1" customHeight="1" x14ac:dyDescent="0.25">
      <c r="A456" s="63" t="s">
        <v>747</v>
      </c>
      <c r="B456" s="63" t="s">
        <v>748</v>
      </c>
      <c r="C456" s="36">
        <v>4301060537</v>
      </c>
      <c r="D456" s="667">
        <v>4680115889545</v>
      </c>
      <c r="E456" s="66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126</v>
      </c>
      <c r="L456" s="37" t="s">
        <v>46</v>
      </c>
      <c r="M456" s="38" t="s">
        <v>89</v>
      </c>
      <c r="N456" s="38"/>
      <c r="O456" s="37">
        <v>30</v>
      </c>
      <c r="P456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69"/>
      <c r="R456" s="669"/>
      <c r="S456" s="669"/>
      <c r="T456" s="67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749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750</v>
      </c>
      <c r="B457" s="63" t="s">
        <v>751</v>
      </c>
      <c r="C457" s="36">
        <v>4301060524</v>
      </c>
      <c r="D457" s="667">
        <v>4607091384673</v>
      </c>
      <c r="E457" s="66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126</v>
      </c>
      <c r="L457" s="37" t="s">
        <v>46</v>
      </c>
      <c r="M457" s="38" t="s">
        <v>89</v>
      </c>
      <c r="N457" s="38"/>
      <c r="O457" s="37">
        <v>40</v>
      </c>
      <c r="P457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69"/>
      <c r="R457" s="669"/>
      <c r="S457" s="669"/>
      <c r="T457" s="67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752</v>
      </c>
      <c r="AG457" s="78"/>
      <c r="AJ457" s="84" t="s">
        <v>46</v>
      </c>
      <c r="AK457" s="84">
        <v>0</v>
      </c>
      <c r="BB457" s="567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63"/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4"/>
      <c r="P458" s="660" t="s">
        <v>40</v>
      </c>
      <c r="Q458" s="661"/>
      <c r="R458" s="661"/>
      <c r="S458" s="661"/>
      <c r="T458" s="661"/>
      <c r="U458" s="661"/>
      <c r="V458" s="66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63"/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4"/>
      <c r="P459" s="660" t="s">
        <v>40</v>
      </c>
      <c r="Q459" s="661"/>
      <c r="R459" s="661"/>
      <c r="S459" s="661"/>
      <c r="T459" s="661"/>
      <c r="U459" s="661"/>
      <c r="V459" s="66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665" t="s">
        <v>753</v>
      </c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5"/>
      <c r="AB460" s="65"/>
      <c r="AC460" s="79"/>
    </row>
    <row r="461" spans="1:68" ht="14.25" hidden="1" customHeight="1" x14ac:dyDescent="0.25">
      <c r="A461" s="666" t="s">
        <v>121</v>
      </c>
      <c r="B461" s="666"/>
      <c r="C461" s="666"/>
      <c r="D461" s="666"/>
      <c r="E461" s="666"/>
      <c r="F461" s="666"/>
      <c r="G461" s="666"/>
      <c r="H461" s="666"/>
      <c r="I461" s="666"/>
      <c r="J461" s="666"/>
      <c r="K461" s="666"/>
      <c r="L461" s="666"/>
      <c r="M461" s="666"/>
      <c r="N461" s="666"/>
      <c r="O461" s="666"/>
      <c r="P461" s="666"/>
      <c r="Q461" s="666"/>
      <c r="R461" s="666"/>
      <c r="S461" s="666"/>
      <c r="T461" s="666"/>
      <c r="U461" s="666"/>
      <c r="V461" s="666"/>
      <c r="W461" s="666"/>
      <c r="X461" s="666"/>
      <c r="Y461" s="666"/>
      <c r="Z461" s="666"/>
      <c r="AA461" s="66"/>
      <c r="AB461" s="66"/>
      <c r="AC461" s="80"/>
    </row>
    <row r="462" spans="1:68" ht="27" hidden="1" customHeight="1" x14ac:dyDescent="0.25">
      <c r="A462" s="63" t="s">
        <v>754</v>
      </c>
      <c r="B462" s="63" t="s">
        <v>755</v>
      </c>
      <c r="C462" s="36">
        <v>4301011875</v>
      </c>
      <c r="D462" s="667">
        <v>4680115884885</v>
      </c>
      <c r="E462" s="66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126</v>
      </c>
      <c r="L462" s="37" t="s">
        <v>46</v>
      </c>
      <c r="M462" s="38" t="s">
        <v>80</v>
      </c>
      <c r="N462" s="38"/>
      <c r="O462" s="37">
        <v>60</v>
      </c>
      <c r="P462" s="7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69"/>
      <c r="R462" s="669"/>
      <c r="S462" s="669"/>
      <c r="T462" s="67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756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757</v>
      </c>
      <c r="B463" s="63" t="s">
        <v>758</v>
      </c>
      <c r="C463" s="36">
        <v>4301011871</v>
      </c>
      <c r="D463" s="667">
        <v>4680115884908</v>
      </c>
      <c r="E463" s="66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133</v>
      </c>
      <c r="L463" s="37" t="s">
        <v>46</v>
      </c>
      <c r="M463" s="38" t="s">
        <v>80</v>
      </c>
      <c r="N463" s="38"/>
      <c r="O463" s="37">
        <v>60</v>
      </c>
      <c r="P463" s="72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69"/>
      <c r="R463" s="669"/>
      <c r="S463" s="669"/>
      <c r="T463" s="67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756</v>
      </c>
      <c r="AG463" s="78"/>
      <c r="AJ463" s="84" t="s">
        <v>46</v>
      </c>
      <c r="AK463" s="84">
        <v>0</v>
      </c>
      <c r="BB463" s="57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3"/>
      <c r="B464" s="663"/>
      <c r="C464" s="663"/>
      <c r="D464" s="663"/>
      <c r="E464" s="663"/>
      <c r="F464" s="663"/>
      <c r="G464" s="663"/>
      <c r="H464" s="663"/>
      <c r="I464" s="663"/>
      <c r="J464" s="663"/>
      <c r="K464" s="663"/>
      <c r="L464" s="663"/>
      <c r="M464" s="663"/>
      <c r="N464" s="663"/>
      <c r="O464" s="664"/>
      <c r="P464" s="660" t="s">
        <v>40</v>
      </c>
      <c r="Q464" s="661"/>
      <c r="R464" s="661"/>
      <c r="S464" s="661"/>
      <c r="T464" s="661"/>
      <c r="U464" s="661"/>
      <c r="V464" s="662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63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64"/>
      <c r="P465" s="660" t="s">
        <v>40</v>
      </c>
      <c r="Q465" s="661"/>
      <c r="R465" s="661"/>
      <c r="S465" s="661"/>
      <c r="T465" s="661"/>
      <c r="U465" s="661"/>
      <c r="V465" s="662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6" t="s">
        <v>76</v>
      </c>
      <c r="B466" s="666"/>
      <c r="C466" s="666"/>
      <c r="D466" s="666"/>
      <c r="E466" s="666"/>
      <c r="F466" s="666"/>
      <c r="G466" s="666"/>
      <c r="H466" s="666"/>
      <c r="I466" s="666"/>
      <c r="J466" s="666"/>
      <c r="K466" s="666"/>
      <c r="L466" s="666"/>
      <c r="M466" s="666"/>
      <c r="N466" s="666"/>
      <c r="O466" s="666"/>
      <c r="P466" s="666"/>
      <c r="Q466" s="666"/>
      <c r="R466" s="666"/>
      <c r="S466" s="666"/>
      <c r="T466" s="666"/>
      <c r="U466" s="666"/>
      <c r="V466" s="666"/>
      <c r="W466" s="666"/>
      <c r="X466" s="666"/>
      <c r="Y466" s="666"/>
      <c r="Z466" s="666"/>
      <c r="AA466" s="66"/>
      <c r="AB466" s="66"/>
      <c r="AC466" s="80"/>
    </row>
    <row r="467" spans="1:68" ht="27" hidden="1" customHeight="1" x14ac:dyDescent="0.25">
      <c r="A467" s="63" t="s">
        <v>759</v>
      </c>
      <c r="B467" s="63" t="s">
        <v>760</v>
      </c>
      <c r="C467" s="36">
        <v>4301031457</v>
      </c>
      <c r="D467" s="667">
        <v>4607091384802</v>
      </c>
      <c r="E467" s="66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133</v>
      </c>
      <c r="L467" s="37" t="s">
        <v>46</v>
      </c>
      <c r="M467" s="38" t="s">
        <v>80</v>
      </c>
      <c r="N467" s="38"/>
      <c r="O467" s="37">
        <v>50</v>
      </c>
      <c r="P467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69"/>
      <c r="R467" s="669"/>
      <c r="S467" s="669"/>
      <c r="T467" s="67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761</v>
      </c>
      <c r="AG467" s="78"/>
      <c r="AJ467" s="84" t="s">
        <v>46</v>
      </c>
      <c r="AK467" s="84">
        <v>0</v>
      </c>
      <c r="BB467" s="57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63"/>
      <c r="B468" s="663"/>
      <c r="C468" s="663"/>
      <c r="D468" s="663"/>
      <c r="E468" s="663"/>
      <c r="F468" s="663"/>
      <c r="G468" s="663"/>
      <c r="H468" s="663"/>
      <c r="I468" s="663"/>
      <c r="J468" s="663"/>
      <c r="K468" s="663"/>
      <c r="L468" s="663"/>
      <c r="M468" s="663"/>
      <c r="N468" s="663"/>
      <c r="O468" s="664"/>
      <c r="P468" s="660" t="s">
        <v>40</v>
      </c>
      <c r="Q468" s="661"/>
      <c r="R468" s="661"/>
      <c r="S468" s="661"/>
      <c r="T468" s="661"/>
      <c r="U468" s="661"/>
      <c r="V468" s="66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63"/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4"/>
      <c r="P469" s="660" t="s">
        <v>40</v>
      </c>
      <c r="Q469" s="661"/>
      <c r="R469" s="661"/>
      <c r="S469" s="661"/>
      <c r="T469" s="661"/>
      <c r="U469" s="661"/>
      <c r="V469" s="66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66" t="s">
        <v>85</v>
      </c>
      <c r="B470" s="666"/>
      <c r="C470" s="666"/>
      <c r="D470" s="666"/>
      <c r="E470" s="666"/>
      <c r="F470" s="666"/>
      <c r="G470" s="666"/>
      <c r="H470" s="666"/>
      <c r="I470" s="666"/>
      <c r="J470" s="666"/>
      <c r="K470" s="666"/>
      <c r="L470" s="666"/>
      <c r="M470" s="666"/>
      <c r="N470" s="666"/>
      <c r="O470" s="666"/>
      <c r="P470" s="666"/>
      <c r="Q470" s="666"/>
      <c r="R470" s="666"/>
      <c r="S470" s="666"/>
      <c r="T470" s="666"/>
      <c r="U470" s="666"/>
      <c r="V470" s="666"/>
      <c r="W470" s="666"/>
      <c r="X470" s="666"/>
      <c r="Y470" s="666"/>
      <c r="Z470" s="666"/>
      <c r="AA470" s="66"/>
      <c r="AB470" s="66"/>
      <c r="AC470" s="80"/>
    </row>
    <row r="471" spans="1:68" ht="27" hidden="1" customHeight="1" x14ac:dyDescent="0.25">
      <c r="A471" s="63" t="s">
        <v>762</v>
      </c>
      <c r="B471" s="63" t="s">
        <v>763</v>
      </c>
      <c r="C471" s="36">
        <v>4301051899</v>
      </c>
      <c r="D471" s="667">
        <v>4607091384246</v>
      </c>
      <c r="E471" s="66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126</v>
      </c>
      <c r="L471" s="37" t="s">
        <v>46</v>
      </c>
      <c r="M471" s="38" t="s">
        <v>89</v>
      </c>
      <c r="N471" s="38"/>
      <c r="O471" s="37">
        <v>40</v>
      </c>
      <c r="P471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69"/>
      <c r="R471" s="669"/>
      <c r="S471" s="669"/>
      <c r="T471" s="67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764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765</v>
      </c>
      <c r="B472" s="63" t="s">
        <v>766</v>
      </c>
      <c r="C472" s="36">
        <v>4301051660</v>
      </c>
      <c r="D472" s="667">
        <v>4607091384253</v>
      </c>
      <c r="E472" s="66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69"/>
      <c r="R472" s="669"/>
      <c r="S472" s="669"/>
      <c r="T472" s="67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764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765</v>
      </c>
      <c r="B473" s="63" t="s">
        <v>767</v>
      </c>
      <c r="C473" s="36">
        <v>4301052069</v>
      </c>
      <c r="D473" s="667">
        <v>4607091384253</v>
      </c>
      <c r="E473" s="66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90</v>
      </c>
      <c r="L473" s="37" t="s">
        <v>46</v>
      </c>
      <c r="M473" s="38" t="s">
        <v>89</v>
      </c>
      <c r="N473" s="38"/>
      <c r="O473" s="37">
        <v>40</v>
      </c>
      <c r="P473" s="71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69"/>
      <c r="R473" s="669"/>
      <c r="S473" s="669"/>
      <c r="T473" s="67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768</v>
      </c>
      <c r="AG473" s="78"/>
      <c r="AJ473" s="84" t="s">
        <v>46</v>
      </c>
      <c r="AK473" s="84">
        <v>0</v>
      </c>
      <c r="BB473" s="57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63"/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4"/>
      <c r="P474" s="660" t="s">
        <v>40</v>
      </c>
      <c r="Q474" s="661"/>
      <c r="R474" s="661"/>
      <c r="S474" s="661"/>
      <c r="T474" s="661"/>
      <c r="U474" s="661"/>
      <c r="V474" s="662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663"/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4"/>
      <c r="P475" s="660" t="s">
        <v>40</v>
      </c>
      <c r="Q475" s="661"/>
      <c r="R475" s="661"/>
      <c r="S475" s="661"/>
      <c r="T475" s="661"/>
      <c r="U475" s="661"/>
      <c r="V475" s="662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680" t="s">
        <v>769</v>
      </c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0"/>
      <c r="P476" s="680"/>
      <c r="Q476" s="680"/>
      <c r="R476" s="680"/>
      <c r="S476" s="680"/>
      <c r="T476" s="680"/>
      <c r="U476" s="680"/>
      <c r="V476" s="680"/>
      <c r="W476" s="680"/>
      <c r="X476" s="680"/>
      <c r="Y476" s="680"/>
      <c r="Z476" s="680"/>
      <c r="AA476" s="54"/>
      <c r="AB476" s="54"/>
      <c r="AC476" s="54"/>
    </row>
    <row r="477" spans="1:68" ht="16.5" hidden="1" customHeight="1" x14ac:dyDescent="0.25">
      <c r="A477" s="665" t="s">
        <v>770</v>
      </c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5"/>
      <c r="AB477" s="65"/>
      <c r="AC477" s="79"/>
    </row>
    <row r="478" spans="1:68" ht="14.25" hidden="1" customHeight="1" x14ac:dyDescent="0.25">
      <c r="A478" s="666" t="s">
        <v>76</v>
      </c>
      <c r="B478" s="666"/>
      <c r="C478" s="666"/>
      <c r="D478" s="666"/>
      <c r="E478" s="666"/>
      <c r="F478" s="666"/>
      <c r="G478" s="666"/>
      <c r="H478" s="666"/>
      <c r="I478" s="666"/>
      <c r="J478" s="666"/>
      <c r="K478" s="666"/>
      <c r="L478" s="666"/>
      <c r="M478" s="666"/>
      <c r="N478" s="666"/>
      <c r="O478" s="666"/>
      <c r="P478" s="666"/>
      <c r="Q478" s="666"/>
      <c r="R478" s="666"/>
      <c r="S478" s="666"/>
      <c r="T478" s="666"/>
      <c r="U478" s="666"/>
      <c r="V478" s="666"/>
      <c r="W478" s="666"/>
      <c r="X478" s="666"/>
      <c r="Y478" s="666"/>
      <c r="Z478" s="666"/>
      <c r="AA478" s="66"/>
      <c r="AB478" s="66"/>
      <c r="AC478" s="80"/>
    </row>
    <row r="479" spans="1:68" ht="27" hidden="1" customHeight="1" x14ac:dyDescent="0.25">
      <c r="A479" s="63" t="s">
        <v>771</v>
      </c>
      <c r="B479" s="63" t="s">
        <v>772</v>
      </c>
      <c r="C479" s="36">
        <v>4301031405</v>
      </c>
      <c r="D479" s="667">
        <v>4680115886100</v>
      </c>
      <c r="E479" s="66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69"/>
      <c r="R479" s="669"/>
      <c r="S479" s="669"/>
      <c r="T479" s="67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8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773</v>
      </c>
      <c r="AG479" s="78"/>
      <c r="AJ479" s="84" t="s">
        <v>46</v>
      </c>
      <c r="AK479" s="84">
        <v>0</v>
      </c>
      <c r="BB479" s="581" t="s">
        <v>66</v>
      </c>
      <c r="BM479" s="78">
        <f t="shared" ref="BM479:BM484" si="79">IFERROR(X479*I479/H479,"0")</f>
        <v>0</v>
      </c>
      <c r="BN479" s="78">
        <f t="shared" ref="BN479:BN484" si="80">IFERROR(Y479*I479/H479,"0")</f>
        <v>0</v>
      </c>
      <c r="BO479" s="78">
        <f t="shared" ref="BO479:BO484" si="81">IFERROR(1/J479*(X479/H479),"0")</f>
        <v>0</v>
      </c>
      <c r="BP479" s="78">
        <f t="shared" ref="BP479:BP484" si="82">IFERROR(1/J479*(Y479/H479),"0")</f>
        <v>0</v>
      </c>
    </row>
    <row r="480" spans="1:68" ht="27" hidden="1" customHeight="1" x14ac:dyDescent="0.25">
      <c r="A480" s="63" t="s">
        <v>774</v>
      </c>
      <c r="B480" s="63" t="s">
        <v>775</v>
      </c>
      <c r="C480" s="36">
        <v>4301031402</v>
      </c>
      <c r="D480" s="667">
        <v>4680115886124</v>
      </c>
      <c r="E480" s="66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133</v>
      </c>
      <c r="L480" s="37" t="s">
        <v>46</v>
      </c>
      <c r="M480" s="38" t="s">
        <v>80</v>
      </c>
      <c r="N480" s="38"/>
      <c r="O480" s="37">
        <v>50</v>
      </c>
      <c r="P480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69"/>
      <c r="R480" s="669"/>
      <c r="S480" s="669"/>
      <c r="T480" s="67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66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777</v>
      </c>
      <c r="B481" s="63" t="s">
        <v>778</v>
      </c>
      <c r="C481" s="36">
        <v>4301031362</v>
      </c>
      <c r="D481" s="667">
        <v>4607091384338</v>
      </c>
      <c r="E481" s="66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69"/>
      <c r="R481" s="669"/>
      <c r="S481" s="669"/>
      <c r="T481" s="67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773</v>
      </c>
      <c r="AG481" s="78"/>
      <c r="AJ481" s="84" t="s">
        <v>46</v>
      </c>
      <c r="AK481" s="84">
        <v>0</v>
      </c>
      <c r="BB481" s="585" t="s">
        <v>66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779</v>
      </c>
      <c r="B482" s="63" t="s">
        <v>780</v>
      </c>
      <c r="C482" s="36">
        <v>4301031364</v>
      </c>
      <c r="D482" s="667">
        <v>4680115883161</v>
      </c>
      <c r="E482" s="66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69"/>
      <c r="R482" s="669"/>
      <c r="S482" s="669"/>
      <c r="T482" s="67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781</v>
      </c>
      <c r="AG482" s="78"/>
      <c r="AJ482" s="84" t="s">
        <v>46</v>
      </c>
      <c r="AK482" s="84">
        <v>0</v>
      </c>
      <c r="BB482" s="587" t="s">
        <v>66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hidden="1" customHeight="1" x14ac:dyDescent="0.25">
      <c r="A483" s="63" t="s">
        <v>782</v>
      </c>
      <c r="B483" s="63" t="s">
        <v>783</v>
      </c>
      <c r="C483" s="36">
        <v>4301031358</v>
      </c>
      <c r="D483" s="667">
        <v>4607091389531</v>
      </c>
      <c r="E483" s="66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69"/>
      <c r="R483" s="669"/>
      <c r="S483" s="669"/>
      <c r="T483" s="67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66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hidden="1" customHeight="1" x14ac:dyDescent="0.25">
      <c r="A484" s="63" t="s">
        <v>785</v>
      </c>
      <c r="B484" s="63" t="s">
        <v>786</v>
      </c>
      <c r="C484" s="36">
        <v>4301031360</v>
      </c>
      <c r="D484" s="667">
        <v>4607091384345</v>
      </c>
      <c r="E484" s="66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81</v>
      </c>
      <c r="L484" s="37" t="s">
        <v>46</v>
      </c>
      <c r="M484" s="38" t="s">
        <v>80</v>
      </c>
      <c r="N484" s="38"/>
      <c r="O484" s="37">
        <v>50</v>
      </c>
      <c r="P484" s="7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69"/>
      <c r="R484" s="669"/>
      <c r="S484" s="669"/>
      <c r="T484" s="67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8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781</v>
      </c>
      <c r="AG484" s="78"/>
      <c r="AJ484" s="84" t="s">
        <v>46</v>
      </c>
      <c r="AK484" s="84">
        <v>0</v>
      </c>
      <c r="BB484" s="591" t="s">
        <v>66</v>
      </c>
      <c r="BM484" s="78">
        <f t="shared" si="79"/>
        <v>0</v>
      </c>
      <c r="BN484" s="78">
        <f t="shared" si="80"/>
        <v>0</v>
      </c>
      <c r="BO484" s="78">
        <f t="shared" si="81"/>
        <v>0</v>
      </c>
      <c r="BP484" s="78">
        <f t="shared" si="82"/>
        <v>0</v>
      </c>
    </row>
    <row r="485" spans="1:68" hidden="1" x14ac:dyDescent="0.2">
      <c r="A485" s="663"/>
      <c r="B485" s="663"/>
      <c r="C485" s="663"/>
      <c r="D485" s="663"/>
      <c r="E485" s="663"/>
      <c r="F485" s="663"/>
      <c r="G485" s="663"/>
      <c r="H485" s="663"/>
      <c r="I485" s="663"/>
      <c r="J485" s="663"/>
      <c r="K485" s="663"/>
      <c r="L485" s="663"/>
      <c r="M485" s="663"/>
      <c r="N485" s="663"/>
      <c r="O485" s="664"/>
      <c r="P485" s="660" t="s">
        <v>40</v>
      </c>
      <c r="Q485" s="661"/>
      <c r="R485" s="661"/>
      <c r="S485" s="661"/>
      <c r="T485" s="661"/>
      <c r="U485" s="661"/>
      <c r="V485" s="662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663"/>
      <c r="B486" s="663"/>
      <c r="C486" s="663"/>
      <c r="D486" s="663"/>
      <c r="E486" s="663"/>
      <c r="F486" s="663"/>
      <c r="G486" s="663"/>
      <c r="H486" s="663"/>
      <c r="I486" s="663"/>
      <c r="J486" s="663"/>
      <c r="K486" s="663"/>
      <c r="L486" s="663"/>
      <c r="M486" s="663"/>
      <c r="N486" s="663"/>
      <c r="O486" s="664"/>
      <c r="P486" s="660" t="s">
        <v>40</v>
      </c>
      <c r="Q486" s="661"/>
      <c r="R486" s="661"/>
      <c r="S486" s="661"/>
      <c r="T486" s="661"/>
      <c r="U486" s="661"/>
      <c r="V486" s="662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66" t="s">
        <v>85</v>
      </c>
      <c r="B487" s="666"/>
      <c r="C487" s="666"/>
      <c r="D487" s="666"/>
      <c r="E487" s="666"/>
      <c r="F487" s="666"/>
      <c r="G487" s="666"/>
      <c r="H487" s="666"/>
      <c r="I487" s="666"/>
      <c r="J487" s="666"/>
      <c r="K487" s="666"/>
      <c r="L487" s="666"/>
      <c r="M487" s="666"/>
      <c r="N487" s="666"/>
      <c r="O487" s="666"/>
      <c r="P487" s="666"/>
      <c r="Q487" s="666"/>
      <c r="R487" s="666"/>
      <c r="S487" s="666"/>
      <c r="T487" s="666"/>
      <c r="U487" s="666"/>
      <c r="V487" s="666"/>
      <c r="W487" s="666"/>
      <c r="X487" s="666"/>
      <c r="Y487" s="666"/>
      <c r="Z487" s="666"/>
      <c r="AA487" s="66"/>
      <c r="AB487" s="66"/>
      <c r="AC487" s="80"/>
    </row>
    <row r="488" spans="1:68" ht="27" hidden="1" customHeight="1" x14ac:dyDescent="0.25">
      <c r="A488" s="63" t="s">
        <v>787</v>
      </c>
      <c r="B488" s="63" t="s">
        <v>788</v>
      </c>
      <c r="C488" s="36">
        <v>4301051284</v>
      </c>
      <c r="D488" s="667">
        <v>4607091384352</v>
      </c>
      <c r="E488" s="66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133</v>
      </c>
      <c r="L488" s="37" t="s">
        <v>46</v>
      </c>
      <c r="M488" s="38" t="s">
        <v>89</v>
      </c>
      <c r="N488" s="38"/>
      <c r="O488" s="37">
        <v>45</v>
      </c>
      <c r="P488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69"/>
      <c r="R488" s="669"/>
      <c r="S488" s="669"/>
      <c r="T488" s="67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789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790</v>
      </c>
      <c r="B489" s="63" t="s">
        <v>791</v>
      </c>
      <c r="C489" s="36">
        <v>4301051431</v>
      </c>
      <c r="D489" s="667">
        <v>4607091389654</v>
      </c>
      <c r="E489" s="66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90</v>
      </c>
      <c r="L489" s="37" t="s">
        <v>46</v>
      </c>
      <c r="M489" s="38" t="s">
        <v>89</v>
      </c>
      <c r="N489" s="38"/>
      <c r="O489" s="37">
        <v>45</v>
      </c>
      <c r="P489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69"/>
      <c r="R489" s="669"/>
      <c r="S489" s="669"/>
      <c r="T489" s="67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792</v>
      </c>
      <c r="AG489" s="78"/>
      <c r="AJ489" s="84" t="s">
        <v>46</v>
      </c>
      <c r="AK489" s="84">
        <v>0</v>
      </c>
      <c r="BB489" s="595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63"/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4"/>
      <c r="P490" s="660" t="s">
        <v>40</v>
      </c>
      <c r="Q490" s="661"/>
      <c r="R490" s="661"/>
      <c r="S490" s="661"/>
      <c r="T490" s="661"/>
      <c r="U490" s="661"/>
      <c r="V490" s="662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663"/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4"/>
      <c r="P491" s="660" t="s">
        <v>40</v>
      </c>
      <c r="Q491" s="661"/>
      <c r="R491" s="661"/>
      <c r="S491" s="661"/>
      <c r="T491" s="661"/>
      <c r="U491" s="661"/>
      <c r="V491" s="662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665" t="s">
        <v>793</v>
      </c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5"/>
      <c r="AB492" s="65"/>
      <c r="AC492" s="79"/>
    </row>
    <row r="493" spans="1:68" ht="14.25" hidden="1" customHeight="1" x14ac:dyDescent="0.25">
      <c r="A493" s="666" t="s">
        <v>158</v>
      </c>
      <c r="B493" s="666"/>
      <c r="C493" s="666"/>
      <c r="D493" s="666"/>
      <c r="E493" s="666"/>
      <c r="F493" s="666"/>
      <c r="G493" s="666"/>
      <c r="H493" s="666"/>
      <c r="I493" s="666"/>
      <c r="J493" s="666"/>
      <c r="K493" s="666"/>
      <c r="L493" s="666"/>
      <c r="M493" s="666"/>
      <c r="N493" s="666"/>
      <c r="O493" s="666"/>
      <c r="P493" s="666"/>
      <c r="Q493" s="666"/>
      <c r="R493" s="666"/>
      <c r="S493" s="666"/>
      <c r="T493" s="666"/>
      <c r="U493" s="666"/>
      <c r="V493" s="666"/>
      <c r="W493" s="666"/>
      <c r="X493" s="666"/>
      <c r="Y493" s="666"/>
      <c r="Z493" s="666"/>
      <c r="AA493" s="66"/>
      <c r="AB493" s="66"/>
      <c r="AC493" s="80"/>
    </row>
    <row r="494" spans="1:68" ht="27" hidden="1" customHeight="1" x14ac:dyDescent="0.25">
      <c r="A494" s="63" t="s">
        <v>794</v>
      </c>
      <c r="B494" s="63" t="s">
        <v>795</v>
      </c>
      <c r="C494" s="36">
        <v>4301020416</v>
      </c>
      <c r="D494" s="667">
        <v>4680115885240</v>
      </c>
      <c r="E494" s="66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90</v>
      </c>
      <c r="L494" s="37" t="s">
        <v>46</v>
      </c>
      <c r="M494" s="38" t="s">
        <v>80</v>
      </c>
      <c r="N494" s="38"/>
      <c r="O494" s="37">
        <v>40</v>
      </c>
      <c r="P494" s="7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69"/>
      <c r="R494" s="669"/>
      <c r="S494" s="669"/>
      <c r="T494" s="67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796</v>
      </c>
      <c r="AG494" s="78"/>
      <c r="AJ494" s="84" t="s">
        <v>46</v>
      </c>
      <c r="AK494" s="84">
        <v>0</v>
      </c>
      <c r="BB494" s="597" t="s">
        <v>66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63"/>
      <c r="B495" s="663"/>
      <c r="C495" s="663"/>
      <c r="D495" s="663"/>
      <c r="E495" s="663"/>
      <c r="F495" s="663"/>
      <c r="G495" s="663"/>
      <c r="H495" s="663"/>
      <c r="I495" s="663"/>
      <c r="J495" s="663"/>
      <c r="K495" s="663"/>
      <c r="L495" s="663"/>
      <c r="M495" s="663"/>
      <c r="N495" s="663"/>
      <c r="O495" s="664"/>
      <c r="P495" s="660" t="s">
        <v>40</v>
      </c>
      <c r="Q495" s="661"/>
      <c r="R495" s="661"/>
      <c r="S495" s="661"/>
      <c r="T495" s="661"/>
      <c r="U495" s="661"/>
      <c r="V495" s="662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63"/>
      <c r="B496" s="663"/>
      <c r="C496" s="663"/>
      <c r="D496" s="663"/>
      <c r="E496" s="663"/>
      <c r="F496" s="663"/>
      <c r="G496" s="663"/>
      <c r="H496" s="663"/>
      <c r="I496" s="663"/>
      <c r="J496" s="663"/>
      <c r="K496" s="663"/>
      <c r="L496" s="663"/>
      <c r="M496" s="663"/>
      <c r="N496" s="663"/>
      <c r="O496" s="664"/>
      <c r="P496" s="660" t="s">
        <v>40</v>
      </c>
      <c r="Q496" s="661"/>
      <c r="R496" s="661"/>
      <c r="S496" s="661"/>
      <c r="T496" s="661"/>
      <c r="U496" s="661"/>
      <c r="V496" s="662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66" t="s">
        <v>76</v>
      </c>
      <c r="B497" s="666"/>
      <c r="C497" s="666"/>
      <c r="D497" s="666"/>
      <c r="E497" s="666"/>
      <c r="F497" s="666"/>
      <c r="G497" s="666"/>
      <c r="H497" s="666"/>
      <c r="I497" s="666"/>
      <c r="J497" s="666"/>
      <c r="K497" s="666"/>
      <c r="L497" s="666"/>
      <c r="M497" s="666"/>
      <c r="N497" s="666"/>
      <c r="O497" s="666"/>
      <c r="P497" s="666"/>
      <c r="Q497" s="666"/>
      <c r="R497" s="666"/>
      <c r="S497" s="666"/>
      <c r="T497" s="666"/>
      <c r="U497" s="666"/>
      <c r="V497" s="666"/>
      <c r="W497" s="666"/>
      <c r="X497" s="666"/>
      <c r="Y497" s="666"/>
      <c r="Z497" s="666"/>
      <c r="AA497" s="66"/>
      <c r="AB497" s="66"/>
      <c r="AC497" s="80"/>
    </row>
    <row r="498" spans="1:68" ht="27" hidden="1" customHeight="1" x14ac:dyDescent="0.25">
      <c r="A498" s="63" t="s">
        <v>797</v>
      </c>
      <c r="B498" s="63" t="s">
        <v>798</v>
      </c>
      <c r="C498" s="36">
        <v>4301031407</v>
      </c>
      <c r="D498" s="667">
        <v>4680115886094</v>
      </c>
      <c r="E498" s="66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133</v>
      </c>
      <c r="L498" s="37" t="s">
        <v>46</v>
      </c>
      <c r="M498" s="38" t="s">
        <v>80</v>
      </c>
      <c r="N498" s="38"/>
      <c r="O498" s="37">
        <v>50</v>
      </c>
      <c r="P498" s="7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69"/>
      <c r="R498" s="669"/>
      <c r="S498" s="669"/>
      <c r="T498" s="67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800</v>
      </c>
      <c r="B499" s="63" t="s">
        <v>801</v>
      </c>
      <c r="C499" s="36">
        <v>4301031373</v>
      </c>
      <c r="D499" s="667">
        <v>4680115880771</v>
      </c>
      <c r="E499" s="66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69"/>
      <c r="R499" s="669"/>
      <c r="S499" s="669"/>
      <c r="T499" s="67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802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4301031359</v>
      </c>
      <c r="D500" s="667">
        <v>4607091389500</v>
      </c>
      <c r="E500" s="66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81</v>
      </c>
      <c r="L500" s="37" t="s">
        <v>46</v>
      </c>
      <c r="M500" s="38" t="s">
        <v>80</v>
      </c>
      <c r="N500" s="38"/>
      <c r="O500" s="37">
        <v>50</v>
      </c>
      <c r="P500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69"/>
      <c r="R500" s="669"/>
      <c r="S500" s="669"/>
      <c r="T500" s="67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802</v>
      </c>
      <c r="AG500" s="78"/>
      <c r="AJ500" s="84" t="s">
        <v>46</v>
      </c>
      <c r="AK500" s="84">
        <v>0</v>
      </c>
      <c r="BB500" s="603" t="s">
        <v>66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663"/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4"/>
      <c r="P501" s="660" t="s">
        <v>40</v>
      </c>
      <c r="Q501" s="661"/>
      <c r="R501" s="661"/>
      <c r="S501" s="661"/>
      <c r="T501" s="661"/>
      <c r="U501" s="661"/>
      <c r="V501" s="662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663"/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4"/>
      <c r="P502" s="660" t="s">
        <v>40</v>
      </c>
      <c r="Q502" s="661"/>
      <c r="R502" s="661"/>
      <c r="S502" s="661"/>
      <c r="T502" s="661"/>
      <c r="U502" s="661"/>
      <c r="V502" s="662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680" t="s">
        <v>805</v>
      </c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0"/>
      <c r="P503" s="680"/>
      <c r="Q503" s="680"/>
      <c r="R503" s="680"/>
      <c r="S503" s="680"/>
      <c r="T503" s="680"/>
      <c r="U503" s="680"/>
      <c r="V503" s="680"/>
      <c r="W503" s="680"/>
      <c r="X503" s="680"/>
      <c r="Y503" s="680"/>
      <c r="Z503" s="680"/>
      <c r="AA503" s="54"/>
      <c r="AB503" s="54"/>
      <c r="AC503" s="54"/>
    </row>
    <row r="504" spans="1:68" ht="16.5" hidden="1" customHeight="1" x14ac:dyDescent="0.25">
      <c r="A504" s="665" t="s">
        <v>805</v>
      </c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5"/>
      <c r="AB504" s="65"/>
      <c r="AC504" s="79"/>
    </row>
    <row r="505" spans="1:68" ht="14.25" hidden="1" customHeight="1" x14ac:dyDescent="0.25">
      <c r="A505" s="666" t="s">
        <v>121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66"/>
      <c r="AB505" s="66"/>
      <c r="AC505" s="80"/>
    </row>
    <row r="506" spans="1:68" ht="27" hidden="1" customHeight="1" x14ac:dyDescent="0.25">
      <c r="A506" s="63" t="s">
        <v>806</v>
      </c>
      <c r="B506" s="63" t="s">
        <v>807</v>
      </c>
      <c r="C506" s="36">
        <v>4301011769</v>
      </c>
      <c r="D506" s="667">
        <v>4607091389067</v>
      </c>
      <c r="E506" s="66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89</v>
      </c>
      <c r="N506" s="38"/>
      <c r="O506" s="37">
        <v>60</v>
      </c>
      <c r="P506" s="69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69"/>
      <c r="R506" s="669"/>
      <c r="S506" s="669"/>
      <c r="T506" s="67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83">IFERROR(IF(X506="",0,CEILING((X506/$H506),1)*$H506),"")</f>
        <v>0</v>
      </c>
      <c r="Z506" s="41" t="str">
        <f t="shared" ref="Z506:Z511" si="84">IFERROR(IF(Y506=0,"",ROUNDUP(Y506/H506,0)*0.01196),"")</f>
        <v/>
      </c>
      <c r="AA506" s="68" t="s">
        <v>46</v>
      </c>
      <c r="AB506" s="69" t="s">
        <v>46</v>
      </c>
      <c r="AC506" s="604" t="s">
        <v>124</v>
      </c>
      <c r="AG506" s="78"/>
      <c r="AJ506" s="84" t="s">
        <v>46</v>
      </c>
      <c r="AK506" s="84">
        <v>0</v>
      </c>
      <c r="BB506" s="605" t="s">
        <v>66</v>
      </c>
      <c r="BM506" s="78">
        <f t="shared" ref="BM506:BM514" si="85">IFERROR(X506*I506/H506,"0")</f>
        <v>0</v>
      </c>
      <c r="BN506" s="78">
        <f t="shared" ref="BN506:BN514" si="86">IFERROR(Y506*I506/H506,"0")</f>
        <v>0</v>
      </c>
      <c r="BO506" s="78">
        <f t="shared" ref="BO506:BO514" si="87">IFERROR(1/J506*(X506/H506),"0")</f>
        <v>0</v>
      </c>
      <c r="BP506" s="78">
        <f t="shared" ref="BP506:BP514" si="88">IFERROR(1/J506*(Y506/H506),"0")</f>
        <v>0</v>
      </c>
    </row>
    <row r="507" spans="1:68" ht="16.5" hidden="1" customHeight="1" x14ac:dyDescent="0.25">
      <c r="A507" s="63" t="s">
        <v>808</v>
      </c>
      <c r="B507" s="63" t="s">
        <v>809</v>
      </c>
      <c r="C507" s="36">
        <v>4301012380</v>
      </c>
      <c r="D507" s="667">
        <v>4680115889576</v>
      </c>
      <c r="E507" s="66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70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69"/>
      <c r="R507" s="669"/>
      <c r="S507" s="669"/>
      <c r="T507" s="67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810</v>
      </c>
      <c r="AG507" s="78"/>
      <c r="AJ507" s="84" t="s">
        <v>46</v>
      </c>
      <c r="AK507" s="84">
        <v>0</v>
      </c>
      <c r="BB507" s="607" t="s">
        <v>66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hidden="1" customHeight="1" x14ac:dyDescent="0.25">
      <c r="A508" s="63" t="s">
        <v>811</v>
      </c>
      <c r="B508" s="63" t="s">
        <v>812</v>
      </c>
      <c r="C508" s="36">
        <v>4301011961</v>
      </c>
      <c r="D508" s="667">
        <v>4680115885271</v>
      </c>
      <c r="E508" s="66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7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69"/>
      <c r="R508" s="669"/>
      <c r="S508" s="669"/>
      <c r="T508" s="67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813</v>
      </c>
      <c r="AG508" s="78"/>
      <c r="AJ508" s="84" t="s">
        <v>46</v>
      </c>
      <c r="AK508" s="84">
        <v>0</v>
      </c>
      <c r="BB508" s="609" t="s">
        <v>66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27" hidden="1" customHeight="1" x14ac:dyDescent="0.25">
      <c r="A509" s="63" t="s">
        <v>814</v>
      </c>
      <c r="B509" s="63" t="s">
        <v>815</v>
      </c>
      <c r="C509" s="36">
        <v>4301011369</v>
      </c>
      <c r="D509" s="667">
        <v>4680115885226</v>
      </c>
      <c r="E509" s="66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125</v>
      </c>
      <c r="N509" s="38"/>
      <c r="O509" s="37">
        <v>60</v>
      </c>
      <c r="P509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69"/>
      <c r="R509" s="669"/>
      <c r="S509" s="669"/>
      <c r="T509" s="67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816</v>
      </c>
      <c r="AG509" s="78"/>
      <c r="AJ509" s="84" t="s">
        <v>46</v>
      </c>
      <c r="AK509" s="84">
        <v>0</v>
      </c>
      <c r="BB509" s="611" t="s">
        <v>66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16.5" hidden="1" customHeight="1" x14ac:dyDescent="0.25">
      <c r="A510" s="63" t="s">
        <v>817</v>
      </c>
      <c r="B510" s="63" t="s">
        <v>818</v>
      </c>
      <c r="C510" s="36">
        <v>4301011797</v>
      </c>
      <c r="D510" s="667">
        <v>4680115884502</v>
      </c>
      <c r="E510" s="66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89</v>
      </c>
      <c r="N510" s="38"/>
      <c r="O510" s="37">
        <v>60</v>
      </c>
      <c r="P510" s="6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69"/>
      <c r="R510" s="669"/>
      <c r="S510" s="669"/>
      <c r="T510" s="67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819</v>
      </c>
      <c r="AG510" s="78"/>
      <c r="AJ510" s="84" t="s">
        <v>46</v>
      </c>
      <c r="AK510" s="84">
        <v>0</v>
      </c>
      <c r="BB510" s="613" t="s">
        <v>66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hidden="1" customHeight="1" x14ac:dyDescent="0.25">
      <c r="A511" s="63" t="s">
        <v>820</v>
      </c>
      <c r="B511" s="63" t="s">
        <v>821</v>
      </c>
      <c r="C511" s="36">
        <v>4301011771</v>
      </c>
      <c r="D511" s="667">
        <v>4607091389104</v>
      </c>
      <c r="E511" s="66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125</v>
      </c>
      <c r="N511" s="38"/>
      <c r="O511" s="37">
        <v>60</v>
      </c>
      <c r="P511" s="6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69"/>
      <c r="R511" s="669"/>
      <c r="S511" s="669"/>
      <c r="T511" s="670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3"/>
        <v>0</v>
      </c>
      <c r="Z511" s="41" t="str">
        <f t="shared" si="84"/>
        <v/>
      </c>
      <c r="AA511" s="68" t="s">
        <v>46</v>
      </c>
      <c r="AB511" s="69" t="s">
        <v>46</v>
      </c>
      <c r="AC511" s="614" t="s">
        <v>822</v>
      </c>
      <c r="AG511" s="78"/>
      <c r="AJ511" s="84" t="s">
        <v>46</v>
      </c>
      <c r="AK511" s="84">
        <v>0</v>
      </c>
      <c r="BB511" s="615" t="s">
        <v>66</v>
      </c>
      <c r="BM511" s="78">
        <f t="shared" si="85"/>
        <v>0</v>
      </c>
      <c r="BN511" s="78">
        <f t="shared" si="86"/>
        <v>0</v>
      </c>
      <c r="BO511" s="78">
        <f t="shared" si="87"/>
        <v>0</v>
      </c>
      <c r="BP511" s="78">
        <f t="shared" si="88"/>
        <v>0</v>
      </c>
    </row>
    <row r="512" spans="1:68" ht="27" hidden="1" customHeight="1" x14ac:dyDescent="0.25">
      <c r="A512" s="63" t="s">
        <v>823</v>
      </c>
      <c r="B512" s="63" t="s">
        <v>824</v>
      </c>
      <c r="C512" s="36">
        <v>4301012125</v>
      </c>
      <c r="D512" s="667">
        <v>4680115886391</v>
      </c>
      <c r="E512" s="66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89</v>
      </c>
      <c r="N512" s="38"/>
      <c r="O512" s="37">
        <v>60</v>
      </c>
      <c r="P512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69"/>
      <c r="R512" s="669"/>
      <c r="S512" s="669"/>
      <c r="T512" s="67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825</v>
      </c>
      <c r="B513" s="63" t="s">
        <v>826</v>
      </c>
      <c r="C513" s="36">
        <v>4301012048</v>
      </c>
      <c r="D513" s="667">
        <v>4680115880603</v>
      </c>
      <c r="E513" s="66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89</v>
      </c>
      <c r="N513" s="38"/>
      <c r="O513" s="37">
        <v>60</v>
      </c>
      <c r="P513" s="6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69"/>
      <c r="R513" s="669"/>
      <c r="S513" s="669"/>
      <c r="T513" s="67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hidden="1" customHeight="1" x14ac:dyDescent="0.25">
      <c r="A514" s="63" t="s">
        <v>827</v>
      </c>
      <c r="B514" s="63" t="s">
        <v>828</v>
      </c>
      <c r="C514" s="36">
        <v>4301012034</v>
      </c>
      <c r="D514" s="667">
        <v>4607091389982</v>
      </c>
      <c r="E514" s="66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133</v>
      </c>
      <c r="L514" s="37" t="s">
        <v>46</v>
      </c>
      <c r="M514" s="38" t="s">
        <v>125</v>
      </c>
      <c r="N514" s="38"/>
      <c r="O514" s="37">
        <v>60</v>
      </c>
      <c r="P514" s="6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69"/>
      <c r="R514" s="669"/>
      <c r="S514" s="669"/>
      <c r="T514" s="67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822</v>
      </c>
      <c r="AG514" s="78"/>
      <c r="AJ514" s="84" t="s">
        <v>46</v>
      </c>
      <c r="AK514" s="84">
        <v>0</v>
      </c>
      <c r="BB514" s="621" t="s">
        <v>66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hidden="1" x14ac:dyDescent="0.2">
      <c r="A515" s="663"/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4"/>
      <c r="P515" s="660" t="s">
        <v>40</v>
      </c>
      <c r="Q515" s="661"/>
      <c r="R515" s="661"/>
      <c r="S515" s="661"/>
      <c r="T515" s="661"/>
      <c r="U515" s="661"/>
      <c r="V515" s="662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63"/>
      <c r="B516" s="663"/>
      <c r="C516" s="663"/>
      <c r="D516" s="663"/>
      <c r="E516" s="663"/>
      <c r="F516" s="663"/>
      <c r="G516" s="663"/>
      <c r="H516" s="663"/>
      <c r="I516" s="663"/>
      <c r="J516" s="663"/>
      <c r="K516" s="663"/>
      <c r="L516" s="663"/>
      <c r="M516" s="663"/>
      <c r="N516" s="663"/>
      <c r="O516" s="664"/>
      <c r="P516" s="660" t="s">
        <v>40</v>
      </c>
      <c r="Q516" s="661"/>
      <c r="R516" s="661"/>
      <c r="S516" s="661"/>
      <c r="T516" s="661"/>
      <c r="U516" s="661"/>
      <c r="V516" s="662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6" t="s">
        <v>158</v>
      </c>
      <c r="B517" s="666"/>
      <c r="C517" s="666"/>
      <c r="D517" s="666"/>
      <c r="E517" s="666"/>
      <c r="F517" s="666"/>
      <c r="G517" s="666"/>
      <c r="H517" s="666"/>
      <c r="I517" s="666"/>
      <c r="J517" s="666"/>
      <c r="K517" s="666"/>
      <c r="L517" s="666"/>
      <c r="M517" s="666"/>
      <c r="N517" s="666"/>
      <c r="O517" s="666"/>
      <c r="P517" s="666"/>
      <c r="Q517" s="666"/>
      <c r="R517" s="666"/>
      <c r="S517" s="666"/>
      <c r="T517" s="666"/>
      <c r="U517" s="666"/>
      <c r="V517" s="666"/>
      <c r="W517" s="666"/>
      <c r="X517" s="666"/>
      <c r="Y517" s="666"/>
      <c r="Z517" s="666"/>
      <c r="AA517" s="66"/>
      <c r="AB517" s="66"/>
      <c r="AC517" s="80"/>
    </row>
    <row r="518" spans="1:68" ht="16.5" hidden="1" customHeight="1" x14ac:dyDescent="0.25">
      <c r="A518" s="63" t="s">
        <v>829</v>
      </c>
      <c r="B518" s="63" t="s">
        <v>830</v>
      </c>
      <c r="C518" s="36">
        <v>4301020334</v>
      </c>
      <c r="D518" s="667">
        <v>4607091388930</v>
      </c>
      <c r="E518" s="66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89</v>
      </c>
      <c r="N518" s="38"/>
      <c r="O518" s="37">
        <v>70</v>
      </c>
      <c r="P518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69"/>
      <c r="R518" s="669"/>
      <c r="S518" s="669"/>
      <c r="T518" s="670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831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832</v>
      </c>
      <c r="B519" s="63" t="s">
        <v>833</v>
      </c>
      <c r="C519" s="36">
        <v>4301020374</v>
      </c>
      <c r="D519" s="667">
        <v>4680115886407</v>
      </c>
      <c r="E519" s="66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90</v>
      </c>
      <c r="L519" s="37" t="s">
        <v>46</v>
      </c>
      <c r="M519" s="38" t="s">
        <v>125</v>
      </c>
      <c r="N519" s="38"/>
      <c r="O519" s="37">
        <v>70</v>
      </c>
      <c r="P519" s="6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69"/>
      <c r="R519" s="669"/>
      <c r="S519" s="669"/>
      <c r="T519" s="67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831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834</v>
      </c>
      <c r="B520" s="63" t="s">
        <v>835</v>
      </c>
      <c r="C520" s="36">
        <v>4301020385</v>
      </c>
      <c r="D520" s="667">
        <v>4680115880054</v>
      </c>
      <c r="E520" s="66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6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69"/>
      <c r="R520" s="669"/>
      <c r="S520" s="669"/>
      <c r="T520" s="67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831</v>
      </c>
      <c r="AG520" s="78"/>
      <c r="AJ520" s="84" t="s">
        <v>46</v>
      </c>
      <c r="AK520" s="84">
        <v>0</v>
      </c>
      <c r="BB520" s="627" t="s">
        <v>66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663"/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4"/>
      <c r="P521" s="660" t="s">
        <v>40</v>
      </c>
      <c r="Q521" s="661"/>
      <c r="R521" s="661"/>
      <c r="S521" s="661"/>
      <c r="T521" s="661"/>
      <c r="U521" s="661"/>
      <c r="V521" s="662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63"/>
      <c r="B522" s="663"/>
      <c r="C522" s="663"/>
      <c r="D522" s="663"/>
      <c r="E522" s="663"/>
      <c r="F522" s="663"/>
      <c r="G522" s="663"/>
      <c r="H522" s="663"/>
      <c r="I522" s="663"/>
      <c r="J522" s="663"/>
      <c r="K522" s="663"/>
      <c r="L522" s="663"/>
      <c r="M522" s="663"/>
      <c r="N522" s="663"/>
      <c r="O522" s="664"/>
      <c r="P522" s="660" t="s">
        <v>40</v>
      </c>
      <c r="Q522" s="661"/>
      <c r="R522" s="661"/>
      <c r="S522" s="661"/>
      <c r="T522" s="661"/>
      <c r="U522" s="661"/>
      <c r="V522" s="662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66" t="s">
        <v>76</v>
      </c>
      <c r="B523" s="666"/>
      <c r="C523" s="666"/>
      <c r="D523" s="666"/>
      <c r="E523" s="666"/>
      <c r="F523" s="666"/>
      <c r="G523" s="666"/>
      <c r="H523" s="666"/>
      <c r="I523" s="666"/>
      <c r="J523" s="666"/>
      <c r="K523" s="666"/>
      <c r="L523" s="666"/>
      <c r="M523" s="666"/>
      <c r="N523" s="666"/>
      <c r="O523" s="666"/>
      <c r="P523" s="666"/>
      <c r="Q523" s="666"/>
      <c r="R523" s="666"/>
      <c r="S523" s="666"/>
      <c r="T523" s="666"/>
      <c r="U523" s="666"/>
      <c r="V523" s="666"/>
      <c r="W523" s="666"/>
      <c r="X523" s="666"/>
      <c r="Y523" s="666"/>
      <c r="Z523" s="666"/>
      <c r="AA523" s="66"/>
      <c r="AB523" s="66"/>
      <c r="AC523" s="80"/>
    </row>
    <row r="524" spans="1:68" ht="27" hidden="1" customHeight="1" x14ac:dyDescent="0.25">
      <c r="A524" s="63" t="s">
        <v>836</v>
      </c>
      <c r="B524" s="63" t="s">
        <v>837</v>
      </c>
      <c r="C524" s="36">
        <v>4301031349</v>
      </c>
      <c r="D524" s="667">
        <v>4680115883116</v>
      </c>
      <c r="E524" s="66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125</v>
      </c>
      <c r="N524" s="38"/>
      <c r="O524" s="37">
        <v>70</v>
      </c>
      <c r="P524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69"/>
      <c r="R524" s="669"/>
      <c r="S524" s="669"/>
      <c r="T524" s="67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9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838</v>
      </c>
      <c r="AG524" s="78"/>
      <c r="AJ524" s="84" t="s">
        <v>46</v>
      </c>
      <c r="AK524" s="84">
        <v>0</v>
      </c>
      <c r="BB524" s="629" t="s">
        <v>66</v>
      </c>
      <c r="BM524" s="78">
        <f t="shared" ref="BM524:BM530" si="90">IFERROR(X524*I524/H524,"0")</f>
        <v>0</v>
      </c>
      <c r="BN524" s="78">
        <f t="shared" ref="BN524:BN530" si="91">IFERROR(Y524*I524/H524,"0")</f>
        <v>0</v>
      </c>
      <c r="BO524" s="78">
        <f t="shared" ref="BO524:BO530" si="92">IFERROR(1/J524*(X524/H524),"0")</f>
        <v>0</v>
      </c>
      <c r="BP524" s="78">
        <f t="shared" ref="BP524:BP530" si="93">IFERROR(1/J524*(Y524/H524),"0")</f>
        <v>0</v>
      </c>
    </row>
    <row r="525" spans="1:68" ht="27" hidden="1" customHeight="1" x14ac:dyDescent="0.25">
      <c r="A525" s="63" t="s">
        <v>839</v>
      </c>
      <c r="B525" s="63" t="s">
        <v>840</v>
      </c>
      <c r="C525" s="36">
        <v>4301031350</v>
      </c>
      <c r="D525" s="667">
        <v>4680115883093</v>
      </c>
      <c r="E525" s="66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69"/>
      <c r="R525" s="669"/>
      <c r="S525" s="669"/>
      <c r="T525" s="670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841</v>
      </c>
      <c r="AG525" s="78"/>
      <c r="AJ525" s="84" t="s">
        <v>46</v>
      </c>
      <c r="AK525" s="84">
        <v>0</v>
      </c>
      <c r="BB525" s="631" t="s">
        <v>66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hidden="1" customHeight="1" x14ac:dyDescent="0.25">
      <c r="A526" s="63" t="s">
        <v>842</v>
      </c>
      <c r="B526" s="63" t="s">
        <v>843</v>
      </c>
      <c r="C526" s="36">
        <v>4301031353</v>
      </c>
      <c r="D526" s="667">
        <v>4680115883109</v>
      </c>
      <c r="E526" s="66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126</v>
      </c>
      <c r="L526" s="37" t="s">
        <v>46</v>
      </c>
      <c r="M526" s="38" t="s">
        <v>80</v>
      </c>
      <c r="N526" s="38"/>
      <c r="O526" s="37">
        <v>70</v>
      </c>
      <c r="P526" s="6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69"/>
      <c r="R526" s="669"/>
      <c r="S526" s="669"/>
      <c r="T526" s="670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844</v>
      </c>
      <c r="AG526" s="78"/>
      <c r="AJ526" s="84" t="s">
        <v>46</v>
      </c>
      <c r="AK526" s="84">
        <v>0</v>
      </c>
      <c r="BB526" s="633" t="s">
        <v>66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hidden="1" customHeight="1" x14ac:dyDescent="0.25">
      <c r="A527" s="63" t="s">
        <v>845</v>
      </c>
      <c r="B527" s="63" t="s">
        <v>846</v>
      </c>
      <c r="C527" s="36">
        <v>4301031419</v>
      </c>
      <c r="D527" s="667">
        <v>4680115882072</v>
      </c>
      <c r="E527" s="66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133</v>
      </c>
      <c r="L527" s="37" t="s">
        <v>46</v>
      </c>
      <c r="M527" s="38" t="s">
        <v>125</v>
      </c>
      <c r="N527" s="38"/>
      <c r="O527" s="37">
        <v>70</v>
      </c>
      <c r="P527" s="6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69"/>
      <c r="R527" s="669"/>
      <c r="S527" s="669"/>
      <c r="T527" s="67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66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847</v>
      </c>
      <c r="B528" s="63" t="s">
        <v>848</v>
      </c>
      <c r="C528" s="36">
        <v>4301031352</v>
      </c>
      <c r="D528" s="667">
        <v>4680115882102</v>
      </c>
      <c r="E528" s="66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69"/>
      <c r="R528" s="669"/>
      <c r="S528" s="669"/>
      <c r="T528" s="67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66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847</v>
      </c>
      <c r="B529" s="63" t="s">
        <v>849</v>
      </c>
      <c r="C529" s="36">
        <v>4301031418</v>
      </c>
      <c r="D529" s="667">
        <v>4680115882102</v>
      </c>
      <c r="E529" s="66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69"/>
      <c r="R529" s="669"/>
      <c r="S529" s="669"/>
      <c r="T529" s="67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841</v>
      </c>
      <c r="AG529" s="78"/>
      <c r="AJ529" s="84" t="s">
        <v>46</v>
      </c>
      <c r="AK529" s="84">
        <v>0</v>
      </c>
      <c r="BB529" s="639" t="s">
        <v>66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hidden="1" customHeight="1" x14ac:dyDescent="0.25">
      <c r="A530" s="63" t="s">
        <v>850</v>
      </c>
      <c r="B530" s="63" t="s">
        <v>851</v>
      </c>
      <c r="C530" s="36">
        <v>4301031417</v>
      </c>
      <c r="D530" s="667">
        <v>4680115882096</v>
      </c>
      <c r="E530" s="66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133</v>
      </c>
      <c r="L530" s="37" t="s">
        <v>46</v>
      </c>
      <c r="M530" s="38" t="s">
        <v>80</v>
      </c>
      <c r="N530" s="38"/>
      <c r="O530" s="37">
        <v>70</v>
      </c>
      <c r="P530" s="6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69"/>
      <c r="R530" s="669"/>
      <c r="S530" s="669"/>
      <c r="T530" s="67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844</v>
      </c>
      <c r="AG530" s="78"/>
      <c r="AJ530" s="84" t="s">
        <v>46</v>
      </c>
      <c r="AK530" s="84">
        <v>0</v>
      </c>
      <c r="BB530" s="641" t="s">
        <v>66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hidden="1" x14ac:dyDescent="0.2">
      <c r="A531" s="663"/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4"/>
      <c r="P531" s="660" t="s">
        <v>40</v>
      </c>
      <c r="Q531" s="661"/>
      <c r="R531" s="661"/>
      <c r="S531" s="661"/>
      <c r="T531" s="661"/>
      <c r="U531" s="661"/>
      <c r="V531" s="662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hidden="1" x14ac:dyDescent="0.2">
      <c r="A532" s="663"/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4"/>
      <c r="P532" s="660" t="s">
        <v>40</v>
      </c>
      <c r="Q532" s="661"/>
      <c r="R532" s="661"/>
      <c r="S532" s="661"/>
      <c r="T532" s="661"/>
      <c r="U532" s="661"/>
      <c r="V532" s="662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hidden="1" customHeight="1" x14ac:dyDescent="0.2">
      <c r="A533" s="680" t="s">
        <v>852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54"/>
      <c r="AB533" s="54"/>
      <c r="AC533" s="54"/>
    </row>
    <row r="534" spans="1:68" ht="16.5" hidden="1" customHeight="1" x14ac:dyDescent="0.25">
      <c r="A534" s="665" t="s">
        <v>852</v>
      </c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5"/>
      <c r="AB534" s="65"/>
      <c r="AC534" s="79"/>
    </row>
    <row r="535" spans="1:68" ht="14.25" hidden="1" customHeight="1" x14ac:dyDescent="0.25">
      <c r="A535" s="666" t="s">
        <v>121</v>
      </c>
      <c r="B535" s="666"/>
      <c r="C535" s="666"/>
      <c r="D535" s="666"/>
      <c r="E535" s="666"/>
      <c r="F535" s="666"/>
      <c r="G535" s="666"/>
      <c r="H535" s="666"/>
      <c r="I535" s="666"/>
      <c r="J535" s="666"/>
      <c r="K535" s="666"/>
      <c r="L535" s="666"/>
      <c r="M535" s="666"/>
      <c r="N535" s="666"/>
      <c r="O535" s="666"/>
      <c r="P535" s="666"/>
      <c r="Q535" s="666"/>
      <c r="R535" s="666"/>
      <c r="S535" s="666"/>
      <c r="T535" s="666"/>
      <c r="U535" s="666"/>
      <c r="V535" s="666"/>
      <c r="W535" s="666"/>
      <c r="X535" s="666"/>
      <c r="Y535" s="666"/>
      <c r="Z535" s="666"/>
      <c r="AA535" s="66"/>
      <c r="AB535" s="66"/>
      <c r="AC535" s="80"/>
    </row>
    <row r="536" spans="1:68" ht="27" hidden="1" customHeight="1" x14ac:dyDescent="0.25">
      <c r="A536" s="63" t="s">
        <v>853</v>
      </c>
      <c r="B536" s="63" t="s">
        <v>854</v>
      </c>
      <c r="C536" s="36">
        <v>4301012386</v>
      </c>
      <c r="D536" s="667">
        <v>4680115889736</v>
      </c>
      <c r="E536" s="66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126</v>
      </c>
      <c r="L536" s="37" t="s">
        <v>46</v>
      </c>
      <c r="M536" s="38" t="s">
        <v>125</v>
      </c>
      <c r="N536" s="38"/>
      <c r="O536" s="37">
        <v>50</v>
      </c>
      <c r="P536" s="68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669"/>
      <c r="R536" s="669"/>
      <c r="S536" s="669"/>
      <c r="T536" s="67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855</v>
      </c>
      <c r="AG536" s="78"/>
      <c r="AJ536" s="84" t="s">
        <v>46</v>
      </c>
      <c r="AK536" s="84">
        <v>0</v>
      </c>
      <c r="BB536" s="643" t="s">
        <v>66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3"/>
      <c r="B537" s="663"/>
      <c r="C537" s="663"/>
      <c r="D537" s="663"/>
      <c r="E537" s="663"/>
      <c r="F537" s="663"/>
      <c r="G537" s="663"/>
      <c r="H537" s="663"/>
      <c r="I537" s="663"/>
      <c r="J537" s="663"/>
      <c r="K537" s="663"/>
      <c r="L537" s="663"/>
      <c r="M537" s="663"/>
      <c r="N537" s="663"/>
      <c r="O537" s="664"/>
      <c r="P537" s="660" t="s">
        <v>40</v>
      </c>
      <c r="Q537" s="661"/>
      <c r="R537" s="661"/>
      <c r="S537" s="661"/>
      <c r="T537" s="661"/>
      <c r="U537" s="661"/>
      <c r="V537" s="662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3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64"/>
      <c r="P538" s="660" t="s">
        <v>40</v>
      </c>
      <c r="Q538" s="661"/>
      <c r="R538" s="661"/>
      <c r="S538" s="661"/>
      <c r="T538" s="661"/>
      <c r="U538" s="661"/>
      <c r="V538" s="662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6" t="s">
        <v>158</v>
      </c>
      <c r="B539" s="666"/>
      <c r="C539" s="666"/>
      <c r="D539" s="666"/>
      <c r="E539" s="666"/>
      <c r="F539" s="666"/>
      <c r="G539" s="666"/>
      <c r="H539" s="666"/>
      <c r="I539" s="666"/>
      <c r="J539" s="666"/>
      <c r="K539" s="666"/>
      <c r="L539" s="666"/>
      <c r="M539" s="666"/>
      <c r="N539" s="666"/>
      <c r="O539" s="666"/>
      <c r="P539" s="666"/>
      <c r="Q539" s="666"/>
      <c r="R539" s="666"/>
      <c r="S539" s="666"/>
      <c r="T539" s="666"/>
      <c r="U539" s="666"/>
      <c r="V539" s="666"/>
      <c r="W539" s="666"/>
      <c r="X539" s="666"/>
      <c r="Y539" s="666"/>
      <c r="Z539" s="666"/>
      <c r="AA539" s="66"/>
      <c r="AB539" s="66"/>
      <c r="AC539" s="80"/>
    </row>
    <row r="540" spans="1:68" ht="27" hidden="1" customHeight="1" x14ac:dyDescent="0.25">
      <c r="A540" s="63" t="s">
        <v>856</v>
      </c>
      <c r="B540" s="63" t="s">
        <v>857</v>
      </c>
      <c r="C540" s="36">
        <v>4301020444</v>
      </c>
      <c r="D540" s="667">
        <v>4680115889781</v>
      </c>
      <c r="E540" s="66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126</v>
      </c>
      <c r="L540" s="37" t="s">
        <v>46</v>
      </c>
      <c r="M540" s="38" t="s">
        <v>89</v>
      </c>
      <c r="N540" s="38"/>
      <c r="O540" s="37">
        <v>50</v>
      </c>
      <c r="P540" s="68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69"/>
      <c r="R540" s="669"/>
      <c r="S540" s="669"/>
      <c r="T540" s="67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731</v>
      </c>
      <c r="AG540" s="78"/>
      <c r="AJ540" s="84" t="s">
        <v>46</v>
      </c>
      <c r="AK540" s="84">
        <v>0</v>
      </c>
      <c r="BB540" s="645" t="s">
        <v>66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3"/>
      <c r="B541" s="663"/>
      <c r="C541" s="663"/>
      <c r="D541" s="663"/>
      <c r="E541" s="663"/>
      <c r="F541" s="663"/>
      <c r="G541" s="663"/>
      <c r="H541" s="663"/>
      <c r="I541" s="663"/>
      <c r="J541" s="663"/>
      <c r="K541" s="663"/>
      <c r="L541" s="663"/>
      <c r="M541" s="663"/>
      <c r="N541" s="663"/>
      <c r="O541" s="664"/>
      <c r="P541" s="660" t="s">
        <v>40</v>
      </c>
      <c r="Q541" s="661"/>
      <c r="R541" s="661"/>
      <c r="S541" s="661"/>
      <c r="T541" s="661"/>
      <c r="U541" s="661"/>
      <c r="V541" s="662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3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64"/>
      <c r="P542" s="660" t="s">
        <v>40</v>
      </c>
      <c r="Q542" s="661"/>
      <c r="R542" s="661"/>
      <c r="S542" s="661"/>
      <c r="T542" s="661"/>
      <c r="U542" s="661"/>
      <c r="V542" s="662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6" t="s">
        <v>76</v>
      </c>
      <c r="B543" s="666"/>
      <c r="C543" s="666"/>
      <c r="D543" s="666"/>
      <c r="E543" s="666"/>
      <c r="F543" s="666"/>
      <c r="G543" s="666"/>
      <c r="H543" s="666"/>
      <c r="I543" s="666"/>
      <c r="J543" s="666"/>
      <c r="K543" s="666"/>
      <c r="L543" s="666"/>
      <c r="M543" s="666"/>
      <c r="N543" s="666"/>
      <c r="O543" s="666"/>
      <c r="P543" s="666"/>
      <c r="Q543" s="666"/>
      <c r="R543" s="666"/>
      <c r="S543" s="666"/>
      <c r="T543" s="666"/>
      <c r="U543" s="666"/>
      <c r="V543" s="666"/>
      <c r="W543" s="666"/>
      <c r="X543" s="666"/>
      <c r="Y543" s="666"/>
      <c r="Z543" s="666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4301031500</v>
      </c>
      <c r="D544" s="667">
        <v>4640242180595</v>
      </c>
      <c r="E544" s="66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133</v>
      </c>
      <c r="L544" s="37" t="s">
        <v>46</v>
      </c>
      <c r="M544" s="38" t="s">
        <v>80</v>
      </c>
      <c r="N544" s="38"/>
      <c r="O544" s="37">
        <v>40</v>
      </c>
      <c r="P544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69"/>
      <c r="R544" s="669"/>
      <c r="S544" s="669"/>
      <c r="T544" s="67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860</v>
      </c>
      <c r="AG544" s="78"/>
      <c r="AJ544" s="84" t="s">
        <v>46</v>
      </c>
      <c r="AK544" s="84">
        <v>0</v>
      </c>
      <c r="BB544" s="647" t="s">
        <v>66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3"/>
      <c r="B545" s="663"/>
      <c r="C545" s="663"/>
      <c r="D545" s="663"/>
      <c r="E545" s="663"/>
      <c r="F545" s="663"/>
      <c r="G545" s="663"/>
      <c r="H545" s="663"/>
      <c r="I545" s="663"/>
      <c r="J545" s="663"/>
      <c r="K545" s="663"/>
      <c r="L545" s="663"/>
      <c r="M545" s="663"/>
      <c r="N545" s="663"/>
      <c r="O545" s="664"/>
      <c r="P545" s="660" t="s">
        <v>40</v>
      </c>
      <c r="Q545" s="661"/>
      <c r="R545" s="661"/>
      <c r="S545" s="661"/>
      <c r="T545" s="661"/>
      <c r="U545" s="661"/>
      <c r="V545" s="662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3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64"/>
      <c r="P546" s="660" t="s">
        <v>40</v>
      </c>
      <c r="Q546" s="661"/>
      <c r="R546" s="661"/>
      <c r="S546" s="661"/>
      <c r="T546" s="661"/>
      <c r="U546" s="661"/>
      <c r="V546" s="662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6" t="s">
        <v>85</v>
      </c>
      <c r="B547" s="666"/>
      <c r="C547" s="666"/>
      <c r="D547" s="666"/>
      <c r="E547" s="666"/>
      <c r="F547" s="666"/>
      <c r="G547" s="666"/>
      <c r="H547" s="666"/>
      <c r="I547" s="666"/>
      <c r="J547" s="666"/>
      <c r="K547" s="666"/>
      <c r="L547" s="666"/>
      <c r="M547" s="666"/>
      <c r="N547" s="666"/>
      <c r="O547" s="666"/>
      <c r="P547" s="666"/>
      <c r="Q547" s="666"/>
      <c r="R547" s="666"/>
      <c r="S547" s="666"/>
      <c r="T547" s="666"/>
      <c r="U547" s="666"/>
      <c r="V547" s="666"/>
      <c r="W547" s="666"/>
      <c r="X547" s="666"/>
      <c r="Y547" s="666"/>
      <c r="Z547" s="666"/>
      <c r="AA547" s="66"/>
      <c r="AB547" s="66"/>
      <c r="AC547" s="80"/>
    </row>
    <row r="548" spans="1:68" ht="27" hidden="1" customHeight="1" x14ac:dyDescent="0.25">
      <c r="A548" s="63" t="s">
        <v>861</v>
      </c>
      <c r="B548" s="63" t="s">
        <v>862</v>
      </c>
      <c r="C548" s="36">
        <v>4301052282</v>
      </c>
      <c r="D548" s="667">
        <v>4680115889811</v>
      </c>
      <c r="E548" s="66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126</v>
      </c>
      <c r="L548" s="37" t="s">
        <v>46</v>
      </c>
      <c r="M548" s="38" t="s">
        <v>89</v>
      </c>
      <c r="N548" s="38"/>
      <c r="O548" s="37">
        <v>45</v>
      </c>
      <c r="P548" s="67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69"/>
      <c r="R548" s="669"/>
      <c r="S548" s="669"/>
      <c r="T548" s="67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863</v>
      </c>
      <c r="AG548" s="78"/>
      <c r="AJ548" s="84" t="s">
        <v>46</v>
      </c>
      <c r="AK548" s="84">
        <v>0</v>
      </c>
      <c r="BB548" s="649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63"/>
      <c r="B549" s="663"/>
      <c r="C549" s="663"/>
      <c r="D549" s="663"/>
      <c r="E549" s="663"/>
      <c r="F549" s="663"/>
      <c r="G549" s="663"/>
      <c r="H549" s="663"/>
      <c r="I549" s="663"/>
      <c r="J549" s="663"/>
      <c r="K549" s="663"/>
      <c r="L549" s="663"/>
      <c r="M549" s="663"/>
      <c r="N549" s="663"/>
      <c r="O549" s="664"/>
      <c r="P549" s="660" t="s">
        <v>40</v>
      </c>
      <c r="Q549" s="661"/>
      <c r="R549" s="661"/>
      <c r="S549" s="661"/>
      <c r="T549" s="661"/>
      <c r="U549" s="661"/>
      <c r="V549" s="662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63"/>
      <c r="B550" s="663"/>
      <c r="C550" s="663"/>
      <c r="D550" s="663"/>
      <c r="E550" s="663"/>
      <c r="F550" s="663"/>
      <c r="G550" s="663"/>
      <c r="H550" s="663"/>
      <c r="I550" s="663"/>
      <c r="J550" s="663"/>
      <c r="K550" s="663"/>
      <c r="L550" s="663"/>
      <c r="M550" s="663"/>
      <c r="N550" s="663"/>
      <c r="O550" s="664"/>
      <c r="P550" s="660" t="s">
        <v>40</v>
      </c>
      <c r="Q550" s="661"/>
      <c r="R550" s="661"/>
      <c r="S550" s="661"/>
      <c r="T550" s="661"/>
      <c r="U550" s="661"/>
      <c r="V550" s="662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66" t="s">
        <v>177</v>
      </c>
      <c r="B551" s="666"/>
      <c r="C551" s="666"/>
      <c r="D551" s="666"/>
      <c r="E551" s="666"/>
      <c r="F551" s="666"/>
      <c r="G551" s="666"/>
      <c r="H551" s="666"/>
      <c r="I551" s="666"/>
      <c r="J551" s="666"/>
      <c r="K551" s="666"/>
      <c r="L551" s="666"/>
      <c r="M551" s="666"/>
      <c r="N551" s="666"/>
      <c r="O551" s="666"/>
      <c r="P551" s="666"/>
      <c r="Q551" s="666"/>
      <c r="R551" s="666"/>
      <c r="S551" s="666"/>
      <c r="T551" s="666"/>
      <c r="U551" s="666"/>
      <c r="V551" s="666"/>
      <c r="W551" s="666"/>
      <c r="X551" s="666"/>
      <c r="Y551" s="666"/>
      <c r="Z551" s="666"/>
      <c r="AA551" s="66"/>
      <c r="AB551" s="66"/>
      <c r="AC551" s="80"/>
    </row>
    <row r="552" spans="1:68" ht="27" hidden="1" customHeight="1" x14ac:dyDescent="0.25">
      <c r="A552" s="63" t="s">
        <v>864</v>
      </c>
      <c r="B552" s="63" t="s">
        <v>865</v>
      </c>
      <c r="C552" s="36">
        <v>4301060543</v>
      </c>
      <c r="D552" s="667">
        <v>4680115889804</v>
      </c>
      <c r="E552" s="66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69"/>
      <c r="R552" s="669"/>
      <c r="S552" s="669"/>
      <c r="T552" s="67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866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867</v>
      </c>
      <c r="B553" s="63" t="s">
        <v>868</v>
      </c>
      <c r="C553" s="36">
        <v>4301060544</v>
      </c>
      <c r="D553" s="667">
        <v>4680115889828</v>
      </c>
      <c r="E553" s="66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126</v>
      </c>
      <c r="L553" s="37" t="s">
        <v>46</v>
      </c>
      <c r="M553" s="38" t="s">
        <v>89</v>
      </c>
      <c r="N553" s="38"/>
      <c r="O553" s="37">
        <v>40</v>
      </c>
      <c r="P553" s="67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69"/>
      <c r="R553" s="669"/>
      <c r="S553" s="669"/>
      <c r="T553" s="67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869</v>
      </c>
      <c r="AG553" s="78"/>
      <c r="AJ553" s="84" t="s">
        <v>46</v>
      </c>
      <c r="AK553" s="84">
        <v>0</v>
      </c>
      <c r="BB553" s="653" t="s">
        <v>66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63"/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4"/>
      <c r="P554" s="660" t="s">
        <v>40</v>
      </c>
      <c r="Q554" s="661"/>
      <c r="R554" s="661"/>
      <c r="S554" s="661"/>
      <c r="T554" s="661"/>
      <c r="U554" s="661"/>
      <c r="V554" s="662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663"/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4"/>
      <c r="P555" s="660" t="s">
        <v>40</v>
      </c>
      <c r="Q555" s="661"/>
      <c r="R555" s="661"/>
      <c r="S555" s="661"/>
      <c r="T555" s="661"/>
      <c r="U555" s="661"/>
      <c r="V555" s="662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665" t="s">
        <v>870</v>
      </c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65"/>
      <c r="P556" s="665"/>
      <c r="Q556" s="665"/>
      <c r="R556" s="665"/>
      <c r="S556" s="665"/>
      <c r="T556" s="665"/>
      <c r="U556" s="665"/>
      <c r="V556" s="665"/>
      <c r="W556" s="665"/>
      <c r="X556" s="665"/>
      <c r="Y556" s="665"/>
      <c r="Z556" s="665"/>
      <c r="AA556" s="65"/>
      <c r="AB556" s="65"/>
      <c r="AC556" s="79"/>
    </row>
    <row r="557" spans="1:68" ht="14.25" hidden="1" customHeight="1" x14ac:dyDescent="0.25">
      <c r="A557" s="666" t="s">
        <v>158</v>
      </c>
      <c r="B557" s="666"/>
      <c r="C557" s="666"/>
      <c r="D557" s="666"/>
      <c r="E557" s="666"/>
      <c r="F557" s="666"/>
      <c r="G557" s="666"/>
      <c r="H557" s="666"/>
      <c r="I557" s="666"/>
      <c r="J557" s="666"/>
      <c r="K557" s="666"/>
      <c r="L557" s="666"/>
      <c r="M557" s="666"/>
      <c r="N557" s="666"/>
      <c r="O557" s="666"/>
      <c r="P557" s="666"/>
      <c r="Q557" s="666"/>
      <c r="R557" s="666"/>
      <c r="S557" s="666"/>
      <c r="T557" s="666"/>
      <c r="U557" s="666"/>
      <c r="V557" s="666"/>
      <c r="W557" s="666"/>
      <c r="X557" s="666"/>
      <c r="Y557" s="666"/>
      <c r="Z557" s="666"/>
      <c r="AA557" s="66"/>
      <c r="AB557" s="66"/>
      <c r="AC557" s="80"/>
    </row>
    <row r="558" spans="1:68" ht="27" hidden="1" customHeight="1" x14ac:dyDescent="0.25">
      <c r="A558" s="63" t="s">
        <v>871</v>
      </c>
      <c r="B558" s="63" t="s">
        <v>872</v>
      </c>
      <c r="C558" s="36">
        <v>4301020441</v>
      </c>
      <c r="D558" s="667">
        <v>4680115889798</v>
      </c>
      <c r="E558" s="66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126</v>
      </c>
      <c r="L558" s="37" t="s">
        <v>46</v>
      </c>
      <c r="M558" s="38" t="s">
        <v>125</v>
      </c>
      <c r="N558" s="38"/>
      <c r="O558" s="37">
        <v>50</v>
      </c>
      <c r="P558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69"/>
      <c r="R558" s="669"/>
      <c r="S558" s="669"/>
      <c r="T558" s="67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873</v>
      </c>
      <c r="AG558" s="78"/>
      <c r="AJ558" s="84" t="s">
        <v>46</v>
      </c>
      <c r="AK558" s="84">
        <v>0</v>
      </c>
      <c r="BB558" s="655" t="s">
        <v>66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664"/>
      <c r="P559" s="660" t="s">
        <v>40</v>
      </c>
      <c r="Q559" s="661"/>
      <c r="R559" s="661"/>
      <c r="S559" s="661"/>
      <c r="T559" s="661"/>
      <c r="U559" s="661"/>
      <c r="V559" s="662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664"/>
      <c r="P560" s="660" t="s">
        <v>40</v>
      </c>
      <c r="Q560" s="661"/>
      <c r="R560" s="661"/>
      <c r="S560" s="661"/>
      <c r="T560" s="661"/>
      <c r="U560" s="661"/>
      <c r="V560" s="662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674"/>
      <c r="P561" s="671" t="s">
        <v>33</v>
      </c>
      <c r="Q561" s="672"/>
      <c r="R561" s="672"/>
      <c r="S561" s="672"/>
      <c r="T561" s="672"/>
      <c r="U561" s="672"/>
      <c r="V561" s="67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520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540</v>
      </c>
      <c r="Z561" s="42"/>
      <c r="AA561" s="67"/>
      <c r="AB561" s="67"/>
      <c r="AC561" s="67"/>
    </row>
    <row r="562" spans="1:32" x14ac:dyDescent="0.2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674"/>
      <c r="P562" s="671" t="s">
        <v>34</v>
      </c>
      <c r="Q562" s="672"/>
      <c r="R562" s="672"/>
      <c r="S562" s="672"/>
      <c r="T562" s="672"/>
      <c r="U562" s="672"/>
      <c r="V562" s="673"/>
      <c r="W562" s="42" t="s">
        <v>0</v>
      </c>
      <c r="X562" s="43">
        <f>IFERROR(SUM(BM22:BM558),"0")</f>
        <v>536.29333333333341</v>
      </c>
      <c r="Y562" s="43">
        <f>IFERROR(SUM(BN22:BN558),"0")</f>
        <v>556.92000000000007</v>
      </c>
      <c r="Z562" s="42"/>
      <c r="AA562" s="67"/>
      <c r="AB562" s="67"/>
      <c r="AC562" s="67"/>
    </row>
    <row r="563" spans="1:32" x14ac:dyDescent="0.2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674"/>
      <c r="P563" s="671" t="s">
        <v>35</v>
      </c>
      <c r="Q563" s="672"/>
      <c r="R563" s="672"/>
      <c r="S563" s="672"/>
      <c r="T563" s="672"/>
      <c r="U563" s="672"/>
      <c r="V563" s="673"/>
      <c r="W563" s="42" t="s">
        <v>20</v>
      </c>
      <c r="X563" s="44">
        <f>ROUNDUP(SUM(BO22:BO558),0)</f>
        <v>1</v>
      </c>
      <c r="Y563" s="44">
        <f>ROUNDUP(SUM(BP22:BP558),0)</f>
        <v>1</v>
      </c>
      <c r="Z563" s="42"/>
      <c r="AA563" s="67"/>
      <c r="AB563" s="67"/>
      <c r="AC563" s="67"/>
    </row>
    <row r="564" spans="1:32" x14ac:dyDescent="0.2">
      <c r="A564" s="663"/>
      <c r="B564" s="663"/>
      <c r="C564" s="663"/>
      <c r="D564" s="663"/>
      <c r="E564" s="663"/>
      <c r="F564" s="663"/>
      <c r="G564" s="663"/>
      <c r="H564" s="663"/>
      <c r="I564" s="663"/>
      <c r="J564" s="663"/>
      <c r="K564" s="663"/>
      <c r="L564" s="663"/>
      <c r="M564" s="663"/>
      <c r="N564" s="663"/>
      <c r="O564" s="674"/>
      <c r="P564" s="671" t="s">
        <v>36</v>
      </c>
      <c r="Q564" s="672"/>
      <c r="R564" s="672"/>
      <c r="S564" s="672"/>
      <c r="T564" s="672"/>
      <c r="U564" s="672"/>
      <c r="V564" s="673"/>
      <c r="W564" s="42" t="s">
        <v>0</v>
      </c>
      <c r="X564" s="43">
        <f>GrossWeightTotal+PalletQtyTotal*25</f>
        <v>561.29333333333341</v>
      </c>
      <c r="Y564" s="43">
        <f>GrossWeightTotalR+PalletQtyTotalR*25</f>
        <v>581.92000000000007</v>
      </c>
      <c r="Z564" s="42"/>
      <c r="AA564" s="67"/>
      <c r="AB564" s="67"/>
      <c r="AC564" s="67"/>
    </row>
    <row r="565" spans="1:32" x14ac:dyDescent="0.2">
      <c r="A565" s="663"/>
      <c r="B565" s="663"/>
      <c r="C565" s="663"/>
      <c r="D565" s="663"/>
      <c r="E565" s="663"/>
      <c r="F565" s="663"/>
      <c r="G565" s="663"/>
      <c r="H565" s="663"/>
      <c r="I565" s="663"/>
      <c r="J565" s="663"/>
      <c r="K565" s="663"/>
      <c r="L565" s="663"/>
      <c r="M565" s="663"/>
      <c r="N565" s="663"/>
      <c r="O565" s="674"/>
      <c r="P565" s="671" t="s">
        <v>37</v>
      </c>
      <c r="Q565" s="672"/>
      <c r="R565" s="672"/>
      <c r="S565" s="672"/>
      <c r="T565" s="672"/>
      <c r="U565" s="672"/>
      <c r="V565" s="67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34.666666666666671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36</v>
      </c>
      <c r="Z565" s="42"/>
      <c r="AA565" s="67"/>
      <c r="AB565" s="67"/>
      <c r="AC565" s="67"/>
    </row>
    <row r="566" spans="1:32" ht="14.25" hidden="1" x14ac:dyDescent="0.2">
      <c r="A566" s="663"/>
      <c r="B566" s="663"/>
      <c r="C566" s="663"/>
      <c r="D566" s="663"/>
      <c r="E566" s="663"/>
      <c r="F566" s="663"/>
      <c r="G566" s="663"/>
      <c r="H566" s="663"/>
      <c r="I566" s="663"/>
      <c r="J566" s="663"/>
      <c r="K566" s="663"/>
      <c r="L566" s="663"/>
      <c r="M566" s="663"/>
      <c r="N566" s="663"/>
      <c r="O566" s="674"/>
      <c r="P566" s="671" t="s">
        <v>38</v>
      </c>
      <c r="Q566" s="672"/>
      <c r="R566" s="672"/>
      <c r="S566" s="672"/>
      <c r="T566" s="672"/>
      <c r="U566" s="672"/>
      <c r="V566" s="67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0.78299999999999992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75</v>
      </c>
      <c r="C568" s="85" t="s">
        <v>45</v>
      </c>
      <c r="D568" s="656" t="s">
        <v>119</v>
      </c>
      <c r="E568" s="656" t="s">
        <v>119</v>
      </c>
      <c r="F568" s="656" t="s">
        <v>119</v>
      </c>
      <c r="G568" s="656" t="s">
        <v>119</v>
      </c>
      <c r="H568" s="656" t="s">
        <v>119</v>
      </c>
      <c r="I568" s="656" t="s">
        <v>119</v>
      </c>
      <c r="J568" s="656" t="s">
        <v>119</v>
      </c>
      <c r="K568" s="656" t="s">
        <v>345</v>
      </c>
      <c r="L568" s="656" t="s">
        <v>345</v>
      </c>
      <c r="M568" s="656" t="s">
        <v>345</v>
      </c>
      <c r="N568" s="657"/>
      <c r="O568" s="656" t="s">
        <v>345</v>
      </c>
      <c r="P568" s="656" t="s">
        <v>345</v>
      </c>
      <c r="Q568" s="656" t="s">
        <v>345</v>
      </c>
      <c r="R568" s="656" t="s">
        <v>345</v>
      </c>
      <c r="S568" s="656" t="s">
        <v>345</v>
      </c>
      <c r="T568" s="656" t="s">
        <v>345</v>
      </c>
      <c r="U568" s="656" t="s">
        <v>345</v>
      </c>
      <c r="V568" s="656" t="s">
        <v>345</v>
      </c>
      <c r="W568" s="656" t="s">
        <v>703</v>
      </c>
      <c r="X568" s="656" t="s">
        <v>703</v>
      </c>
      <c r="Y568" s="656" t="s">
        <v>769</v>
      </c>
      <c r="Z568" s="656" t="s">
        <v>769</v>
      </c>
      <c r="AA568" s="85" t="s">
        <v>805</v>
      </c>
      <c r="AB568" s="656" t="s">
        <v>852</v>
      </c>
      <c r="AC568" s="656" t="s">
        <v>852</v>
      </c>
      <c r="AF568" s="1"/>
    </row>
    <row r="569" spans="1:32" ht="14.25" customHeight="1" thickTop="1" x14ac:dyDescent="0.2">
      <c r="A569" s="658" t="s">
        <v>10</v>
      </c>
      <c r="B569" s="656" t="s">
        <v>75</v>
      </c>
      <c r="C569" s="656" t="s">
        <v>103</v>
      </c>
      <c r="D569" s="656" t="s">
        <v>120</v>
      </c>
      <c r="E569" s="656" t="s">
        <v>136</v>
      </c>
      <c r="F569" s="656" t="s">
        <v>185</v>
      </c>
      <c r="G569" s="656" t="s">
        <v>209</v>
      </c>
      <c r="H569" s="656" t="s">
        <v>249</v>
      </c>
      <c r="I569" s="656" t="s">
        <v>262</v>
      </c>
      <c r="J569" s="656" t="s">
        <v>119</v>
      </c>
      <c r="K569" s="656" t="s">
        <v>346</v>
      </c>
      <c r="L569" s="656" t="s">
        <v>367</v>
      </c>
      <c r="M569" s="656" t="s">
        <v>441</v>
      </c>
      <c r="N569" s="1"/>
      <c r="O569" s="656" t="s">
        <v>509</v>
      </c>
      <c r="P569" s="656" t="s">
        <v>541</v>
      </c>
      <c r="Q569" s="656" t="s">
        <v>561</v>
      </c>
      <c r="R569" s="656" t="s">
        <v>570</v>
      </c>
      <c r="S569" s="656" t="s">
        <v>591</v>
      </c>
      <c r="T569" s="656" t="s">
        <v>600</v>
      </c>
      <c r="U569" s="656" t="s">
        <v>686</v>
      </c>
      <c r="V569" s="656" t="s">
        <v>693</v>
      </c>
      <c r="W569" s="656" t="s">
        <v>704</v>
      </c>
      <c r="X569" s="656" t="s">
        <v>753</v>
      </c>
      <c r="Y569" s="656" t="s">
        <v>770</v>
      </c>
      <c r="Z569" s="656" t="s">
        <v>793</v>
      </c>
      <c r="AA569" s="656" t="s">
        <v>805</v>
      </c>
      <c r="AB569" s="656" t="s">
        <v>852</v>
      </c>
      <c r="AC569" s="656" t="s">
        <v>870</v>
      </c>
      <c r="AF569" s="1"/>
    </row>
    <row r="570" spans="1:32" ht="13.5" thickBot="1" x14ac:dyDescent="0.25">
      <c r="A570" s="659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IFERROR(Y87*1,"0")+IFERROR(Y88*1,"0")+IFERROR(Y89*1,"0")+IFERROR(Y90*1,"0")+IFERROR(Y91*1,"0")+IFERROR(Y92*1,"0")+IFERROR(Y96*1,"0")+IFERROR(Y97*1,"0")+IFERROR(Y98*1,"0")+IFERROR(Y99*1,"0")</f>
        <v>0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71" s="52">
        <f>IFERROR(Y134*1,"0")+IFERROR(Y135*1,"0")+IFERROR(Y139*1,"0")+IFERROR(Y140*1,"0")+IFERROR(Y144*1,"0")+IFERROR(Y145*1,"0")</f>
        <v>0</v>
      </c>
      <c r="I571" s="52">
        <f>IFERROR(Y150*1,"0")+IFERROR(Y151*1,"0")+IFERROR(Y152*1,"0")+IFERROR(Y153*1,"0")+IFERROR(Y154*1,"0")+IFERROR(Y155*1,"0")+IFERROR(Y159*1,"0")</f>
        <v>0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0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540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FRmOWdpCyPt+IWGLp0q7uxnUmnVoHOqMrioNiZ9B7u6nnpTi0CuwBePiNwD3KETP3et6N4IoUyneUowWaZqEkw==" saltValue="BQz59yMgtv+RurdFzZ+RY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00,00"/>
        <filter val="120,00"/>
        <filter val="28,00"/>
        <filter val="34,67"/>
        <filter val="420,00"/>
        <filter val="520,00"/>
        <filter val="536,29"/>
        <filter val="561,29"/>
        <filter val="6,67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up530GI2DPsPhiBlXTxM8xOnndsBPn2f8hb4Q8I+OVx7FGylKyKVWQiH9F5DZ8tecfedItHB8zRt0ULNRLYyvg==" saltValue="BNPIcJm5p39v2zpUYIrIo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2026-10-02T11:22:27Z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