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A100C9-0560-4979-9649-A553E310C54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N555" i="2" s="1"/>
  <c r="BO554" i="2"/>
  <c r="BN554" i="2"/>
  <c r="BM554" i="2"/>
  <c r="Y554" i="2"/>
  <c r="AC568" i="2" s="1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N544" i="2"/>
  <c r="BM544" i="2"/>
  <c r="Y544" i="2"/>
  <c r="Y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P524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Z509" i="2"/>
  <c r="Y509" i="2"/>
  <c r="BN509" i="2" s="1"/>
  <c r="P509" i="2"/>
  <c r="BO508" i="2"/>
  <c r="BN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N484" i="2"/>
  <c r="BM484" i="2"/>
  <c r="Y484" i="2"/>
  <c r="P484" i="2"/>
  <c r="X482" i="2"/>
  <c r="X481" i="2"/>
  <c r="BO480" i="2"/>
  <c r="BM480" i="2"/>
  <c r="Y480" i="2"/>
  <c r="BP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Z477" i="2"/>
  <c r="Y477" i="2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N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P459" i="2"/>
  <c r="BO459" i="2"/>
  <c r="BM459" i="2"/>
  <c r="Z459" i="2"/>
  <c r="Y459" i="2"/>
  <c r="BN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N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Z429" i="2"/>
  <c r="Y429" i="2"/>
  <c r="BN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Z397" i="2"/>
  <c r="Y397" i="2"/>
  <c r="BN397" i="2" s="1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P366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N337" i="2"/>
  <c r="BM337" i="2"/>
  <c r="Y337" i="2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N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N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N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N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N260" i="2"/>
  <c r="BM260" i="2"/>
  <c r="Y260" i="2"/>
  <c r="P260" i="2"/>
  <c r="BO259" i="2"/>
  <c r="BM259" i="2"/>
  <c r="Y259" i="2"/>
  <c r="P259" i="2"/>
  <c r="X256" i="2"/>
  <c r="X255" i="2"/>
  <c r="BO254" i="2"/>
  <c r="BM254" i="2"/>
  <c r="Z254" i="2"/>
  <c r="Z255" i="2" s="1"/>
  <c r="Y254" i="2"/>
  <c r="Y256" i="2" s="1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Z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N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N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N178" i="2"/>
  <c r="BM178" i="2"/>
  <c r="Y178" i="2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N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N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N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N94" i="2" s="1"/>
  <c r="P94" i="2"/>
  <c r="X92" i="2"/>
  <c r="X91" i="2"/>
  <c r="BP90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N72" i="2"/>
  <c r="BM72" i="2"/>
  <c r="Y72" i="2"/>
  <c r="BP72" i="2" s="1"/>
  <c r="P72" i="2"/>
  <c r="X70" i="2"/>
  <c r="X69" i="2"/>
  <c r="BO68" i="2"/>
  <c r="BM68" i="2"/>
  <c r="Y68" i="2"/>
  <c r="BN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N31" i="2"/>
  <c r="BM31" i="2"/>
  <c r="Y31" i="2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Z106" i="2" l="1"/>
  <c r="BN86" i="2"/>
  <c r="BN356" i="2"/>
  <c r="BN548" i="2"/>
  <c r="BP106" i="2"/>
  <c r="BP276" i="2"/>
  <c r="BN311" i="2"/>
  <c r="BN525" i="2"/>
  <c r="BN23" i="2"/>
  <c r="Z72" i="2"/>
  <c r="BN40" i="2"/>
  <c r="BN208" i="2"/>
  <c r="BN228" i="2"/>
  <c r="BP330" i="2"/>
  <c r="BN50" i="2"/>
  <c r="Z403" i="2"/>
  <c r="Y360" i="2"/>
  <c r="BN96" i="2"/>
  <c r="Z193" i="2"/>
  <c r="Z194" i="2" s="1"/>
  <c r="BN367" i="2"/>
  <c r="Y92" i="2"/>
  <c r="BN237" i="2"/>
  <c r="BP286" i="2"/>
  <c r="Y323" i="2"/>
  <c r="Y52" i="2"/>
  <c r="BN375" i="2"/>
  <c r="BP504" i="2"/>
  <c r="Y546" i="2"/>
  <c r="BP39" i="2"/>
  <c r="Z115" i="2"/>
  <c r="BP115" i="2"/>
  <c r="Z179" i="2"/>
  <c r="Z204" i="2"/>
  <c r="Z302" i="2"/>
  <c r="Y542" i="2"/>
  <c r="Y198" i="2"/>
  <c r="Z218" i="2"/>
  <c r="Z39" i="2"/>
  <c r="Y98" i="2"/>
  <c r="Z175" i="2"/>
  <c r="Z180" i="2"/>
  <c r="BN189" i="2"/>
  <c r="Y195" i="2"/>
  <c r="BN197" i="2"/>
  <c r="BN230" i="2"/>
  <c r="BN239" i="2"/>
  <c r="BN249" i="2"/>
  <c r="BN287" i="2"/>
  <c r="Z344" i="2"/>
  <c r="BN391" i="2"/>
  <c r="BP408" i="2"/>
  <c r="BN409" i="2"/>
  <c r="BN415" i="2"/>
  <c r="BP429" i="2"/>
  <c r="BP479" i="2"/>
  <c r="BN480" i="2"/>
  <c r="BN521" i="2"/>
  <c r="BP302" i="2"/>
  <c r="Z27" i="2"/>
  <c r="BN28" i="2"/>
  <c r="Z48" i="2"/>
  <c r="Z59" i="2"/>
  <c r="Y75" i="2"/>
  <c r="BP79" i="2"/>
  <c r="BN80" i="2"/>
  <c r="BN85" i="2"/>
  <c r="BP97" i="2"/>
  <c r="BP147" i="2"/>
  <c r="BN148" i="2"/>
  <c r="Z150" i="2"/>
  <c r="Z163" i="2"/>
  <c r="Z182" i="2"/>
  <c r="BN183" i="2"/>
  <c r="BP193" i="2"/>
  <c r="BN206" i="2"/>
  <c r="BN214" i="2"/>
  <c r="BN220" i="2"/>
  <c r="BN242" i="2"/>
  <c r="BP254" i="2"/>
  <c r="BN289" i="2"/>
  <c r="BN295" i="2"/>
  <c r="BN327" i="2"/>
  <c r="BN385" i="2"/>
  <c r="BP403" i="2"/>
  <c r="Y411" i="2"/>
  <c r="BN436" i="2"/>
  <c r="Y487" i="2"/>
  <c r="BN495" i="2"/>
  <c r="BN532" i="2"/>
  <c r="BN536" i="2"/>
  <c r="Z555" i="2"/>
  <c r="BN373" i="2"/>
  <c r="Z68" i="2"/>
  <c r="BN363" i="2"/>
  <c r="BN61" i="2"/>
  <c r="BN382" i="2"/>
  <c r="BN280" i="2"/>
  <c r="BN390" i="2"/>
  <c r="BP390" i="2"/>
  <c r="BP141" i="2"/>
  <c r="BN141" i="2"/>
  <c r="Y143" i="2"/>
  <c r="Z289" i="2"/>
  <c r="BN453" i="2"/>
  <c r="BP218" i="2"/>
  <c r="Z421" i="2"/>
  <c r="BN282" i="2"/>
  <c r="Y278" i="2"/>
  <c r="BN270" i="2"/>
  <c r="BN271" i="2"/>
  <c r="Z507" i="2"/>
  <c r="BP507" i="2"/>
  <c r="BN505" i="2"/>
  <c r="Z85" i="2"/>
  <c r="BP85" i="2"/>
  <c r="Z433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Z556" i="2" s="1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Z392" i="2" s="1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Z108" i="2" s="1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164" i="2" s="1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Z143" i="2" s="1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169" i="2" s="1"/>
  <c r="Z241" i="2"/>
  <c r="Z452" i="2"/>
  <c r="BP66" i="2"/>
  <c r="BN66" i="2"/>
  <c r="BN188" i="2"/>
  <c r="Y245" i="2"/>
  <c r="Y348" i="2"/>
  <c r="Y444" i="2"/>
  <c r="Y33" i="2"/>
  <c r="BP30" i="2"/>
  <c r="BN30" i="2"/>
  <c r="Z66" i="2"/>
  <c r="Z75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43" i="2" s="1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38" i="2" s="1"/>
  <c r="Z372" i="2"/>
  <c r="Z382" i="2"/>
  <c r="BN404" i="2"/>
  <c r="BN430" i="2"/>
  <c r="BN440" i="2"/>
  <c r="Y443" i="2"/>
  <c r="BN463" i="2"/>
  <c r="Z475" i="2"/>
  <c r="BP477" i="2"/>
  <c r="Z485" i="2"/>
  <c r="Z486" i="2" s="1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42" i="2" s="1"/>
  <c r="Z87" i="2"/>
  <c r="Z97" i="2"/>
  <c r="Z98" i="2" s="1"/>
  <c r="Z131" i="2"/>
  <c r="Z133" i="2" s="1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32" i="2" l="1"/>
  <c r="Z153" i="2"/>
  <c r="Z449" i="2"/>
  <c r="Z352" i="2"/>
  <c r="Z292" i="2"/>
  <c r="Z51" i="2"/>
  <c r="Z261" i="2"/>
  <c r="Z424" i="2"/>
  <c r="Z91" i="2"/>
  <c r="Y559" i="2"/>
  <c r="Y560" i="2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Y561" i="2" l="1"/>
  <c r="Z563" i="2"/>
</calcChain>
</file>

<file path=xl/sharedStrings.xml><?xml version="1.0" encoding="utf-8"?>
<sst xmlns="http://schemas.openxmlformats.org/spreadsheetml/2006/main" count="4283" uniqueCount="900">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</sst>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899</v>
      </c>
      <c r="I5" s="990"/>
      <c r="J5" s="990"/>
      <c r="K5" s="990"/>
      <c r="L5" s="990"/>
      <c r="M5" s="990"/>
      <c r="N5" s="69"/>
      <c r="P5" s="26" t="s">
        <v>4</v>
      </c>
      <c r="Q5" s="992">
        <v>46282</v>
      </c>
      <c r="R5" s="992"/>
      <c r="T5" s="993" t="s">
        <v>3</v>
      </c>
      <c r="U5" s="994"/>
      <c r="V5" s="995" t="s">
        <v>875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882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Четверг</v>
      </c>
      <c r="R6" s="998"/>
      <c r="T6" s="999" t="s">
        <v>5</v>
      </c>
      <c r="U6" s="1000"/>
      <c r="V6" s="1001" t="s">
        <v>70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3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58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0.41666666666666669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71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55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72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73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74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75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61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59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66</v>
      </c>
      <c r="L17" s="944" t="s">
        <v>64</v>
      </c>
      <c r="M17" s="944" t="s">
        <v>2</v>
      </c>
      <c r="N17" s="944" t="s">
        <v>63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56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60</v>
      </c>
      <c r="AB17" s="950" t="s">
        <v>19</v>
      </c>
      <c r="AC17" s="950" t="s">
        <v>65</v>
      </c>
      <c r="AD17" s="952" t="s">
        <v>57</v>
      </c>
      <c r="AE17" s="953"/>
      <c r="AF17" s="954"/>
      <c r="AG17" s="77"/>
      <c r="BD17" s="76" t="s">
        <v>62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76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104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120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121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250</v>
      </c>
      <c r="Y47" s="53">
        <f>IFERROR(IF(X47="",0,CEILING((X47/$H47),1)*$H47),"")</f>
        <v>259.20000000000005</v>
      </c>
      <c r="Z47" s="39">
        <f>IFERROR(IF(Y47=0,"",ROUNDUP(Y47/H47,0)*0.01898),"")</f>
        <v>0.45552000000000004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259.4907407407407</v>
      </c>
      <c r="BN47" s="75">
        <f>IFERROR(Y47*I47/H47,"0")</f>
        <v>269.04000000000002</v>
      </c>
      <c r="BO47" s="75">
        <f>IFERROR(1/J47*(X47/H47),"0")</f>
        <v>0.36168981481481477</v>
      </c>
      <c r="BP47" s="75">
        <f>IFERROR(1/J47*(Y47/H47),"0")</f>
        <v>0.37500000000000006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23.148148148148145</v>
      </c>
      <c r="Y51" s="41">
        <f>IFERROR(Y47/H47,"0")+IFERROR(Y48/H48,"0")+IFERROR(Y49/H49,"0")+IFERROR(Y50/H50,"0")</f>
        <v>24.000000000000004</v>
      </c>
      <c r="Z51" s="41">
        <f>IFERROR(IF(Z47="",0,Z47),"0")+IFERROR(IF(Z48="",0,Z48),"0")+IFERROR(IF(Z49="",0,Z49),"0")+IFERROR(IF(Z50="",0,Z50),"0")</f>
        <v>0.45552000000000004</v>
      </c>
      <c r="AA51" s="64"/>
      <c r="AB51" s="64"/>
      <c r="AC51" s="64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250</v>
      </c>
      <c r="Y52" s="41">
        <f>IFERROR(SUM(Y47:Y50),"0")</f>
        <v>259.20000000000005</v>
      </c>
      <c r="Z52" s="40"/>
      <c r="AA52" s="64"/>
      <c r="AB52" s="64"/>
      <c r="AC52" s="64"/>
    </row>
    <row r="53" spans="1:68" ht="16.5" hidden="1" customHeight="1" x14ac:dyDescent="0.25">
      <c r="A53" s="666" t="s">
        <v>137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1500</v>
      </c>
      <c r="Y56" s="53">
        <f t="shared" si="0"/>
        <v>1501.2</v>
      </c>
      <c r="Z56" s="39">
        <f>IFERROR(IF(Y56=0,"",ROUNDUP(Y56/H56,0)*0.01898),"")</f>
        <v>2.63822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1556.9444444444443</v>
      </c>
      <c r="BN56" s="75">
        <f t="shared" si="2"/>
        <v>1558.19</v>
      </c>
      <c r="BO56" s="75">
        <f t="shared" si="3"/>
        <v>2.1701388888888888</v>
      </c>
      <c r="BP56" s="75">
        <f t="shared" si="4"/>
        <v>2.171875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customHeight="1" x14ac:dyDescent="0.25">
      <c r="A61" s="60" t="s">
        <v>154</v>
      </c>
      <c r="B61" s="60" t="s">
        <v>155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1188</v>
      </c>
      <c r="Y61" s="53">
        <f t="shared" si="0"/>
        <v>1188</v>
      </c>
      <c r="Z61" s="39">
        <f>IFERROR(IF(Y61=0,"",ROUNDUP(Y61/H61,0)*0.00902),"")</f>
        <v>2.3812800000000003</v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1238.1600000000001</v>
      </c>
      <c r="BN61" s="75">
        <f t="shared" si="2"/>
        <v>1238.1600000000001</v>
      </c>
      <c r="BO61" s="75">
        <f t="shared" si="3"/>
        <v>2</v>
      </c>
      <c r="BP61" s="75">
        <f t="shared" si="4"/>
        <v>2</v>
      </c>
    </row>
    <row r="62" spans="1:68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402.88888888888891</v>
      </c>
      <c r="Y62" s="41">
        <f>IFERROR(Y55/H55,"0")+IFERROR(Y56/H56,"0")+IFERROR(Y57/H57,"0")+IFERROR(Y58/H58,"0")+IFERROR(Y59/H59,"0")+IFERROR(Y60/H60,"0")+IFERROR(Y61/H61,"0")</f>
        <v>403</v>
      </c>
      <c r="Z62" s="41">
        <f>IFERROR(IF(Z55="",0,Z55),"0")+IFERROR(IF(Z56="",0,Z56),"0")+IFERROR(IF(Z57="",0,Z57),"0")+IFERROR(IF(Z58="",0,Z58),"0")+IFERROR(IF(Z59="",0,Z59),"0")+IFERROR(IF(Z60="",0,Z60),"0")+IFERROR(IF(Z61="",0,Z61),"0")</f>
        <v>5.0195000000000007</v>
      </c>
      <c r="AA62" s="64"/>
      <c r="AB62" s="64"/>
      <c r="AC62" s="6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2688</v>
      </c>
      <c r="Y63" s="41">
        <f>IFERROR(SUM(Y55:Y61),"0")</f>
        <v>2689.2</v>
      </c>
      <c r="Z63" s="40"/>
      <c r="AA63" s="64"/>
      <c r="AB63" s="64"/>
      <c r="AC63" s="64"/>
    </row>
    <row r="64" spans="1:68" ht="14.25" hidden="1" customHeight="1" x14ac:dyDescent="0.25">
      <c r="A64" s="662" t="s">
        <v>157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1070</v>
      </c>
      <c r="Y65" s="53">
        <f>IFERROR(IF(X65="",0,CEILING((X65/$H65),1)*$H65),"")</f>
        <v>1080</v>
      </c>
      <c r="Z65" s="39">
        <f>IFERROR(IF(Y65=0,"",ROUNDUP(Y65/H65,0)*0.01898),"")</f>
        <v>1.8980000000000001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1110.6203703703704</v>
      </c>
      <c r="BN65" s="75">
        <f>IFERROR(Y65*I65/H65,"0")</f>
        <v>1121</v>
      </c>
      <c r="BO65" s="75">
        <f>IFERROR(1/J65*(X65/H65),"0")</f>
        <v>1.5480324074074072</v>
      </c>
      <c r="BP65" s="75">
        <f>IFERROR(1/J65*(Y65/H65),"0")</f>
        <v>1.5625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166</v>
      </c>
      <c r="B68" s="60" t="s">
        <v>167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135</v>
      </c>
      <c r="Y68" s="53">
        <f>IFERROR(IF(X68="",0,CEILING((X68/$H68),1)*$H68),"")</f>
        <v>135</v>
      </c>
      <c r="Z68" s="39">
        <f>IFERROR(IF(Y68=0,"",ROUNDUP(Y68/H68,0)*0.00651),"")</f>
        <v>0.32550000000000001</v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144</v>
      </c>
      <c r="BN68" s="75">
        <f>IFERROR(Y68*I68/H68,"0")</f>
        <v>144</v>
      </c>
      <c r="BO68" s="75">
        <f>IFERROR(1/J68*(X68/H68),"0")</f>
        <v>0.27472527472527475</v>
      </c>
      <c r="BP68" s="75">
        <f>IFERROR(1/J68*(Y68/H68),"0")</f>
        <v>0.27472527472527475</v>
      </c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149.07407407407408</v>
      </c>
      <c r="Y69" s="41">
        <f>IFERROR(Y65/H65,"0")+IFERROR(Y66/H66,"0")+IFERROR(Y67/H67,"0")+IFERROR(Y68/H68,"0")</f>
        <v>150</v>
      </c>
      <c r="Z69" s="41">
        <f>IFERROR(IF(Z65="",0,Z65),"0")+IFERROR(IF(Z66="",0,Z66),"0")+IFERROR(IF(Z67="",0,Z67),"0")+IFERROR(IF(Z68="",0,Z68),"0")</f>
        <v>2.2235</v>
      </c>
      <c r="AA69" s="64"/>
      <c r="AB69" s="64"/>
      <c r="AC69" s="64"/>
    </row>
    <row r="70" spans="1:68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1205</v>
      </c>
      <c r="Y70" s="41">
        <f>IFERROR(SUM(Y65:Y68),"0")</f>
        <v>1215</v>
      </c>
      <c r="Z70" s="40"/>
      <c r="AA70" s="64"/>
      <c r="AB70" s="64"/>
      <c r="AC70" s="64"/>
    </row>
    <row r="71" spans="1:68" ht="14.25" hidden="1" customHeight="1" x14ac:dyDescent="0.25">
      <c r="A71" s="662" t="s">
        <v>86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183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122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50</v>
      </c>
      <c r="Y85" s="53">
        <f t="shared" ref="Y85:Y90" si="5">IFERROR(IF(X85="",0,CEILING((X85/$H85),1)*$H85),"")</f>
        <v>54</v>
      </c>
      <c r="Z85" s="39">
        <f>IFERROR(IF(Y85=0,"",ROUNDUP(Y85/H85,0)*0.01898),"")</f>
        <v>9.4899999999999998E-2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 t="shared" ref="BM85:BM90" si="6">IFERROR(X85*I85/H85,"0")</f>
        <v>51.898148148148145</v>
      </c>
      <c r="BN85" s="75">
        <f t="shared" ref="BN85:BN90" si="7">IFERROR(Y85*I85/H85,"0")</f>
        <v>56.05</v>
      </c>
      <c r="BO85" s="75">
        <f t="shared" ref="BO85:BO90" si="8">IFERROR(1/J85*(X85/H85),"0")</f>
        <v>7.2337962962962965E-2</v>
      </c>
      <c r="BP85" s="75">
        <f t="shared" ref="BP85:BP90" si="9">IFERROR(1/J85*(Y85/H85),"0")</f>
        <v>7.8125E-2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  <c r="AG90" s="75"/>
      <c r="AJ90" s="79" t="s">
        <v>46</v>
      </c>
      <c r="AK90" s="79">
        <v>0</v>
      </c>
      <c r="BB90" s="158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4.6296296296296298</v>
      </c>
      <c r="Y91" s="41">
        <f>IFERROR(Y85/H85,"0")+IFERROR(Y86/H86,"0")+IFERROR(Y87/H87,"0")+IFERROR(Y88/H88,"0")+IFERROR(Y89/H89,"0")+IFERROR(Y90/H90,"0")</f>
        <v>5</v>
      </c>
      <c r="Z91" s="41">
        <f>IFERROR(IF(Z85="",0,Z85),"0")+IFERROR(IF(Z86="",0,Z86),"0")+IFERROR(IF(Z87="",0,Z87),"0")+IFERROR(IF(Z88="",0,Z88),"0")+IFERROR(IF(Z89="",0,Z89),"0")+IFERROR(IF(Z90="",0,Z90),"0")</f>
        <v>9.4899999999999998E-2</v>
      </c>
      <c r="AA91" s="64"/>
      <c r="AB91" s="64"/>
      <c r="AC91" s="64"/>
    </row>
    <row r="92" spans="1:68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50</v>
      </c>
      <c r="Y92" s="41">
        <f>IFERROR(SUM(Y85:Y90),"0")</f>
        <v>54</v>
      </c>
      <c r="Z92" s="40"/>
      <c r="AA92" s="64"/>
      <c r="AB92" s="64"/>
      <c r="AC92" s="64"/>
    </row>
    <row r="93" spans="1:68" ht="14.25" hidden="1" customHeight="1" x14ac:dyDescent="0.25">
      <c r="A93" s="662" t="s">
        <v>86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customHeight="1" x14ac:dyDescent="0.25">
      <c r="A94" s="60" t="s">
        <v>196</v>
      </c>
      <c r="B94" s="60" t="s">
        <v>197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150</v>
      </c>
      <c r="Y94" s="53">
        <f>IFERROR(IF(X94="",0,CEILING((X94/$H94),1)*$H94),"")</f>
        <v>153.9</v>
      </c>
      <c r="Z94" s="39">
        <f>IFERROR(IF(Y94=0,"",ROUNDUP(Y94/H94,0)*0.01898),"")</f>
        <v>0.36062</v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159.14814814814815</v>
      </c>
      <c r="BN94" s="75">
        <f>IFERROR(Y94*I94/H94,"0")</f>
        <v>163.286</v>
      </c>
      <c r="BO94" s="75">
        <f>IFERROR(1/J94*(X94/H94),"0")</f>
        <v>0.28935185185185186</v>
      </c>
      <c r="BP94" s="75">
        <f>IFERROR(1/J94*(Y94/H94),"0")</f>
        <v>0.296875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198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204</v>
      </c>
      <c r="B97" s="60" t="s">
        <v>205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18.518518518518519</v>
      </c>
      <c r="Y98" s="41">
        <f>IFERROR(Y94/H94,"0")+IFERROR(Y95/H95,"0")+IFERROR(Y96/H96,"0")+IFERROR(Y97/H97,"0")</f>
        <v>19</v>
      </c>
      <c r="Z98" s="41">
        <f>IFERROR(IF(Z94="",0,Z94),"0")+IFERROR(IF(Z95="",0,Z95),"0")+IFERROR(IF(Z96="",0,Z96),"0")+IFERROR(IF(Z97="",0,Z97),"0")</f>
        <v>0.36062</v>
      </c>
      <c r="AA98" s="64"/>
      <c r="AB98" s="64"/>
      <c r="AC98" s="64"/>
    </row>
    <row r="99" spans="1:68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150</v>
      </c>
      <c r="Y99" s="41">
        <f>IFERROR(SUM(Y94:Y97),"0")</f>
        <v>153.9</v>
      </c>
      <c r="Z99" s="40"/>
      <c r="AA99" s="64"/>
      <c r="AB99" s="64"/>
      <c r="AC99" s="64"/>
    </row>
    <row r="100" spans="1:68" ht="16.5" hidden="1" customHeight="1" x14ac:dyDescent="0.25">
      <c r="A100" s="666" t="s">
        <v>207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122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hidden="1" customHeight="1" x14ac:dyDescent="0.25">
      <c r="A102" s="60" t="s">
        <v>208</v>
      </c>
      <c r="B102" s="60" t="s">
        <v>209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67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62" t="s">
        <v>157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229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86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customHeight="1" x14ac:dyDescent="0.25">
      <c r="A119" s="60" t="s">
        <v>234</v>
      </c>
      <c r="B119" s="60" t="s">
        <v>235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630</v>
      </c>
      <c r="Y119" s="53">
        <f>IFERROR(IF(X119="",0,CEILING((X119/$H119),1)*$H119),"")</f>
        <v>631.79999999999995</v>
      </c>
      <c r="Z119" s="39">
        <f>IFERROR(IF(Y119=0,"",ROUNDUP(Y119/H119,0)*0.01898),"")</f>
        <v>1.48044</v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667.95555555555552</v>
      </c>
      <c r="BN119" s="75">
        <f>IFERROR(Y119*I119/H119,"0")</f>
        <v>669.86399999999992</v>
      </c>
      <c r="BO119" s="75">
        <f>IFERROR(1/J119*(X119/H119),"0")</f>
        <v>1.2152777777777779</v>
      </c>
      <c r="BP119" s="75">
        <f>IFERROR(1/J119*(Y119/H119),"0")</f>
        <v>1.21875</v>
      </c>
    </row>
    <row r="120" spans="1:68" ht="27" hidden="1" customHeight="1" x14ac:dyDescent="0.25">
      <c r="A120" s="60" t="s">
        <v>237</v>
      </c>
      <c r="B120" s="60" t="s">
        <v>238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236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241</v>
      </c>
      <c r="B122" s="60" t="s">
        <v>242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77.777777777777786</v>
      </c>
      <c r="Y123" s="41">
        <f>IFERROR(Y119/H119,"0")+IFERROR(Y120/H120,"0")+IFERROR(Y121/H121,"0")+IFERROR(Y122/H122,"0")</f>
        <v>78</v>
      </c>
      <c r="Z123" s="41">
        <f>IFERROR(IF(Z119="",0,Z119),"0")+IFERROR(IF(Z120="",0,Z120),"0")+IFERROR(IF(Z121="",0,Z121),"0")+IFERROR(IF(Z122="",0,Z122),"0")</f>
        <v>1.48044</v>
      </c>
      <c r="AA123" s="64"/>
      <c r="AB123" s="64"/>
      <c r="AC123" s="64"/>
    </row>
    <row r="124" spans="1:68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630</v>
      </c>
      <c r="Y124" s="41">
        <f>IFERROR(SUM(Y119:Y122),"0")</f>
        <v>631.79999999999995</v>
      </c>
      <c r="Z124" s="40"/>
      <c r="AA124" s="64"/>
      <c r="AB124" s="64"/>
      <c r="AC124" s="64"/>
    </row>
    <row r="125" spans="1:68" ht="14.25" hidden="1" customHeight="1" x14ac:dyDescent="0.25">
      <c r="A125" s="662" t="s">
        <v>175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244</v>
      </c>
      <c r="B126" s="60" t="s">
        <v>245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247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122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248</v>
      </c>
      <c r="B131" s="60" t="s">
        <v>249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248</v>
      </c>
      <c r="B132" s="60" t="s">
        <v>252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77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253</v>
      </c>
      <c r="B136" s="60" t="s">
        <v>254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253</v>
      </c>
      <c r="B137" s="60" t="s">
        <v>256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86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customHeight="1" x14ac:dyDescent="0.25">
      <c r="A141" s="60" t="s">
        <v>257</v>
      </c>
      <c r="B141" s="60" t="s">
        <v>258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10</v>
      </c>
      <c r="Y141" s="53">
        <f>IFERROR(IF(X141="",0,CEILING((X141/$H141),1)*$H141),"")</f>
        <v>10.56</v>
      </c>
      <c r="Z141" s="39">
        <f>IFERROR(IF(Y141=0,"",ROUNDUP(Y141/H141,0)*0.00651),"")</f>
        <v>2.6040000000000001E-2</v>
      </c>
      <c r="AA141" s="65" t="s">
        <v>46</v>
      </c>
      <c r="AB141" s="66" t="s">
        <v>46</v>
      </c>
      <c r="AC141" s="207" t="s">
        <v>250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11.015151515151514</v>
      </c>
      <c r="BN141" s="75">
        <f>IFERROR(Y141*I141/H141,"0")</f>
        <v>11.632</v>
      </c>
      <c r="BO141" s="75">
        <f>IFERROR(1/J141*(X141/H141),"0")</f>
        <v>2.0812520812520812E-2</v>
      </c>
      <c r="BP141" s="75">
        <f>IFERROR(1/J141*(Y141/H141),"0")</f>
        <v>2.197802197802198E-2</v>
      </c>
    </row>
    <row r="142" spans="1:68" ht="16.5" hidden="1" customHeight="1" x14ac:dyDescent="0.25">
      <c r="A142" s="60" t="s">
        <v>257</v>
      </c>
      <c r="B142" s="60" t="s">
        <v>259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3.7878787878787876</v>
      </c>
      <c r="Y143" s="41">
        <f>IFERROR(Y141/H141,"0")+IFERROR(Y142/H142,"0")</f>
        <v>4</v>
      </c>
      <c r="Z143" s="41">
        <f>IFERROR(IF(Z141="",0,Z141),"0")+IFERROR(IF(Z142="",0,Z142),"0")</f>
        <v>2.6040000000000001E-2</v>
      </c>
      <c r="AA143" s="64"/>
      <c r="AB143" s="64"/>
      <c r="AC143" s="64"/>
    </row>
    <row r="144" spans="1:68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10</v>
      </c>
      <c r="Y144" s="41">
        <f>IFERROR(SUM(Y141:Y142),"0")</f>
        <v>10.56</v>
      </c>
      <c r="Z144" s="40"/>
      <c r="AA144" s="64"/>
      <c r="AB144" s="64"/>
      <c r="AC144" s="64"/>
    </row>
    <row r="145" spans="1:68" ht="16.5" hidden="1" customHeight="1" x14ac:dyDescent="0.25">
      <c r="A145" s="666" t="s">
        <v>260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86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261</v>
      </c>
      <c r="B147" s="60" t="s">
        <v>262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263</v>
      </c>
      <c r="AG147" s="75"/>
      <c r="AJ147" s="79" t="s">
        <v>46</v>
      </c>
      <c r="AK147" s="79">
        <v>0</v>
      </c>
      <c r="BB147" s="212" t="s">
        <v>67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264</v>
      </c>
      <c r="B148" s="60" t="s">
        <v>265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264</v>
      </c>
      <c r="B149" s="60" t="s">
        <v>267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266</v>
      </c>
      <c r="AG149" s="75"/>
      <c r="AJ149" s="79" t="s">
        <v>46</v>
      </c>
      <c r="AK149" s="79">
        <v>0</v>
      </c>
      <c r="BB149" s="216" t="s">
        <v>67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268</v>
      </c>
      <c r="B150" s="60" t="s">
        <v>269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67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271</v>
      </c>
      <c r="B152" s="60" t="s">
        <v>274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273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275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276</v>
      </c>
      <c r="B156" s="60" t="s">
        <v>277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  <c r="AG156" s="75"/>
      <c r="AJ156" s="79" t="s">
        <v>46</v>
      </c>
      <c r="AK156" s="79">
        <v>0</v>
      </c>
      <c r="BB156" s="224" t="s">
        <v>279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120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122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282</v>
      </c>
      <c r="B161" s="60" t="s">
        <v>283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285</v>
      </c>
      <c r="B162" s="60" t="s">
        <v>286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288</v>
      </c>
      <c r="B163" s="60" t="s">
        <v>289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157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291</v>
      </c>
      <c r="B167" s="60" t="s">
        <v>292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294</v>
      </c>
      <c r="B168" s="60" t="s">
        <v>295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77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customHeight="1" x14ac:dyDescent="0.25">
      <c r="A172" s="60" t="s">
        <v>297</v>
      </c>
      <c r="B172" s="60" t="s">
        <v>298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200</v>
      </c>
      <c r="Y172" s="53">
        <f t="shared" ref="Y172:Y183" si="21">IFERROR(IF(X172="",0,CEILING((X172/$H172),1)*$H172),"")</f>
        <v>203</v>
      </c>
      <c r="Z172" s="39">
        <f>IFERROR(IF(Y172=0,"",ROUNDUP(Y172/H172,0)*0.00902),"")</f>
        <v>0.52316000000000007</v>
      </c>
      <c r="AA172" s="65" t="s">
        <v>46</v>
      </c>
      <c r="AB172" s="66" t="s">
        <v>46</v>
      </c>
      <c r="AC172" s="235" t="s">
        <v>299</v>
      </c>
      <c r="AG172" s="75"/>
      <c r="AJ172" s="79" t="s">
        <v>46</v>
      </c>
      <c r="AK172" s="79">
        <v>0</v>
      </c>
      <c r="BB172" s="236" t="s">
        <v>67</v>
      </c>
      <c r="BM172" s="75">
        <f t="shared" ref="BM172:BM183" si="22">IFERROR(X172*I172/H172,"0")</f>
        <v>210.85714285714286</v>
      </c>
      <c r="BN172" s="75">
        <f t="shared" ref="BN172:BN183" si="23">IFERROR(Y172*I172/H172,"0")</f>
        <v>214.01999999999998</v>
      </c>
      <c r="BO172" s="75">
        <f t="shared" ref="BO172:BO183" si="24">IFERROR(1/J172*(X172/H172),"0")</f>
        <v>0.43290043290043295</v>
      </c>
      <c r="BP172" s="75">
        <f t="shared" ref="BP172:BP183" si="25">IFERROR(1/J172*(Y172/H172),"0")</f>
        <v>0.43939393939393939</v>
      </c>
    </row>
    <row r="173" spans="1:68" ht="27" customHeight="1" x14ac:dyDescent="0.25">
      <c r="A173" s="60" t="s">
        <v>300</v>
      </c>
      <c r="B173" s="60" t="s">
        <v>301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130</v>
      </c>
      <c r="Y173" s="53">
        <f t="shared" si="21"/>
        <v>133</v>
      </c>
      <c r="Z173" s="39">
        <f>IFERROR(IF(Y173=0,"",ROUNDUP(Y173/H173,0)*0.00902),"")</f>
        <v>0.34276000000000001</v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139.84285714285713</v>
      </c>
      <c r="BN173" s="75">
        <f t="shared" si="23"/>
        <v>143.07</v>
      </c>
      <c r="BO173" s="75">
        <f t="shared" si="24"/>
        <v>0.2813852813852814</v>
      </c>
      <c r="BP173" s="75">
        <f t="shared" si="25"/>
        <v>0.2878787878787879</v>
      </c>
    </row>
    <row r="174" spans="1:68" ht="27" customHeight="1" x14ac:dyDescent="0.25">
      <c r="A174" s="60" t="s">
        <v>303</v>
      </c>
      <c r="B174" s="60" t="s">
        <v>304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140</v>
      </c>
      <c r="Y174" s="53">
        <f t="shared" si="21"/>
        <v>140</v>
      </c>
      <c r="Z174" s="39">
        <f>IFERROR(IF(Y174=0,"",ROUNDUP(Y174/H174,0)*0.00902),"")</f>
        <v>0.36080000000000001</v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147.6</v>
      </c>
      <c r="BN174" s="75">
        <f t="shared" si="23"/>
        <v>147.6</v>
      </c>
      <c r="BO174" s="75">
        <f t="shared" si="24"/>
        <v>0.30303030303030304</v>
      </c>
      <c r="BP174" s="75">
        <f t="shared" si="25"/>
        <v>0.30303030303030304</v>
      </c>
    </row>
    <row r="175" spans="1:68" ht="27" hidden="1" customHeight="1" x14ac:dyDescent="0.25">
      <c r="A175" s="60" t="s">
        <v>303</v>
      </c>
      <c r="B175" s="60" t="s">
        <v>306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customHeight="1" x14ac:dyDescent="0.25">
      <c r="A176" s="60" t="s">
        <v>308</v>
      </c>
      <c r="B176" s="60" t="s">
        <v>309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70</v>
      </c>
      <c r="Y176" s="53">
        <f t="shared" si="21"/>
        <v>70</v>
      </c>
      <c r="Z176" s="39">
        <f>IFERROR(IF(Y176=0,"",ROUNDUP(Y176/H176,0)*0.00902),"")</f>
        <v>0.1804</v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73.8</v>
      </c>
      <c r="BN176" s="75">
        <f t="shared" si="23"/>
        <v>73.8</v>
      </c>
      <c r="BO176" s="75">
        <f t="shared" si="24"/>
        <v>0.15151515151515152</v>
      </c>
      <c r="BP176" s="75">
        <f t="shared" si="25"/>
        <v>0.15151515151515152</v>
      </c>
    </row>
    <row r="177" spans="1:68" ht="16.5" hidden="1" customHeight="1" x14ac:dyDescent="0.25">
      <c r="A177" s="60" t="s">
        <v>311</v>
      </c>
      <c r="B177" s="60" t="s">
        <v>312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311</v>
      </c>
      <c r="B178" s="60" t="s">
        <v>314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154.28571428571428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156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1.4071199999999999</v>
      </c>
      <c r="AA184" s="64"/>
      <c r="AB184" s="64"/>
      <c r="AC184" s="6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540</v>
      </c>
      <c r="Y185" s="41">
        <f>IFERROR(SUM(Y172:Y183),"0")</f>
        <v>546</v>
      </c>
      <c r="Z185" s="40"/>
      <c r="AA185" s="64"/>
      <c r="AB185" s="64"/>
      <c r="AC185" s="64"/>
    </row>
    <row r="186" spans="1:68" ht="14.25" hidden="1" customHeight="1" x14ac:dyDescent="0.25">
      <c r="A186" s="662" t="s">
        <v>86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327</v>
      </c>
      <c r="B187" s="60" t="s">
        <v>328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  <c r="AG187" s="75"/>
      <c r="AJ187" s="79" t="s">
        <v>46</v>
      </c>
      <c r="AK187" s="79">
        <v>0</v>
      </c>
      <c r="BB187" s="260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330</v>
      </c>
      <c r="B188" s="60" t="s">
        <v>331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333</v>
      </c>
      <c r="B189" s="60" t="s">
        <v>334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275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336</v>
      </c>
      <c r="B193" s="60" t="s">
        <v>337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340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341</v>
      </c>
      <c r="B197" s="60" t="s">
        <v>342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344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345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122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346</v>
      </c>
      <c r="B203" s="60" t="s">
        <v>347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125</v>
      </c>
      <c r="AG203" s="75"/>
      <c r="AJ203" s="79" t="s">
        <v>46</v>
      </c>
      <c r="AK203" s="79">
        <v>0</v>
      </c>
      <c r="BB203" s="270" t="s">
        <v>67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348</v>
      </c>
      <c r="B204" s="60" t="s">
        <v>349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350</v>
      </c>
      <c r="AG204" s="75"/>
      <c r="AJ204" s="79" t="s">
        <v>46</v>
      </c>
      <c r="AK204" s="79">
        <v>0</v>
      </c>
      <c r="BB204" s="272" t="s">
        <v>67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351</v>
      </c>
      <c r="B205" s="60" t="s">
        <v>352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353</v>
      </c>
      <c r="AG205" s="75"/>
      <c r="AJ205" s="79" t="s">
        <v>46</v>
      </c>
      <c r="AK205" s="79">
        <v>0</v>
      </c>
      <c r="BB205" s="274" t="s">
        <v>67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354</v>
      </c>
      <c r="B206" s="60" t="s">
        <v>355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356</v>
      </c>
      <c r="AG206" s="75"/>
      <c r="AJ206" s="79" t="s">
        <v>46</v>
      </c>
      <c r="AK206" s="79">
        <v>0</v>
      </c>
      <c r="BB206" s="276" t="s">
        <v>67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357</v>
      </c>
      <c r="B207" s="60" t="s">
        <v>358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366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157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367</v>
      </c>
      <c r="B214" s="60" t="s">
        <v>368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  <c r="AG214" s="75"/>
      <c r="AJ214" s="79" t="s">
        <v>46</v>
      </c>
      <c r="AK214" s="79">
        <v>0</v>
      </c>
      <c r="BB214" s="284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77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customHeight="1" x14ac:dyDescent="0.25">
      <c r="A218" s="60" t="s">
        <v>370</v>
      </c>
      <c r="B218" s="60" t="s">
        <v>371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20</v>
      </c>
      <c r="Y218" s="53">
        <f t="shared" ref="Y218:Y232" si="32">IFERROR(IF(X218="",0,CEILING((X218/$H218),1)*$H218),"")</f>
        <v>21</v>
      </c>
      <c r="Z218" s="39">
        <f>IFERROR(IF(Y218=0,"",ROUNDUP(Y218/H218,0)*0.00902),"")</f>
        <v>4.5100000000000001E-2</v>
      </c>
      <c r="AA218" s="65" t="s">
        <v>46</v>
      </c>
      <c r="AB218" s="66" t="s">
        <v>46</v>
      </c>
      <c r="AC218" s="285" t="s">
        <v>372</v>
      </c>
      <c r="AG218" s="75"/>
      <c r="AJ218" s="79" t="s">
        <v>46</v>
      </c>
      <c r="AK218" s="79">
        <v>0</v>
      </c>
      <c r="BB218" s="286" t="s">
        <v>67</v>
      </c>
      <c r="BM218" s="75">
        <f t="shared" ref="BM218:BM232" si="33">IFERROR(X218*I218/H218,"0")</f>
        <v>21.19047619047619</v>
      </c>
      <c r="BN218" s="75">
        <f t="shared" ref="BN218:BN232" si="34">IFERROR(Y218*I218/H218,"0")</f>
        <v>22.25</v>
      </c>
      <c r="BO218" s="75">
        <f t="shared" ref="BO218:BO232" si="35">IFERROR(1/J218*(X218/H218),"0")</f>
        <v>3.6075036075036072E-2</v>
      </c>
      <c r="BP218" s="75">
        <f t="shared" ref="BP218:BP232" si="36">IFERROR(1/J218*(Y218/H218),"0")</f>
        <v>3.787878787878788E-2</v>
      </c>
    </row>
    <row r="219" spans="1:68" ht="27" hidden="1" customHeight="1" x14ac:dyDescent="0.25">
      <c r="A219" s="60" t="s">
        <v>373</v>
      </c>
      <c r="B219" s="60" t="s">
        <v>374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  <c r="AG219" s="75"/>
      <c r="AJ219" s="79" t="s">
        <v>46</v>
      </c>
      <c r="AK219" s="79">
        <v>0</v>
      </c>
      <c r="BB219" s="288" t="s">
        <v>67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customHeight="1" x14ac:dyDescent="0.25">
      <c r="A220" s="60" t="s">
        <v>376</v>
      </c>
      <c r="B220" s="60" t="s">
        <v>377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30</v>
      </c>
      <c r="Y220" s="53">
        <f t="shared" si="32"/>
        <v>33.6</v>
      </c>
      <c r="Z220" s="39">
        <f>IFERROR(IF(Y220=0,"",ROUNDUP(Y220/H220,0)*0.00902),"")</f>
        <v>7.2160000000000002E-2</v>
      </c>
      <c r="AA220" s="65" t="s">
        <v>46</v>
      </c>
      <c r="AB220" s="66" t="s">
        <v>46</v>
      </c>
      <c r="AC220" s="289" t="s">
        <v>378</v>
      </c>
      <c r="AG220" s="75"/>
      <c r="AJ220" s="79" t="s">
        <v>46</v>
      </c>
      <c r="AK220" s="79">
        <v>0</v>
      </c>
      <c r="BB220" s="290" t="s">
        <v>67</v>
      </c>
      <c r="BM220" s="75">
        <f t="shared" si="33"/>
        <v>31.357142857142854</v>
      </c>
      <c r="BN220" s="75">
        <f t="shared" si="34"/>
        <v>35.119999999999997</v>
      </c>
      <c r="BO220" s="75">
        <f t="shared" si="35"/>
        <v>5.4112554112554112E-2</v>
      </c>
      <c r="BP220" s="75">
        <f t="shared" si="36"/>
        <v>6.0606060606060608E-2</v>
      </c>
    </row>
    <row r="221" spans="1:68" ht="37.5" hidden="1" customHeight="1" x14ac:dyDescent="0.25">
      <c r="A221" s="60" t="s">
        <v>379</v>
      </c>
      <c r="B221" s="60" t="s">
        <v>380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372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384</v>
      </c>
      <c r="B223" s="60" t="s">
        <v>385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386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375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391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392</v>
      </c>
      <c r="B226" s="60" t="s">
        <v>393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394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401</v>
      </c>
      <c r="B229" s="60" t="s">
        <v>402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378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403</v>
      </c>
      <c r="B231" s="60" t="s">
        <v>405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11.904761904761905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13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0.11726</v>
      </c>
      <c r="AA233" s="64"/>
      <c r="AB233" s="64"/>
      <c r="AC233" s="64"/>
    </row>
    <row r="234" spans="1:68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50</v>
      </c>
      <c r="Y234" s="41">
        <f>IFERROR(SUM(Y218:Y232),"0")</f>
        <v>54.6</v>
      </c>
      <c r="Z234" s="40"/>
      <c r="AA234" s="64"/>
      <c r="AB234" s="64"/>
      <c r="AC234" s="64"/>
    </row>
    <row r="235" spans="1:68" ht="14.25" hidden="1" customHeight="1" x14ac:dyDescent="0.25">
      <c r="A235" s="662" t="s">
        <v>86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409</v>
      </c>
      <c r="B236" s="60" t="s">
        <v>410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  <c r="AG236" s="75"/>
      <c r="AJ236" s="79" t="s">
        <v>46</v>
      </c>
      <c r="AK236" s="79">
        <v>0</v>
      </c>
      <c r="BB236" s="316" t="s">
        <v>67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409</v>
      </c>
      <c r="B237" s="60" t="s">
        <v>412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  <c r="AG237" s="75"/>
      <c r="AJ237" s="79" t="s">
        <v>46</v>
      </c>
      <c r="AK237" s="79">
        <v>0</v>
      </c>
      <c r="BB237" s="318" t="s">
        <v>67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414</v>
      </c>
      <c r="B238" s="60" t="s">
        <v>415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  <c r="AG238" s="75"/>
      <c r="AJ238" s="79" t="s">
        <v>46</v>
      </c>
      <c r="AK238" s="79">
        <v>0</v>
      </c>
      <c r="BB238" s="320" t="s">
        <v>67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414</v>
      </c>
      <c r="B239" s="60" t="s">
        <v>417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  <c r="AG239" s="75"/>
      <c r="AJ239" s="79" t="s">
        <v>46</v>
      </c>
      <c r="AK239" s="79">
        <v>0</v>
      </c>
      <c r="BB239" s="322" t="s">
        <v>67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419</v>
      </c>
      <c r="B240" s="60" t="s">
        <v>420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419</v>
      </c>
      <c r="B241" s="60" t="s">
        <v>422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426</v>
      </c>
      <c r="B244" s="60" t="s">
        <v>428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275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429</v>
      </c>
      <c r="B248" s="60" t="s">
        <v>430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432</v>
      </c>
      <c r="B249" s="60" t="s">
        <v>433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  <c r="AG249" s="75"/>
      <c r="AJ249" s="79" t="s">
        <v>46</v>
      </c>
      <c r="AK249" s="79">
        <v>0</v>
      </c>
      <c r="BB249" s="336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437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438</v>
      </c>
      <c r="B254" s="60" t="s">
        <v>439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  <c r="AG254" s="75"/>
      <c r="AJ254" s="79" t="s">
        <v>46</v>
      </c>
      <c r="AK254" s="79">
        <v>0</v>
      </c>
      <c r="BB254" s="340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440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122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441</v>
      </c>
      <c r="B259" s="60" t="s">
        <v>442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  <c r="AG259" s="75"/>
      <c r="AJ259" s="79" t="s">
        <v>46</v>
      </c>
      <c r="AK259" s="79">
        <v>0</v>
      </c>
      <c r="BB259" s="342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  <c r="AG260" s="75"/>
      <c r="AJ260" s="79" t="s">
        <v>46</v>
      </c>
      <c r="AK260" s="79">
        <v>0</v>
      </c>
      <c r="BB260" s="344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157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446</v>
      </c>
      <c r="B264" s="60" t="s">
        <v>447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  <c r="AG264" s="75"/>
      <c r="AJ264" s="79" t="s">
        <v>46</v>
      </c>
      <c r="AK264" s="79">
        <v>0</v>
      </c>
      <c r="BB264" s="346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449</v>
      </c>
      <c r="B265" s="60" t="s">
        <v>450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  <c r="AG265" s="75"/>
      <c r="AJ265" s="79" t="s">
        <v>46</v>
      </c>
      <c r="AK265" s="79">
        <v>0</v>
      </c>
      <c r="BB265" s="348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77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customHeight="1" x14ac:dyDescent="0.25">
      <c r="A269" s="60" t="s">
        <v>451</v>
      </c>
      <c r="B269" s="60" t="s">
        <v>452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180</v>
      </c>
      <c r="Y269" s="53">
        <f t="shared" ref="Y269:Y276" si="43">IFERROR(IF(X269="",0,CEILING((X269/$H269),1)*$H269),"")</f>
        <v>183.60000000000002</v>
      </c>
      <c r="Z269" s="39">
        <f>IFERROR(IF(Y269=0,"",ROUNDUP(Y269/H269,0)*0.00902),"")</f>
        <v>0.30668000000000001</v>
      </c>
      <c r="AA269" s="65" t="s">
        <v>46</v>
      </c>
      <c r="AB269" s="66" t="s">
        <v>46</v>
      </c>
      <c r="AC269" s="349" t="s">
        <v>453</v>
      </c>
      <c r="AG269" s="75"/>
      <c r="AJ269" s="79" t="s">
        <v>46</v>
      </c>
      <c r="AK269" s="79">
        <v>0</v>
      </c>
      <c r="BB269" s="350" t="s">
        <v>67</v>
      </c>
      <c r="BM269" s="75">
        <f t="shared" ref="BM269:BM276" si="44">IFERROR(X269*I269/H269,"0")</f>
        <v>186.33333333333331</v>
      </c>
      <c r="BN269" s="75">
        <f t="shared" ref="BN269:BN276" si="45">IFERROR(Y269*I269/H269,"0")</f>
        <v>190.06</v>
      </c>
      <c r="BO269" s="75">
        <f t="shared" ref="BO269:BO276" si="46">IFERROR(1/J269*(X269/H269),"0")</f>
        <v>0.25252525252525249</v>
      </c>
      <c r="BP269" s="75">
        <f t="shared" ref="BP269:BP276" si="47">IFERROR(1/J269*(Y269/H269),"0")</f>
        <v>0.25757575757575757</v>
      </c>
    </row>
    <row r="270" spans="1:68" ht="27" customHeight="1" x14ac:dyDescent="0.25">
      <c r="A270" s="60" t="s">
        <v>454</v>
      </c>
      <c r="B270" s="60" t="s">
        <v>455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350</v>
      </c>
      <c r="Y270" s="53">
        <f t="shared" si="43"/>
        <v>351</v>
      </c>
      <c r="Z270" s="39">
        <f>IFERROR(IF(Y270=0,"",ROUNDUP(Y270/H270,0)*0.00902),"")</f>
        <v>0.58630000000000004</v>
      </c>
      <c r="AA270" s="65" t="s">
        <v>46</v>
      </c>
      <c r="AB270" s="66" t="s">
        <v>46</v>
      </c>
      <c r="AC270" s="351" t="s">
        <v>456</v>
      </c>
      <c r="AG270" s="75"/>
      <c r="AJ270" s="79" t="s">
        <v>46</v>
      </c>
      <c r="AK270" s="79">
        <v>0</v>
      </c>
      <c r="BB270" s="352" t="s">
        <v>67</v>
      </c>
      <c r="BM270" s="75">
        <f t="shared" si="44"/>
        <v>362.31481481481478</v>
      </c>
      <c r="BN270" s="75">
        <f t="shared" si="45"/>
        <v>363.34999999999997</v>
      </c>
      <c r="BO270" s="75">
        <f t="shared" si="46"/>
        <v>0.49102132435465767</v>
      </c>
      <c r="BP270" s="75">
        <f t="shared" si="47"/>
        <v>0.49242424242424243</v>
      </c>
    </row>
    <row r="271" spans="1:68" ht="27" customHeight="1" x14ac:dyDescent="0.25">
      <c r="A271" s="60" t="s">
        <v>457</v>
      </c>
      <c r="B271" s="60" t="s">
        <v>458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400</v>
      </c>
      <c r="Y271" s="53">
        <f t="shared" si="43"/>
        <v>405</v>
      </c>
      <c r="Z271" s="39">
        <f>IFERROR(IF(Y271=0,"",ROUNDUP(Y271/H271,0)*0.00902),"")</f>
        <v>0.67649999999999999</v>
      </c>
      <c r="AA271" s="65" t="s">
        <v>46</v>
      </c>
      <c r="AB271" s="66" t="s">
        <v>46</v>
      </c>
      <c r="AC271" s="353" t="s">
        <v>459</v>
      </c>
      <c r="AG271" s="75"/>
      <c r="AJ271" s="79" t="s">
        <v>46</v>
      </c>
      <c r="AK271" s="79">
        <v>0</v>
      </c>
      <c r="BB271" s="354" t="s">
        <v>67</v>
      </c>
      <c r="BM271" s="75">
        <f t="shared" si="44"/>
        <v>414.07407407407402</v>
      </c>
      <c r="BN271" s="75">
        <f t="shared" si="45"/>
        <v>419.24999999999994</v>
      </c>
      <c r="BO271" s="75">
        <f t="shared" si="46"/>
        <v>0.5611672278338945</v>
      </c>
      <c r="BP271" s="75">
        <f t="shared" si="47"/>
        <v>0.56818181818181823</v>
      </c>
    </row>
    <row r="272" spans="1:68" ht="27" customHeight="1" x14ac:dyDescent="0.25">
      <c r="A272" s="60" t="s">
        <v>460</v>
      </c>
      <c r="B272" s="60" t="s">
        <v>461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200</v>
      </c>
      <c r="Y272" s="53">
        <f t="shared" si="43"/>
        <v>205.20000000000002</v>
      </c>
      <c r="Z272" s="39">
        <f>IFERROR(IF(Y272=0,"",ROUNDUP(Y272/H272,0)*0.00902),"")</f>
        <v>0.34276000000000001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si="44"/>
        <v>207.03703703703701</v>
      </c>
      <c r="BN272" s="75">
        <f t="shared" si="45"/>
        <v>212.42</v>
      </c>
      <c r="BO272" s="75">
        <f t="shared" si="46"/>
        <v>0.28058361391694725</v>
      </c>
      <c r="BP272" s="75">
        <f t="shared" si="47"/>
        <v>0.2878787878787879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469</v>
      </c>
      <c r="B276" s="60" t="s">
        <v>470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209.25925925925927</v>
      </c>
      <c r="Y277" s="41">
        <f>IFERROR(Y269/H269,"0")+IFERROR(Y270/H270,"0")+IFERROR(Y271/H271,"0")+IFERROR(Y272/H272,"0")+IFERROR(Y273/H273,"0")+IFERROR(Y274/H274,"0")+IFERROR(Y275/H275,"0")+IFERROR(Y276/H276,"0")</f>
        <v>212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1.9122399999999999</v>
      </c>
      <c r="AA277" s="64"/>
      <c r="AB277" s="64"/>
      <c r="AC277" s="64"/>
    </row>
    <row r="278" spans="1:68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1130</v>
      </c>
      <c r="Y278" s="41">
        <f>IFERROR(SUM(Y269:Y276),"0")</f>
        <v>1144.8</v>
      </c>
      <c r="Z278" s="40"/>
      <c r="AA278" s="64"/>
      <c r="AB278" s="64"/>
      <c r="AC278" s="64"/>
    </row>
    <row r="279" spans="1:68" ht="14.25" hidden="1" customHeight="1" x14ac:dyDescent="0.25">
      <c r="A279" s="662" t="s">
        <v>86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customHeight="1" x14ac:dyDescent="0.25">
      <c r="A280" s="60" t="s">
        <v>471</v>
      </c>
      <c r="B280" s="60" t="s">
        <v>472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15</v>
      </c>
      <c r="Y280" s="53">
        <f t="shared" ref="Y280:Y291" si="48">IFERROR(IF(X280="",0,CEILING((X280/$H280),1)*$H280),"")</f>
        <v>16.2</v>
      </c>
      <c r="Z280" s="39">
        <f>IFERROR(IF(Y280=0,"",ROUNDUP(Y280/H280,0)*0.01898),"")</f>
        <v>3.7960000000000001E-2</v>
      </c>
      <c r="AA280" s="65" t="s">
        <v>46</v>
      </c>
      <c r="AB280" s="66" t="s">
        <v>46</v>
      </c>
      <c r="AC280" s="365" t="s">
        <v>473</v>
      </c>
      <c r="AG280" s="75"/>
      <c r="AJ280" s="79" t="s">
        <v>46</v>
      </c>
      <c r="AK280" s="79">
        <v>0</v>
      </c>
      <c r="BB280" s="366" t="s">
        <v>67</v>
      </c>
      <c r="BM280" s="75">
        <f t="shared" ref="BM280:BM291" si="49">IFERROR(X280*I280/H280,"0")</f>
        <v>15.914814814814815</v>
      </c>
      <c r="BN280" s="75">
        <f t="shared" ref="BN280:BN291" si="50">IFERROR(Y280*I280/H280,"0")</f>
        <v>17.187999999999999</v>
      </c>
      <c r="BO280" s="75">
        <f t="shared" ref="BO280:BO291" si="51">IFERROR(1/J280*(X280/H280),"0")</f>
        <v>2.8935185185185185E-2</v>
      </c>
      <c r="BP280" s="75">
        <f t="shared" ref="BP280:BP291" si="52">IFERROR(1/J280*(Y280/H280),"0")</f>
        <v>3.125E-2</v>
      </c>
    </row>
    <row r="281" spans="1:68" ht="27" customHeight="1" x14ac:dyDescent="0.25">
      <c r="A281" s="60" t="s">
        <v>474</v>
      </c>
      <c r="B281" s="60" t="s">
        <v>475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15</v>
      </c>
      <c r="Y281" s="53">
        <f t="shared" si="48"/>
        <v>16.2</v>
      </c>
      <c r="Z281" s="39">
        <f>IFERROR(IF(Y281=0,"",ROUNDUP(Y281/H281,0)*0.01898),"")</f>
        <v>3.7960000000000001E-2</v>
      </c>
      <c r="AA281" s="65" t="s">
        <v>46</v>
      </c>
      <c r="AB281" s="66" t="s">
        <v>46</v>
      </c>
      <c r="AC281" s="367" t="s">
        <v>476</v>
      </c>
      <c r="AG281" s="75"/>
      <c r="AJ281" s="79" t="s">
        <v>46</v>
      </c>
      <c r="AK281" s="79">
        <v>0</v>
      </c>
      <c r="BB281" s="368" t="s">
        <v>67</v>
      </c>
      <c r="BM281" s="75">
        <f t="shared" si="49"/>
        <v>15.881481481481485</v>
      </c>
      <c r="BN281" s="75">
        <f t="shared" si="50"/>
        <v>17.152000000000001</v>
      </c>
      <c r="BO281" s="75">
        <f t="shared" si="51"/>
        <v>2.8935185185185185E-2</v>
      </c>
      <c r="BP281" s="75">
        <f t="shared" si="52"/>
        <v>3.125E-2</v>
      </c>
    </row>
    <row r="282" spans="1:68" ht="27" customHeight="1" x14ac:dyDescent="0.25">
      <c r="A282" s="60" t="s">
        <v>477</v>
      </c>
      <c r="B282" s="60" t="s">
        <v>478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40</v>
      </c>
      <c r="Y282" s="53">
        <f t="shared" si="48"/>
        <v>43.5</v>
      </c>
      <c r="Z282" s="39">
        <f>IFERROR(IF(Y282=0,"",ROUNDUP(Y282/H282,0)*0.01898),"")</f>
        <v>9.4899999999999998E-2</v>
      </c>
      <c r="AA282" s="65" t="s">
        <v>46</v>
      </c>
      <c r="AB282" s="66" t="s">
        <v>46</v>
      </c>
      <c r="AC282" s="369" t="s">
        <v>479</v>
      </c>
      <c r="AG282" s="75"/>
      <c r="AJ282" s="79" t="s">
        <v>46</v>
      </c>
      <c r="AK282" s="79">
        <v>0</v>
      </c>
      <c r="BB282" s="370" t="s">
        <v>67</v>
      </c>
      <c r="BM282" s="75">
        <f t="shared" si="49"/>
        <v>42.271264367816102</v>
      </c>
      <c r="BN282" s="75">
        <f t="shared" si="50"/>
        <v>45.970000000000006</v>
      </c>
      <c r="BO282" s="75">
        <f t="shared" si="51"/>
        <v>7.1839080459770124E-2</v>
      </c>
      <c r="BP282" s="75">
        <f t="shared" si="52"/>
        <v>7.8125E-2</v>
      </c>
    </row>
    <row r="283" spans="1:68" ht="27" hidden="1" customHeight="1" x14ac:dyDescent="0.25">
      <c r="A283" s="60" t="s">
        <v>480</v>
      </c>
      <c r="B283" s="60" t="s">
        <v>481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473</v>
      </c>
      <c r="AG283" s="75"/>
      <c r="AJ283" s="79" t="s">
        <v>46</v>
      </c>
      <c r="AK283" s="79">
        <v>0</v>
      </c>
      <c r="BB283" s="372" t="s">
        <v>67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484</v>
      </c>
      <c r="B285" s="60" t="s">
        <v>485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487</v>
      </c>
      <c r="B286" s="60" t="s">
        <v>488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489</v>
      </c>
      <c r="B287" s="60" t="s">
        <v>490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491</v>
      </c>
      <c r="B288" s="60" t="s">
        <v>492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customHeight="1" x14ac:dyDescent="0.25">
      <c r="A289" s="60" t="s">
        <v>493</v>
      </c>
      <c r="B289" s="60" t="s">
        <v>494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7</v>
      </c>
      <c r="Y289" s="53">
        <f t="shared" si="48"/>
        <v>7.1999999999999993</v>
      </c>
      <c r="Z289" s="39">
        <f>IFERROR(IF(Y289=0,"",ROUNDUP(Y289/H289,0)*0.00651),"")</f>
        <v>1.9529999999999999E-2</v>
      </c>
      <c r="AA289" s="65" t="s">
        <v>46</v>
      </c>
      <c r="AB289" s="66" t="s">
        <v>46</v>
      </c>
      <c r="AC289" s="383" t="s">
        <v>495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7.7350000000000003</v>
      </c>
      <c r="BN289" s="75">
        <f t="shared" si="50"/>
        <v>7.9560000000000004</v>
      </c>
      <c r="BO289" s="75">
        <f t="shared" si="51"/>
        <v>1.6025641025641028E-2</v>
      </c>
      <c r="BP289" s="75">
        <f t="shared" si="52"/>
        <v>1.6483516483516484E-2</v>
      </c>
    </row>
    <row r="290" spans="1:68" ht="27" customHeight="1" x14ac:dyDescent="0.25">
      <c r="A290" s="60" t="s">
        <v>496</v>
      </c>
      <c r="B290" s="60" t="s">
        <v>497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9</v>
      </c>
      <c r="Y290" s="53">
        <f t="shared" si="48"/>
        <v>9.6</v>
      </c>
      <c r="Z290" s="39">
        <f>IFERROR(IF(Y290=0,"",ROUNDUP(Y290/H290,0)*0.00651),"")</f>
        <v>2.6040000000000001E-2</v>
      </c>
      <c r="AA290" s="65" t="s">
        <v>46</v>
      </c>
      <c r="AB290" s="66" t="s">
        <v>46</v>
      </c>
      <c r="AC290" s="385" t="s">
        <v>498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9.9675000000000011</v>
      </c>
      <c r="BN290" s="75">
        <f t="shared" si="50"/>
        <v>10.632</v>
      </c>
      <c r="BO290" s="75">
        <f t="shared" si="51"/>
        <v>2.0604395604395608E-2</v>
      </c>
      <c r="BP290" s="75">
        <f t="shared" si="52"/>
        <v>2.197802197802198E-2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14.968071519795657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16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0.21639</v>
      </c>
      <c r="AA292" s="64"/>
      <c r="AB292" s="64"/>
      <c r="AC292" s="64"/>
    </row>
    <row r="293" spans="1:68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86</v>
      </c>
      <c r="Y293" s="41">
        <f>IFERROR(SUM(Y280:Y291),"0")</f>
        <v>92.7</v>
      </c>
      <c r="Z293" s="40"/>
      <c r="AA293" s="64"/>
      <c r="AB293" s="64"/>
      <c r="AC293" s="64"/>
    </row>
    <row r="294" spans="1:68" ht="14.25" hidden="1" customHeight="1" x14ac:dyDescent="0.25">
      <c r="A294" s="662" t="s">
        <v>175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502</v>
      </c>
      <c r="B295" s="60" t="s">
        <v>503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  <c r="AG295" s="75"/>
      <c r="AJ295" s="79" t="s">
        <v>46</v>
      </c>
      <c r="AK295" s="79">
        <v>0</v>
      </c>
      <c r="BB295" s="39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  <c r="AG296" s="75"/>
      <c r="AJ296" s="79" t="s">
        <v>46</v>
      </c>
      <c r="AK296" s="79">
        <v>0</v>
      </c>
      <c r="BB296" s="392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508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122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509</v>
      </c>
      <c r="B301" s="60" t="s">
        <v>510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  <c r="AG301" s="75"/>
      <c r="AJ301" s="79" t="s">
        <v>46</v>
      </c>
      <c r="AK301" s="79">
        <v>0</v>
      </c>
      <c r="BB301" s="394" t="s">
        <v>67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512</v>
      </c>
      <c r="B302" s="60" t="s">
        <v>513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  <c r="AG302" s="75"/>
      <c r="AJ302" s="79" t="s">
        <v>46</v>
      </c>
      <c r="AK302" s="79">
        <v>0</v>
      </c>
      <c r="BB302" s="396" t="s">
        <v>67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515</v>
      </c>
      <c r="B303" s="60" t="s">
        <v>516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  <c r="AG303" s="75"/>
      <c r="AJ303" s="79" t="s">
        <v>46</v>
      </c>
      <c r="AK303" s="79">
        <v>0</v>
      </c>
      <c r="BB303" s="398" t="s">
        <v>67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517</v>
      </c>
      <c r="B304" s="60" t="s">
        <v>518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  <c r="AG304" s="75"/>
      <c r="AJ304" s="79" t="s">
        <v>46</v>
      </c>
      <c r="AK304" s="79">
        <v>0</v>
      </c>
      <c r="BB304" s="400" t="s">
        <v>67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519</v>
      </c>
      <c r="B305" s="60" t="s">
        <v>520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522</v>
      </c>
      <c r="B306" s="60" t="s">
        <v>523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157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527</v>
      </c>
      <c r="B311" s="60" t="s">
        <v>528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  <c r="AG311" s="75"/>
      <c r="AJ311" s="79" t="s">
        <v>46</v>
      </c>
      <c r="AK311" s="79">
        <v>0</v>
      </c>
      <c r="BB311" s="40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530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  <c r="AG315" s="75"/>
      <c r="AJ315" s="79" t="s">
        <v>46</v>
      </c>
      <c r="AK315" s="79">
        <v>0</v>
      </c>
      <c r="BB315" s="41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340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534</v>
      </c>
      <c r="B319" s="60" t="s">
        <v>535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537</v>
      </c>
      <c r="B320" s="60" t="s">
        <v>538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  <c r="AG320" s="75"/>
      <c r="AJ320" s="79" t="s">
        <v>46</v>
      </c>
      <c r="AK320" s="79">
        <v>0</v>
      </c>
      <c r="BB320" s="41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539</v>
      </c>
      <c r="B321" s="60" t="s">
        <v>540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541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122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542</v>
      </c>
      <c r="B326" s="60" t="s">
        <v>543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545</v>
      </c>
      <c r="B327" s="60" t="s">
        <v>546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551</v>
      </c>
      <c r="B329" s="60" t="s">
        <v>552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557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86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558</v>
      </c>
      <c r="B335" s="60" t="s">
        <v>559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561</v>
      </c>
      <c r="B336" s="60" t="s">
        <v>562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563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564</v>
      </c>
      <c r="B337" s="60" t="s">
        <v>565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560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6" t="s">
        <v>566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77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567</v>
      </c>
      <c r="B342" s="60" t="s">
        <v>568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569</v>
      </c>
      <c r="B343" s="60" t="s">
        <v>570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572</v>
      </c>
      <c r="B344" s="60" t="s">
        <v>573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575</v>
      </c>
      <c r="B345" s="60" t="s">
        <v>576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86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customHeight="1" x14ac:dyDescent="0.25">
      <c r="A350" s="60" t="s">
        <v>581</v>
      </c>
      <c r="B350" s="60" t="s">
        <v>582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54</v>
      </c>
      <c r="Y350" s="53">
        <f>IFERROR(IF(X350="",0,CEILING((X350/$H350),1)*$H350),"")</f>
        <v>54</v>
      </c>
      <c r="Z350" s="39">
        <f>IFERROR(IF(Y350=0,"",ROUNDUP(Y350/H350,0)*0.00902),"")</f>
        <v>0.1353</v>
      </c>
      <c r="AA350" s="65" t="s">
        <v>46</v>
      </c>
      <c r="AB350" s="66" t="s">
        <v>46</v>
      </c>
      <c r="AC350" s="443" t="s">
        <v>583</v>
      </c>
      <c r="AG350" s="75"/>
      <c r="AJ350" s="79" t="s">
        <v>46</v>
      </c>
      <c r="AK350" s="79">
        <v>0</v>
      </c>
      <c r="BB350" s="444" t="s">
        <v>67</v>
      </c>
      <c r="BM350" s="75">
        <f>IFERROR(X350*I350/H350,"0")</f>
        <v>56.849999999999994</v>
      </c>
      <c r="BN350" s="75">
        <f>IFERROR(Y350*I350/H350,"0")</f>
        <v>56.849999999999994</v>
      </c>
      <c r="BO350" s="75">
        <f>IFERROR(1/J350*(X350/H350),"0")</f>
        <v>0.11363636363636365</v>
      </c>
      <c r="BP350" s="75">
        <f>IFERROR(1/J350*(Y350/H350),"0")</f>
        <v>0.11363636363636365</v>
      </c>
    </row>
    <row r="351" spans="1:68" ht="27" hidden="1" customHeight="1" x14ac:dyDescent="0.25">
      <c r="A351" s="60" t="s">
        <v>584</v>
      </c>
      <c r="B351" s="60" t="s">
        <v>585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15</v>
      </c>
      <c r="Y352" s="41">
        <f>IFERROR(Y350/H350,"0")+IFERROR(Y351/H351,"0")</f>
        <v>15</v>
      </c>
      <c r="Z352" s="41">
        <f>IFERROR(IF(Z350="",0,Z350),"0")+IFERROR(IF(Z351="",0,Z351),"0")</f>
        <v>0.1353</v>
      </c>
      <c r="AA352" s="64"/>
      <c r="AB352" s="64"/>
      <c r="AC352" s="64"/>
    </row>
    <row r="353" spans="1:68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54</v>
      </c>
      <c r="Y353" s="41">
        <f>IFERROR(SUM(Y350:Y351),"0")</f>
        <v>54</v>
      </c>
      <c r="Z353" s="40"/>
      <c r="AA353" s="64"/>
      <c r="AB353" s="64"/>
      <c r="AC353" s="64"/>
    </row>
    <row r="354" spans="1:68" ht="16.5" hidden="1" customHeight="1" x14ac:dyDescent="0.25">
      <c r="A354" s="666" t="s">
        <v>587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122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588</v>
      </c>
      <c r="B356" s="60" t="s">
        <v>589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590</v>
      </c>
      <c r="B357" s="60" t="s">
        <v>591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593</v>
      </c>
      <c r="B358" s="60" t="s">
        <v>594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596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122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customHeight="1" x14ac:dyDescent="0.25">
      <c r="A363" s="60" t="s">
        <v>597</v>
      </c>
      <c r="B363" s="60" t="s">
        <v>598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120</v>
      </c>
      <c r="Y363" s="53">
        <f t="shared" ref="Y363:Y368" si="58">IFERROR(IF(X363="",0,CEILING((X363/$H363),1)*$H363),"")</f>
        <v>129.60000000000002</v>
      </c>
      <c r="Z363" s="39">
        <f>IFERROR(IF(Y363=0,"",ROUNDUP(Y363/H363,0)*0.01898),"")</f>
        <v>0.22776000000000002</v>
      </c>
      <c r="AA363" s="65" t="s">
        <v>46</v>
      </c>
      <c r="AB363" s="66" t="s">
        <v>46</v>
      </c>
      <c r="AC363" s="453" t="s">
        <v>599</v>
      </c>
      <c r="AG363" s="75"/>
      <c r="AJ363" s="79" t="s">
        <v>46</v>
      </c>
      <c r="AK363" s="79">
        <v>0</v>
      </c>
      <c r="BB363" s="454" t="s">
        <v>67</v>
      </c>
      <c r="BM363" s="75">
        <f t="shared" ref="BM363:BM368" si="59">IFERROR(X363*I363/H363,"0")</f>
        <v>124.55555555555556</v>
      </c>
      <c r="BN363" s="75">
        <f t="shared" ref="BN363:BN368" si="60">IFERROR(Y363*I363/H363,"0")</f>
        <v>134.52000000000001</v>
      </c>
      <c r="BO363" s="75">
        <f t="shared" ref="BO363:BO368" si="61">IFERROR(1/J363*(X363/H363),"0")</f>
        <v>0.1736111111111111</v>
      </c>
      <c r="BP363" s="75">
        <f t="shared" ref="BP363:BP368" si="62">IFERROR(1/J363*(Y363/H363),"0")</f>
        <v>0.18750000000000003</v>
      </c>
    </row>
    <row r="364" spans="1:68" ht="27" customHeight="1" x14ac:dyDescent="0.25">
      <c r="A364" s="60" t="s">
        <v>600</v>
      </c>
      <c r="B364" s="60" t="s">
        <v>601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110</v>
      </c>
      <c r="Y364" s="53">
        <f t="shared" si="58"/>
        <v>118.80000000000001</v>
      </c>
      <c r="Z364" s="39">
        <f>IFERROR(IF(Y364=0,"",ROUNDUP(Y364/H364,0)*0.01898),"")</f>
        <v>0.20877999999999999</v>
      </c>
      <c r="AA364" s="65" t="s">
        <v>46</v>
      </c>
      <c r="AB364" s="66" t="s">
        <v>46</v>
      </c>
      <c r="AC364" s="455" t="s">
        <v>602</v>
      </c>
      <c r="AG364" s="75"/>
      <c r="AJ364" s="79" t="s">
        <v>46</v>
      </c>
      <c r="AK364" s="79">
        <v>0</v>
      </c>
      <c r="BB364" s="456" t="s">
        <v>67</v>
      </c>
      <c r="BM364" s="75">
        <f t="shared" si="59"/>
        <v>114.17592592592594</v>
      </c>
      <c r="BN364" s="75">
        <f t="shared" si="60"/>
        <v>123.31000000000002</v>
      </c>
      <c r="BO364" s="75">
        <f t="shared" si="61"/>
        <v>0.15914351851851852</v>
      </c>
      <c r="BP364" s="75">
        <f t="shared" si="62"/>
        <v>0.171875</v>
      </c>
    </row>
    <row r="365" spans="1:68" ht="37.5" customHeight="1" x14ac:dyDescent="0.25">
      <c r="A365" s="60" t="s">
        <v>603</v>
      </c>
      <c r="B365" s="60" t="s">
        <v>604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300</v>
      </c>
      <c r="Y365" s="53">
        <f t="shared" si="58"/>
        <v>302.40000000000003</v>
      </c>
      <c r="Z365" s="39">
        <f>IFERROR(IF(Y365=0,"",ROUNDUP(Y365/H365,0)*0.01898),"")</f>
        <v>0.53144000000000002</v>
      </c>
      <c r="AA365" s="65" t="s">
        <v>46</v>
      </c>
      <c r="AB365" s="66" t="s">
        <v>46</v>
      </c>
      <c r="AC365" s="457" t="s">
        <v>605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311.38888888888891</v>
      </c>
      <c r="BN365" s="75">
        <f t="shared" si="60"/>
        <v>313.88</v>
      </c>
      <c r="BO365" s="75">
        <f t="shared" si="61"/>
        <v>0.43402777777777773</v>
      </c>
      <c r="BP365" s="75">
        <f t="shared" si="62"/>
        <v>0.4375</v>
      </c>
    </row>
    <row r="366" spans="1:68" ht="27" hidden="1" customHeight="1" x14ac:dyDescent="0.25">
      <c r="A366" s="60" t="s">
        <v>606</v>
      </c>
      <c r="B366" s="60" t="s">
        <v>607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49.074074074074076</v>
      </c>
      <c r="Y369" s="41">
        <f>IFERROR(Y363/H363,"0")+IFERROR(Y364/H364,"0")+IFERROR(Y365/H365,"0")+IFERROR(Y366/H366,"0")+IFERROR(Y367/H367,"0")+IFERROR(Y368/H368,"0")</f>
        <v>51</v>
      </c>
      <c r="Z369" s="41">
        <f>IFERROR(IF(Z363="",0,Z363),"0")+IFERROR(IF(Z364="",0,Z364),"0")+IFERROR(IF(Z365="",0,Z365),"0")+IFERROR(IF(Z366="",0,Z366),"0")+IFERROR(IF(Z367="",0,Z367),"0")+IFERROR(IF(Z368="",0,Z368),"0")</f>
        <v>0.96798000000000006</v>
      </c>
      <c r="AA369" s="64"/>
      <c r="AB369" s="64"/>
      <c r="AC369" s="64"/>
    </row>
    <row r="370" spans="1:68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530</v>
      </c>
      <c r="Y370" s="41">
        <f>IFERROR(SUM(Y363:Y368),"0")</f>
        <v>550.80000000000007</v>
      </c>
      <c r="Z370" s="40"/>
      <c r="AA370" s="64"/>
      <c r="AB370" s="64"/>
      <c r="AC370" s="64"/>
    </row>
    <row r="371" spans="1:68" ht="14.25" hidden="1" customHeight="1" x14ac:dyDescent="0.25">
      <c r="A371" s="662" t="s">
        <v>77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customHeight="1" x14ac:dyDescent="0.25">
      <c r="A372" s="60" t="s">
        <v>614</v>
      </c>
      <c r="B372" s="60" t="s">
        <v>615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330</v>
      </c>
      <c r="Y372" s="53">
        <f t="shared" ref="Y372:Y378" si="63">IFERROR(IF(X372="",0,CEILING((X372/$H372),1)*$H372),"")</f>
        <v>331.8</v>
      </c>
      <c r="Z372" s="39">
        <f>IFERROR(IF(Y372=0,"",ROUNDUP(Y372/H372,0)*0.00902),"")</f>
        <v>0.71257999999999999</v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67</v>
      </c>
      <c r="BM372" s="75">
        <f t="shared" ref="BM372:BM378" si="64">IFERROR(X372*I372/H372,"0")</f>
        <v>349.64285714285711</v>
      </c>
      <c r="BN372" s="75">
        <f t="shared" ref="BN372:BN378" si="65">IFERROR(Y372*I372/H372,"0")</f>
        <v>351.55</v>
      </c>
      <c r="BO372" s="75">
        <f t="shared" ref="BO372:BO378" si="66">IFERROR(1/J372*(X372/H372),"0")</f>
        <v>0.59523809523809523</v>
      </c>
      <c r="BP372" s="75">
        <f t="shared" ref="BP372:BP378" si="67">IFERROR(1/J372*(Y372/H372),"0")</f>
        <v>0.59848484848484851</v>
      </c>
    </row>
    <row r="373" spans="1:68" ht="27" customHeight="1" x14ac:dyDescent="0.25">
      <c r="A373" s="60" t="s">
        <v>617</v>
      </c>
      <c r="B373" s="60" t="s">
        <v>618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600</v>
      </c>
      <c r="Y373" s="53">
        <f t="shared" si="63"/>
        <v>600.6</v>
      </c>
      <c r="Z373" s="39">
        <f>IFERROR(IF(Y373=0,"",ROUNDUP(Y373/H373,0)*0.00902),"")</f>
        <v>1.28986</v>
      </c>
      <c r="AA373" s="65" t="s">
        <v>46</v>
      </c>
      <c r="AB373" s="66" t="s">
        <v>46</v>
      </c>
      <c r="AC373" s="467" t="s">
        <v>619</v>
      </c>
      <c r="AG373" s="75"/>
      <c r="AJ373" s="79" t="s">
        <v>46</v>
      </c>
      <c r="AK373" s="79">
        <v>0</v>
      </c>
      <c r="BB373" s="468" t="s">
        <v>67</v>
      </c>
      <c r="BM373" s="75">
        <f t="shared" si="64"/>
        <v>635.71428571428567</v>
      </c>
      <c r="BN373" s="75">
        <f t="shared" si="65"/>
        <v>636.35</v>
      </c>
      <c r="BO373" s="75">
        <f t="shared" si="66"/>
        <v>1.0822510822510822</v>
      </c>
      <c r="BP373" s="75">
        <f t="shared" si="67"/>
        <v>1.0833333333333333</v>
      </c>
    </row>
    <row r="374" spans="1:68" ht="27" hidden="1" customHeight="1" x14ac:dyDescent="0.25">
      <c r="A374" s="60" t="s">
        <v>620</v>
      </c>
      <c r="B374" s="60" t="s">
        <v>621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customHeight="1" x14ac:dyDescent="0.25">
      <c r="A375" s="60" t="s">
        <v>623</v>
      </c>
      <c r="B375" s="60" t="s">
        <v>624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35</v>
      </c>
      <c r="Y375" s="53">
        <f t="shared" si="63"/>
        <v>35.700000000000003</v>
      </c>
      <c r="Z375" s="39">
        <f>IFERROR(IF(Y375=0,"",ROUNDUP(Y375/H375,0)*0.00502),"")</f>
        <v>8.5339999999999999E-2</v>
      </c>
      <c r="AA375" s="65" t="s">
        <v>46</v>
      </c>
      <c r="AB375" s="66" t="s">
        <v>46</v>
      </c>
      <c r="AC375" s="471" t="s">
        <v>619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37.166666666666664</v>
      </c>
      <c r="BN375" s="75">
        <f t="shared" si="65"/>
        <v>37.910000000000004</v>
      </c>
      <c r="BO375" s="75">
        <f t="shared" si="66"/>
        <v>7.1225071225071226E-2</v>
      </c>
      <c r="BP375" s="75">
        <f t="shared" si="67"/>
        <v>7.2649572649572655E-2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238.0952380952381</v>
      </c>
      <c r="Y379" s="41">
        <f>IFERROR(Y372/H372,"0")+IFERROR(Y373/H373,"0")+IFERROR(Y374/H374,"0")+IFERROR(Y375/H375,"0")+IFERROR(Y376/H376,"0")+IFERROR(Y377/H377,"0")+IFERROR(Y378/H378,"0")</f>
        <v>239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2.08778</v>
      </c>
      <c r="AA379" s="64"/>
      <c r="AB379" s="64"/>
      <c r="AC379" s="6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965</v>
      </c>
      <c r="Y380" s="41">
        <f>IFERROR(SUM(Y372:Y378),"0")</f>
        <v>968.10000000000014</v>
      </c>
      <c r="Z380" s="40"/>
      <c r="AA380" s="64"/>
      <c r="AB380" s="64"/>
      <c r="AC380" s="64"/>
    </row>
    <row r="381" spans="1:68" ht="14.25" hidden="1" customHeight="1" x14ac:dyDescent="0.25">
      <c r="A381" s="662" t="s">
        <v>86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633</v>
      </c>
      <c r="B382" s="60" t="s">
        <v>634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635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636</v>
      </c>
      <c r="B383" s="60" t="s">
        <v>637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639</v>
      </c>
      <c r="B384" s="60" t="s">
        <v>640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175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hidden="1" customHeight="1" x14ac:dyDescent="0.25">
      <c r="A389" s="60" t="s">
        <v>644</v>
      </c>
      <c r="B389" s="60" t="s">
        <v>645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646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customHeight="1" x14ac:dyDescent="0.25">
      <c r="A390" s="60" t="s">
        <v>647</v>
      </c>
      <c r="B390" s="60" t="s">
        <v>648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1300</v>
      </c>
      <c r="Y390" s="53">
        <f>IFERROR(IF(X390="",0,CEILING((X390/$H390),1)*$H390),"")</f>
        <v>1302.5999999999999</v>
      </c>
      <c r="Z390" s="39">
        <f>IFERROR(IF(Y390=0,"",ROUNDUP(Y390/H390,0)*0.01898),"")</f>
        <v>3.1696599999999999</v>
      </c>
      <c r="AA390" s="65" t="s">
        <v>46</v>
      </c>
      <c r="AB390" s="66" t="s">
        <v>46</v>
      </c>
      <c r="AC390" s="489" t="s">
        <v>649</v>
      </c>
      <c r="AG390" s="75"/>
      <c r="AJ390" s="79" t="s">
        <v>46</v>
      </c>
      <c r="AK390" s="79">
        <v>0</v>
      </c>
      <c r="BB390" s="490" t="s">
        <v>67</v>
      </c>
      <c r="BM390" s="75">
        <f>IFERROR(X390*I390/H390,"0")</f>
        <v>1382.3333333333335</v>
      </c>
      <c r="BN390" s="75">
        <f>IFERROR(Y390*I390/H390,"0")</f>
        <v>1385.098</v>
      </c>
      <c r="BO390" s="75">
        <f>IFERROR(1/J390*(X390/H390),"0")</f>
        <v>2.6041666666666665</v>
      </c>
      <c r="BP390" s="75">
        <f>IFERROR(1/J390*(Y390/H390),"0")</f>
        <v>2.609375</v>
      </c>
    </row>
    <row r="391" spans="1:68" ht="27" customHeight="1" x14ac:dyDescent="0.25">
      <c r="A391" s="60" t="s">
        <v>650</v>
      </c>
      <c r="B391" s="60" t="s">
        <v>651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150</v>
      </c>
      <c r="Y391" s="53">
        <f>IFERROR(IF(X391="",0,CEILING((X391/$H391),1)*$H391),"")</f>
        <v>151.20000000000002</v>
      </c>
      <c r="Z391" s="39">
        <f>IFERROR(IF(Y391=0,"",ROUNDUP(Y391/H391,0)*0.01898),"")</f>
        <v>0.34164</v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158.82142857142856</v>
      </c>
      <c r="BN391" s="75">
        <f>IFERROR(Y391*I391/H391,"0")</f>
        <v>160.09200000000001</v>
      </c>
      <c r="BO391" s="75">
        <f>IFERROR(1/J391*(X391/H391),"0")</f>
        <v>0.27901785714285715</v>
      </c>
      <c r="BP391" s="75">
        <f>IFERROR(1/J391*(Y391/H391),"0")</f>
        <v>0.28125</v>
      </c>
    </row>
    <row r="392" spans="1:68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184.52380952380952</v>
      </c>
      <c r="Y392" s="41">
        <f>IFERROR(Y389/H389,"0")+IFERROR(Y390/H390,"0")+IFERROR(Y391/H391,"0")</f>
        <v>185</v>
      </c>
      <c r="Z392" s="41">
        <f>IFERROR(IF(Z389="",0,Z389),"0")+IFERROR(IF(Z390="",0,Z390),"0")+IFERROR(IF(Z391="",0,Z391),"0")</f>
        <v>3.5112999999999999</v>
      </c>
      <c r="AA392" s="64"/>
      <c r="AB392" s="64"/>
      <c r="AC392" s="64"/>
    </row>
    <row r="393" spans="1:68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1450</v>
      </c>
      <c r="Y393" s="41">
        <f>IFERROR(SUM(Y389:Y391),"0")</f>
        <v>1453.8</v>
      </c>
      <c r="Z393" s="40"/>
      <c r="AA393" s="64"/>
      <c r="AB393" s="64"/>
      <c r="AC393" s="64"/>
    </row>
    <row r="394" spans="1:68" ht="14.25" hidden="1" customHeight="1" x14ac:dyDescent="0.25">
      <c r="A394" s="662" t="s">
        <v>275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653</v>
      </c>
      <c r="B395" s="60" t="s">
        <v>654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656</v>
      </c>
      <c r="B396" s="60" t="s">
        <v>657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658</v>
      </c>
      <c r="B397" s="60" t="s">
        <v>659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660</v>
      </c>
      <c r="B398" s="60" t="s">
        <v>661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12</v>
      </c>
      <c r="Y398" s="53">
        <f>IFERROR(IF(X398="",0,CEILING((X398/$H398),1)*$H398),"")</f>
        <v>12.75</v>
      </c>
      <c r="Z398" s="39">
        <f>IFERROR(IF(Y398=0,"",ROUNDUP(Y398/H398,0)*0.00651),"")</f>
        <v>3.2550000000000003E-2</v>
      </c>
      <c r="AA398" s="65" t="s">
        <v>46</v>
      </c>
      <c r="AB398" s="66" t="s">
        <v>46</v>
      </c>
      <c r="AC398" s="499" t="s">
        <v>655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13.55294117647059</v>
      </c>
      <c r="BN398" s="75">
        <f>IFERROR(Y398*I398/H398,"0")</f>
        <v>14.4</v>
      </c>
      <c r="BO398" s="75">
        <f>IFERROR(1/J398*(X398/H398),"0")</f>
        <v>2.5856496444731741E-2</v>
      </c>
      <c r="BP398" s="75">
        <f>IFERROR(1/J398*(Y398/H398),"0")</f>
        <v>2.7472527472527476E-2</v>
      </c>
    </row>
    <row r="399" spans="1:68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4.7058823529411766</v>
      </c>
      <c r="Y399" s="41">
        <f>IFERROR(Y395/H395,"0")+IFERROR(Y396/H396,"0")+IFERROR(Y397/H397,"0")+IFERROR(Y398/H398,"0")</f>
        <v>5</v>
      </c>
      <c r="Z399" s="41">
        <f>IFERROR(IF(Z395="",0,Z395),"0")+IFERROR(IF(Z396="",0,Z396),"0")+IFERROR(IF(Z397="",0,Z397),"0")+IFERROR(IF(Z398="",0,Z398),"0")</f>
        <v>3.2550000000000003E-2</v>
      </c>
      <c r="AA399" s="64"/>
      <c r="AB399" s="64"/>
      <c r="AC399" s="64"/>
    </row>
    <row r="400" spans="1:68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12</v>
      </c>
      <c r="Y400" s="41">
        <f>IFERROR(SUM(Y395:Y398),"0")</f>
        <v>12.75</v>
      </c>
      <c r="Z400" s="40"/>
      <c r="AA400" s="64"/>
      <c r="AB400" s="64"/>
      <c r="AC400" s="64"/>
    </row>
    <row r="401" spans="1:68" ht="14.25" hidden="1" customHeight="1" x14ac:dyDescent="0.25">
      <c r="A401" s="662" t="s">
        <v>662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663</v>
      </c>
      <c r="B402" s="60" t="s">
        <v>664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667</v>
      </c>
      <c r="B403" s="60" t="s">
        <v>668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  <c r="AG403" s="75"/>
      <c r="AJ403" s="79" t="s">
        <v>46</v>
      </c>
      <c r="AK403" s="79">
        <v>0</v>
      </c>
      <c r="BB403" s="504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671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672</v>
      </c>
      <c r="B408" s="60" t="s">
        <v>673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675</v>
      </c>
      <c r="B409" s="60" t="s">
        <v>676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  <c r="AG409" s="75"/>
      <c r="AJ409" s="79" t="s">
        <v>46</v>
      </c>
      <c r="AK409" s="79">
        <v>0</v>
      </c>
      <c r="BB409" s="51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678</v>
      </c>
      <c r="B410" s="60" t="s">
        <v>679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680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86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681</v>
      </c>
      <c r="B415" s="60" t="s">
        <v>682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  <c r="AG415" s="75"/>
      <c r="AJ415" s="79" t="s">
        <v>46</v>
      </c>
      <c r="AK415" s="79">
        <v>0</v>
      </c>
      <c r="BB415" s="51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684</v>
      </c>
      <c r="B416" s="60" t="s">
        <v>685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  <c r="AG416" s="75"/>
      <c r="AJ416" s="79" t="s">
        <v>46</v>
      </c>
      <c r="AK416" s="79">
        <v>0</v>
      </c>
      <c r="BB416" s="51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687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customHeight="1" x14ac:dyDescent="0.25">
      <c r="A421" s="60" t="s">
        <v>688</v>
      </c>
      <c r="B421" s="60" t="s">
        <v>689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530</v>
      </c>
      <c r="Y421" s="53">
        <f>IFERROR(IF(X421="",0,CEILING((X421/$H421),1)*$H421),"")</f>
        <v>534.6</v>
      </c>
      <c r="Z421" s="39">
        <f>IFERROR(IF(Y421=0,"",ROUNDUP(Y421/H421,0)*0.01898),"")</f>
        <v>1.25268</v>
      </c>
      <c r="AA421" s="65" t="s">
        <v>46</v>
      </c>
      <c r="AB421" s="66" t="s">
        <v>46</v>
      </c>
      <c r="AC421" s="517" t="s">
        <v>690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562.32345679012349</v>
      </c>
      <c r="BN421" s="75">
        <f>IFERROR(Y421*I421/H421,"0")</f>
        <v>567.20399999999995</v>
      </c>
      <c r="BO421" s="75">
        <f>IFERROR(1/J421*(X421/H421),"0")</f>
        <v>1.0223765432098766</v>
      </c>
      <c r="BP421" s="75">
        <f>IFERROR(1/J421*(Y421/H421),"0")</f>
        <v>1.03125</v>
      </c>
    </row>
    <row r="422" spans="1:68" ht="27" customHeight="1" x14ac:dyDescent="0.25">
      <c r="A422" s="60" t="s">
        <v>691</v>
      </c>
      <c r="B422" s="60" t="s">
        <v>692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100</v>
      </c>
      <c r="Y422" s="53">
        <f>IFERROR(IF(X422="",0,CEILING((X422/$H422),1)*$H422),"")</f>
        <v>100.80000000000001</v>
      </c>
      <c r="Z422" s="39">
        <f>IFERROR(IF(Y422=0,"",ROUNDUP(Y422/H422,0)*0.00651),"")</f>
        <v>0.31247999999999998</v>
      </c>
      <c r="AA422" s="65" t="s">
        <v>46</v>
      </c>
      <c r="AB422" s="66" t="s">
        <v>46</v>
      </c>
      <c r="AC422" s="519" t="s">
        <v>693</v>
      </c>
      <c r="AG422" s="75"/>
      <c r="AJ422" s="79" t="s">
        <v>46</v>
      </c>
      <c r="AK422" s="79">
        <v>0</v>
      </c>
      <c r="BB422" s="520" t="s">
        <v>67</v>
      </c>
      <c r="BM422" s="75">
        <f>IFERROR(X422*I422/H422,"0")</f>
        <v>111.99999999999999</v>
      </c>
      <c r="BN422" s="75">
        <f>IFERROR(Y422*I422/H422,"0")</f>
        <v>112.896</v>
      </c>
      <c r="BO422" s="75">
        <f>IFERROR(1/J422*(X422/H422),"0")</f>
        <v>0.26164311878597596</v>
      </c>
      <c r="BP422" s="75">
        <f>IFERROR(1/J422*(Y422/H422),"0")</f>
        <v>0.26373626373626374</v>
      </c>
    </row>
    <row r="423" spans="1:68" ht="27" customHeight="1" x14ac:dyDescent="0.25">
      <c r="A423" s="60" t="s">
        <v>694</v>
      </c>
      <c r="B423" s="60" t="s">
        <v>695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50</v>
      </c>
      <c r="Y423" s="53">
        <f>IFERROR(IF(X423="",0,CEILING((X423/$H423),1)*$H423),"")</f>
        <v>50.400000000000006</v>
      </c>
      <c r="Z423" s="39">
        <f>IFERROR(IF(Y423=0,"",ROUNDUP(Y423/H423,0)*0.00651),"")</f>
        <v>0.15623999999999999</v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55.714285714285715</v>
      </c>
      <c r="BN423" s="75">
        <f>IFERROR(Y423*I423/H423,"0")</f>
        <v>56.160000000000004</v>
      </c>
      <c r="BO423" s="75">
        <f>IFERROR(1/J423*(X423/H423),"0")</f>
        <v>0.13082155939298798</v>
      </c>
      <c r="BP423" s="75">
        <f>IFERROR(1/J423*(Y423/H423),"0")</f>
        <v>0.13186813186813187</v>
      </c>
    </row>
    <row r="424" spans="1:68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136.86067019400355</v>
      </c>
      <c r="Y424" s="41">
        <f>IFERROR(Y421/H421,"0")+IFERROR(Y422/H422,"0")+IFERROR(Y423/H423,"0")</f>
        <v>138</v>
      </c>
      <c r="Z424" s="41">
        <f>IFERROR(IF(Z421="",0,Z421),"0")+IFERROR(IF(Z422="",0,Z422),"0")+IFERROR(IF(Z423="",0,Z423),"0")</f>
        <v>1.7214</v>
      </c>
      <c r="AA424" s="64"/>
      <c r="AB424" s="64"/>
      <c r="AC424" s="64"/>
    </row>
    <row r="425" spans="1:68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680</v>
      </c>
      <c r="Y425" s="41">
        <f>IFERROR(SUM(Y421:Y423),"0")</f>
        <v>685.80000000000007</v>
      </c>
      <c r="Z425" s="40"/>
      <c r="AA425" s="64"/>
      <c r="AB425" s="64"/>
      <c r="AC425" s="64"/>
    </row>
    <row r="426" spans="1:68" ht="27.75" hidden="1" customHeight="1" x14ac:dyDescent="0.2">
      <c r="A426" s="677" t="s">
        <v>697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698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699</v>
      </c>
      <c r="B429" s="60" t="s">
        <v>700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  <c r="AG429" s="75"/>
      <c r="AJ429" s="79" t="s">
        <v>46</v>
      </c>
      <c r="AK429" s="79">
        <v>0</v>
      </c>
      <c r="BB429" s="524" t="s">
        <v>67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702</v>
      </c>
      <c r="B430" s="60" t="s">
        <v>703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750</v>
      </c>
      <c r="Y430" s="53">
        <f t="shared" si="68"/>
        <v>750</v>
      </c>
      <c r="Z430" s="39">
        <f>IFERROR(IF(Y430=0,"",ROUNDUP(Y430/H430,0)*0.02175),"")</f>
        <v>1.0874999999999999</v>
      </c>
      <c r="AA430" s="65" t="s">
        <v>46</v>
      </c>
      <c r="AB430" s="66" t="s">
        <v>46</v>
      </c>
      <c r="AC430" s="525" t="s">
        <v>704</v>
      </c>
      <c r="AG430" s="75"/>
      <c r="AJ430" s="79" t="s">
        <v>46</v>
      </c>
      <c r="AK430" s="79">
        <v>0</v>
      </c>
      <c r="BB430" s="526" t="s">
        <v>67</v>
      </c>
      <c r="BM430" s="75">
        <f t="shared" si="69"/>
        <v>773.5</v>
      </c>
      <c r="BN430" s="75">
        <f t="shared" si="70"/>
        <v>773.5</v>
      </c>
      <c r="BO430" s="75">
        <f t="shared" si="71"/>
        <v>1.0416666666666665</v>
      </c>
      <c r="BP430" s="75">
        <f t="shared" si="72"/>
        <v>1.0416666666666665</v>
      </c>
    </row>
    <row r="431" spans="1:68" ht="27" customHeight="1" x14ac:dyDescent="0.25">
      <c r="A431" s="60" t="s">
        <v>705</v>
      </c>
      <c r="B431" s="60" t="s">
        <v>706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750</v>
      </c>
      <c r="Y431" s="53">
        <f t="shared" si="68"/>
        <v>750</v>
      </c>
      <c r="Z431" s="39">
        <f>IFERROR(IF(Y431=0,"",ROUNDUP(Y431/H431,0)*0.02175),"")</f>
        <v>1.0874999999999999</v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si="69"/>
        <v>773.5</v>
      </c>
      <c r="BN431" s="75">
        <f t="shared" si="70"/>
        <v>773.5</v>
      </c>
      <c r="BO431" s="75">
        <f t="shared" si="71"/>
        <v>1.0416666666666665</v>
      </c>
      <c r="BP431" s="75">
        <f t="shared" si="72"/>
        <v>1.0416666666666665</v>
      </c>
    </row>
    <row r="432" spans="1:68" ht="27" hidden="1" customHeight="1" x14ac:dyDescent="0.25">
      <c r="A432" s="60" t="s">
        <v>708</v>
      </c>
      <c r="B432" s="60" t="s">
        <v>709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customHeight="1" x14ac:dyDescent="0.25">
      <c r="A433" s="60" t="s">
        <v>711</v>
      </c>
      <c r="B433" s="60" t="s">
        <v>712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750</v>
      </c>
      <c r="Y433" s="53">
        <f t="shared" si="68"/>
        <v>750</v>
      </c>
      <c r="Z433" s="39">
        <f>IFERROR(IF(Y433=0,"",ROUNDUP(Y433/H433,0)*0.02175),"")</f>
        <v>1.0874999999999999</v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773.5</v>
      </c>
      <c r="BN433" s="75">
        <f t="shared" si="70"/>
        <v>773.5</v>
      </c>
      <c r="BO433" s="75">
        <f t="shared" si="71"/>
        <v>1.0416666666666665</v>
      </c>
      <c r="BP433" s="75">
        <f t="shared" si="72"/>
        <v>1.0416666666666665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customHeight="1" x14ac:dyDescent="0.25">
      <c r="A435" s="60" t="s">
        <v>717</v>
      </c>
      <c r="B435" s="60" t="s">
        <v>718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50</v>
      </c>
      <c r="Y435" s="53">
        <f t="shared" si="68"/>
        <v>50</v>
      </c>
      <c r="Z435" s="39">
        <f>IFERROR(IF(Y435=0,"",ROUNDUP(Y435/H435,0)*0.00902),"")</f>
        <v>9.0200000000000002E-2</v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51.9</v>
      </c>
      <c r="BN435" s="75">
        <f t="shared" si="70"/>
        <v>51.9</v>
      </c>
      <c r="BO435" s="75">
        <f t="shared" si="71"/>
        <v>7.575757575757576E-2</v>
      </c>
      <c r="BP435" s="75">
        <f t="shared" si="72"/>
        <v>7.575757575757576E-2</v>
      </c>
    </row>
    <row r="436" spans="1:68" ht="37.5" hidden="1" customHeight="1" x14ac:dyDescent="0.25">
      <c r="A436" s="60" t="s">
        <v>720</v>
      </c>
      <c r="B436" s="60" t="s">
        <v>721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160</v>
      </c>
      <c r="Y437" s="41">
        <f>IFERROR(Y429/H429,"0")+IFERROR(Y430/H430,"0")+IFERROR(Y431/H431,"0")+IFERROR(Y432/H432,"0")+IFERROR(Y433/H433,"0")+IFERROR(Y434/H434,"0")+IFERROR(Y435/H435,"0")+IFERROR(Y436/H436,"0")</f>
        <v>160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3.3526999999999996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2300</v>
      </c>
      <c r="Y438" s="41">
        <f>IFERROR(SUM(Y429:Y436),"0")</f>
        <v>2300</v>
      </c>
      <c r="Z438" s="40"/>
      <c r="AA438" s="64"/>
      <c r="AB438" s="64"/>
      <c r="AC438" s="64"/>
    </row>
    <row r="439" spans="1:68" ht="14.25" hidden="1" customHeight="1" x14ac:dyDescent="0.25">
      <c r="A439" s="662" t="s">
        <v>157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723</v>
      </c>
      <c r="B440" s="60" t="s">
        <v>724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1500</v>
      </c>
      <c r="Y440" s="53">
        <f>IFERROR(IF(X440="",0,CEILING((X440/$H440),1)*$H440),"")</f>
        <v>1500</v>
      </c>
      <c r="Z440" s="39">
        <f>IFERROR(IF(Y440=0,"",ROUNDUP(Y440/H440,0)*0.02175),"")</f>
        <v>2.1749999999999998</v>
      </c>
      <c r="AA440" s="65" t="s">
        <v>46</v>
      </c>
      <c r="AB440" s="66" t="s">
        <v>46</v>
      </c>
      <c r="AC440" s="539" t="s">
        <v>725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1547</v>
      </c>
      <c r="BN440" s="75">
        <f>IFERROR(Y440*I440/H440,"0")</f>
        <v>1547</v>
      </c>
      <c r="BO440" s="75">
        <f>IFERROR(1/J440*(X440/H440),"0")</f>
        <v>2.083333333333333</v>
      </c>
      <c r="BP440" s="75">
        <f>IFERROR(1/J440*(Y440/H440),"0")</f>
        <v>2.083333333333333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  <c r="AG441" s="75"/>
      <c r="AJ441" s="79" t="s">
        <v>46</v>
      </c>
      <c r="AK441" s="79">
        <v>0</v>
      </c>
      <c r="BB441" s="542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100</v>
      </c>
      <c r="Y443" s="41">
        <f>IFERROR(Y440/H440,"0")+IFERROR(Y441/H441,"0")+IFERROR(Y442/H442,"0")</f>
        <v>100</v>
      </c>
      <c r="Z443" s="41">
        <f>IFERROR(IF(Z440="",0,Z440),"0")+IFERROR(IF(Z441="",0,Z441),"0")+IFERROR(IF(Z442="",0,Z442),"0")</f>
        <v>2.1749999999999998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1500</v>
      </c>
      <c r="Y444" s="41">
        <f>IFERROR(SUM(Y440:Y442),"0")</f>
        <v>1500</v>
      </c>
      <c r="Z444" s="40"/>
      <c r="AA444" s="64"/>
      <c r="AB444" s="64"/>
      <c r="AC444" s="64"/>
    </row>
    <row r="445" spans="1:68" ht="14.25" hidden="1" customHeight="1" x14ac:dyDescent="0.25">
      <c r="A445" s="662" t="s">
        <v>86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customHeight="1" x14ac:dyDescent="0.25">
      <c r="A446" s="60" t="s">
        <v>732</v>
      </c>
      <c r="B446" s="60" t="s">
        <v>733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700</v>
      </c>
      <c r="Y446" s="53">
        <f>IFERROR(IF(X446="",0,CEILING((X446/$H446),1)*$H446),"")</f>
        <v>702</v>
      </c>
      <c r="Z446" s="39">
        <f>IFERROR(IF(Y446=0,"",ROUNDUP(Y446/H446,0)*0.01898),"")</f>
        <v>1.48044</v>
      </c>
      <c r="AA446" s="65" t="s">
        <v>46</v>
      </c>
      <c r="AB446" s="66" t="s">
        <v>46</v>
      </c>
      <c r="AC446" s="545" t="s">
        <v>734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738.88888888888891</v>
      </c>
      <c r="BN446" s="75">
        <f>IFERROR(Y446*I446/H446,"0")</f>
        <v>741</v>
      </c>
      <c r="BO446" s="75">
        <f>IFERROR(1/J446*(X446/H446),"0")</f>
        <v>1.2152777777777777</v>
      </c>
      <c r="BP446" s="75">
        <f>IFERROR(1/J446*(Y446/H446),"0")</f>
        <v>1.21875</v>
      </c>
    </row>
    <row r="447" spans="1:68" ht="27" hidden="1" customHeight="1" x14ac:dyDescent="0.25">
      <c r="A447" s="60" t="s">
        <v>735</v>
      </c>
      <c r="B447" s="60" t="s">
        <v>736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  <c r="AG447" s="75"/>
      <c r="AJ447" s="79" t="s">
        <v>46</v>
      </c>
      <c r="AK447" s="79">
        <v>0</v>
      </c>
      <c r="BB447" s="548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738</v>
      </c>
      <c r="B448" s="60" t="s">
        <v>739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77.777777777777771</v>
      </c>
      <c r="Y449" s="41">
        <f>IFERROR(Y446/H446,"0")+IFERROR(Y447/H447,"0")+IFERROR(Y448/H448,"0")</f>
        <v>78</v>
      </c>
      <c r="Z449" s="41">
        <f>IFERROR(IF(Z446="",0,Z446),"0")+IFERROR(IF(Z447="",0,Z447),"0")+IFERROR(IF(Z448="",0,Z448),"0")</f>
        <v>1.48044</v>
      </c>
      <c r="AA449" s="64"/>
      <c r="AB449" s="64"/>
      <c r="AC449" s="64"/>
    </row>
    <row r="450" spans="1:68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700</v>
      </c>
      <c r="Y450" s="41">
        <f>IFERROR(SUM(Y446:Y448),"0")</f>
        <v>702</v>
      </c>
      <c r="Z450" s="40"/>
      <c r="AA450" s="64"/>
      <c r="AB450" s="64"/>
      <c r="AC450" s="64"/>
    </row>
    <row r="451" spans="1:68" ht="14.25" hidden="1" customHeight="1" x14ac:dyDescent="0.25">
      <c r="A451" s="662" t="s">
        <v>175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741</v>
      </c>
      <c r="B452" s="60" t="s">
        <v>742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  <c r="AG452" s="75"/>
      <c r="AJ452" s="79" t="s">
        <v>46</v>
      </c>
      <c r="AK452" s="79">
        <v>0</v>
      </c>
      <c r="BB452" s="552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customHeight="1" x14ac:dyDescent="0.25">
      <c r="A453" s="60" t="s">
        <v>744</v>
      </c>
      <c r="B453" s="60" t="s">
        <v>745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30</v>
      </c>
      <c r="Y453" s="53">
        <f>IFERROR(IF(X453="",0,CEILING((X453/$H453),1)*$H453),"")</f>
        <v>36</v>
      </c>
      <c r="Z453" s="39">
        <f>IFERROR(IF(Y453=0,"",ROUNDUP(Y453/H453,0)*0.01898),"")</f>
        <v>7.5920000000000001E-2</v>
      </c>
      <c r="AA453" s="65" t="s">
        <v>46</v>
      </c>
      <c r="AB453" s="66" t="s">
        <v>46</v>
      </c>
      <c r="AC453" s="553" t="s">
        <v>746</v>
      </c>
      <c r="AG453" s="75"/>
      <c r="AJ453" s="79" t="s">
        <v>46</v>
      </c>
      <c r="AK453" s="79">
        <v>0</v>
      </c>
      <c r="BB453" s="554" t="s">
        <v>67</v>
      </c>
      <c r="BM453" s="75">
        <f>IFERROR(X453*I453/H453,"0")</f>
        <v>31.646666666666665</v>
      </c>
      <c r="BN453" s="75">
        <f>IFERROR(Y453*I453/H453,"0")</f>
        <v>37.975999999999999</v>
      </c>
      <c r="BO453" s="75">
        <f>IFERROR(1/J453*(X453/H453),"0")</f>
        <v>5.2083333333333336E-2</v>
      </c>
      <c r="BP453" s="75">
        <f>IFERROR(1/J453*(Y453/H453),"0")</f>
        <v>6.25E-2</v>
      </c>
    </row>
    <row r="454" spans="1:68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3.3333333333333335</v>
      </c>
      <c r="Y454" s="41">
        <f>IFERROR(Y452/H452,"0")+IFERROR(Y453/H453,"0")</f>
        <v>4</v>
      </c>
      <c r="Z454" s="41">
        <f>IFERROR(IF(Z452="",0,Z452),"0")+IFERROR(IF(Z453="",0,Z453),"0")</f>
        <v>7.5920000000000001E-2</v>
      </c>
      <c r="AA454" s="64"/>
      <c r="AB454" s="64"/>
      <c r="AC454" s="64"/>
    </row>
    <row r="455" spans="1:68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30</v>
      </c>
      <c r="Y455" s="41">
        <f>IFERROR(SUM(Y452:Y453),"0")</f>
        <v>36</v>
      </c>
      <c r="Z455" s="40"/>
      <c r="AA455" s="64"/>
      <c r="AB455" s="64"/>
      <c r="AC455" s="64"/>
    </row>
    <row r="456" spans="1:68" ht="16.5" hidden="1" customHeight="1" x14ac:dyDescent="0.25">
      <c r="A456" s="666" t="s">
        <v>747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122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customHeight="1" x14ac:dyDescent="0.25">
      <c r="A458" s="60" t="s">
        <v>748</v>
      </c>
      <c r="B458" s="60" t="s">
        <v>749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36</v>
      </c>
      <c r="Y458" s="53">
        <f>IFERROR(IF(X458="",0,CEILING((X458/$H458),1)*$H458),"")</f>
        <v>36</v>
      </c>
      <c r="Z458" s="39">
        <f>IFERROR(IF(Y458=0,"",ROUNDUP(Y458/H458,0)*0.01898),"")</f>
        <v>5.6940000000000004E-2</v>
      </c>
      <c r="AA458" s="65" t="s">
        <v>46</v>
      </c>
      <c r="AB458" s="66" t="s">
        <v>46</v>
      </c>
      <c r="AC458" s="555" t="s">
        <v>750</v>
      </c>
      <c r="AG458" s="75"/>
      <c r="AJ458" s="79" t="s">
        <v>46</v>
      </c>
      <c r="AK458" s="79">
        <v>0</v>
      </c>
      <c r="BB458" s="556" t="s">
        <v>67</v>
      </c>
      <c r="BM458" s="75">
        <f>IFERROR(X458*I458/H458,"0")</f>
        <v>37.229999999999997</v>
      </c>
      <c r="BN458" s="75">
        <f>IFERROR(Y458*I458/H458,"0")</f>
        <v>37.229999999999997</v>
      </c>
      <c r="BO458" s="75">
        <f>IFERROR(1/J458*(X458/H458),"0")</f>
        <v>4.6875E-2</v>
      </c>
      <c r="BP458" s="75">
        <f>IFERROR(1/J458*(Y458/H458),"0")</f>
        <v>4.6875E-2</v>
      </c>
    </row>
    <row r="459" spans="1:68" ht="37.5" hidden="1" customHeight="1" x14ac:dyDescent="0.25">
      <c r="A459" s="60" t="s">
        <v>751</v>
      </c>
      <c r="B459" s="60" t="s">
        <v>752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  <c r="AG459" s="75"/>
      <c r="AJ459" s="79" t="s">
        <v>46</v>
      </c>
      <c r="AK459" s="79">
        <v>0</v>
      </c>
      <c r="BB459" s="558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3</v>
      </c>
      <c r="Y460" s="41">
        <f>IFERROR(Y458/H458,"0")+IFERROR(Y459/H459,"0")</f>
        <v>3</v>
      </c>
      <c r="Z460" s="41">
        <f>IFERROR(IF(Z458="",0,Z458),"0")+IFERROR(IF(Z459="",0,Z459),"0")</f>
        <v>5.6940000000000004E-2</v>
      </c>
      <c r="AA460" s="64"/>
      <c r="AB460" s="64"/>
      <c r="AC460" s="6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36</v>
      </c>
      <c r="Y461" s="41">
        <f>IFERROR(SUM(Y458:Y459),"0")</f>
        <v>36</v>
      </c>
      <c r="Z461" s="40"/>
      <c r="AA461" s="64"/>
      <c r="AB461" s="64"/>
      <c r="AC461" s="64"/>
    </row>
    <row r="462" spans="1:68" ht="14.25" hidden="1" customHeight="1" x14ac:dyDescent="0.25">
      <c r="A462" s="662" t="s">
        <v>77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customHeight="1" x14ac:dyDescent="0.25">
      <c r="A463" s="60" t="s">
        <v>753</v>
      </c>
      <c r="B463" s="60" t="s">
        <v>754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30</v>
      </c>
      <c r="Y463" s="53">
        <f>IFERROR(IF(X463="",0,CEILING((X463/$H463),1)*$H463),"")</f>
        <v>33.6</v>
      </c>
      <c r="Z463" s="39">
        <f>IFERROR(IF(Y463=0,"",ROUNDUP(Y463/H463,0)*0.00902),"")</f>
        <v>7.2160000000000002E-2</v>
      </c>
      <c r="AA463" s="65" t="s">
        <v>46</v>
      </c>
      <c r="AB463" s="66" t="s">
        <v>46</v>
      </c>
      <c r="AC463" s="559" t="s">
        <v>755</v>
      </c>
      <c r="AG463" s="75"/>
      <c r="AJ463" s="79" t="s">
        <v>46</v>
      </c>
      <c r="AK463" s="79">
        <v>0</v>
      </c>
      <c r="BB463" s="560" t="s">
        <v>67</v>
      </c>
      <c r="BM463" s="75">
        <f>IFERROR(X463*I463/H463,"0")</f>
        <v>31.785714285714285</v>
      </c>
      <c r="BN463" s="75">
        <f>IFERROR(Y463*I463/H463,"0")</f>
        <v>35.6</v>
      </c>
      <c r="BO463" s="75">
        <f>IFERROR(1/J463*(X463/H463),"0")</f>
        <v>5.4112554112554112E-2</v>
      </c>
      <c r="BP463" s="75">
        <f>IFERROR(1/J463*(Y463/H463),"0")</f>
        <v>6.0606060606060608E-2</v>
      </c>
    </row>
    <row r="464" spans="1:68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7.1428571428571423</v>
      </c>
      <c r="Y464" s="41">
        <f>IFERROR(Y463/H463,"0")</f>
        <v>8</v>
      </c>
      <c r="Z464" s="41">
        <f>IFERROR(IF(Z463="",0,Z463),"0")</f>
        <v>7.2160000000000002E-2</v>
      </c>
      <c r="AA464" s="64"/>
      <c r="AB464" s="64"/>
      <c r="AC464" s="64"/>
    </row>
    <row r="465" spans="1:68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30</v>
      </c>
      <c r="Y465" s="41">
        <f>IFERROR(SUM(Y463:Y463),"0")</f>
        <v>33.6</v>
      </c>
      <c r="Z465" s="40"/>
      <c r="AA465" s="64"/>
      <c r="AB465" s="64"/>
      <c r="AC465" s="64"/>
    </row>
    <row r="466" spans="1:68" ht="14.25" hidden="1" customHeight="1" x14ac:dyDescent="0.25">
      <c r="A466" s="662" t="s">
        <v>86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hidden="1" customHeight="1" x14ac:dyDescent="0.25">
      <c r="A467" s="60" t="s">
        <v>756</v>
      </c>
      <c r="B467" s="60" t="s">
        <v>757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758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759</v>
      </c>
      <c r="B468" s="60" t="s">
        <v>760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758</v>
      </c>
      <c r="AG468" s="75"/>
      <c r="AJ468" s="79" t="s">
        <v>46</v>
      </c>
      <c r="AK468" s="79">
        <v>0</v>
      </c>
      <c r="BB468" s="564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759</v>
      </c>
      <c r="B469" s="60" t="s">
        <v>761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677" t="s">
        <v>763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764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77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customHeight="1" x14ac:dyDescent="0.25">
      <c r="A475" s="60" t="s">
        <v>765</v>
      </c>
      <c r="B475" s="60" t="s">
        <v>766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65</v>
      </c>
      <c r="Y475" s="53">
        <f t="shared" ref="Y475:Y480" si="73">IFERROR(IF(X475="",0,CEILING((X475/$H475),1)*$H475),"")</f>
        <v>70.2</v>
      </c>
      <c r="Z475" s="39">
        <f>IFERROR(IF(Y475=0,"",ROUNDUP(Y475/H475,0)*0.00902),"")</f>
        <v>0.11726</v>
      </c>
      <c r="AA475" s="65" t="s">
        <v>46</v>
      </c>
      <c r="AB475" s="66" t="s">
        <v>46</v>
      </c>
      <c r="AC475" s="567" t="s">
        <v>767</v>
      </c>
      <c r="AG475" s="75"/>
      <c r="AJ475" s="79" t="s">
        <v>46</v>
      </c>
      <c r="AK475" s="79">
        <v>0</v>
      </c>
      <c r="BB475" s="568" t="s">
        <v>67</v>
      </c>
      <c r="BM475" s="75">
        <f t="shared" ref="BM475:BM480" si="74">IFERROR(X475*I475/H475,"0")</f>
        <v>67.287037037037024</v>
      </c>
      <c r="BN475" s="75">
        <f t="shared" ref="BN475:BN480" si="75">IFERROR(Y475*I475/H475,"0")</f>
        <v>72.67</v>
      </c>
      <c r="BO475" s="75">
        <f t="shared" ref="BO475:BO480" si="76">IFERROR(1/J475*(X475/H475),"0")</f>
        <v>9.1189674523007858E-2</v>
      </c>
      <c r="BP475" s="75">
        <f t="shared" ref="BP475:BP480" si="77">IFERROR(1/J475*(Y475/H475),"0")</f>
        <v>9.8484848484848481E-2</v>
      </c>
    </row>
    <row r="476" spans="1:68" ht="27" customHeight="1" x14ac:dyDescent="0.25">
      <c r="A476" s="60" t="s">
        <v>768</v>
      </c>
      <c r="B476" s="60" t="s">
        <v>769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40</v>
      </c>
      <c r="Y476" s="53">
        <f t="shared" si="73"/>
        <v>43.2</v>
      </c>
      <c r="Z476" s="39">
        <f>IFERROR(IF(Y476=0,"",ROUNDUP(Y476/H476,0)*0.00902),"")</f>
        <v>7.2160000000000002E-2</v>
      </c>
      <c r="AA476" s="65" t="s">
        <v>46</v>
      </c>
      <c r="AB476" s="66" t="s">
        <v>46</v>
      </c>
      <c r="AC476" s="569" t="s">
        <v>770</v>
      </c>
      <c r="AG476" s="75"/>
      <c r="AJ476" s="79" t="s">
        <v>46</v>
      </c>
      <c r="AK476" s="79">
        <v>0</v>
      </c>
      <c r="BB476" s="570" t="s">
        <v>67</v>
      </c>
      <c r="BM476" s="75">
        <f t="shared" si="74"/>
        <v>41.407407407407405</v>
      </c>
      <c r="BN476" s="75">
        <f t="shared" si="75"/>
        <v>44.72</v>
      </c>
      <c r="BO476" s="75">
        <f t="shared" si="76"/>
        <v>5.6116722783389444E-2</v>
      </c>
      <c r="BP476" s="75">
        <f t="shared" si="77"/>
        <v>6.0606060606060608E-2</v>
      </c>
    </row>
    <row r="477" spans="1:68" ht="27" hidden="1" customHeight="1" x14ac:dyDescent="0.25">
      <c r="A477" s="60" t="s">
        <v>771</v>
      </c>
      <c r="B477" s="60" t="s">
        <v>772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  <c r="AG477" s="75"/>
      <c r="AJ477" s="79" t="s">
        <v>46</v>
      </c>
      <c r="AK477" s="79">
        <v>0</v>
      </c>
      <c r="BB477" s="572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779</v>
      </c>
      <c r="B480" s="60" t="s">
        <v>780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19.444444444444443</v>
      </c>
      <c r="Y481" s="41">
        <f>IFERROR(Y475/H475,"0")+IFERROR(Y476/H476,"0")+IFERROR(Y477/H477,"0")+IFERROR(Y478/H478,"0")+IFERROR(Y479/H479,"0")+IFERROR(Y480/H480,"0")</f>
        <v>21</v>
      </c>
      <c r="Z481" s="41">
        <f>IFERROR(IF(Z475="",0,Z475),"0")+IFERROR(IF(Z476="",0,Z476),"0")+IFERROR(IF(Z477="",0,Z477),"0")+IFERROR(IF(Z478="",0,Z478),"0")+IFERROR(IF(Z479="",0,Z479),"0")+IFERROR(IF(Z480="",0,Z480),"0")</f>
        <v>0.18942000000000001</v>
      </c>
      <c r="AA481" s="64"/>
      <c r="AB481" s="64"/>
      <c r="AC481" s="6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105</v>
      </c>
      <c r="Y482" s="41">
        <f>IFERROR(SUM(Y475:Y480),"0")</f>
        <v>113.4</v>
      </c>
      <c r="Z482" s="40"/>
      <c r="AA482" s="64"/>
      <c r="AB482" s="64"/>
      <c r="AC482" s="64"/>
    </row>
    <row r="483" spans="1:68" ht="14.25" hidden="1" customHeight="1" x14ac:dyDescent="0.25">
      <c r="A483" s="662" t="s">
        <v>86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781</v>
      </c>
      <c r="B484" s="60" t="s">
        <v>782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  <c r="AG484" s="75"/>
      <c r="AJ484" s="79" t="s">
        <v>46</v>
      </c>
      <c r="AK484" s="79">
        <v>0</v>
      </c>
      <c r="BB484" s="580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784</v>
      </c>
      <c r="B485" s="60" t="s">
        <v>785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  <c r="AG485" s="75"/>
      <c r="AJ485" s="79" t="s">
        <v>46</v>
      </c>
      <c r="AK485" s="79">
        <v>0</v>
      </c>
      <c r="BB485" s="582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787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157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788</v>
      </c>
      <c r="B490" s="60" t="s">
        <v>789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  <c r="AG490" s="75"/>
      <c r="AJ490" s="79" t="s">
        <v>46</v>
      </c>
      <c r="AK490" s="79">
        <v>0</v>
      </c>
      <c r="BB490" s="584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77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customHeight="1" x14ac:dyDescent="0.25">
      <c r="A494" s="60" t="s">
        <v>791</v>
      </c>
      <c r="B494" s="60" t="s">
        <v>792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70</v>
      </c>
      <c r="Y494" s="53">
        <f>IFERROR(IF(X494="",0,CEILING((X494/$H494),1)*$H494),"")</f>
        <v>70.2</v>
      </c>
      <c r="Z494" s="39">
        <f>IFERROR(IF(Y494=0,"",ROUNDUP(Y494/H494,0)*0.00902),"")</f>
        <v>0.11726</v>
      </c>
      <c r="AA494" s="65" t="s">
        <v>46</v>
      </c>
      <c r="AB494" s="66" t="s">
        <v>46</v>
      </c>
      <c r="AC494" s="585" t="s">
        <v>793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72.462962962962962</v>
      </c>
      <c r="BN494" s="75">
        <f>IFERROR(Y494*I494/H494,"0")</f>
        <v>72.67</v>
      </c>
      <c r="BO494" s="75">
        <f>IFERROR(1/J494*(X494/H494),"0")</f>
        <v>9.8204264870931535E-2</v>
      </c>
      <c r="BP494" s="75">
        <f>IFERROR(1/J494*(Y494/H494),"0")</f>
        <v>9.8484848484848481E-2</v>
      </c>
    </row>
    <row r="495" spans="1:68" ht="27" hidden="1" customHeight="1" x14ac:dyDescent="0.25">
      <c r="A495" s="60" t="s">
        <v>794</v>
      </c>
      <c r="B495" s="60" t="s">
        <v>795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  <c r="AG495" s="75"/>
      <c r="AJ495" s="79" t="s">
        <v>46</v>
      </c>
      <c r="AK495" s="79">
        <v>0</v>
      </c>
      <c r="BB495" s="588" t="s">
        <v>67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797</v>
      </c>
      <c r="B496" s="60" t="s">
        <v>798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12.962962962962962</v>
      </c>
      <c r="Y497" s="41">
        <f>IFERROR(Y494/H494,"0")+IFERROR(Y495/H495,"0")+IFERROR(Y496/H496,"0")</f>
        <v>13</v>
      </c>
      <c r="Z497" s="41">
        <f>IFERROR(IF(Z494="",0,Z494),"0")+IFERROR(IF(Z495="",0,Z495),"0")+IFERROR(IF(Z496="",0,Z496),"0")</f>
        <v>0.11726</v>
      </c>
      <c r="AA497" s="64"/>
      <c r="AB497" s="64"/>
      <c r="AC497" s="64"/>
    </row>
    <row r="498" spans="1:68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70</v>
      </c>
      <c r="Y498" s="41">
        <f>IFERROR(SUM(Y494:Y496),"0")</f>
        <v>70.2</v>
      </c>
      <c r="Z498" s="40"/>
      <c r="AA498" s="64"/>
      <c r="AB498" s="64"/>
      <c r="AC498" s="64"/>
    </row>
    <row r="499" spans="1:68" ht="27.75" hidden="1" customHeight="1" x14ac:dyDescent="0.2">
      <c r="A499" s="677" t="s">
        <v>799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799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122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800</v>
      </c>
      <c r="B502" s="60" t="s">
        <v>801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125</v>
      </c>
      <c r="AG502" s="75"/>
      <c r="AJ502" s="79" t="s">
        <v>46</v>
      </c>
      <c r="AK502" s="79">
        <v>0</v>
      </c>
      <c r="BB502" s="592" t="s">
        <v>67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804</v>
      </c>
      <c r="AG503" s="75"/>
      <c r="AJ503" s="79" t="s">
        <v>46</v>
      </c>
      <c r="AK503" s="79">
        <v>0</v>
      </c>
      <c r="BB503" s="594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807</v>
      </c>
      <c r="AG504" s="75"/>
      <c r="AJ504" s="79" t="s">
        <v>46</v>
      </c>
      <c r="AK504" s="79">
        <v>0</v>
      </c>
      <c r="BB504" s="596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1100</v>
      </c>
      <c r="Y505" s="53">
        <f t="shared" si="78"/>
        <v>1103.52</v>
      </c>
      <c r="Z505" s="39">
        <f t="shared" si="79"/>
        <v>2.4996399999999999</v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1172.9166666666665</v>
      </c>
      <c r="BN505" s="75">
        <f t="shared" si="81"/>
        <v>1176.6699999999998</v>
      </c>
      <c r="BO505" s="75">
        <f t="shared" si="82"/>
        <v>2.0032051282051282</v>
      </c>
      <c r="BP505" s="75">
        <f t="shared" si="83"/>
        <v>2.0096153846153846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customHeight="1" x14ac:dyDescent="0.25">
      <c r="A507" s="60" t="s">
        <v>814</v>
      </c>
      <c r="B507" s="60" t="s">
        <v>815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260</v>
      </c>
      <c r="Y507" s="53">
        <f t="shared" si="78"/>
        <v>264</v>
      </c>
      <c r="Z507" s="39">
        <f t="shared" si="79"/>
        <v>0.59799999999999998</v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277.23484848484844</v>
      </c>
      <c r="BN507" s="75">
        <f t="shared" si="81"/>
        <v>281.5</v>
      </c>
      <c r="BO507" s="75">
        <f t="shared" si="82"/>
        <v>0.47348484848484851</v>
      </c>
      <c r="BP507" s="75">
        <f t="shared" si="83"/>
        <v>0.48076923076923078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257.57575757575756</v>
      </c>
      <c r="Y511" s="41">
        <f>IFERROR(Y502/H502,"0")+IFERROR(Y503/H503,"0")+IFERROR(Y504/H504,"0")+IFERROR(Y505/H505,"0")+IFERROR(Y506/H506,"0")+IFERROR(Y507/H507,"0")+IFERROR(Y508/H508,"0")+IFERROR(Y509/H509,"0")+IFERROR(Y510/H510,"0")</f>
        <v>259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3.0976399999999997</v>
      </c>
      <c r="AA511" s="64"/>
      <c r="AB511" s="64"/>
      <c r="AC511" s="64"/>
    </row>
    <row r="512" spans="1:68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1360</v>
      </c>
      <c r="Y512" s="41">
        <f>IFERROR(SUM(Y502:Y510),"0")</f>
        <v>1367.52</v>
      </c>
      <c r="Z512" s="40"/>
      <c r="AA512" s="64"/>
      <c r="AB512" s="64"/>
      <c r="AC512" s="64"/>
    </row>
    <row r="513" spans="1:68" ht="14.25" hidden="1" customHeight="1" x14ac:dyDescent="0.25">
      <c r="A513" s="662" t="s">
        <v>157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customHeight="1" x14ac:dyDescent="0.25">
      <c r="A514" s="60" t="s">
        <v>823</v>
      </c>
      <c r="B514" s="60" t="s">
        <v>824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700</v>
      </c>
      <c r="Y514" s="53">
        <f>IFERROR(IF(X514="",0,CEILING((X514/$H514),1)*$H514),"")</f>
        <v>702.24</v>
      </c>
      <c r="Z514" s="39">
        <f>IFERROR(IF(Y514=0,"",ROUNDUP(Y514/H514,0)*0.01196),"")</f>
        <v>1.5906800000000001</v>
      </c>
      <c r="AA514" s="65" t="s">
        <v>46</v>
      </c>
      <c r="AB514" s="66" t="s">
        <v>46</v>
      </c>
      <c r="AC514" s="609" t="s">
        <v>825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746.40151515151513</v>
      </c>
      <c r="BN514" s="75">
        <f>IFERROR(Y514*I514/H514,"0")</f>
        <v>748.79</v>
      </c>
      <c r="BO514" s="75">
        <f>IFERROR(1/J514*(X514/H514),"0")</f>
        <v>1.2747668997668997</v>
      </c>
      <c r="BP514" s="75">
        <f>IFERROR(1/J514*(Y514/H514),"0")</f>
        <v>1.278846153846154</v>
      </c>
    </row>
    <row r="515" spans="1:68" ht="16.5" hidden="1" customHeight="1" x14ac:dyDescent="0.25">
      <c r="A515" s="60" t="s">
        <v>826</v>
      </c>
      <c r="B515" s="60" t="s">
        <v>827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  <c r="AG515" s="75"/>
      <c r="AJ515" s="79" t="s">
        <v>46</v>
      </c>
      <c r="AK515" s="79">
        <v>0</v>
      </c>
      <c r="BB515" s="612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828</v>
      </c>
      <c r="B516" s="60" t="s">
        <v>829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132.57575757575756</v>
      </c>
      <c r="Y517" s="41">
        <f>IFERROR(Y514/H514,"0")+IFERROR(Y515/H515,"0")+IFERROR(Y516/H516,"0")</f>
        <v>133</v>
      </c>
      <c r="Z517" s="41">
        <f>IFERROR(IF(Z514="",0,Z514),"0")+IFERROR(IF(Z515="",0,Z515),"0")+IFERROR(IF(Z516="",0,Z516),"0")</f>
        <v>1.5906800000000001</v>
      </c>
      <c r="AA517" s="64"/>
      <c r="AB517" s="64"/>
      <c r="AC517" s="64"/>
    </row>
    <row r="518" spans="1:68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700</v>
      </c>
      <c r="Y518" s="41">
        <f>IFERROR(SUM(Y514:Y516),"0")</f>
        <v>702.24</v>
      </c>
      <c r="Z518" s="40"/>
      <c r="AA518" s="64"/>
      <c r="AB518" s="64"/>
      <c r="AC518" s="64"/>
    </row>
    <row r="519" spans="1:68" ht="14.25" hidden="1" customHeight="1" x14ac:dyDescent="0.25">
      <c r="A519" s="662" t="s">
        <v>77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customHeight="1" x14ac:dyDescent="0.25">
      <c r="A520" s="60" t="s">
        <v>830</v>
      </c>
      <c r="B520" s="60" t="s">
        <v>831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260</v>
      </c>
      <c r="Y520" s="53">
        <f t="shared" ref="Y520:Y526" si="84">IFERROR(IF(X520="",0,CEILING((X520/$H520),1)*$H520),"")</f>
        <v>264</v>
      </c>
      <c r="Z520" s="39">
        <f>IFERROR(IF(Y520=0,"",ROUNDUP(Y520/H520,0)*0.01196),"")</f>
        <v>0.59799999999999998</v>
      </c>
      <c r="AA520" s="65" t="s">
        <v>46</v>
      </c>
      <c r="AB520" s="66" t="s">
        <v>46</v>
      </c>
      <c r="AC520" s="615" t="s">
        <v>832</v>
      </c>
      <c r="AG520" s="75"/>
      <c r="AJ520" s="79" t="s">
        <v>46</v>
      </c>
      <c r="AK520" s="79">
        <v>0</v>
      </c>
      <c r="BB520" s="616" t="s">
        <v>67</v>
      </c>
      <c r="BM520" s="75">
        <f t="shared" ref="BM520:BM526" si="85">IFERROR(X520*I520/H520,"0")</f>
        <v>277.23484848484844</v>
      </c>
      <c r="BN520" s="75">
        <f t="shared" ref="BN520:BN526" si="86">IFERROR(Y520*I520/H520,"0")</f>
        <v>281.5</v>
      </c>
      <c r="BO520" s="75">
        <f t="shared" ref="BO520:BO526" si="87">IFERROR(1/J520*(X520/H520),"0")</f>
        <v>0.47348484848484851</v>
      </c>
      <c r="BP520" s="75">
        <f t="shared" ref="BP520:BP526" si="88">IFERROR(1/J520*(Y520/H520),"0")</f>
        <v>0.48076923076923078</v>
      </c>
    </row>
    <row r="521" spans="1:68" ht="27" hidden="1" customHeight="1" x14ac:dyDescent="0.25">
      <c r="A521" s="60" t="s">
        <v>833</v>
      </c>
      <c r="B521" s="60" t="s">
        <v>834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835</v>
      </c>
      <c r="AG521" s="75"/>
      <c r="AJ521" s="79" t="s">
        <v>46</v>
      </c>
      <c r="AK521" s="79">
        <v>0</v>
      </c>
      <c r="BB521" s="618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customHeight="1" x14ac:dyDescent="0.25">
      <c r="A522" s="60" t="s">
        <v>836</v>
      </c>
      <c r="B522" s="60" t="s">
        <v>837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230</v>
      </c>
      <c r="Y522" s="53">
        <f t="shared" si="84"/>
        <v>232.32000000000002</v>
      </c>
      <c r="Z522" s="39">
        <f>IFERROR(IF(Y522=0,"",ROUNDUP(Y522/H522,0)*0.01196),"")</f>
        <v>0.52624000000000004</v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si="85"/>
        <v>245.2462121212121</v>
      </c>
      <c r="BN522" s="75">
        <f t="shared" si="86"/>
        <v>247.72</v>
      </c>
      <c r="BO522" s="75">
        <f t="shared" si="87"/>
        <v>0.41885198135198132</v>
      </c>
      <c r="BP522" s="75">
        <f t="shared" si="88"/>
        <v>0.42307692307692313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843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92.803030303030297</v>
      </c>
      <c r="Y527" s="41">
        <f>IFERROR(Y520/H520,"0")+IFERROR(Y521/H521,"0")+IFERROR(Y522/H522,"0")+IFERROR(Y523/H523,"0")+IFERROR(Y524/H524,"0")+IFERROR(Y525/H525,"0")+IFERROR(Y526/H526,"0")</f>
        <v>94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1.1242399999999999</v>
      </c>
      <c r="AA527" s="64"/>
      <c r="AB527" s="64"/>
      <c r="AC527" s="64"/>
    </row>
    <row r="528" spans="1:68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490</v>
      </c>
      <c r="Y528" s="41">
        <f>IFERROR(SUM(Y520:Y526),"0")</f>
        <v>496.32000000000005</v>
      </c>
      <c r="Z528" s="40"/>
      <c r="AA528" s="64"/>
      <c r="AB528" s="64"/>
      <c r="AC528" s="64"/>
    </row>
    <row r="529" spans="1:68" ht="27.75" hidden="1" customHeight="1" x14ac:dyDescent="0.2">
      <c r="A529" s="677" t="s">
        <v>846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846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122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847</v>
      </c>
      <c r="B532" s="60" t="s">
        <v>848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  <c r="AG532" s="75"/>
      <c r="AJ532" s="79" t="s">
        <v>46</v>
      </c>
      <c r="AK532" s="79">
        <v>0</v>
      </c>
      <c r="BB532" s="630" t="s">
        <v>67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157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850</v>
      </c>
      <c r="B536" s="60" t="s">
        <v>851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  <c r="AG536" s="75"/>
      <c r="AJ536" s="79" t="s">
        <v>46</v>
      </c>
      <c r="AK536" s="79">
        <v>0</v>
      </c>
      <c r="BB536" s="632" t="s">
        <v>67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77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customHeight="1" x14ac:dyDescent="0.25">
      <c r="A540" s="60" t="s">
        <v>853</v>
      </c>
      <c r="B540" s="60" t="s">
        <v>854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500</v>
      </c>
      <c r="Y540" s="53">
        <f>IFERROR(IF(X540="",0,CEILING((X540/$H540),1)*$H540),"")</f>
        <v>504</v>
      </c>
      <c r="Z540" s="39">
        <f>IFERROR(IF(Y540=0,"",ROUNDUP(Y540/H540,0)*0.00902),"")</f>
        <v>1.0824</v>
      </c>
      <c r="AA540" s="65" t="s">
        <v>46</v>
      </c>
      <c r="AB540" s="66" t="s">
        <v>46</v>
      </c>
      <c r="AC540" s="633" t="s">
        <v>855</v>
      </c>
      <c r="AG540" s="75"/>
      <c r="AJ540" s="79" t="s">
        <v>46</v>
      </c>
      <c r="AK540" s="79">
        <v>0</v>
      </c>
      <c r="BB540" s="634" t="s">
        <v>67</v>
      </c>
      <c r="BM540" s="75">
        <f>IFERROR(X540*I540/H540,"0")</f>
        <v>529.7619047619047</v>
      </c>
      <c r="BN540" s="75">
        <f>IFERROR(Y540*I540/H540,"0")</f>
        <v>534</v>
      </c>
      <c r="BO540" s="75">
        <f>IFERROR(1/J540*(X540/H540),"0")</f>
        <v>0.90187590187590183</v>
      </c>
      <c r="BP540" s="75">
        <f>IFERROR(1/J540*(Y540/H540),"0")</f>
        <v>0.90909090909090917</v>
      </c>
    </row>
    <row r="541" spans="1:68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119.04761904761904</v>
      </c>
      <c r="Y541" s="41">
        <f>IFERROR(Y540/H540,"0")</f>
        <v>120</v>
      </c>
      <c r="Z541" s="41">
        <f>IFERROR(IF(Z540="",0,Z540),"0")</f>
        <v>1.0824</v>
      </c>
      <c r="AA541" s="64"/>
      <c r="AB541" s="64"/>
      <c r="AC541" s="64"/>
    </row>
    <row r="542" spans="1:68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500</v>
      </c>
      <c r="Y542" s="41">
        <f>IFERROR(SUM(Y540:Y540),"0")</f>
        <v>504</v>
      </c>
      <c r="Z542" s="40"/>
      <c r="AA542" s="64"/>
      <c r="AB542" s="64"/>
      <c r="AC542" s="64"/>
    </row>
    <row r="543" spans="1:68" ht="14.25" hidden="1" customHeight="1" x14ac:dyDescent="0.25">
      <c r="A543" s="662" t="s">
        <v>86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856</v>
      </c>
      <c r="B544" s="60" t="s">
        <v>857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  <c r="AG544" s="75"/>
      <c r="AJ544" s="79" t="s">
        <v>46</v>
      </c>
      <c r="AK544" s="79">
        <v>0</v>
      </c>
      <c r="BB544" s="636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175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859</v>
      </c>
      <c r="B548" s="60" t="s">
        <v>860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  <c r="AG548" s="75"/>
      <c r="AJ548" s="79" t="s">
        <v>46</v>
      </c>
      <c r="AK548" s="79">
        <v>0</v>
      </c>
      <c r="BB548" s="638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862</v>
      </c>
      <c r="B549" s="60" t="s">
        <v>863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  <c r="AG549" s="75"/>
      <c r="AJ549" s="79" t="s">
        <v>46</v>
      </c>
      <c r="AK549" s="79">
        <v>0</v>
      </c>
      <c r="BB549" s="640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865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157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866</v>
      </c>
      <c r="B554" s="60" t="s">
        <v>867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  <c r="AG554" s="75"/>
      <c r="AJ554" s="79" t="s">
        <v>46</v>
      </c>
      <c r="AK554" s="79">
        <v>0</v>
      </c>
      <c r="BB554" s="642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869</v>
      </c>
      <c r="B555" s="60" t="s">
        <v>870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649" t="s">
        <v>871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  <c r="AG555" s="75"/>
      <c r="AJ555" s="79" t="s">
        <v>46</v>
      </c>
      <c r="AK555" s="79">
        <v>0</v>
      </c>
      <c r="BB555" s="644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18301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18438.29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19188.553796293043</v>
      </c>
      <c r="Y559" s="41">
        <f>IFERROR(SUM(BN22:BN555),"0")</f>
        <v>19332.726000000002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31</v>
      </c>
      <c r="Y560" s="42">
        <f>ROUNDUP(SUM(BP22:BP555),0)</f>
        <v>31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19963.553796293043</v>
      </c>
      <c r="Y561" s="41">
        <f>GrossWeightTotalR+PalletQtyTotalR*25</f>
        <v>20107.726000000002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2684.1659371980541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2706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36.184640000000002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76</v>
      </c>
      <c r="C565" s="80" t="s">
        <v>45</v>
      </c>
      <c r="D565" s="645" t="s">
        <v>120</v>
      </c>
      <c r="E565" s="645" t="s">
        <v>120</v>
      </c>
      <c r="F565" s="645" t="s">
        <v>120</v>
      </c>
      <c r="G565" s="645" t="s">
        <v>120</v>
      </c>
      <c r="H565" s="645" t="s">
        <v>120</v>
      </c>
      <c r="I565" s="645" t="s">
        <v>120</v>
      </c>
      <c r="J565" s="645" t="s">
        <v>120</v>
      </c>
      <c r="K565" s="645" t="s">
        <v>344</v>
      </c>
      <c r="L565" s="645" t="s">
        <v>344</v>
      </c>
      <c r="M565" s="645" t="s">
        <v>344</v>
      </c>
      <c r="N565" s="661"/>
      <c r="O565" s="645" t="s">
        <v>344</v>
      </c>
      <c r="P565" s="645" t="s">
        <v>344</v>
      </c>
      <c r="Q565" s="645" t="s">
        <v>344</v>
      </c>
      <c r="R565" s="645" t="s">
        <v>344</v>
      </c>
      <c r="S565" s="645" t="s">
        <v>344</v>
      </c>
      <c r="T565" s="645" t="s">
        <v>344</v>
      </c>
      <c r="U565" s="645" t="s">
        <v>344</v>
      </c>
      <c r="V565" s="645" t="s">
        <v>344</v>
      </c>
      <c r="W565" s="645" t="s">
        <v>697</v>
      </c>
      <c r="X565" s="645" t="s">
        <v>697</v>
      </c>
      <c r="Y565" s="645" t="s">
        <v>763</v>
      </c>
      <c r="Z565" s="645" t="s">
        <v>763</v>
      </c>
      <c r="AA565" s="80" t="s">
        <v>799</v>
      </c>
      <c r="AB565" s="645" t="s">
        <v>846</v>
      </c>
      <c r="AC565" s="645" t="s">
        <v>846</v>
      </c>
      <c r="AF565" s="1"/>
    </row>
    <row r="566" spans="1:32" ht="14.25" customHeight="1" thickTop="1" x14ac:dyDescent="0.2">
      <c r="A566" s="646" t="s">
        <v>10</v>
      </c>
      <c r="B566" s="645" t="s">
        <v>76</v>
      </c>
      <c r="C566" s="645" t="s">
        <v>104</v>
      </c>
      <c r="D566" s="645" t="s">
        <v>121</v>
      </c>
      <c r="E566" s="645" t="s">
        <v>137</v>
      </c>
      <c r="F566" s="645" t="s">
        <v>183</v>
      </c>
      <c r="G566" s="645" t="s">
        <v>207</v>
      </c>
      <c r="H566" s="645" t="s">
        <v>247</v>
      </c>
      <c r="I566" s="645" t="s">
        <v>260</v>
      </c>
      <c r="J566" s="645" t="s">
        <v>120</v>
      </c>
      <c r="K566" s="645" t="s">
        <v>345</v>
      </c>
      <c r="L566" s="645" t="s">
        <v>366</v>
      </c>
      <c r="M566" s="645" t="s">
        <v>440</v>
      </c>
      <c r="N566" s="1"/>
      <c r="O566" s="645" t="s">
        <v>508</v>
      </c>
      <c r="P566" s="645" t="s">
        <v>541</v>
      </c>
      <c r="Q566" s="645" t="s">
        <v>557</v>
      </c>
      <c r="R566" s="645" t="s">
        <v>566</v>
      </c>
      <c r="S566" s="645" t="s">
        <v>587</v>
      </c>
      <c r="T566" s="645" t="s">
        <v>596</v>
      </c>
      <c r="U566" s="645" t="s">
        <v>680</v>
      </c>
      <c r="V566" s="645" t="s">
        <v>687</v>
      </c>
      <c r="W566" s="645" t="s">
        <v>698</v>
      </c>
      <c r="X566" s="645" t="s">
        <v>747</v>
      </c>
      <c r="Y566" s="645" t="s">
        <v>764</v>
      </c>
      <c r="Z566" s="645" t="s">
        <v>787</v>
      </c>
      <c r="AA566" s="645" t="s">
        <v>799</v>
      </c>
      <c r="AB566" s="645" t="s">
        <v>846</v>
      </c>
      <c r="AC566" s="645" t="s">
        <v>865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259.20000000000005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3904.2</v>
      </c>
      <c r="F568" s="50">
        <f>IFERROR(Y85*1,"0")+IFERROR(Y86*1,"0")+IFERROR(Y87*1,"0")+IFERROR(Y88*1,"0")+IFERROR(Y89*1,"0")+IFERROR(Y90*1,"0")+IFERROR(Y94*1,"0")+IFERROR(Y95*1,"0")+IFERROR(Y96*1,"0")+IFERROR(Y97*1,"0")</f>
        <v>207.9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631.79999999999995</v>
      </c>
      <c r="H568" s="50">
        <f>IFERROR(Y131*1,"0")+IFERROR(Y132*1,"0")+IFERROR(Y136*1,"0")+IFERROR(Y137*1,"0")+IFERROR(Y141*1,"0")+IFERROR(Y142*1,"0")</f>
        <v>10.56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546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54.6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1237.5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54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2985.45</v>
      </c>
      <c r="U568" s="50">
        <f>IFERROR(Y415*1,"0")+IFERROR(Y416*1,"0")</f>
        <v>0</v>
      </c>
      <c r="V568" s="50">
        <f>IFERROR(Y421*1,"0")+IFERROR(Y422*1,"0")+IFERROR(Y423*1,"0")</f>
        <v>685.80000000000007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4538</v>
      </c>
      <c r="X568" s="50">
        <f>IFERROR(Y458*1,"0")+IFERROR(Y459*1,"0")+IFERROR(Y463*1,"0")+IFERROR(Y467*1,"0")+IFERROR(Y468*1,"0")+IFERROR(Y469*1,"0")</f>
        <v>69.599999999999994</v>
      </c>
      <c r="Y568" s="50">
        <f>IFERROR(Y475*1,"0")+IFERROR(Y476*1,"0")+IFERROR(Y477*1,"0")+IFERROR(Y478*1,"0")+IFERROR(Y479*1,"0")+IFERROR(Y480*1,"0")+IFERROR(Y484*1,"0")+IFERROR(Y485*1,"0")</f>
        <v>113.4</v>
      </c>
      <c r="Z568" s="50">
        <f>IFERROR(Y490*1,"0")+IFERROR(Y494*1,"0")+IFERROR(Y495*1,"0")+IFERROR(Y496*1,"0")</f>
        <v>70.2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2566.0800000000004</v>
      </c>
      <c r="AB568" s="50">
        <f>IFERROR(Y532*1,"0")+IFERROR(Y536*1,"0")+IFERROR(Y540*1,"0")+IFERROR(Y544*1,"0")+IFERROR(Y548*1,"0")+IFERROR(Y549*1,"0")</f>
        <v>504</v>
      </c>
      <c r="AC568" s="50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0,00"/>
        <filter val="1 100,00"/>
        <filter val="1 130,00"/>
        <filter val="1 188,00"/>
        <filter val="1 205,00"/>
        <filter val="1 300,00"/>
        <filter val="1 360,00"/>
        <filter val="1 450,00"/>
        <filter val="1 500,00"/>
        <filter val="10,00"/>
        <filter val="100,00"/>
        <filter val="105,00"/>
        <filter val="11,90"/>
        <filter val="110,00"/>
        <filter val="119,05"/>
        <filter val="12,00"/>
        <filter val="12,96"/>
        <filter val="120,00"/>
        <filter val="130,00"/>
        <filter val="132,58"/>
        <filter val="135,00"/>
        <filter val="136,86"/>
        <filter val="14,97"/>
        <filter val="140,00"/>
        <filter val="149,07"/>
        <filter val="15,00"/>
        <filter val="150,00"/>
        <filter val="154,29"/>
        <filter val="160,00"/>
        <filter val="18 301,00"/>
        <filter val="18,52"/>
        <filter val="180,00"/>
        <filter val="184,52"/>
        <filter val="19 188,55"/>
        <filter val="19 963,55"/>
        <filter val="19,44"/>
        <filter val="2 300,00"/>
        <filter val="2 684,17"/>
        <filter val="2 688,00"/>
        <filter val="20,00"/>
        <filter val="200,00"/>
        <filter val="209,26"/>
        <filter val="23,15"/>
        <filter val="230,00"/>
        <filter val="238,10"/>
        <filter val="250,00"/>
        <filter val="257,58"/>
        <filter val="260,00"/>
        <filter val="3,00"/>
        <filter val="3,33"/>
        <filter val="3,79"/>
        <filter val="30,00"/>
        <filter val="300,00"/>
        <filter val="31"/>
        <filter val="330,00"/>
        <filter val="35,00"/>
        <filter val="350,00"/>
        <filter val="36,00"/>
        <filter val="4,63"/>
        <filter val="4,71"/>
        <filter val="40,00"/>
        <filter val="400,00"/>
        <filter val="402,89"/>
        <filter val="49,07"/>
        <filter val="490,00"/>
        <filter val="50,00"/>
        <filter val="500,00"/>
        <filter val="530,00"/>
        <filter val="54,00"/>
        <filter val="540,00"/>
        <filter val="600,00"/>
        <filter val="630,00"/>
        <filter val="65,00"/>
        <filter val="680,00"/>
        <filter val="7,00"/>
        <filter val="7,14"/>
        <filter val="70,00"/>
        <filter val="700,00"/>
        <filter val="750,00"/>
        <filter val="77,78"/>
        <filter val="86,00"/>
        <filter val="9,00"/>
        <filter val="92,80"/>
        <filter val="965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10" spans="2:8" x14ac:dyDescent="0.2">
      <c r="B10" s="51" t="s">
        <v>885</v>
      </c>
      <c r="C10" s="51" t="s">
        <v>877</v>
      </c>
      <c r="D10" s="51" t="s">
        <v>46</v>
      </c>
      <c r="E10" s="51" t="s">
        <v>46</v>
      </c>
    </row>
    <row r="12" spans="2:8" x14ac:dyDescent="0.2">
      <c r="B12" s="51" t="s">
        <v>886</v>
      </c>
      <c r="C12" s="51" t="s">
        <v>880</v>
      </c>
      <c r="D12" s="51" t="s">
        <v>46</v>
      </c>
      <c r="E12" s="51" t="s">
        <v>46</v>
      </c>
    </row>
    <row r="14" spans="2:8" x14ac:dyDescent="0.2">
      <c r="B14" s="51" t="s">
        <v>887</v>
      </c>
      <c r="C14" s="51" t="s">
        <v>883</v>
      </c>
      <c r="D14" s="51" t="s">
        <v>46</v>
      </c>
      <c r="E14" s="51" t="s">
        <v>46</v>
      </c>
    </row>
    <row r="16" spans="2:8" x14ac:dyDescent="0.2">
      <c r="B16" s="51" t="s">
        <v>888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889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890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891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892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893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2026-09-15T16:22:55Z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