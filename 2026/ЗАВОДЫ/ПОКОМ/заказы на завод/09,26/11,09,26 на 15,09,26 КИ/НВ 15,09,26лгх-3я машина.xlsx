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CC9920C-8002-4B8D-B5F5-2A9EBCC5E6D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P555" i="1"/>
  <c r="BO555" i="1"/>
  <c r="BM555" i="1"/>
  <c r="Z555" i="1"/>
  <c r="Y555" i="1"/>
  <c r="BN555" i="1" s="1"/>
  <c r="BO554" i="1"/>
  <c r="BN554" i="1"/>
  <c r="BM554" i="1"/>
  <c r="Y554" i="1"/>
  <c r="AC568" i="1" s="1"/>
  <c r="P554" i="1"/>
  <c r="X551" i="1"/>
  <c r="X550" i="1"/>
  <c r="BO549" i="1"/>
  <c r="BM549" i="1"/>
  <c r="Y549" i="1"/>
  <c r="P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O509" i="1"/>
  <c r="BM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N505" i="1"/>
  <c r="BM505" i="1"/>
  <c r="Y505" i="1"/>
  <c r="BP505" i="1" s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O495" i="1"/>
  <c r="BM495" i="1"/>
  <c r="Y495" i="1"/>
  <c r="BN495" i="1" s="1"/>
  <c r="P495" i="1"/>
  <c r="BO494" i="1"/>
  <c r="BM494" i="1"/>
  <c r="Y494" i="1"/>
  <c r="P494" i="1"/>
  <c r="X492" i="1"/>
  <c r="Y491" i="1"/>
  <c r="X491" i="1"/>
  <c r="BO490" i="1"/>
  <c r="BN490" i="1"/>
  <c r="BM490" i="1"/>
  <c r="Y490" i="1"/>
  <c r="Y492" i="1" s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P476" i="1"/>
  <c r="BO475" i="1"/>
  <c r="BM475" i="1"/>
  <c r="Y475" i="1"/>
  <c r="BN475" i="1" s="1"/>
  <c r="P475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BN459" i="1" s="1"/>
  <c r="P459" i="1"/>
  <c r="BO458" i="1"/>
  <c r="BM458" i="1"/>
  <c r="Y458" i="1"/>
  <c r="P458" i="1"/>
  <c r="X455" i="1"/>
  <c r="X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N446" i="1"/>
  <c r="BM446" i="1"/>
  <c r="Y446" i="1"/>
  <c r="BP446" i="1" s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N440" i="1" s="1"/>
  <c r="P440" i="1"/>
  <c r="X438" i="1"/>
  <c r="X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BN430" i="1" s="1"/>
  <c r="P430" i="1"/>
  <c r="BO429" i="1"/>
  <c r="BM429" i="1"/>
  <c r="Y429" i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N415" i="1"/>
  <c r="BM415" i="1"/>
  <c r="Y415" i="1"/>
  <c r="BP415" i="1" s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BN408" i="1" s="1"/>
  <c r="P408" i="1"/>
  <c r="X406" i="1"/>
  <c r="Y405" i="1"/>
  <c r="X405" i="1"/>
  <c r="BO404" i="1"/>
  <c r="BN404" i="1"/>
  <c r="BM404" i="1"/>
  <c r="Y404" i="1"/>
  <c r="BP404" i="1" s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N398" i="1"/>
  <c r="BM398" i="1"/>
  <c r="Y398" i="1"/>
  <c r="BP398" i="1" s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M391" i="1"/>
  <c r="Y391" i="1"/>
  <c r="P391" i="1"/>
  <c r="BO390" i="1"/>
  <c r="BM390" i="1"/>
  <c r="Y390" i="1"/>
  <c r="BN390" i="1" s="1"/>
  <c r="P390" i="1"/>
  <c r="BO389" i="1"/>
  <c r="BM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BO376" i="1"/>
  <c r="BN376" i="1"/>
  <c r="BM376" i="1"/>
  <c r="Y376" i="1"/>
  <c r="BP376" i="1" s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N366" i="1"/>
  <c r="BM366" i="1"/>
  <c r="Y366" i="1"/>
  <c r="BP366" i="1" s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N357" i="1"/>
  <c r="BM357" i="1"/>
  <c r="Y357" i="1"/>
  <c r="BP357" i="1" s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N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O337" i="1"/>
  <c r="BN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N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BO327" i="1"/>
  <c r="BN327" i="1"/>
  <c r="BM327" i="1"/>
  <c r="Z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Y322" i="1" s="1"/>
  <c r="P319" i="1"/>
  <c r="X317" i="1"/>
  <c r="X316" i="1"/>
  <c r="BO315" i="1"/>
  <c r="BM315" i="1"/>
  <c r="Y315" i="1"/>
  <c r="Y316" i="1" s="1"/>
  <c r="P315" i="1"/>
  <c r="X313" i="1"/>
  <c r="X312" i="1"/>
  <c r="BO311" i="1"/>
  <c r="BM311" i="1"/>
  <c r="Y311" i="1"/>
  <c r="Y312" i="1" s="1"/>
  <c r="P311" i="1"/>
  <c r="X309" i="1"/>
  <c r="X308" i="1"/>
  <c r="BO307" i="1"/>
  <c r="BM307" i="1"/>
  <c r="Y307" i="1"/>
  <c r="BP307" i="1" s="1"/>
  <c r="P307" i="1"/>
  <c r="BO306" i="1"/>
  <c r="BM306" i="1"/>
  <c r="Y306" i="1"/>
  <c r="BN306" i="1" s="1"/>
  <c r="P306" i="1"/>
  <c r="BO305" i="1"/>
  <c r="BM305" i="1"/>
  <c r="Y305" i="1"/>
  <c r="BP305" i="1" s="1"/>
  <c r="P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N302" i="1"/>
  <c r="BM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BP296" i="1" s="1"/>
  <c r="P296" i="1"/>
  <c r="BO295" i="1"/>
  <c r="BM295" i="1"/>
  <c r="Y295" i="1"/>
  <c r="Y297" i="1" s="1"/>
  <c r="P295" i="1"/>
  <c r="X293" i="1"/>
  <c r="X292" i="1"/>
  <c r="BO291" i="1"/>
  <c r="BN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Y289" i="1"/>
  <c r="BP289" i="1" s="1"/>
  <c r="P289" i="1"/>
  <c r="BO288" i="1"/>
  <c r="BM288" i="1"/>
  <c r="Y288" i="1"/>
  <c r="BP288" i="1" s="1"/>
  <c r="P288" i="1"/>
  <c r="BP287" i="1"/>
  <c r="BO287" i="1"/>
  <c r="BN287" i="1"/>
  <c r="BM287" i="1"/>
  <c r="Z287" i="1"/>
  <c r="Y287" i="1"/>
  <c r="P287" i="1"/>
  <c r="BO286" i="1"/>
  <c r="BM286" i="1"/>
  <c r="Y286" i="1"/>
  <c r="BP286" i="1" s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N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O280" i="1"/>
  <c r="BM280" i="1"/>
  <c r="Y280" i="1"/>
  <c r="Y293" i="1" s="1"/>
  <c r="P280" i="1"/>
  <c r="X278" i="1"/>
  <c r="X277" i="1"/>
  <c r="BO276" i="1"/>
  <c r="BM276" i="1"/>
  <c r="Y276" i="1"/>
  <c r="BP276" i="1" s="1"/>
  <c r="P276" i="1"/>
  <c r="BP275" i="1"/>
  <c r="BO275" i="1"/>
  <c r="BM275" i="1"/>
  <c r="Z275" i="1"/>
  <c r="Y275" i="1"/>
  <c r="BN275" i="1" s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N271" i="1" s="1"/>
  <c r="P271" i="1"/>
  <c r="BO270" i="1"/>
  <c r="BM270" i="1"/>
  <c r="Y270" i="1"/>
  <c r="BP270" i="1" s="1"/>
  <c r="P270" i="1"/>
  <c r="BO269" i="1"/>
  <c r="BM269" i="1"/>
  <c r="Y269" i="1"/>
  <c r="Y277" i="1" s="1"/>
  <c r="P269" i="1"/>
  <c r="X267" i="1"/>
  <c r="X266" i="1"/>
  <c r="BP265" i="1"/>
  <c r="BO265" i="1"/>
  <c r="BM265" i="1"/>
  <c r="Z265" i="1"/>
  <c r="Y265" i="1"/>
  <c r="BN265" i="1" s="1"/>
  <c r="P265" i="1"/>
  <c r="BO264" i="1"/>
  <c r="BM264" i="1"/>
  <c r="Y264" i="1"/>
  <c r="Y267" i="1" s="1"/>
  <c r="P264" i="1"/>
  <c r="X262" i="1"/>
  <c r="X261" i="1"/>
  <c r="BO260" i="1"/>
  <c r="BM260" i="1"/>
  <c r="Y260" i="1"/>
  <c r="BP260" i="1" s="1"/>
  <c r="P260" i="1"/>
  <c r="BO259" i="1"/>
  <c r="BM259" i="1"/>
  <c r="Y259" i="1"/>
  <c r="Y261" i="1" s="1"/>
  <c r="P259" i="1"/>
  <c r="X256" i="1"/>
  <c r="X255" i="1"/>
  <c r="BO254" i="1"/>
  <c r="BM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O248" i="1"/>
  <c r="BM248" i="1"/>
  <c r="Y248" i="1"/>
  <c r="Y252" i="1" s="1"/>
  <c r="P248" i="1"/>
  <c r="X246" i="1"/>
  <c r="X245" i="1"/>
  <c r="BO244" i="1"/>
  <c r="BN244" i="1"/>
  <c r="BM244" i="1"/>
  <c r="Y244" i="1"/>
  <c r="BP244" i="1" s="1"/>
  <c r="P244" i="1"/>
  <c r="BO243" i="1"/>
  <c r="BM243" i="1"/>
  <c r="Y243" i="1"/>
  <c r="BP243" i="1" s="1"/>
  <c r="P243" i="1"/>
  <c r="BO242" i="1"/>
  <c r="BM242" i="1"/>
  <c r="Y242" i="1"/>
  <c r="BP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P236" i="1"/>
  <c r="BO236" i="1"/>
  <c r="BM236" i="1"/>
  <c r="Z236" i="1"/>
  <c r="Y236" i="1"/>
  <c r="BN236" i="1" s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P226" i="1"/>
  <c r="BO226" i="1"/>
  <c r="BM226" i="1"/>
  <c r="Z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N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N218" i="1"/>
  <c r="BM218" i="1"/>
  <c r="Y218" i="1"/>
  <c r="BP218" i="1" s="1"/>
  <c r="P218" i="1"/>
  <c r="X216" i="1"/>
  <c r="X215" i="1"/>
  <c r="BP214" i="1"/>
  <c r="BO214" i="1"/>
  <c r="BM214" i="1"/>
  <c r="Z214" i="1"/>
  <c r="Z215" i="1" s="1"/>
  <c r="Y214" i="1"/>
  <c r="Y215" i="1" s="1"/>
  <c r="P214" i="1"/>
  <c r="X211" i="1"/>
  <c r="X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P204" i="1" s="1"/>
  <c r="P204" i="1"/>
  <c r="BP203" i="1"/>
  <c r="BO203" i="1"/>
  <c r="BM203" i="1"/>
  <c r="Z203" i="1"/>
  <c r="Y203" i="1"/>
  <c r="BN203" i="1" s="1"/>
  <c r="P203" i="1"/>
  <c r="X199" i="1"/>
  <c r="Y198" i="1"/>
  <c r="X198" i="1"/>
  <c r="BO197" i="1"/>
  <c r="BN197" i="1"/>
  <c r="BM197" i="1"/>
  <c r="Y197" i="1"/>
  <c r="Y199" i="1" s="1"/>
  <c r="P197" i="1"/>
  <c r="X195" i="1"/>
  <c r="X194" i="1"/>
  <c r="BP193" i="1"/>
  <c r="BO193" i="1"/>
  <c r="BM193" i="1"/>
  <c r="Z193" i="1"/>
  <c r="Z194" i="1" s="1"/>
  <c r="Y193" i="1"/>
  <c r="Y195" i="1" s="1"/>
  <c r="P193" i="1"/>
  <c r="X191" i="1"/>
  <c r="X190" i="1"/>
  <c r="BO189" i="1"/>
  <c r="BM189" i="1"/>
  <c r="Y189" i="1"/>
  <c r="BP189" i="1" s="1"/>
  <c r="P189" i="1"/>
  <c r="BO188" i="1"/>
  <c r="BM188" i="1"/>
  <c r="Y188" i="1"/>
  <c r="BP188" i="1" s="1"/>
  <c r="P188" i="1"/>
  <c r="BP187" i="1"/>
  <c r="BO187" i="1"/>
  <c r="BN187" i="1"/>
  <c r="BM187" i="1"/>
  <c r="Z187" i="1"/>
  <c r="Y187" i="1"/>
  <c r="P187" i="1"/>
  <c r="X185" i="1"/>
  <c r="X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N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P173" i="1"/>
  <c r="BO173" i="1"/>
  <c r="BM173" i="1"/>
  <c r="Z173" i="1"/>
  <c r="Y173" i="1"/>
  <c r="BN173" i="1" s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Y169" i="1" s="1"/>
  <c r="P167" i="1"/>
  <c r="X165" i="1"/>
  <c r="X164" i="1"/>
  <c r="BO163" i="1"/>
  <c r="BM163" i="1"/>
  <c r="Y163" i="1"/>
  <c r="BN163" i="1" s="1"/>
  <c r="P163" i="1"/>
  <c r="BO162" i="1"/>
  <c r="BM162" i="1"/>
  <c r="Y162" i="1"/>
  <c r="BP162" i="1" s="1"/>
  <c r="P162" i="1"/>
  <c r="BO161" i="1"/>
  <c r="BM161" i="1"/>
  <c r="Y161" i="1"/>
  <c r="BP161" i="1" s="1"/>
  <c r="P161" i="1"/>
  <c r="X158" i="1"/>
  <c r="X157" i="1"/>
  <c r="BO156" i="1"/>
  <c r="BM156" i="1"/>
  <c r="Y156" i="1"/>
  <c r="Y158" i="1" s="1"/>
  <c r="P156" i="1"/>
  <c r="X154" i="1"/>
  <c r="X153" i="1"/>
  <c r="BO152" i="1"/>
  <c r="BN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3" i="1" s="1"/>
  <c r="P141" i="1"/>
  <c r="X139" i="1"/>
  <c r="X138" i="1"/>
  <c r="BP137" i="1"/>
  <c r="BO137" i="1"/>
  <c r="BM137" i="1"/>
  <c r="Z137" i="1"/>
  <c r="Y137" i="1"/>
  <c r="BN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BP131" i="1" s="1"/>
  <c r="P131" i="1"/>
  <c r="X128" i="1"/>
  <c r="X127" i="1"/>
  <c r="BO126" i="1"/>
  <c r="BM126" i="1"/>
  <c r="Y126" i="1"/>
  <c r="Y128" i="1" s="1"/>
  <c r="P126" i="1"/>
  <c r="X124" i="1"/>
  <c r="X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Y124" i="1" s="1"/>
  <c r="P119" i="1"/>
  <c r="X117" i="1"/>
  <c r="X116" i="1"/>
  <c r="BO115" i="1"/>
  <c r="BM115" i="1"/>
  <c r="Y115" i="1"/>
  <c r="BP115" i="1" s="1"/>
  <c r="P115" i="1"/>
  <c r="BO114" i="1"/>
  <c r="BN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N102" i="1"/>
  <c r="BM102" i="1"/>
  <c r="Y102" i="1"/>
  <c r="BP102" i="1" s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N95" i="1" s="1"/>
  <c r="P95" i="1"/>
  <c r="BO94" i="1"/>
  <c r="BM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M87" i="1"/>
  <c r="Z87" i="1"/>
  <c r="Y87" i="1"/>
  <c r="BN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N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BN66" i="1" s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P58" i="1"/>
  <c r="BO58" i="1"/>
  <c r="BM58" i="1"/>
  <c r="Z58" i="1"/>
  <c r="Y58" i="1"/>
  <c r="BN58" i="1" s="1"/>
  <c r="P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P50" i="1"/>
  <c r="BP49" i="1"/>
  <c r="BO49" i="1"/>
  <c r="BN49" i="1"/>
  <c r="BM49" i="1"/>
  <c r="Z49" i="1"/>
  <c r="Y49" i="1"/>
  <c r="P49" i="1"/>
  <c r="BO48" i="1"/>
  <c r="BM48" i="1"/>
  <c r="Y48" i="1"/>
  <c r="Z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N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BP23" i="1" s="1"/>
  <c r="P23" i="1"/>
  <c r="BP22" i="1"/>
  <c r="BO22" i="1"/>
  <c r="BM22" i="1"/>
  <c r="Z22" i="1"/>
  <c r="Y22" i="1"/>
  <c r="BN22" i="1" s="1"/>
  <c r="P22" i="1"/>
  <c r="H10" i="1"/>
  <c r="A9" i="1"/>
  <c r="F10" i="1" s="1"/>
  <c r="D7" i="1"/>
  <c r="Q6" i="1"/>
  <c r="P2" i="1"/>
  <c r="Z30" i="1" l="1"/>
  <c r="BP30" i="1"/>
  <c r="Z66" i="1"/>
  <c r="BP66" i="1"/>
  <c r="Z95" i="1"/>
  <c r="Y116" i="1"/>
  <c r="BP163" i="1"/>
  <c r="Z222" i="1"/>
  <c r="BP222" i="1"/>
  <c r="Z271" i="1"/>
  <c r="BP271" i="1"/>
  <c r="Z283" i="1"/>
  <c r="BP283" i="1"/>
  <c r="Z306" i="1"/>
  <c r="BP306" i="1"/>
  <c r="Z390" i="1"/>
  <c r="BP390" i="1"/>
  <c r="Z408" i="1"/>
  <c r="BP408" i="1"/>
  <c r="Z430" i="1"/>
  <c r="BP430" i="1"/>
  <c r="Z440" i="1"/>
  <c r="BP440" i="1"/>
  <c r="Z459" i="1"/>
  <c r="BP459" i="1"/>
  <c r="Z475" i="1"/>
  <c r="BP475" i="1"/>
  <c r="Z495" i="1"/>
  <c r="BP495" i="1"/>
  <c r="Z509" i="1"/>
  <c r="BP509" i="1"/>
  <c r="C568" i="1"/>
  <c r="BP95" i="1"/>
  <c r="Z106" i="1"/>
  <c r="BP106" i="1"/>
  <c r="Z163" i="1"/>
  <c r="X558" i="1"/>
  <c r="Z40" i="1"/>
  <c r="Y52" i="1"/>
  <c r="Z72" i="1"/>
  <c r="Z102" i="1"/>
  <c r="Z114" i="1"/>
  <c r="Z152" i="1"/>
  <c r="Z181" i="1"/>
  <c r="BN193" i="1"/>
  <c r="Y194" i="1"/>
  <c r="Z197" i="1"/>
  <c r="Z198" i="1" s="1"/>
  <c r="BP197" i="1"/>
  <c r="BN214" i="1"/>
  <c r="Z218" i="1"/>
  <c r="Z244" i="1"/>
  <c r="Z302" i="1"/>
  <c r="Z330" i="1"/>
  <c r="Z357" i="1"/>
  <c r="Z398" i="1"/>
  <c r="Z415" i="1"/>
  <c r="Z446" i="1"/>
  <c r="Z505" i="1"/>
  <c r="Z554" i="1"/>
  <c r="Z556" i="1" s="1"/>
  <c r="BP554" i="1"/>
  <c r="Y556" i="1"/>
  <c r="Z291" i="1"/>
  <c r="Z337" i="1"/>
  <c r="Z346" i="1"/>
  <c r="Z366" i="1"/>
  <c r="Z376" i="1"/>
  <c r="Z404" i="1"/>
  <c r="Z490" i="1"/>
  <c r="Z491" i="1" s="1"/>
  <c r="BP490" i="1"/>
  <c r="Z525" i="1"/>
  <c r="BP335" i="1"/>
  <c r="BN335" i="1"/>
  <c r="Z335" i="1"/>
  <c r="BP350" i="1"/>
  <c r="BN350" i="1"/>
  <c r="Z350" i="1"/>
  <c r="BP368" i="1"/>
  <c r="BN368" i="1"/>
  <c r="Z368" i="1"/>
  <c r="BP378" i="1"/>
  <c r="BN378" i="1"/>
  <c r="Z378" i="1"/>
  <c r="BP396" i="1"/>
  <c r="BN396" i="1"/>
  <c r="Z396" i="1"/>
  <c r="BP410" i="1"/>
  <c r="BN410" i="1"/>
  <c r="Z410" i="1"/>
  <c r="BP432" i="1"/>
  <c r="BN432" i="1"/>
  <c r="Z432" i="1"/>
  <c r="BP442" i="1"/>
  <c r="BN442" i="1"/>
  <c r="Z442" i="1"/>
  <c r="Y465" i="1"/>
  <c r="Y464" i="1"/>
  <c r="BP463" i="1"/>
  <c r="BN463" i="1"/>
  <c r="Z463" i="1"/>
  <c r="Z464" i="1" s="1"/>
  <c r="Y471" i="1"/>
  <c r="BP467" i="1"/>
  <c r="BN467" i="1"/>
  <c r="Z467" i="1"/>
  <c r="BP485" i="1"/>
  <c r="BN485" i="1"/>
  <c r="Z485" i="1"/>
  <c r="BP507" i="1"/>
  <c r="BN507" i="1"/>
  <c r="Z507" i="1"/>
  <c r="BP523" i="1"/>
  <c r="BN523" i="1"/>
  <c r="Z523" i="1"/>
  <c r="X562" i="1"/>
  <c r="Z28" i="1"/>
  <c r="BN28" i="1"/>
  <c r="Z38" i="1"/>
  <c r="BN38" i="1"/>
  <c r="Z56" i="1"/>
  <c r="BN56" i="1"/>
  <c r="Z60" i="1"/>
  <c r="BN60" i="1"/>
  <c r="Z68" i="1"/>
  <c r="BN68" i="1"/>
  <c r="Y76" i="1"/>
  <c r="Z74" i="1"/>
  <c r="BN74" i="1"/>
  <c r="Y75" i="1"/>
  <c r="Z78" i="1"/>
  <c r="BN78" i="1"/>
  <c r="Z85" i="1"/>
  <c r="BN85" i="1"/>
  <c r="Z89" i="1"/>
  <c r="BN89" i="1"/>
  <c r="Y99" i="1"/>
  <c r="Z97" i="1"/>
  <c r="BN97" i="1"/>
  <c r="Z104" i="1"/>
  <c r="BN104" i="1"/>
  <c r="Z112" i="1"/>
  <c r="BN112" i="1"/>
  <c r="Z120" i="1"/>
  <c r="BN120" i="1"/>
  <c r="Z126" i="1"/>
  <c r="Z127" i="1" s="1"/>
  <c r="BN126" i="1"/>
  <c r="BP126" i="1"/>
  <c r="Y127" i="1"/>
  <c r="Z131" i="1"/>
  <c r="BN131" i="1"/>
  <c r="Z141" i="1"/>
  <c r="BN141" i="1"/>
  <c r="BP141" i="1"/>
  <c r="I568" i="1"/>
  <c r="Z150" i="1"/>
  <c r="BN150" i="1"/>
  <c r="Z156" i="1"/>
  <c r="Z157" i="1" s="1"/>
  <c r="BN156" i="1"/>
  <c r="BP156" i="1"/>
  <c r="Y157" i="1"/>
  <c r="Z161" i="1"/>
  <c r="BN161" i="1"/>
  <c r="Z167" i="1"/>
  <c r="BN167" i="1"/>
  <c r="BP167" i="1"/>
  <c r="Y185" i="1"/>
  <c r="Z175" i="1"/>
  <c r="BN175" i="1"/>
  <c r="Z179" i="1"/>
  <c r="BN179" i="1"/>
  <c r="Z183" i="1"/>
  <c r="BN183" i="1"/>
  <c r="Y191" i="1"/>
  <c r="Z189" i="1"/>
  <c r="BN189" i="1"/>
  <c r="Z205" i="1"/>
  <c r="BN205" i="1"/>
  <c r="Z209" i="1"/>
  <c r="BN209" i="1"/>
  <c r="Y234" i="1"/>
  <c r="Z220" i="1"/>
  <c r="BN220" i="1"/>
  <c r="Z224" i="1"/>
  <c r="BN224" i="1"/>
  <c r="Z228" i="1"/>
  <c r="BN228" i="1"/>
  <c r="Z232" i="1"/>
  <c r="BN232" i="1"/>
  <c r="Y246" i="1"/>
  <c r="Z238" i="1"/>
  <c r="BN238" i="1"/>
  <c r="Z242" i="1"/>
  <c r="BN242" i="1"/>
  <c r="Z248" i="1"/>
  <c r="BN248" i="1"/>
  <c r="BP248" i="1"/>
  <c r="Z254" i="1"/>
  <c r="Z255" i="1" s="1"/>
  <c r="BN254" i="1"/>
  <c r="BP254" i="1"/>
  <c r="Y255" i="1"/>
  <c r="Z259" i="1"/>
  <c r="BN259" i="1"/>
  <c r="BP259" i="1"/>
  <c r="Z269" i="1"/>
  <c r="BN269" i="1"/>
  <c r="BP269" i="1"/>
  <c r="Z273" i="1"/>
  <c r="BN273" i="1"/>
  <c r="Z281" i="1"/>
  <c r="BN281" i="1"/>
  <c r="Z285" i="1"/>
  <c r="BN285" i="1"/>
  <c r="Z289" i="1"/>
  <c r="BN289" i="1"/>
  <c r="Z295" i="1"/>
  <c r="BN295" i="1"/>
  <c r="BP295" i="1"/>
  <c r="O568" i="1"/>
  <c r="Z304" i="1"/>
  <c r="BN304" i="1"/>
  <c r="Z320" i="1"/>
  <c r="BN320" i="1"/>
  <c r="BP328" i="1"/>
  <c r="BN328" i="1"/>
  <c r="Z328" i="1"/>
  <c r="Y338" i="1"/>
  <c r="BP344" i="1"/>
  <c r="BN344" i="1"/>
  <c r="Z344" i="1"/>
  <c r="BP364" i="1"/>
  <c r="BN364" i="1"/>
  <c r="Z364" i="1"/>
  <c r="BP374" i="1"/>
  <c r="BN374" i="1"/>
  <c r="Z374" i="1"/>
  <c r="BP384" i="1"/>
  <c r="BN384" i="1"/>
  <c r="Z384" i="1"/>
  <c r="Y406" i="1"/>
  <c r="BP402" i="1"/>
  <c r="BN402" i="1"/>
  <c r="Z402" i="1"/>
  <c r="BP422" i="1"/>
  <c r="BN422" i="1"/>
  <c r="Z422" i="1"/>
  <c r="BP436" i="1"/>
  <c r="BN436" i="1"/>
  <c r="Z436" i="1"/>
  <c r="BP448" i="1"/>
  <c r="BN448" i="1"/>
  <c r="Z448" i="1"/>
  <c r="BP452" i="1"/>
  <c r="BN452" i="1"/>
  <c r="Z452" i="1"/>
  <c r="Y470" i="1"/>
  <c r="BP477" i="1"/>
  <c r="BN477" i="1"/>
  <c r="Z477" i="1"/>
  <c r="BP503" i="1"/>
  <c r="BN503" i="1"/>
  <c r="Z503" i="1"/>
  <c r="BP515" i="1"/>
  <c r="BN515" i="1"/>
  <c r="Z515" i="1"/>
  <c r="BP549" i="1"/>
  <c r="BN549" i="1"/>
  <c r="Z549" i="1"/>
  <c r="Y386" i="1"/>
  <c r="Y450" i="1"/>
  <c r="Y449" i="1"/>
  <c r="H9" i="1"/>
  <c r="A10" i="1"/>
  <c r="B568" i="1"/>
  <c r="X559" i="1"/>
  <c r="X560" i="1"/>
  <c r="Z23" i="1"/>
  <c r="Z24" i="1" s="1"/>
  <c r="BN23" i="1"/>
  <c r="Y2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BP48" i="1"/>
  <c r="BN48" i="1"/>
  <c r="BP50" i="1"/>
  <c r="BN50" i="1"/>
  <c r="Z50" i="1"/>
  <c r="Y62" i="1"/>
  <c r="BP55" i="1"/>
  <c r="BN55" i="1"/>
  <c r="Z55" i="1"/>
  <c r="E568" i="1"/>
  <c r="BP59" i="1"/>
  <c r="BN59" i="1"/>
  <c r="Z59" i="1"/>
  <c r="BP67" i="1"/>
  <c r="BN67" i="1"/>
  <c r="Z67" i="1"/>
  <c r="BP79" i="1"/>
  <c r="BN79" i="1"/>
  <c r="Z79" i="1"/>
  <c r="Y81" i="1"/>
  <c r="F9" i="1"/>
  <c r="J9" i="1"/>
  <c r="Y25" i="1"/>
  <c r="Y43" i="1"/>
  <c r="D568" i="1"/>
  <c r="Y51" i="1"/>
  <c r="BP57" i="1"/>
  <c r="BN57" i="1"/>
  <c r="Z57" i="1"/>
  <c r="BP61" i="1"/>
  <c r="BN61" i="1"/>
  <c r="Z61" i="1"/>
  <c r="Y63" i="1"/>
  <c r="Y70" i="1"/>
  <c r="BP65" i="1"/>
  <c r="BN65" i="1"/>
  <c r="Z65" i="1"/>
  <c r="Z69" i="1" s="1"/>
  <c r="Y69" i="1"/>
  <c r="BP73" i="1"/>
  <c r="BN73" i="1"/>
  <c r="Z73" i="1"/>
  <c r="Z75" i="1" s="1"/>
  <c r="Y82" i="1"/>
  <c r="Y92" i="1"/>
  <c r="Y98" i="1"/>
  <c r="Y109" i="1"/>
  <c r="Y117" i="1"/>
  <c r="Y123" i="1"/>
  <c r="Y134" i="1"/>
  <c r="Y138" i="1"/>
  <c r="Y144" i="1"/>
  <c r="Y153" i="1"/>
  <c r="Y164" i="1"/>
  <c r="Y170" i="1"/>
  <c r="Y184" i="1"/>
  <c r="Y190" i="1"/>
  <c r="Y210" i="1"/>
  <c r="Y233" i="1"/>
  <c r="Y245" i="1"/>
  <c r="Y251" i="1"/>
  <c r="Y262" i="1"/>
  <c r="Y266" i="1"/>
  <c r="Y278" i="1"/>
  <c r="Y292" i="1"/>
  <c r="Y298" i="1"/>
  <c r="Y309" i="1"/>
  <c r="Y313" i="1"/>
  <c r="Y317" i="1"/>
  <c r="Y323" i="1"/>
  <c r="P568" i="1"/>
  <c r="Y332" i="1"/>
  <c r="BP329" i="1"/>
  <c r="BN329" i="1"/>
  <c r="Z329" i="1"/>
  <c r="BP343" i="1"/>
  <c r="BN343" i="1"/>
  <c r="Z343" i="1"/>
  <c r="Y347" i="1"/>
  <c r="BP351" i="1"/>
  <c r="BN351" i="1"/>
  <c r="Z351" i="1"/>
  <c r="Y353" i="1"/>
  <c r="S568" i="1"/>
  <c r="Y359" i="1"/>
  <c r="BP356" i="1"/>
  <c r="BN356" i="1"/>
  <c r="Z356" i="1"/>
  <c r="BP365" i="1"/>
  <c r="BN365" i="1"/>
  <c r="Z365" i="1"/>
  <c r="Y369" i="1"/>
  <c r="BP373" i="1"/>
  <c r="BN373" i="1"/>
  <c r="Z373" i="1"/>
  <c r="BP377" i="1"/>
  <c r="BN377" i="1"/>
  <c r="Z377" i="1"/>
  <c r="BP385" i="1"/>
  <c r="BN385" i="1"/>
  <c r="Z385" i="1"/>
  <c r="Y387" i="1"/>
  <c r="Y392" i="1"/>
  <c r="BP389" i="1"/>
  <c r="BN389" i="1"/>
  <c r="Z389" i="1"/>
  <c r="BP397" i="1"/>
  <c r="BN397" i="1"/>
  <c r="Z397" i="1"/>
  <c r="BP409" i="1"/>
  <c r="BN409" i="1"/>
  <c r="Z409" i="1"/>
  <c r="BP423" i="1"/>
  <c r="BN423" i="1"/>
  <c r="Z423" i="1"/>
  <c r="Y425" i="1"/>
  <c r="W568" i="1"/>
  <c r="Y438" i="1"/>
  <c r="BP429" i="1"/>
  <c r="BN429" i="1"/>
  <c r="Z429" i="1"/>
  <c r="BP433" i="1"/>
  <c r="BN433" i="1"/>
  <c r="Z433" i="1"/>
  <c r="Y437" i="1"/>
  <c r="BP441" i="1"/>
  <c r="BN441" i="1"/>
  <c r="Z441" i="1"/>
  <c r="BP453" i="1"/>
  <c r="BN453" i="1"/>
  <c r="Z453" i="1"/>
  <c r="Z454" i="1" s="1"/>
  <c r="Y455" i="1"/>
  <c r="X568" i="1"/>
  <c r="Y461" i="1"/>
  <c r="BP458" i="1"/>
  <c r="BN458" i="1"/>
  <c r="Z458" i="1"/>
  <c r="BP476" i="1"/>
  <c r="BN476" i="1"/>
  <c r="Z476" i="1"/>
  <c r="BP480" i="1"/>
  <c r="BN480" i="1"/>
  <c r="Z480" i="1"/>
  <c r="Y482" i="1"/>
  <c r="Y487" i="1"/>
  <c r="BP484" i="1"/>
  <c r="BN484" i="1"/>
  <c r="Z484" i="1"/>
  <c r="M568" i="1"/>
  <c r="V568" i="1"/>
  <c r="F568" i="1"/>
  <c r="Z86" i="1"/>
  <c r="BN86" i="1"/>
  <c r="Z88" i="1"/>
  <c r="BN88" i="1"/>
  <c r="Z90" i="1"/>
  <c r="BN90" i="1"/>
  <c r="Y91" i="1"/>
  <c r="Z94" i="1"/>
  <c r="Z98" i="1" s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Z123" i="1" s="1"/>
  <c r="BN119" i="1"/>
  <c r="BP119" i="1"/>
  <c r="Z121" i="1"/>
  <c r="BN121" i="1"/>
  <c r="H568" i="1"/>
  <c r="Z132" i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BN162" i="1"/>
  <c r="Y165" i="1"/>
  <c r="Z168" i="1"/>
  <c r="Z169" i="1" s="1"/>
  <c r="BN168" i="1"/>
  <c r="Z172" i="1"/>
  <c r="Z184" i="1" s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Z188" i="1"/>
  <c r="BN188" i="1"/>
  <c r="K568" i="1"/>
  <c r="Z204" i="1"/>
  <c r="BN204" i="1"/>
  <c r="Z206" i="1"/>
  <c r="BN206" i="1"/>
  <c r="Z208" i="1"/>
  <c r="BN208" i="1"/>
  <c r="Y211" i="1"/>
  <c r="L568" i="1"/>
  <c r="Y216" i="1"/>
  <c r="Z219" i="1"/>
  <c r="BN219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Z237" i="1"/>
  <c r="BN237" i="1"/>
  <c r="Z239" i="1"/>
  <c r="BN239" i="1"/>
  <c r="Z241" i="1"/>
  <c r="BN241" i="1"/>
  <c r="Z243" i="1"/>
  <c r="BN243" i="1"/>
  <c r="Z249" i="1"/>
  <c r="BN249" i="1"/>
  <c r="Z260" i="1"/>
  <c r="BN260" i="1"/>
  <c r="Z264" i="1"/>
  <c r="Z266" i="1" s="1"/>
  <c r="BN264" i="1"/>
  <c r="BP264" i="1"/>
  <c r="Z270" i="1"/>
  <c r="BN270" i="1"/>
  <c r="Z272" i="1"/>
  <c r="BN272" i="1"/>
  <c r="Z274" i="1"/>
  <c r="BN274" i="1"/>
  <c r="Z276" i="1"/>
  <c r="BN276" i="1"/>
  <c r="Z280" i="1"/>
  <c r="BN280" i="1"/>
  <c r="BP280" i="1"/>
  <c r="Z282" i="1"/>
  <c r="BN282" i="1"/>
  <c r="Z284" i="1"/>
  <c r="BN284" i="1"/>
  <c r="Z286" i="1"/>
  <c r="BN286" i="1"/>
  <c r="Z288" i="1"/>
  <c r="BN288" i="1"/>
  <c r="Z290" i="1"/>
  <c r="BN290" i="1"/>
  <c r="Z296" i="1"/>
  <c r="Z297" i="1" s="1"/>
  <c r="BN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Z315" i="1"/>
  <c r="Z316" i="1" s="1"/>
  <c r="BN315" i="1"/>
  <c r="BP315" i="1"/>
  <c r="Z319" i="1"/>
  <c r="BN319" i="1"/>
  <c r="BP319" i="1"/>
  <c r="Z321" i="1"/>
  <c r="BN321" i="1"/>
  <c r="Z326" i="1"/>
  <c r="BN326" i="1"/>
  <c r="BP326" i="1"/>
  <c r="Y331" i="1"/>
  <c r="BP336" i="1"/>
  <c r="BN336" i="1"/>
  <c r="Z336" i="1"/>
  <c r="Z338" i="1" s="1"/>
  <c r="Y348" i="1"/>
  <c r="BP345" i="1"/>
  <c r="BN345" i="1"/>
  <c r="Z345" i="1"/>
  <c r="Y352" i="1"/>
  <c r="BP358" i="1"/>
  <c r="BN358" i="1"/>
  <c r="Z358" i="1"/>
  <c r="Y360" i="1"/>
  <c r="T568" i="1"/>
  <c r="Y370" i="1"/>
  <c r="BP363" i="1"/>
  <c r="BN363" i="1"/>
  <c r="Z363" i="1"/>
  <c r="BP367" i="1"/>
  <c r="BN367" i="1"/>
  <c r="Z367" i="1"/>
  <c r="Y380" i="1"/>
  <c r="BP375" i="1"/>
  <c r="BN375" i="1"/>
  <c r="Z375" i="1"/>
  <c r="Y379" i="1"/>
  <c r="BP383" i="1"/>
  <c r="BN383" i="1"/>
  <c r="Z383" i="1"/>
  <c r="BP391" i="1"/>
  <c r="BN391" i="1"/>
  <c r="Z391" i="1"/>
  <c r="Y393" i="1"/>
  <c r="Y400" i="1"/>
  <c r="BP395" i="1"/>
  <c r="BN395" i="1"/>
  <c r="Z395" i="1"/>
  <c r="Z399" i="1" s="1"/>
  <c r="Y399" i="1"/>
  <c r="Z405" i="1"/>
  <c r="BP403" i="1"/>
  <c r="BN403" i="1"/>
  <c r="Z403" i="1"/>
  <c r="Y412" i="1"/>
  <c r="Y411" i="1"/>
  <c r="BP416" i="1"/>
  <c r="BN416" i="1"/>
  <c r="Z416" i="1"/>
  <c r="Z417" i="1" s="1"/>
  <c r="Y418" i="1"/>
  <c r="Y424" i="1"/>
  <c r="BP421" i="1"/>
  <c r="BN421" i="1"/>
  <c r="Z421" i="1"/>
  <c r="BP431" i="1"/>
  <c r="BN431" i="1"/>
  <c r="Z431" i="1"/>
  <c r="BP435" i="1"/>
  <c r="BN435" i="1"/>
  <c r="Z435" i="1"/>
  <c r="Y444" i="1"/>
  <c r="Y443" i="1"/>
  <c r="BP447" i="1"/>
  <c r="BN447" i="1"/>
  <c r="Z447" i="1"/>
  <c r="Z449" i="1" s="1"/>
  <c r="Y454" i="1"/>
  <c r="Y460" i="1"/>
  <c r="Z470" i="1"/>
  <c r="BP468" i="1"/>
  <c r="BN468" i="1"/>
  <c r="Z468" i="1"/>
  <c r="BP478" i="1"/>
  <c r="BN478" i="1"/>
  <c r="Z478" i="1"/>
  <c r="Y486" i="1"/>
  <c r="BP496" i="1"/>
  <c r="BN496" i="1"/>
  <c r="Z496" i="1"/>
  <c r="Y498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Y518" i="1"/>
  <c r="BP522" i="1"/>
  <c r="BN522" i="1"/>
  <c r="Z522" i="1"/>
  <c r="BP526" i="1"/>
  <c r="BN526" i="1"/>
  <c r="Z526" i="1"/>
  <c r="Y528" i="1"/>
  <c r="Y533" i="1"/>
  <c r="BP532" i="1"/>
  <c r="BN532" i="1"/>
  <c r="Z532" i="1"/>
  <c r="Z533" i="1" s="1"/>
  <c r="AB568" i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0" i="1"/>
  <c r="R568" i="1"/>
  <c r="Z568" i="1"/>
  <c r="Q568" i="1"/>
  <c r="Y339" i="1"/>
  <c r="U568" i="1"/>
  <c r="Y417" i="1"/>
  <c r="Y568" i="1"/>
  <c r="Y481" i="1"/>
  <c r="Y497" i="1"/>
  <c r="BP494" i="1"/>
  <c r="BN494" i="1"/>
  <c r="Z494" i="1"/>
  <c r="BP504" i="1"/>
  <c r="BN504" i="1"/>
  <c r="Z504" i="1"/>
  <c r="BP508" i="1"/>
  <c r="BN508" i="1"/>
  <c r="Z508" i="1"/>
  <c r="BP516" i="1"/>
  <c r="BN516" i="1"/>
  <c r="Z516" i="1"/>
  <c r="Y527" i="1"/>
  <c r="BP520" i="1"/>
  <c r="BN520" i="1"/>
  <c r="Z520" i="1"/>
  <c r="BP524" i="1"/>
  <c r="BN524" i="1"/>
  <c r="Z524" i="1"/>
  <c r="Y557" i="1"/>
  <c r="Z164" i="1" l="1"/>
  <c r="Z527" i="1"/>
  <c r="Z386" i="1"/>
  <c r="Z331" i="1"/>
  <c r="Z292" i="1"/>
  <c r="Z153" i="1"/>
  <c r="Z133" i="1"/>
  <c r="Z460" i="1"/>
  <c r="Z81" i="1"/>
  <c r="Z261" i="1"/>
  <c r="Z277" i="1"/>
  <c r="Z210" i="1"/>
  <c r="Z108" i="1"/>
  <c r="Z379" i="1"/>
  <c r="Z497" i="1"/>
  <c r="Z424" i="1"/>
  <c r="Z251" i="1"/>
  <c r="Z245" i="1"/>
  <c r="Z233" i="1"/>
  <c r="Z190" i="1"/>
  <c r="Z91" i="1"/>
  <c r="Z486" i="1"/>
  <c r="Z481" i="1"/>
  <c r="Z443" i="1"/>
  <c r="Z411" i="1"/>
  <c r="Z352" i="1"/>
  <c r="Z347" i="1"/>
  <c r="Y560" i="1"/>
  <c r="Y561" i="1" s="1"/>
  <c r="Y559" i="1"/>
  <c r="Z517" i="1"/>
  <c r="Z369" i="1"/>
  <c r="Z322" i="1"/>
  <c r="Z308" i="1"/>
  <c r="Z116" i="1"/>
  <c r="Z437" i="1"/>
  <c r="Z392" i="1"/>
  <c r="Z51" i="1"/>
  <c r="Z42" i="1"/>
  <c r="Z32" i="1"/>
  <c r="Z511" i="1"/>
  <c r="Z359" i="1"/>
  <c r="Y558" i="1"/>
  <c r="Z62" i="1"/>
  <c r="Y562" i="1"/>
  <c r="X561" i="1"/>
  <c r="Z563" i="1" l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<sst xmlns="http://schemas.openxmlformats.org/spreadsheetml/2006/main" count="2542" uniqueCount="915">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</sst>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46280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890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Вторник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6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0.45833333333333331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2040</v>
      </c>
      <c r="Y47" s="642">
        <f>IFERROR(IF(X47="",0,CEILING((X47/$H47),1)*$H47),"")</f>
        <v>2041.2</v>
      </c>
      <c r="Z47" s="36">
        <f>IFERROR(IF(Y47=0,"",ROUNDUP(Y47/H47,0)*0.01898),"")</f>
        <v>3.5872199999999999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2117.4444444444443</v>
      </c>
      <c r="BN47" s="64">
        <f>IFERROR(Y47*I47/H47,"0")</f>
        <v>2118.69</v>
      </c>
      <c r="BO47" s="64">
        <f>IFERROR(1/J47*(X47/H47),"0")</f>
        <v>2.9513888888888888</v>
      </c>
      <c r="BP47" s="64">
        <f>IFERROR(1/J47*(Y47/H47),"0")</f>
        <v>2.953125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102</v>
      </c>
      <c r="Y50" s="642">
        <f>IFERROR(IF(X50="",0,CEILING((X50/$H50),1)*$H50),"")</f>
        <v>103.60000000000001</v>
      </c>
      <c r="Z50" s="36">
        <f>IFERROR(IF(Y50=0,"",ROUNDUP(Y50/H50,0)*0.00902),"")</f>
        <v>0.25256000000000001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107.23783783783784</v>
      </c>
      <c r="BN50" s="64">
        <f>IFERROR(Y50*I50/H50,"0")</f>
        <v>108.92</v>
      </c>
      <c r="BO50" s="64">
        <f>IFERROR(1/J50*(X50/H50),"0")</f>
        <v>0.20884520884520882</v>
      </c>
      <c r="BP50" s="64">
        <f>IFERROR(1/J50*(Y50/H50),"0")</f>
        <v>0.21212121212121213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216.45645645645646</v>
      </c>
      <c r="Y51" s="643">
        <f>IFERROR(Y47/H47,"0")+IFERROR(Y48/H48,"0")+IFERROR(Y49/H49,"0")+IFERROR(Y50/H50,"0")</f>
        <v>217</v>
      </c>
      <c r="Z51" s="643">
        <f>IFERROR(IF(Z47="",0,Z47),"0")+IFERROR(IF(Z48="",0,Z48),"0")+IFERROR(IF(Z49="",0,Z49),"0")+IFERROR(IF(Z50="",0,Z50),"0")</f>
        <v>3.8397799999999997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2142</v>
      </c>
      <c r="Y52" s="643">
        <f>IFERROR(SUM(Y47:Y50),"0")</f>
        <v>2144.8000000000002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0</v>
      </c>
      <c r="Y55" s="642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367</v>
      </c>
      <c r="Y56" s="642">
        <f t="shared" si="0"/>
        <v>367.20000000000005</v>
      </c>
      <c r="Z56" s="36">
        <f>IFERROR(IF(Y56=0,"",ROUNDUP(Y56/H56,0)*0.01898),"")</f>
        <v>0.64532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380.93240740740742</v>
      </c>
      <c r="BN56" s="64">
        <f t="shared" si="2"/>
        <v>381.14000000000004</v>
      </c>
      <c r="BO56" s="64">
        <f t="shared" si="3"/>
        <v>0.53096064814814814</v>
      </c>
      <c r="BP56" s="64">
        <f t="shared" si="4"/>
        <v>0.53125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33.981481481481481</v>
      </c>
      <c r="Y62" s="643">
        <f>IFERROR(Y55/H55,"0")+IFERROR(Y56/H56,"0")+IFERROR(Y57/H57,"0")+IFERROR(Y58/H58,"0")+IFERROR(Y59/H59,"0")+IFERROR(Y60/H60,"0")+IFERROR(Y61/H61,"0")</f>
        <v>34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0.64532</v>
      </c>
      <c r="AA62" s="644"/>
      <c r="AB62" s="644"/>
      <c r="AC62" s="64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367</v>
      </c>
      <c r="Y63" s="643">
        <f>IFERROR(SUM(Y55:Y61),"0")</f>
        <v>367.20000000000005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221</v>
      </c>
      <c r="Y65" s="642">
        <f>IFERROR(IF(X65="",0,CEILING((X65/$H65),1)*$H65),"")</f>
        <v>226.8</v>
      </c>
      <c r="Z65" s="36">
        <f>IFERROR(IF(Y65=0,"",ROUNDUP(Y65/H65,0)*0.01898),"")</f>
        <v>0.39857999999999999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229.38981481481483</v>
      </c>
      <c r="BN65" s="64">
        <f>IFERROR(Y65*I65/H65,"0")</f>
        <v>235.41000000000003</v>
      </c>
      <c r="BO65" s="64">
        <f>IFERROR(1/J65*(X65/H65),"0")</f>
        <v>0.31973379629629628</v>
      </c>
      <c r="BP65" s="64">
        <f>IFERROR(1/J65*(Y65/H65),"0")</f>
        <v>0.328125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20.462962962962962</v>
      </c>
      <c r="Y69" s="643">
        <f>IFERROR(Y65/H65,"0")+IFERROR(Y66/H66,"0")+IFERROR(Y67/H67,"0")+IFERROR(Y68/H68,"0")</f>
        <v>21</v>
      </c>
      <c r="Z69" s="643">
        <f>IFERROR(IF(Z65="",0,Z65),"0")+IFERROR(IF(Z66="",0,Z66),"0")+IFERROR(IF(Z67="",0,Z67),"0")+IFERROR(IF(Z68="",0,Z68),"0")</f>
        <v>0.39857999999999999</v>
      </c>
      <c r="AA69" s="644"/>
      <c r="AB69" s="644"/>
      <c r="AC69" s="64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221</v>
      </c>
      <c r="Y70" s="643">
        <f>IFERROR(SUM(Y65:Y68),"0")</f>
        <v>226.8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100</v>
      </c>
      <c r="Y78" s="642">
        <f>IFERROR(IF(X78="",0,CEILING((X78/$H78),1)*$H78),"")</f>
        <v>101.39999999999999</v>
      </c>
      <c r="Z78" s="36">
        <f>IFERROR(IF(Y78=0,"",ROUNDUP(Y78/H78,0)*0.01898),"")</f>
        <v>0.24674000000000001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105.25641025641028</v>
      </c>
      <c r="BN78" s="64">
        <f>IFERROR(Y78*I78/H78,"0")</f>
        <v>106.73</v>
      </c>
      <c r="BO78" s="64">
        <f>IFERROR(1/J78*(X78/H78),"0")</f>
        <v>0.20032051282051283</v>
      </c>
      <c r="BP78" s="64">
        <f>IFERROR(1/J78*(Y78/H78),"0")</f>
        <v>0.203125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12.820512820512821</v>
      </c>
      <c r="Y81" s="643">
        <f>IFERROR(Y78/H78,"0")+IFERROR(Y79/H79,"0")+IFERROR(Y80/H80,"0")</f>
        <v>13</v>
      </c>
      <c r="Z81" s="643">
        <f>IFERROR(IF(Z78="",0,Z78),"0")+IFERROR(IF(Z79="",0,Z79),"0")+IFERROR(IF(Z80="",0,Z80),"0")</f>
        <v>0.24674000000000001</v>
      </c>
      <c r="AA81" s="644"/>
      <c r="AB81" s="644"/>
      <c r="AC81" s="644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100</v>
      </c>
      <c r="Y82" s="643">
        <f>IFERROR(SUM(Y78:Y80),"0")</f>
        <v>101.39999999999999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367</v>
      </c>
      <c r="Y85" s="642">
        <f t="shared" ref="Y85:Y90" si="5">IFERROR(IF(X85="",0,CEILING((X85/$H85),1)*$H85),"")</f>
        <v>367.20000000000005</v>
      </c>
      <c r="Z85" s="36">
        <f>IFERROR(IF(Y85=0,"",ROUNDUP(Y85/H85,0)*0.01898),"")</f>
        <v>0.64532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380.93240740740742</v>
      </c>
      <c r="BN85" s="64">
        <f t="shared" ref="BN85:BN90" si="7">IFERROR(Y85*I85/H85,"0")</f>
        <v>381.14000000000004</v>
      </c>
      <c r="BO85" s="64">
        <f t="shared" ref="BO85:BO90" si="8">IFERROR(1/J85*(X85/H85),"0")</f>
        <v>0.53096064814814814</v>
      </c>
      <c r="BP85" s="64">
        <f t="shared" ref="BP85:BP90" si="9">IFERROR(1/J85*(Y85/H85),"0")</f>
        <v>0.53125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83</v>
      </c>
      <c r="Y89" s="642">
        <f t="shared" si="5"/>
        <v>85.5</v>
      </c>
      <c r="Z89" s="36">
        <f>IFERROR(IF(Y89=0,"",ROUNDUP(Y89/H89,0)*0.00902),"")</f>
        <v>0.17138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86.504444444444459</v>
      </c>
      <c r="BN89" s="64">
        <f t="shared" si="7"/>
        <v>89.110000000000014</v>
      </c>
      <c r="BO89" s="64">
        <f t="shared" si="8"/>
        <v>0.13973063973063973</v>
      </c>
      <c r="BP89" s="64">
        <f t="shared" si="9"/>
        <v>0.14393939393939395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52.425925925925924</v>
      </c>
      <c r="Y91" s="643">
        <f>IFERROR(Y85/H85,"0")+IFERROR(Y86/H86,"0")+IFERROR(Y87/H87,"0")+IFERROR(Y88/H88,"0")+IFERROR(Y89/H89,"0")+IFERROR(Y90/H90,"0")</f>
        <v>53</v>
      </c>
      <c r="Z91" s="643">
        <f>IFERROR(IF(Z85="",0,Z85),"0")+IFERROR(IF(Z86="",0,Z86),"0")+IFERROR(IF(Z87="",0,Z87),"0")+IFERROR(IF(Z88="",0,Z88),"0")+IFERROR(IF(Z89="",0,Z89),"0")+IFERROR(IF(Z90="",0,Z90),"0")</f>
        <v>0.81669999999999998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450</v>
      </c>
      <c r="Y92" s="643">
        <f>IFERROR(SUM(Y85:Y90),"0")</f>
        <v>452.70000000000005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367</v>
      </c>
      <c r="Y94" s="642">
        <f>IFERROR(IF(X94="",0,CEILING((X94/$H94),1)*$H94),"")</f>
        <v>372.59999999999997</v>
      </c>
      <c r="Z94" s="36">
        <f>IFERROR(IF(Y94=0,"",ROUNDUP(Y94/H94,0)*0.01898),"")</f>
        <v>0.87307999999999997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389.38246913580241</v>
      </c>
      <c r="BN94" s="64">
        <f>IFERROR(Y94*I94/H94,"0")</f>
        <v>395.32399999999996</v>
      </c>
      <c r="BO94" s="64">
        <f>IFERROR(1/J94*(X94/H94),"0")</f>
        <v>0.70794753086419759</v>
      </c>
      <c r="BP94" s="64">
        <f>IFERROR(1/J94*(Y94/H94),"0")</f>
        <v>0.71875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104</v>
      </c>
      <c r="Y96" s="642">
        <f>IFERROR(IF(X96="",0,CEILING((X96/$H96),1)*$H96),"")</f>
        <v>105.30000000000001</v>
      </c>
      <c r="Z96" s="36">
        <f>IFERROR(IF(Y96=0,"",ROUNDUP(Y96/H96,0)*0.00651),"")</f>
        <v>0.25389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113.70666666666665</v>
      </c>
      <c r="BN96" s="64">
        <f>IFERROR(Y96*I96/H96,"0")</f>
        <v>115.12800000000001</v>
      </c>
      <c r="BO96" s="64">
        <f>IFERROR(1/J96*(X96/H96),"0")</f>
        <v>0.21164021164021166</v>
      </c>
      <c r="BP96" s="64">
        <f>IFERROR(1/J96*(Y96/H96),"0")</f>
        <v>0.2142857142857143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83.827160493827165</v>
      </c>
      <c r="Y98" s="643">
        <f>IFERROR(Y94/H94,"0")+IFERROR(Y95/H95,"0")+IFERROR(Y96/H96,"0")+IFERROR(Y97/H97,"0")</f>
        <v>85</v>
      </c>
      <c r="Z98" s="643">
        <f>IFERROR(IF(Z94="",0,Z94),"0")+IFERROR(IF(Z95="",0,Z95),"0")+IFERROR(IF(Z96="",0,Z96),"0")+IFERROR(IF(Z97="",0,Z97),"0")</f>
        <v>1.12697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471</v>
      </c>
      <c r="Y99" s="643">
        <f>IFERROR(SUM(Y94:Y97),"0")</f>
        <v>477.9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428</v>
      </c>
      <c r="Y102" s="642">
        <f t="shared" ref="Y102:Y107" si="10">IFERROR(IF(X102="",0,CEILING((X102/$H102),1)*$H102),"")</f>
        <v>432</v>
      </c>
      <c r="Z102" s="36">
        <f>IFERROR(IF(Y102=0,"",ROUNDUP(Y102/H102,0)*0.01898),"")</f>
        <v>0.75919999999999999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444.24814814814812</v>
      </c>
      <c r="BN102" s="64">
        <f t="shared" ref="BN102:BN107" si="12">IFERROR(Y102*I102/H102,"0")</f>
        <v>448.4</v>
      </c>
      <c r="BO102" s="64">
        <f t="shared" ref="BO102:BO107" si="13">IFERROR(1/J102*(X102/H102),"0")</f>
        <v>0.61921296296296291</v>
      </c>
      <c r="BP102" s="64">
        <f t="shared" ref="BP102:BP107" si="14">IFERROR(1/J102*(Y102/H102),"0")</f>
        <v>0.625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151</v>
      </c>
      <c r="Y105" s="642">
        <f t="shared" si="10"/>
        <v>153</v>
      </c>
      <c r="Z105" s="36">
        <f>IFERROR(IF(Y105=0,"",ROUNDUP(Y105/H105,0)*0.00902),"")</f>
        <v>0.30668000000000001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157.37555555555556</v>
      </c>
      <c r="BN105" s="64">
        <f t="shared" si="12"/>
        <v>159.46</v>
      </c>
      <c r="BO105" s="64">
        <f t="shared" si="13"/>
        <v>0.25420875420875422</v>
      </c>
      <c r="BP105" s="64">
        <f t="shared" si="14"/>
        <v>0.25757575757575757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73.18518518518519</v>
      </c>
      <c r="Y108" s="643">
        <f>IFERROR(Y102/H102,"0")+IFERROR(Y103/H103,"0")+IFERROR(Y104/H104,"0")+IFERROR(Y105/H105,"0")+IFERROR(Y106/H106,"0")+IFERROR(Y107/H107,"0")</f>
        <v>74</v>
      </c>
      <c r="Z108" s="643">
        <f>IFERROR(IF(Z102="",0,Z102),"0")+IFERROR(IF(Z103="",0,Z103),"0")+IFERROR(IF(Z104="",0,Z104),"0")+IFERROR(IF(Z105="",0,Z105),"0")+IFERROR(IF(Z106="",0,Z106),"0")+IFERROR(IF(Z107="",0,Z107),"0")</f>
        <v>1.0658799999999999</v>
      </c>
      <c r="AA108" s="644"/>
      <c r="AB108" s="644"/>
      <c r="AC108" s="644"/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579</v>
      </c>
      <c r="Y109" s="643">
        <f>IFERROR(SUM(Y102:Y107),"0")</f>
        <v>585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1</v>
      </c>
      <c r="Y112" s="642">
        <f>IFERROR(IF(X112="",0,CEILING((X112/$H112),1)*$H112),"")</f>
        <v>1</v>
      </c>
      <c r="Z112" s="36">
        <f>IFERROR(IF(Y112=0,"",ROUNDUP(Y112/H112,0)*0.00358),"")</f>
        <v>3.5799999999999998E-3</v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1.21</v>
      </c>
      <c r="BN112" s="64">
        <f>IFERROR(Y112*I112/H112,"0")</f>
        <v>1.21</v>
      </c>
      <c r="BO112" s="64">
        <f>IFERROR(1/J112*(X112/H112),"0")</f>
        <v>2.5510204081632651E-3</v>
      </c>
      <c r="BP112" s="64">
        <f>IFERROR(1/J112*(Y112/H112),"0")</f>
        <v>2.5510204081632651E-3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0</v>
      </c>
      <c r="Y115" s="6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1</v>
      </c>
      <c r="Y116" s="643">
        <f>IFERROR(Y111/H111,"0")+IFERROR(Y112/H112,"0")+IFERROR(Y113/H113,"0")+IFERROR(Y114/H114,"0")+IFERROR(Y115/H115,"0")</f>
        <v>1</v>
      </c>
      <c r="Z116" s="643">
        <f>IFERROR(IF(Z111="",0,Z111),"0")+IFERROR(IF(Z112="",0,Z112),"0")+IFERROR(IF(Z113="",0,Z113),"0")+IFERROR(IF(Z114="",0,Z114),"0")+IFERROR(IF(Z115="",0,Z115),"0")</f>
        <v>3.5799999999999998E-3</v>
      </c>
      <c r="AA116" s="644"/>
      <c r="AB116" s="644"/>
      <c r="AC116" s="644"/>
    </row>
    <row r="117" spans="1:68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1</v>
      </c>
      <c r="Y117" s="643">
        <f>IFERROR(SUM(Y111:Y115),"0")</f>
        <v>1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857</v>
      </c>
      <c r="Y119" s="642">
        <f>IFERROR(IF(X119="",0,CEILING((X119/$H119),1)*$H119),"")</f>
        <v>858.59999999999991</v>
      </c>
      <c r="Z119" s="36">
        <f>IFERROR(IF(Y119=0,"",ROUNDUP(Y119/H119,0)*0.01898),"")</f>
        <v>2.0118800000000001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908.63160493827161</v>
      </c>
      <c r="BN119" s="64">
        <f>IFERROR(Y119*I119/H119,"0")</f>
        <v>910.32799999999986</v>
      </c>
      <c r="BO119" s="64">
        <f>IFERROR(1/J119*(X119/H119),"0")</f>
        <v>1.6531635802469136</v>
      </c>
      <c r="BP119" s="64">
        <f>IFERROR(1/J119*(Y119/H119),"0")</f>
        <v>1.65625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220</v>
      </c>
      <c r="Y121" s="642">
        <f>IFERROR(IF(X121="",0,CEILING((X121/$H121),1)*$H121),"")</f>
        <v>221.4</v>
      </c>
      <c r="Z121" s="36">
        <f>IFERROR(IF(Y121=0,"",ROUNDUP(Y121/H121,0)*0.00651),"")</f>
        <v>0.53381999999999996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240.5333333333333</v>
      </c>
      <c r="BN121" s="64">
        <f>IFERROR(Y121*I121/H121,"0")</f>
        <v>242.06399999999999</v>
      </c>
      <c r="BO121" s="64">
        <f>IFERROR(1/J121*(X121/H121),"0")</f>
        <v>0.44770044770044776</v>
      </c>
      <c r="BP121" s="64">
        <f>IFERROR(1/J121*(Y121/H121),"0")</f>
        <v>0.45054945054945056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187.28395061728395</v>
      </c>
      <c r="Y123" s="643">
        <f>IFERROR(Y119/H119,"0")+IFERROR(Y120/H120,"0")+IFERROR(Y121/H121,"0")+IFERROR(Y122/H122,"0")</f>
        <v>188</v>
      </c>
      <c r="Z123" s="643">
        <f>IFERROR(IF(Z119="",0,Z119),"0")+IFERROR(IF(Z120="",0,Z120),"0")+IFERROR(IF(Z121="",0,Z121),"0")+IFERROR(IF(Z122="",0,Z122),"0")</f>
        <v>2.5457000000000001</v>
      </c>
      <c r="AA123" s="644"/>
      <c r="AB123" s="644"/>
      <c r="AC123" s="644"/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1077</v>
      </c>
      <c r="Y124" s="643">
        <f>IFERROR(SUM(Y119:Y122),"0")</f>
        <v>1080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hidden="1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0</v>
      </c>
      <c r="Y126" s="6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0</v>
      </c>
      <c r="Y127" s="643">
        <f>IFERROR(Y126/H126,"0")</f>
        <v>0</v>
      </c>
      <c r="Z127" s="643">
        <f>IFERROR(IF(Z126="",0,Z126),"0")</f>
        <v>0</v>
      </c>
      <c r="AA127" s="644"/>
      <c r="AB127" s="644"/>
      <c r="AC127" s="644"/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0</v>
      </c>
      <c r="Y128" s="643">
        <f>IFERROR(SUM(Y126:Y126),"0")</f>
        <v>0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hidden="1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0</v>
      </c>
      <c r="Y136" s="6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0</v>
      </c>
      <c r="Y138" s="643">
        <f>IFERROR(Y136/H136,"0")+IFERROR(Y137/H137,"0")</f>
        <v>0</v>
      </c>
      <c r="Z138" s="643">
        <f>IFERROR(IF(Z136="",0,Z136),"0")+IFERROR(IF(Z137="",0,Z137),"0")</f>
        <v>0</v>
      </c>
      <c r="AA138" s="644"/>
      <c r="AB138" s="644"/>
      <c r="AC138" s="644"/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0</v>
      </c>
      <c r="Y139" s="643">
        <f>IFERROR(SUM(Y136:Y137),"0")</f>
        <v>0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40</v>
      </c>
      <c r="Y161" s="642">
        <f>IFERROR(IF(X161="",0,CEILING((X161/$H161),1)*$H161),"")</f>
        <v>42</v>
      </c>
      <c r="Z161" s="36">
        <f>IFERROR(IF(Y161=0,"",ROUNDUP(Y161/H161,0)*0.01196),"")</f>
        <v>8.3720000000000003E-2</v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42.333333333333336</v>
      </c>
      <c r="BN161" s="64">
        <f>IFERROR(Y161*I161/H161,"0")</f>
        <v>44.449999999999996</v>
      </c>
      <c r="BO161" s="64">
        <f>IFERROR(1/J161*(X161/H161),"0")</f>
        <v>6.4102564102564111E-2</v>
      </c>
      <c r="BP161" s="64">
        <f>IFERROR(1/J161*(Y161/H161),"0")</f>
        <v>6.7307692307692318E-2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6.666666666666667</v>
      </c>
      <c r="Y164" s="643">
        <f>IFERROR(Y161/H161,"0")+IFERROR(Y162/H162,"0")+IFERROR(Y163/H163,"0")</f>
        <v>7</v>
      </c>
      <c r="Z164" s="643">
        <f>IFERROR(IF(Z161="",0,Z161),"0")+IFERROR(IF(Z162="",0,Z162),"0")+IFERROR(IF(Z163="",0,Z163),"0")</f>
        <v>8.3720000000000003E-2</v>
      </c>
      <c r="AA164" s="644"/>
      <c r="AB164" s="644"/>
      <c r="AC164" s="644"/>
    </row>
    <row r="165" spans="1:68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40</v>
      </c>
      <c r="Y165" s="643">
        <f>IFERROR(SUM(Y161:Y163),"0")</f>
        <v>42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100</v>
      </c>
      <c r="Y172" s="642">
        <f t="shared" ref="Y172:Y183" si="21">IFERROR(IF(X172="",0,CEILING((X172/$H172),1)*$H172),"")</f>
        <v>101.5</v>
      </c>
      <c r="Z172" s="36">
        <f>IFERROR(IF(Y172=0,"",ROUNDUP(Y172/H172,0)*0.00902),"")</f>
        <v>0.26158000000000003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105.42857142857143</v>
      </c>
      <c r="BN172" s="64">
        <f t="shared" ref="BN172:BN183" si="23">IFERROR(Y172*I172/H172,"0")</f>
        <v>107.00999999999999</v>
      </c>
      <c r="BO172" s="64">
        <f t="shared" ref="BO172:BO183" si="24">IFERROR(1/J172*(X172/H172),"0")</f>
        <v>0.21645021645021648</v>
      </c>
      <c r="BP172" s="64">
        <f t="shared" ref="BP172:BP183" si="25">IFERROR(1/J172*(Y172/H172),"0")</f>
        <v>0.2196969696969697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0</v>
      </c>
      <c r="Y174" s="642">
        <f t="shared" si="21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50</v>
      </c>
      <c r="Y176" s="642">
        <f t="shared" si="21"/>
        <v>52.5</v>
      </c>
      <c r="Z176" s="36">
        <f>IFERROR(IF(Y176=0,"",ROUNDUP(Y176/H176,0)*0.00902),"")</f>
        <v>0.1353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52.714285714285715</v>
      </c>
      <c r="BN176" s="64">
        <f t="shared" si="23"/>
        <v>55.35</v>
      </c>
      <c r="BO176" s="64">
        <f t="shared" si="24"/>
        <v>0.10822510822510824</v>
      </c>
      <c r="BP176" s="64">
        <f t="shared" si="25"/>
        <v>0.11363636363636365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14</v>
      </c>
      <c r="Y179" s="642">
        <f t="shared" si="21"/>
        <v>15.12</v>
      </c>
      <c r="Z179" s="36">
        <f>IFERROR(IF(Y179=0,"",ROUNDUP(Y179/H179,0)*0.00502),"")</f>
        <v>4.5179999999999998E-2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14.833333333333336</v>
      </c>
      <c r="BN179" s="64">
        <f t="shared" si="23"/>
        <v>16.02</v>
      </c>
      <c r="BO179" s="64">
        <f t="shared" si="24"/>
        <v>3.561253561253562E-2</v>
      </c>
      <c r="BP179" s="64">
        <f t="shared" si="25"/>
        <v>3.8461538461538464E-2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0</v>
      </c>
      <c r="Y181" s="642">
        <f t="shared" si="21"/>
        <v>0</v>
      </c>
      <c r="Z181" s="36" t="str">
        <f>IFERROR(IF(Y181=0,"",ROUNDUP(Y181/H181,0)*0.00502),"")</f>
        <v/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28</v>
      </c>
      <c r="Y183" s="642">
        <f t="shared" si="21"/>
        <v>28.56</v>
      </c>
      <c r="Z183" s="36">
        <f>IFERROR(IF(Y183=0,"",ROUNDUP(Y183/H183,0)*0.00502),"")</f>
        <v>8.5339999999999999E-2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29.666666666666671</v>
      </c>
      <c r="BN183" s="64">
        <f t="shared" si="23"/>
        <v>30.259999999999998</v>
      </c>
      <c r="BO183" s="64">
        <f t="shared" si="24"/>
        <v>7.122507122507124E-2</v>
      </c>
      <c r="BP183" s="64">
        <f t="shared" si="25"/>
        <v>7.2649572649572655E-2</v>
      </c>
    </row>
    <row r="184" spans="1:68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67.857142857142861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70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0.52739999999999998</v>
      </c>
      <c r="AA184" s="644"/>
      <c r="AB184" s="644"/>
      <c r="AC184" s="644"/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192</v>
      </c>
      <c r="Y185" s="643">
        <f>IFERROR(SUM(Y172:Y183),"0")</f>
        <v>197.68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20</v>
      </c>
      <c r="Y218" s="642">
        <f t="shared" ref="Y218:Y232" si="32">IFERROR(IF(X218="",0,CEILING((X218/$H218),1)*$H218),"")</f>
        <v>21</v>
      </c>
      <c r="Z218" s="36">
        <f>IFERROR(IF(Y218=0,"",ROUNDUP(Y218/H218,0)*0.00902),"")</f>
        <v>4.5100000000000001E-2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21.19047619047619</v>
      </c>
      <c r="BN218" s="64">
        <f t="shared" ref="BN218:BN232" si="34">IFERROR(Y218*I218/H218,"0")</f>
        <v>22.25</v>
      </c>
      <c r="BO218" s="64">
        <f t="shared" ref="BO218:BO232" si="35">IFERROR(1/J218*(X218/H218),"0")</f>
        <v>3.6075036075036072E-2</v>
      </c>
      <c r="BP218" s="64">
        <f t="shared" ref="BP218:BP232" si="36">IFERROR(1/J218*(Y218/H218),"0")</f>
        <v>3.787878787878788E-2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0</v>
      </c>
      <c r="Y220" s="642">
        <f t="shared" si="32"/>
        <v>0</v>
      </c>
      <c r="Z220" s="36" t="str">
        <f>IFERROR(IF(Y220=0,"",ROUNDUP(Y220/H220,0)*0.00902),"")</f>
        <v/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37.5" hidden="1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0</v>
      </c>
      <c r="Y221" s="642">
        <f t="shared" si="32"/>
        <v>0</v>
      </c>
      <c r="Z221" s="36" t="str">
        <f>IFERROR(IF(Y221=0,"",ROUNDUP(Y221/H221,0)*0.00556),"")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0</v>
      </c>
      <c r="Y222" s="642">
        <f t="shared" si="32"/>
        <v>0</v>
      </c>
      <c r="Z222" s="36" t="str">
        <f t="shared" ref="Z222:Z227" si="37">IFERROR(IF(Y222=0,"",ROUNDUP(Y222/H222,0)*0.00502),"")</f>
        <v/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30</v>
      </c>
      <c r="Y227" s="642">
        <f t="shared" si="32"/>
        <v>30.6</v>
      </c>
      <c r="Z227" s="36">
        <f t="shared" si="37"/>
        <v>8.5339999999999999E-2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32.166666666666664</v>
      </c>
      <c r="BN227" s="64">
        <f t="shared" si="34"/>
        <v>32.81</v>
      </c>
      <c r="BO227" s="64">
        <f t="shared" si="35"/>
        <v>7.122507122507124E-2</v>
      </c>
      <c r="BP227" s="64">
        <f t="shared" si="36"/>
        <v>7.2649572649572655E-2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175</v>
      </c>
      <c r="Y229" s="642">
        <f t="shared" si="32"/>
        <v>176.4</v>
      </c>
      <c r="Z229" s="36">
        <f>IFERROR(IF(Y229=0,"",ROUNDUP(Y229/H229,0)*0.00502),"")</f>
        <v>0.42168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183.33333333333334</v>
      </c>
      <c r="BN229" s="64">
        <f t="shared" si="34"/>
        <v>184.8</v>
      </c>
      <c r="BO229" s="64">
        <f t="shared" si="35"/>
        <v>0.35612535612535612</v>
      </c>
      <c r="BP229" s="64">
        <f t="shared" si="36"/>
        <v>0.35897435897435903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104.76190476190476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106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0.55211999999999994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225</v>
      </c>
      <c r="Y234" s="643">
        <f>IFERROR(SUM(Y218:Y232),"0")</f>
        <v>228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2</v>
      </c>
      <c r="Y250" s="642">
        <f>IFERROR(IF(X250="",0,CEILING((X250/$H250),1)*$H250),"")</f>
        <v>2.52</v>
      </c>
      <c r="Z250" s="36">
        <f>IFERROR(IF(Y250=0,"",ROUNDUP(Y250/H250,0)*0.0059),"")</f>
        <v>1.18E-2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2.3015873015873014</v>
      </c>
      <c r="BN250" s="64">
        <f>IFERROR(Y250*I250/H250,"0")</f>
        <v>2.9</v>
      </c>
      <c r="BO250" s="64">
        <f>IFERROR(1/J250*(X250/H250),"0")</f>
        <v>7.3486184597295699E-3</v>
      </c>
      <c r="BP250" s="64">
        <f>IFERROR(1/J250*(Y250/H250),"0")</f>
        <v>9.2592592592592587E-3</v>
      </c>
    </row>
    <row r="251" spans="1:68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1.5873015873015872</v>
      </c>
      <c r="Y251" s="643">
        <f>IFERROR(Y248/H248,"0")+IFERROR(Y249/H249,"0")+IFERROR(Y250/H250,"0")</f>
        <v>2</v>
      </c>
      <c r="Z251" s="643">
        <f>IFERROR(IF(Z248="",0,Z248),"0")+IFERROR(IF(Z249="",0,Z249),"0")+IFERROR(IF(Z250="",0,Z250),"0")</f>
        <v>1.18E-2</v>
      </c>
      <c r="AA251" s="644"/>
      <c r="AB251" s="644"/>
      <c r="AC251" s="644"/>
    </row>
    <row r="252" spans="1:68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2</v>
      </c>
      <c r="Y252" s="643">
        <f>IFERROR(SUM(Y248:Y250),"0")</f>
        <v>2.52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3</v>
      </c>
      <c r="Y254" s="642">
        <f>IFERROR(IF(X254="",0,CEILING((X254/$H254),1)*$H254),"")</f>
        <v>3.7800000000000002</v>
      </c>
      <c r="Z254" s="36">
        <f>IFERROR(IF(Y254=0,"",ROUNDUP(Y254/H254,0)*0.0059),"")</f>
        <v>1.77E-2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3.4523809523809521</v>
      </c>
      <c r="BN254" s="64">
        <f>IFERROR(Y254*I254/H254,"0")</f>
        <v>4.3499999999999996</v>
      </c>
      <c r="BO254" s="64">
        <f>IFERROR(1/J254*(X254/H254),"0")</f>
        <v>1.1022927689594356E-2</v>
      </c>
      <c r="BP254" s="64">
        <f>IFERROR(1/J254*(Y254/H254),"0")</f>
        <v>1.3888888888888888E-2</v>
      </c>
    </row>
    <row r="255" spans="1:68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2.3809523809523809</v>
      </c>
      <c r="Y255" s="643">
        <f>IFERROR(Y254/H254,"0")</f>
        <v>3</v>
      </c>
      <c r="Z255" s="643">
        <f>IFERROR(IF(Z254="",0,Z254),"0")</f>
        <v>1.77E-2</v>
      </c>
      <c r="AA255" s="644"/>
      <c r="AB255" s="644"/>
      <c r="AC255" s="644"/>
    </row>
    <row r="256" spans="1:68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3</v>
      </c>
      <c r="Y256" s="643">
        <f>IFERROR(SUM(Y254:Y254),"0")</f>
        <v>3.7800000000000002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20</v>
      </c>
      <c r="Y269" s="642">
        <f t="shared" ref="Y269:Y276" si="43">IFERROR(IF(X269="",0,CEILING((X269/$H269),1)*$H269),"")</f>
        <v>21.6</v>
      </c>
      <c r="Z269" s="36">
        <f>IFERROR(IF(Y269=0,"",ROUNDUP(Y269/H269,0)*0.00902),"")</f>
        <v>3.6080000000000001E-2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20.703703703703702</v>
      </c>
      <c r="BN269" s="64">
        <f t="shared" ref="BN269:BN276" si="45">IFERROR(Y269*I269/H269,"0")</f>
        <v>22.36</v>
      </c>
      <c r="BO269" s="64">
        <f t="shared" ref="BO269:BO276" si="46">IFERROR(1/J269*(X269/H269),"0")</f>
        <v>2.8058361391694722E-2</v>
      </c>
      <c r="BP269" s="64">
        <f t="shared" ref="BP269:BP276" si="47">IFERROR(1/J269*(Y269/H269),"0")</f>
        <v>3.0303030303030304E-2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200</v>
      </c>
      <c r="Y271" s="642">
        <f t="shared" si="43"/>
        <v>205.20000000000002</v>
      </c>
      <c r="Z271" s="36">
        <f>IFERROR(IF(Y271=0,"",ROUNDUP(Y271/H271,0)*0.00902),"")</f>
        <v>0.34276000000000001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207.03703703703701</v>
      </c>
      <c r="BN271" s="64">
        <f t="shared" si="45"/>
        <v>212.42</v>
      </c>
      <c r="BO271" s="64">
        <f t="shared" si="46"/>
        <v>0.28058361391694725</v>
      </c>
      <c r="BP271" s="64">
        <f t="shared" si="47"/>
        <v>0.2878787878787879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100</v>
      </c>
      <c r="Y272" s="642">
        <f t="shared" si="43"/>
        <v>102.60000000000001</v>
      </c>
      <c r="Z272" s="36">
        <f>IFERROR(IF(Y272=0,"",ROUNDUP(Y272/H272,0)*0.00902),"")</f>
        <v>0.17138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103.5185185185185</v>
      </c>
      <c r="BN272" s="64">
        <f t="shared" si="45"/>
        <v>106.21</v>
      </c>
      <c r="BO272" s="64">
        <f t="shared" si="46"/>
        <v>0.14029180695847362</v>
      </c>
      <c r="BP272" s="64">
        <f t="shared" si="47"/>
        <v>0.14393939393939395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30</v>
      </c>
      <c r="Y273" s="642">
        <f t="shared" si="43"/>
        <v>30.6</v>
      </c>
      <c r="Z273" s="36">
        <f>IFERROR(IF(Y273=0,"",ROUNDUP(Y273/H273,0)*0.00502),"")</f>
        <v>8.5339999999999999E-2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32.166666666666664</v>
      </c>
      <c r="BN273" s="64">
        <f t="shared" si="45"/>
        <v>32.81</v>
      </c>
      <c r="BO273" s="64">
        <f t="shared" si="46"/>
        <v>7.122507122507124E-2</v>
      </c>
      <c r="BP273" s="64">
        <f t="shared" si="47"/>
        <v>7.2649572649572655E-2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6</v>
      </c>
      <c r="Y274" s="642">
        <f t="shared" si="43"/>
        <v>7.2</v>
      </c>
      <c r="Z274" s="36">
        <f>IFERROR(IF(Y274=0,"",ROUNDUP(Y274/H274,0)*0.00502),"")</f>
        <v>2.0080000000000001E-2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6.3333333333333321</v>
      </c>
      <c r="BN274" s="64">
        <f t="shared" si="45"/>
        <v>7.6</v>
      </c>
      <c r="BO274" s="64">
        <f t="shared" si="46"/>
        <v>1.4245014245014245E-2</v>
      </c>
      <c r="BP274" s="64">
        <f t="shared" si="47"/>
        <v>1.7094017094017096E-2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12</v>
      </c>
      <c r="Y276" s="642">
        <f t="shared" si="43"/>
        <v>12.6</v>
      </c>
      <c r="Z276" s="36">
        <f>IFERROR(IF(Y276=0,"",ROUNDUP(Y276/H276,0)*0.00502),"")</f>
        <v>3.5140000000000005E-2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12.666666666666664</v>
      </c>
      <c r="BN276" s="64">
        <f t="shared" si="45"/>
        <v>13.299999999999999</v>
      </c>
      <c r="BO276" s="64">
        <f t="shared" si="46"/>
        <v>2.8490028490028491E-2</v>
      </c>
      <c r="BP276" s="64">
        <f t="shared" si="47"/>
        <v>2.9914529914529919E-2</v>
      </c>
    </row>
    <row r="277" spans="1:68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104.44444444444444</v>
      </c>
      <c r="Y277" s="643">
        <f>IFERROR(Y269/H269,"0")+IFERROR(Y270/H270,"0")+IFERROR(Y271/H271,"0")+IFERROR(Y272/H272,"0")+IFERROR(Y273/H273,"0")+IFERROR(Y274/H274,"0")+IFERROR(Y275/H275,"0")+IFERROR(Y276/H276,"0")</f>
        <v>108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0.86216000000000004</v>
      </c>
      <c r="AA277" s="644"/>
      <c r="AB277" s="644"/>
      <c r="AC277" s="644"/>
    </row>
    <row r="278" spans="1:68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468</v>
      </c>
      <c r="Y278" s="643">
        <f>IFERROR(SUM(Y269:Y276),"0")</f>
        <v>482.40000000000009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200</v>
      </c>
      <c r="Y280" s="642">
        <f t="shared" ref="Y280:Y291" si="48">IFERROR(IF(X280="",0,CEILING((X280/$H280),1)*$H280),"")</f>
        <v>202.5</v>
      </c>
      <c r="Z280" s="36">
        <f>IFERROR(IF(Y280=0,"",ROUNDUP(Y280/H280,0)*0.01898),"")</f>
        <v>0.47450000000000003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212.19753086419755</v>
      </c>
      <c r="BN280" s="64">
        <f t="shared" ref="BN280:BN291" si="50">IFERROR(Y280*I280/H280,"0")</f>
        <v>214.85</v>
      </c>
      <c r="BO280" s="64">
        <f t="shared" ref="BO280:BO291" si="51">IFERROR(1/J280*(X280/H280),"0")</f>
        <v>0.38580246913580246</v>
      </c>
      <c r="BP280" s="64">
        <f t="shared" ref="BP280:BP291" si="52">IFERROR(1/J280*(Y280/H280),"0")</f>
        <v>0.390625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100</v>
      </c>
      <c r="Y281" s="642">
        <f t="shared" si="48"/>
        <v>105.3</v>
      </c>
      <c r="Z281" s="36">
        <f>IFERROR(IF(Y281=0,"",ROUNDUP(Y281/H281,0)*0.01898),"")</f>
        <v>0.24674000000000001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105.87654320987654</v>
      </c>
      <c r="BN281" s="64">
        <f t="shared" si="50"/>
        <v>111.48800000000001</v>
      </c>
      <c r="BO281" s="64">
        <f t="shared" si="51"/>
        <v>0.19290123456790123</v>
      </c>
      <c r="BP281" s="64">
        <f t="shared" si="52"/>
        <v>0.203125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20</v>
      </c>
      <c r="Y282" s="642">
        <f t="shared" si="48"/>
        <v>26.099999999999998</v>
      </c>
      <c r="Z282" s="36">
        <f>IFERROR(IF(Y282=0,"",ROUNDUP(Y282/H282,0)*0.01898),"")</f>
        <v>5.6940000000000004E-2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21.135632183908051</v>
      </c>
      <c r="BN282" s="64">
        <f t="shared" si="50"/>
        <v>27.582000000000004</v>
      </c>
      <c r="BO282" s="64">
        <f t="shared" si="51"/>
        <v>3.5919540229885062E-2</v>
      </c>
      <c r="BP282" s="64">
        <f t="shared" si="52"/>
        <v>4.6875E-2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200</v>
      </c>
      <c r="Y283" s="642">
        <f t="shared" si="48"/>
        <v>201.6</v>
      </c>
      <c r="Z283" s="36">
        <f>IFERROR(IF(Y283=0,"",ROUNDUP(Y283/H283,0)*0.00651),"")</f>
        <v>0.54683999999999999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222.5</v>
      </c>
      <c r="BN283" s="64">
        <f t="shared" si="50"/>
        <v>224.27999999999997</v>
      </c>
      <c r="BO283" s="64">
        <f t="shared" si="51"/>
        <v>0.45787545787545797</v>
      </c>
      <c r="BP283" s="64">
        <f t="shared" si="52"/>
        <v>0.46153846153846156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640</v>
      </c>
      <c r="Y286" s="642">
        <f t="shared" si="48"/>
        <v>640.79999999999995</v>
      </c>
      <c r="Z286" s="36">
        <f>IFERROR(IF(Y286=0,"",ROUNDUP(Y286/H286,0)*0.00651),"")</f>
        <v>1.73817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707.20000000000016</v>
      </c>
      <c r="BN286" s="64">
        <f t="shared" si="50"/>
        <v>708.08399999999995</v>
      </c>
      <c r="BO286" s="64">
        <f t="shared" si="51"/>
        <v>1.4652014652014653</v>
      </c>
      <c r="BP286" s="64">
        <f t="shared" si="52"/>
        <v>1.4670329670329672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120</v>
      </c>
      <c r="Y288" s="642">
        <f t="shared" si="48"/>
        <v>120</v>
      </c>
      <c r="Z288" s="36">
        <f>IFERROR(IF(Y288=0,"",ROUNDUP(Y288/H288,0)*0.00651),"")</f>
        <v>0.32550000000000001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132.60000000000002</v>
      </c>
      <c r="BN288" s="64">
        <f t="shared" si="50"/>
        <v>132.60000000000002</v>
      </c>
      <c r="BO288" s="64">
        <f t="shared" si="51"/>
        <v>0.27472527472527475</v>
      </c>
      <c r="BP288" s="64">
        <f t="shared" si="52"/>
        <v>0.27472527472527475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160</v>
      </c>
      <c r="Y289" s="642">
        <f t="shared" si="48"/>
        <v>160.79999999999998</v>
      </c>
      <c r="Z289" s="36">
        <f>IFERROR(IF(Y289=0,"",ROUNDUP(Y289/H289,0)*0.00651),"")</f>
        <v>0.43617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176.80000000000004</v>
      </c>
      <c r="BN289" s="64">
        <f t="shared" si="50"/>
        <v>177.684</v>
      </c>
      <c r="BO289" s="64">
        <f t="shared" si="51"/>
        <v>0.36630036630036633</v>
      </c>
      <c r="BP289" s="64">
        <f t="shared" si="52"/>
        <v>0.36813186813186816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110</v>
      </c>
      <c r="Y290" s="642">
        <f t="shared" si="48"/>
        <v>110.39999999999999</v>
      </c>
      <c r="Z290" s="36">
        <f>IFERROR(IF(Y290=0,"",ROUNDUP(Y290/H290,0)*0.00651),"")</f>
        <v>0.29946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121.825</v>
      </c>
      <c r="BN290" s="64">
        <f t="shared" si="50"/>
        <v>122.268</v>
      </c>
      <c r="BO290" s="64">
        <f t="shared" si="51"/>
        <v>0.25183150183150188</v>
      </c>
      <c r="BP290" s="64">
        <f t="shared" si="52"/>
        <v>0.25274725274725279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551.83588761174974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555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4.12432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1550</v>
      </c>
      <c r="Y293" s="643">
        <f>IFERROR(SUM(Y280:Y291),"0")</f>
        <v>1567.5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16</v>
      </c>
      <c r="Y296" s="642">
        <f>IFERROR(IF(X296="",0,CEILING((X296/$H296),1)*$H296),"")</f>
        <v>16.8</v>
      </c>
      <c r="Z296" s="36">
        <f>IFERROR(IF(Y296=0,"",ROUNDUP(Y296/H296,0)*0.00651),"")</f>
        <v>4.5569999999999999E-2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17.680000000000003</v>
      </c>
      <c r="BN296" s="64">
        <f>IFERROR(Y296*I296/H296,"0")</f>
        <v>18.564000000000004</v>
      </c>
      <c r="BO296" s="64">
        <f>IFERROR(1/J296*(X296/H296),"0")</f>
        <v>3.6630036630036632E-2</v>
      </c>
      <c r="BP296" s="64">
        <f>IFERROR(1/J296*(Y296/H296),"0")</f>
        <v>3.8461538461538471E-2</v>
      </c>
    </row>
    <row r="297" spans="1:68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6.666666666666667</v>
      </c>
      <c r="Y297" s="643">
        <f>IFERROR(Y295/H295,"0")+IFERROR(Y296/H296,"0")</f>
        <v>7.0000000000000009</v>
      </c>
      <c r="Z297" s="643">
        <f>IFERROR(IF(Z295="",0,Z295),"0")+IFERROR(IF(Z296="",0,Z296),"0")</f>
        <v>4.5569999999999999E-2</v>
      </c>
      <c r="AA297" s="644"/>
      <c r="AB297" s="644"/>
      <c r="AC297" s="644"/>
    </row>
    <row r="298" spans="1:68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16</v>
      </c>
      <c r="Y298" s="643">
        <f>IFERROR(SUM(Y295:Y296),"0")</f>
        <v>16.8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5</v>
      </c>
      <c r="Y315" s="642">
        <f>IFERROR(IF(X315="",0,CEILING((X315/$H315),1)*$H315),"")</f>
        <v>5.4</v>
      </c>
      <c r="Z315" s="36">
        <f>IFERROR(IF(Y315=0,"",ROUNDUP(Y315/H315,0)*0.0059),"")</f>
        <v>1.77E-2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5.4861111111111107</v>
      </c>
      <c r="BN315" s="64">
        <f>IFERROR(Y315*I315/H315,"0")</f>
        <v>5.9250000000000007</v>
      </c>
      <c r="BO315" s="64">
        <f>IFERROR(1/J315*(X315/H315),"0")</f>
        <v>1.2860082304526748E-2</v>
      </c>
      <c r="BP315" s="64">
        <f>IFERROR(1/J315*(Y315/H315),"0")</f>
        <v>1.3888888888888888E-2</v>
      </c>
    </row>
    <row r="316" spans="1:68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2.7777777777777777</v>
      </c>
      <c r="Y316" s="643">
        <f>IFERROR(Y315/H315,"0")</f>
        <v>3</v>
      </c>
      <c r="Z316" s="643">
        <f>IFERROR(IF(Z315="",0,Z315),"0")</f>
        <v>1.77E-2</v>
      </c>
      <c r="AA316" s="644"/>
      <c r="AB316" s="644"/>
      <c r="AC316" s="644"/>
    </row>
    <row r="317" spans="1:68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5</v>
      </c>
      <c r="Y317" s="643">
        <f>IFERROR(SUM(Y315:Y315),"0")</f>
        <v>5.4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60</v>
      </c>
      <c r="Y336" s="642">
        <f>IFERROR(IF(X336="",0,CEILING((X336/$H336),1)*$H336),"")</f>
        <v>60</v>
      </c>
      <c r="Z336" s="36">
        <f>IFERROR(IF(Y336=0,"",ROUNDUP(Y336/H336,0)*0.00651),"")</f>
        <v>0.16275000000000001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66.300000000000011</v>
      </c>
      <c r="BN336" s="64">
        <f>IFERROR(Y336*I336/H336,"0")</f>
        <v>66.300000000000011</v>
      </c>
      <c r="BO336" s="64">
        <f>IFERROR(1/J336*(X336/H336),"0")</f>
        <v>0.13736263736263737</v>
      </c>
      <c r="BP336" s="64">
        <f>IFERROR(1/J336*(Y336/H336),"0")</f>
        <v>0.13736263736263737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40</v>
      </c>
      <c r="Y337" s="642">
        <f>IFERROR(IF(X337="",0,CEILING((X337/$H337),1)*$H337),"")</f>
        <v>40.799999999999997</v>
      </c>
      <c r="Z337" s="36">
        <f>IFERROR(IF(Y337=0,"",ROUNDUP(Y337/H337,0)*0.00651),"")</f>
        <v>0.11067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43</v>
      </c>
      <c r="BN337" s="64">
        <f>IFERROR(Y337*I337/H337,"0")</f>
        <v>43.86</v>
      </c>
      <c r="BO337" s="64">
        <f>IFERROR(1/J337*(X337/H337),"0")</f>
        <v>9.1575091575091583E-2</v>
      </c>
      <c r="BP337" s="64">
        <f>IFERROR(1/J337*(Y337/H337),"0")</f>
        <v>9.3406593406593408E-2</v>
      </c>
    </row>
    <row r="338" spans="1:68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41.666666666666671</v>
      </c>
      <c r="Y338" s="643">
        <f>IFERROR(Y335/H335,"0")+IFERROR(Y336/H336,"0")+IFERROR(Y337/H337,"0")</f>
        <v>42</v>
      </c>
      <c r="Z338" s="643">
        <f>IFERROR(IF(Z335="",0,Z335),"0")+IFERROR(IF(Z336="",0,Z336),"0")+IFERROR(IF(Z337="",0,Z337),"0")</f>
        <v>0.27342</v>
      </c>
      <c r="AA338" s="644"/>
      <c r="AB338" s="644"/>
      <c r="AC338" s="644"/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100</v>
      </c>
      <c r="Y339" s="643">
        <f>IFERROR(SUM(Y335:Y337),"0")</f>
        <v>100.8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214</v>
      </c>
      <c r="Y356" s="642">
        <f>IFERROR(IF(X356="",0,CEILING((X356/$H356),1)*$H356),"")</f>
        <v>218.4</v>
      </c>
      <c r="Z356" s="36">
        <f>IFERROR(IF(Y356=0,"",ROUNDUP(Y356/H356,0)*0.01898),"")</f>
        <v>0.53144000000000002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225.248717948718</v>
      </c>
      <c r="BN356" s="64">
        <f>IFERROR(Y356*I356/H356,"0")</f>
        <v>229.88000000000005</v>
      </c>
      <c r="BO356" s="64">
        <f>IFERROR(1/J356*(X356/H356),"0")</f>
        <v>0.42868589743589747</v>
      </c>
      <c r="BP356" s="64">
        <f>IFERROR(1/J356*(Y356/H356),"0")</f>
        <v>0.4375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275</v>
      </c>
      <c r="Y357" s="642">
        <f>IFERROR(IF(X357="",0,CEILING((X357/$H357),1)*$H357),"")</f>
        <v>280.8</v>
      </c>
      <c r="Z357" s="36">
        <f>IFERROR(IF(Y357=0,"",ROUNDUP(Y357/H357,0)*0.01898),"")</f>
        <v>0.68328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289.45512820512829</v>
      </c>
      <c r="BN357" s="64">
        <f>IFERROR(Y357*I357/H357,"0")</f>
        <v>295.56000000000006</v>
      </c>
      <c r="BO357" s="64">
        <f>IFERROR(1/J357*(X357/H357),"0")</f>
        <v>0.55088141025641024</v>
      </c>
      <c r="BP357" s="64">
        <f>IFERROR(1/J357*(Y357/H357),"0")</f>
        <v>0.5625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171</v>
      </c>
      <c r="Y358" s="642">
        <f>IFERROR(IF(X358="",0,CEILING((X358/$H358),1)*$H358),"")</f>
        <v>171.6</v>
      </c>
      <c r="Z358" s="36">
        <f>IFERROR(IF(Y358=0,"",ROUNDUP(Y358/H358,0)*0.01898),"")</f>
        <v>0.41755999999999999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179.98846153846156</v>
      </c>
      <c r="BN358" s="64">
        <f>IFERROR(Y358*I358/H358,"0")</f>
        <v>180.62</v>
      </c>
      <c r="BO358" s="64">
        <f>IFERROR(1/J358*(X358/H358),"0")</f>
        <v>0.34254807692307693</v>
      </c>
      <c r="BP358" s="64">
        <f>IFERROR(1/J358*(Y358/H358),"0")</f>
        <v>0.34375</v>
      </c>
    </row>
    <row r="359" spans="1:68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84.615384615384613</v>
      </c>
      <c r="Y359" s="643">
        <f>IFERROR(Y356/H356,"0")+IFERROR(Y357/H357,"0")+IFERROR(Y358/H358,"0")</f>
        <v>86</v>
      </c>
      <c r="Z359" s="643">
        <f>IFERROR(IF(Z356="",0,Z356),"0")+IFERROR(IF(Z357="",0,Z357),"0")+IFERROR(IF(Z358="",0,Z358),"0")</f>
        <v>1.63228</v>
      </c>
      <c r="AA359" s="644"/>
      <c r="AB359" s="644"/>
      <c r="AC359" s="644"/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660</v>
      </c>
      <c r="Y360" s="643">
        <f>IFERROR(SUM(Y356:Y358),"0")</f>
        <v>670.80000000000007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15</v>
      </c>
      <c r="Y378" s="642">
        <f t="shared" si="63"/>
        <v>16.2</v>
      </c>
      <c r="Z378" s="36">
        <f>IFERROR(IF(Y378=0,"",ROUNDUP(Y378/H378,0)*0.00651),"")</f>
        <v>5.8590000000000003E-2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16.900000000000002</v>
      </c>
      <c r="BN378" s="64">
        <f t="shared" si="65"/>
        <v>18.251999999999999</v>
      </c>
      <c r="BO378" s="64">
        <f t="shared" si="66"/>
        <v>4.5787545787545791E-2</v>
      </c>
      <c r="BP378" s="64">
        <f t="shared" si="67"/>
        <v>4.9450549450549455E-2</v>
      </c>
    </row>
    <row r="379" spans="1:68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8.3333333333333339</v>
      </c>
      <c r="Y379" s="643">
        <f>IFERROR(Y372/H372,"0")+IFERROR(Y373/H373,"0")+IFERROR(Y374/H374,"0")+IFERROR(Y375/H375,"0")+IFERROR(Y376/H376,"0")+IFERROR(Y377/H377,"0")+IFERROR(Y378/H378,"0")</f>
        <v>9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5.8590000000000003E-2</v>
      </c>
      <c r="AA379" s="644"/>
      <c r="AB379" s="644"/>
      <c r="AC379" s="644"/>
    </row>
    <row r="380" spans="1:68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15</v>
      </c>
      <c r="Y380" s="643">
        <f>IFERROR(SUM(Y372:Y378),"0")</f>
        <v>16.2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50</v>
      </c>
      <c r="Y389" s="642">
        <f>IFERROR(IF(X389="",0,CEILING((X389/$H389),1)*$H389),"")</f>
        <v>50.400000000000006</v>
      </c>
      <c r="Z389" s="36">
        <f>IFERROR(IF(Y389=0,"",ROUNDUP(Y389/H389,0)*0.01898),"")</f>
        <v>0.11388000000000001</v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52.94047619047619</v>
      </c>
      <c r="BN389" s="64">
        <f>IFERROR(Y389*I389/H389,"0")</f>
        <v>53.364000000000004</v>
      </c>
      <c r="BO389" s="64">
        <f>IFERROR(1/J389*(X389/H389),"0")</f>
        <v>9.3005952380952384E-2</v>
      </c>
      <c r="BP389" s="64">
        <f>IFERROR(1/J389*(Y389/H389),"0")</f>
        <v>9.375E-2</v>
      </c>
    </row>
    <row r="390" spans="1:68" ht="27" hidden="1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5.9523809523809526</v>
      </c>
      <c r="Y392" s="643">
        <f>IFERROR(Y389/H389,"0")+IFERROR(Y390/H390,"0")+IFERROR(Y391/H391,"0")</f>
        <v>6</v>
      </c>
      <c r="Z392" s="643">
        <f>IFERROR(IF(Z389="",0,Z389),"0")+IFERROR(IF(Z390="",0,Z390),"0")+IFERROR(IF(Z391="",0,Z391),"0")</f>
        <v>0.11388000000000001</v>
      </c>
      <c r="AA392" s="644"/>
      <c r="AB392" s="644"/>
      <c r="AC392" s="644"/>
    </row>
    <row r="393" spans="1:68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50</v>
      </c>
      <c r="Y393" s="643">
        <f>IFERROR(SUM(Y389:Y391),"0")</f>
        <v>50.400000000000006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0</v>
      </c>
      <c r="Y399" s="643">
        <f>IFERROR(Y395/H395,"0")+IFERROR(Y396/H396,"0")+IFERROR(Y397/H397,"0")+IFERROR(Y398/H398,"0")</f>
        <v>0</v>
      </c>
      <c r="Z399" s="643">
        <f>IFERROR(IF(Z395="",0,Z395),"0")+IFERROR(IF(Z396="",0,Z396),"0")+IFERROR(IF(Z397="",0,Z397),"0")+IFERROR(IF(Z398="",0,Z398),"0")</f>
        <v>0</v>
      </c>
      <c r="AA399" s="644"/>
      <c r="AB399" s="644"/>
      <c r="AC399" s="644"/>
    </row>
    <row r="400" spans="1:68" hidden="1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0</v>
      </c>
      <c r="Y400" s="643">
        <f>IFERROR(SUM(Y395:Y398),"0")</f>
        <v>0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24</v>
      </c>
      <c r="Y402" s="642">
        <f>IFERROR(IF(X402="",0,CEILING((X402/$H402),1)*$H402),"")</f>
        <v>24</v>
      </c>
      <c r="Z402" s="36">
        <f>IFERROR(IF(Y402=0,"",ROUNDUP(Y402/H402,0)*0.00474),"")</f>
        <v>5.688E-2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26.880000000000003</v>
      </c>
      <c r="BN402" s="64">
        <f>IFERROR(Y402*I402/H402,"0")</f>
        <v>26.880000000000003</v>
      </c>
      <c r="BO402" s="64">
        <f>IFERROR(1/J402*(X402/H402),"0")</f>
        <v>5.0420168067226892E-2</v>
      </c>
      <c r="BP402" s="64">
        <f>IFERROR(1/J402*(Y402/H402),"0")</f>
        <v>5.0420168067226892E-2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18</v>
      </c>
      <c r="Y404" s="642">
        <f>IFERROR(IF(X404="",0,CEILING((X404/$H404),1)*$H404),"")</f>
        <v>18</v>
      </c>
      <c r="Z404" s="36">
        <f>IFERROR(IF(Y404=0,"",ROUNDUP(Y404/H404,0)*0.00474),"")</f>
        <v>4.2660000000000003E-2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20.160000000000004</v>
      </c>
      <c r="BN404" s="64">
        <f>IFERROR(Y404*I404/H404,"0")</f>
        <v>20.160000000000004</v>
      </c>
      <c r="BO404" s="64">
        <f>IFERROR(1/J404*(X404/H404),"0")</f>
        <v>3.7815126050420166E-2</v>
      </c>
      <c r="BP404" s="64">
        <f>IFERROR(1/J404*(Y404/H404),"0")</f>
        <v>3.7815126050420166E-2</v>
      </c>
    </row>
    <row r="405" spans="1:68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21</v>
      </c>
      <c r="Y405" s="643">
        <f>IFERROR(Y402/H402,"0")+IFERROR(Y403/H403,"0")+IFERROR(Y404/H404,"0")</f>
        <v>21</v>
      </c>
      <c r="Z405" s="643">
        <f>IFERROR(IF(Z402="",0,Z402),"0")+IFERROR(IF(Z403="",0,Z403),"0")+IFERROR(IF(Z404="",0,Z404),"0")</f>
        <v>9.9540000000000003E-2</v>
      </c>
      <c r="AA405" s="644"/>
      <c r="AB405" s="644"/>
      <c r="AC405" s="644"/>
    </row>
    <row r="406" spans="1:68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42</v>
      </c>
      <c r="Y406" s="643">
        <f>IFERROR(SUM(Y402:Y404),"0")</f>
        <v>42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18</v>
      </c>
      <c r="Y422" s="642">
        <f>IFERROR(IF(X422="",0,CEILING((X422/$H422),1)*$H422),"")</f>
        <v>18.900000000000002</v>
      </c>
      <c r="Z422" s="36">
        <f>IFERROR(IF(Y422=0,"",ROUNDUP(Y422/H422,0)*0.00651),"")</f>
        <v>5.8590000000000003E-2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20.16</v>
      </c>
      <c r="BN422" s="64">
        <f>IFERROR(Y422*I422/H422,"0")</f>
        <v>21.167999999999999</v>
      </c>
      <c r="BO422" s="64">
        <f>IFERROR(1/J422*(X422/H422),"0")</f>
        <v>4.709576138147567E-2</v>
      </c>
      <c r="BP422" s="64">
        <f>IFERROR(1/J422*(Y422/H422),"0")</f>
        <v>4.9450549450549455E-2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18</v>
      </c>
      <c r="Y423" s="642">
        <f>IFERROR(IF(X423="",0,CEILING((X423/$H423),1)*$H423),"")</f>
        <v>18.900000000000002</v>
      </c>
      <c r="Z423" s="36">
        <f>IFERROR(IF(Y423=0,"",ROUNDUP(Y423/H423,0)*0.00651),"")</f>
        <v>5.8590000000000003E-2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20.057142857142853</v>
      </c>
      <c r="BN423" s="64">
        <f>IFERROR(Y423*I423/H423,"0")</f>
        <v>21.06</v>
      </c>
      <c r="BO423" s="64">
        <f>IFERROR(1/J423*(X423/H423),"0")</f>
        <v>4.709576138147567E-2</v>
      </c>
      <c r="BP423" s="64">
        <f>IFERROR(1/J423*(Y423/H423),"0")</f>
        <v>4.9450549450549455E-2</v>
      </c>
    </row>
    <row r="424" spans="1:68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17.142857142857142</v>
      </c>
      <c r="Y424" s="643">
        <f>IFERROR(Y421/H421,"0")+IFERROR(Y422/H422,"0")+IFERROR(Y423/H423,"0")</f>
        <v>18</v>
      </c>
      <c r="Z424" s="643">
        <f>IFERROR(IF(Z421="",0,Z421),"0")+IFERROR(IF(Z422="",0,Z422),"0")+IFERROR(IF(Z423="",0,Z423),"0")</f>
        <v>0.11718000000000001</v>
      </c>
      <c r="AA424" s="644"/>
      <c r="AB424" s="644"/>
      <c r="AC424" s="644"/>
    </row>
    <row r="425" spans="1:68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36</v>
      </c>
      <c r="Y425" s="643">
        <f>IFERROR(SUM(Y421:Y423),"0")</f>
        <v>37.800000000000004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1420</v>
      </c>
      <c r="Y430" s="642">
        <f t="shared" si="68"/>
        <v>1425</v>
      </c>
      <c r="Z430" s="36">
        <f>IFERROR(IF(Y430=0,"",ROUNDUP(Y430/H430,0)*0.02175),"")</f>
        <v>2.0662499999999997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1464.4933333333333</v>
      </c>
      <c r="BN430" s="64">
        <f t="shared" si="70"/>
        <v>1469.65</v>
      </c>
      <c r="BO430" s="64">
        <f t="shared" si="71"/>
        <v>1.9722222222222223</v>
      </c>
      <c r="BP430" s="64">
        <f t="shared" si="72"/>
        <v>1.9791666666666665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1431</v>
      </c>
      <c r="Y431" s="642">
        <f t="shared" si="68"/>
        <v>1440</v>
      </c>
      <c r="Z431" s="36">
        <f>IFERROR(IF(Y431=0,"",ROUNDUP(Y431/H431,0)*0.02175),"")</f>
        <v>2.0880000000000001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1475.838</v>
      </c>
      <c r="BN431" s="64">
        <f t="shared" si="70"/>
        <v>1485.12</v>
      </c>
      <c r="BO431" s="64">
        <f t="shared" si="71"/>
        <v>1.9875</v>
      </c>
      <c r="BP431" s="64">
        <f t="shared" si="72"/>
        <v>2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1214</v>
      </c>
      <c r="Y432" s="642">
        <f t="shared" si="68"/>
        <v>1215</v>
      </c>
      <c r="Z432" s="36">
        <f>IFERROR(IF(Y432=0,"",ROUNDUP(Y432/H432,0)*0.02175),"")</f>
        <v>1.7617499999999999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1252.0386666666668</v>
      </c>
      <c r="BN432" s="64">
        <f t="shared" si="70"/>
        <v>1253.07</v>
      </c>
      <c r="BO432" s="64">
        <f t="shared" si="71"/>
        <v>1.6861111111111111</v>
      </c>
      <c r="BP432" s="64">
        <f t="shared" si="72"/>
        <v>1.6875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887</v>
      </c>
      <c r="Y433" s="642">
        <f t="shared" si="68"/>
        <v>900</v>
      </c>
      <c r="Z433" s="36">
        <f>IFERROR(IF(Y433=0,"",ROUNDUP(Y433/H433,0)*0.02175),"")</f>
        <v>1.3049999999999999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914.79266666666672</v>
      </c>
      <c r="BN433" s="64">
        <f t="shared" si="70"/>
        <v>928.2</v>
      </c>
      <c r="BO433" s="64">
        <f t="shared" si="71"/>
        <v>1.2319444444444443</v>
      </c>
      <c r="BP433" s="64">
        <f t="shared" si="72"/>
        <v>1.25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330.13333333333333</v>
      </c>
      <c r="Y437" s="643">
        <f>IFERROR(Y429/H429,"0")+IFERROR(Y430/H430,"0")+IFERROR(Y431/H431,"0")+IFERROR(Y432/H432,"0")+IFERROR(Y433/H433,"0")+IFERROR(Y434/H434,"0")+IFERROR(Y435/H435,"0")+IFERROR(Y436/H436,"0")</f>
        <v>332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7.2209999999999992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4952</v>
      </c>
      <c r="Y438" s="643">
        <f>IFERROR(SUM(Y429:Y436),"0")</f>
        <v>4980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1720</v>
      </c>
      <c r="Y440" s="642">
        <f>IFERROR(IF(X440="",0,CEILING((X440/$H440),1)*$H440),"")</f>
        <v>1725</v>
      </c>
      <c r="Z440" s="36">
        <f>IFERROR(IF(Y440=0,"",ROUNDUP(Y440/H440,0)*0.02175),"")</f>
        <v>2.5012499999999998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1773.8933333333334</v>
      </c>
      <c r="BN440" s="64">
        <f>IFERROR(Y440*I440/H440,"0")</f>
        <v>1779.05</v>
      </c>
      <c r="BO440" s="64">
        <f>IFERROR(1/J440*(X440/H440),"0")</f>
        <v>2.3888888888888888</v>
      </c>
      <c r="BP440" s="64">
        <f>IFERROR(1/J440*(Y440/H440),"0")</f>
        <v>2.395833333333333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114.66666666666667</v>
      </c>
      <c r="Y443" s="643">
        <f>IFERROR(Y440/H440,"0")+IFERROR(Y441/H441,"0")+IFERROR(Y442/H442,"0")</f>
        <v>115</v>
      </c>
      <c r="Z443" s="643">
        <f>IFERROR(IF(Z440="",0,Z440),"0")+IFERROR(IF(Z441="",0,Z441),"0")+IFERROR(IF(Z442="",0,Z442),"0")</f>
        <v>2.5012499999999998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1720</v>
      </c>
      <c r="Y444" s="643">
        <f>IFERROR(SUM(Y440:Y442),"0")</f>
        <v>1725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50</v>
      </c>
      <c r="Y453" s="642">
        <f>IFERROR(IF(X453="",0,CEILING((X453/$H453),1)*$H453),"")</f>
        <v>54</v>
      </c>
      <c r="Z453" s="36">
        <f>IFERROR(IF(Y453=0,"",ROUNDUP(Y453/H453,0)*0.01898),"")</f>
        <v>0.11388000000000001</v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52.74444444444444</v>
      </c>
      <c r="BN453" s="64">
        <f>IFERROR(Y453*I453/H453,"0")</f>
        <v>56.963999999999992</v>
      </c>
      <c r="BO453" s="64">
        <f>IFERROR(1/J453*(X453/H453),"0")</f>
        <v>8.6805555555555552E-2</v>
      </c>
      <c r="BP453" s="64">
        <f>IFERROR(1/J453*(Y453/H453),"0")</f>
        <v>9.375E-2</v>
      </c>
    </row>
    <row r="454" spans="1:68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5.5555555555555554</v>
      </c>
      <c r="Y454" s="643">
        <f>IFERROR(Y452/H452,"0")+IFERROR(Y453/H453,"0")</f>
        <v>6</v>
      </c>
      <c r="Z454" s="643">
        <f>IFERROR(IF(Z452="",0,Z452),"0")+IFERROR(IF(Z453="",0,Z453),"0")</f>
        <v>0.11388000000000001</v>
      </c>
      <c r="AA454" s="644"/>
      <c r="AB454" s="644"/>
      <c r="AC454" s="644"/>
    </row>
    <row r="455" spans="1:68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50</v>
      </c>
      <c r="Y455" s="643">
        <f>IFERROR(SUM(Y452:Y453),"0")</f>
        <v>54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500</v>
      </c>
      <c r="Y467" s="642">
        <f>IFERROR(IF(X467="",0,CEILING((X467/$H467),1)*$H467),"")</f>
        <v>504</v>
      </c>
      <c r="Z467" s="36">
        <f>IFERROR(IF(Y467=0,"",ROUNDUP(Y467/H467,0)*0.01898),"")</f>
        <v>1.06288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527.44444444444446</v>
      </c>
      <c r="BN467" s="64">
        <f>IFERROR(Y467*I467/H467,"0")</f>
        <v>531.66399999999999</v>
      </c>
      <c r="BO467" s="64">
        <f>IFERROR(1/J467*(X467/H467),"0")</f>
        <v>0.86805555555555558</v>
      </c>
      <c r="BP467" s="64">
        <f>IFERROR(1/J467*(Y467/H467),"0")</f>
        <v>0.875</v>
      </c>
    </row>
    <row r="468" spans="1:68" ht="27" hidden="1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55.555555555555557</v>
      </c>
      <c r="Y470" s="643">
        <f>IFERROR(Y467/H467,"0")+IFERROR(Y468/H468,"0")+IFERROR(Y469/H469,"0")</f>
        <v>56</v>
      </c>
      <c r="Z470" s="643">
        <f>IFERROR(IF(Z467="",0,Z467),"0")+IFERROR(IF(Z468="",0,Z468),"0")+IFERROR(IF(Z469="",0,Z469),"0")</f>
        <v>1.06288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500</v>
      </c>
      <c r="Y471" s="643">
        <f>IFERROR(SUM(Y467:Y469),"0")</f>
        <v>504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4</v>
      </c>
      <c r="Y504" s="642">
        <f t="shared" si="78"/>
        <v>5.28</v>
      </c>
      <c r="Z504" s="36">
        <f t="shared" si="79"/>
        <v>1.196E-2</v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4.2651515151515147</v>
      </c>
      <c r="BN504" s="64">
        <f t="shared" si="81"/>
        <v>5.63</v>
      </c>
      <c r="BO504" s="64">
        <f t="shared" si="82"/>
        <v>7.2843822843822849E-3</v>
      </c>
      <c r="BP504" s="64">
        <f t="shared" si="83"/>
        <v>9.6153846153846159E-3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337</v>
      </c>
      <c r="Y505" s="642">
        <f t="shared" si="78"/>
        <v>337.92</v>
      </c>
      <c r="Z505" s="36">
        <f t="shared" si="79"/>
        <v>0.76544000000000001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359.33901515151513</v>
      </c>
      <c r="BN505" s="64">
        <f t="shared" si="81"/>
        <v>360.32</v>
      </c>
      <c r="BO505" s="64">
        <f t="shared" si="82"/>
        <v>0.61370920745920743</v>
      </c>
      <c r="BP505" s="64">
        <f t="shared" si="83"/>
        <v>0.61538461538461542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520</v>
      </c>
      <c r="Y507" s="642">
        <f t="shared" si="78"/>
        <v>522.72</v>
      </c>
      <c r="Z507" s="36">
        <f t="shared" si="79"/>
        <v>1.18404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554.46969696969688</v>
      </c>
      <c r="BN507" s="64">
        <f t="shared" si="81"/>
        <v>557.37</v>
      </c>
      <c r="BO507" s="64">
        <f t="shared" si="82"/>
        <v>0.94696969696969702</v>
      </c>
      <c r="BP507" s="64">
        <f t="shared" si="83"/>
        <v>0.95192307692307698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163.06818181818181</v>
      </c>
      <c r="Y511" s="643">
        <f>IFERROR(Y502/H502,"0")+IFERROR(Y503/H503,"0")+IFERROR(Y504/H504,"0")+IFERROR(Y505/H505,"0")+IFERROR(Y506/H506,"0")+IFERROR(Y507/H507,"0")+IFERROR(Y508/H508,"0")+IFERROR(Y509/H509,"0")+IFERROR(Y510/H510,"0")</f>
        <v>164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1.9614400000000001</v>
      </c>
      <c r="AA511" s="644"/>
      <c r="AB511" s="644"/>
      <c r="AC511" s="644"/>
    </row>
    <row r="512" spans="1:68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861</v>
      </c>
      <c r="Y512" s="643">
        <f>IFERROR(SUM(Y502:Y510),"0")</f>
        <v>865.92000000000007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hidden="1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0</v>
      </c>
      <c r="Y514" s="642">
        <f>IFERROR(IF(X514="",0,CEILING((X514/$H514),1)*$H514),"")</f>
        <v>0</v>
      </c>
      <c r="Z514" s="36" t="str">
        <f>IFERROR(IF(Y514=0,"",ROUNDUP(Y514/H514,0)*0.01196),"")</f>
        <v/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0</v>
      </c>
      <c r="BN514" s="64">
        <f>IFERROR(Y514*I514/H514,"0")</f>
        <v>0</v>
      </c>
      <c r="BO514" s="64">
        <f>IFERROR(1/J514*(X514/H514),"0")</f>
        <v>0</v>
      </c>
      <c r="BP514" s="64">
        <f>IFERROR(1/J514*(Y514/H514),"0")</f>
        <v>0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0</v>
      </c>
      <c r="Y517" s="643">
        <f>IFERROR(Y514/H514,"0")+IFERROR(Y515/H515,"0")+IFERROR(Y516/H516,"0")</f>
        <v>0</v>
      </c>
      <c r="Z517" s="643">
        <f>IFERROR(IF(Z514="",0,Z514),"0")+IFERROR(IF(Z515="",0,Z515),"0")+IFERROR(IF(Z516="",0,Z516),"0")</f>
        <v>0</v>
      </c>
      <c r="AA517" s="644"/>
      <c r="AB517" s="644"/>
      <c r="AC517" s="644"/>
    </row>
    <row r="518" spans="1:68" hidden="1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0</v>
      </c>
      <c r="Y518" s="643">
        <f>IFERROR(SUM(Y514:Y516),"0")</f>
        <v>0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200</v>
      </c>
      <c r="Y521" s="642">
        <f t="shared" si="84"/>
        <v>200.64000000000001</v>
      </c>
      <c r="Z521" s="36">
        <f>IFERROR(IF(Y521=0,"",ROUNDUP(Y521/H521,0)*0.01196),"")</f>
        <v>0.45448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213.25757575757575</v>
      </c>
      <c r="BN521" s="64">
        <f t="shared" si="86"/>
        <v>213.94</v>
      </c>
      <c r="BO521" s="64">
        <f t="shared" si="87"/>
        <v>0.36421911421911418</v>
      </c>
      <c r="BP521" s="64">
        <f t="shared" si="88"/>
        <v>0.36538461538461542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150</v>
      </c>
      <c r="Y522" s="642">
        <f t="shared" si="84"/>
        <v>153.12</v>
      </c>
      <c r="Z522" s="36">
        <f>IFERROR(IF(Y522=0,"",ROUNDUP(Y522/H522,0)*0.01196),"")</f>
        <v>0.34683999999999998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159.94318181818181</v>
      </c>
      <c r="BN522" s="64">
        <f t="shared" si="86"/>
        <v>163.26999999999998</v>
      </c>
      <c r="BO522" s="64">
        <f t="shared" si="87"/>
        <v>0.27316433566433568</v>
      </c>
      <c r="BP522" s="64">
        <f t="shared" si="88"/>
        <v>0.27884615384615385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66.287878787878782</v>
      </c>
      <c r="Y527" s="643">
        <f>IFERROR(Y520/H520,"0")+IFERROR(Y521/H521,"0")+IFERROR(Y522/H522,"0")+IFERROR(Y523/H523,"0")+IFERROR(Y524/H524,"0")+IFERROR(Y525/H525,"0")+IFERROR(Y526/H526,"0")</f>
        <v>67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0.80132000000000003</v>
      </c>
      <c r="AA527" s="644"/>
      <c r="AB527" s="644"/>
      <c r="AC527" s="644"/>
    </row>
    <row r="528" spans="1:68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350</v>
      </c>
      <c r="Y528" s="643">
        <f>IFERROR(SUM(Y520:Y526),"0")</f>
        <v>353.76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20</v>
      </c>
      <c r="Y544" s="642">
        <f>IFERROR(IF(X544="",0,CEILING((X544/$H544),1)*$H544),"")</f>
        <v>27</v>
      </c>
      <c r="Z544" s="36">
        <f>IFERROR(IF(Y544=0,"",ROUNDUP(Y544/H544,0)*0.01898),"")</f>
        <v>5.6940000000000004E-2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21.097777777777779</v>
      </c>
      <c r="BN544" s="64">
        <f>IFERROR(Y544*I544/H544,"0")</f>
        <v>28.481999999999996</v>
      </c>
      <c r="BO544" s="64">
        <f>IFERROR(1/J544*(X544/H544),"0")</f>
        <v>3.4722222222222224E-2</v>
      </c>
      <c r="BP544" s="64">
        <f>IFERROR(1/J544*(Y544/H544),"0")</f>
        <v>4.6875E-2</v>
      </c>
    </row>
    <row r="545" spans="1:68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2.2222222222222223</v>
      </c>
      <c r="Y545" s="643">
        <f>IFERROR(Y544/H544,"0")</f>
        <v>3</v>
      </c>
      <c r="Z545" s="643">
        <f>IFERROR(IF(Z544="",0,Z544),"0")</f>
        <v>5.6940000000000004E-2</v>
      </c>
      <c r="AA545" s="644"/>
      <c r="AB545" s="644"/>
      <c r="AC545" s="644"/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20</v>
      </c>
      <c r="Y546" s="643">
        <f>IFERROR(SUM(Y544:Y544),"0")</f>
        <v>27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17265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17410.560000000001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18094.158655743428</v>
      </c>
      <c r="Y559" s="643">
        <f>IFERROR(SUM(BN22:BN555),"0")</f>
        <v>18247.323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29</v>
      </c>
      <c r="Y560" s="38">
        <f>ROUNDUP(SUM(BP22:BP555),0)</f>
        <v>29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18819.158655743428</v>
      </c>
      <c r="Y561" s="643">
        <f>GrossWeightTotalR+PalletQtyTotalR*25</f>
        <v>18972.323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2446.6223973482597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2472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32.945340000000002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2144.8000000000002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695.4</v>
      </c>
      <c r="F568" s="46">
        <f>IFERROR(Y85*1,"0")+IFERROR(Y86*1,"0")+IFERROR(Y87*1,"0")+IFERROR(Y88*1,"0")+IFERROR(Y89*1,"0")+IFERROR(Y90*1,"0")+IFERROR(Y94*1,"0")+IFERROR(Y95*1,"0")+IFERROR(Y96*1,"0")+IFERROR(Y97*1,"0")</f>
        <v>930.59999999999991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1666</v>
      </c>
      <c r="H568" s="46">
        <f>IFERROR(Y131*1,"0")+IFERROR(Y132*1,"0")+IFERROR(Y136*1,"0")+IFERROR(Y137*1,"0")+IFERROR(Y141*1,"0")+IFERROR(Y142*1,"0")</f>
        <v>0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239.68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234.3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2066.7000000000003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5.4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100.8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670.80000000000007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108.60000000000001</v>
      </c>
      <c r="U568" s="46">
        <f>IFERROR(Y415*1,"0")+IFERROR(Y416*1,"0")</f>
        <v>0</v>
      </c>
      <c r="V568" s="46">
        <f>IFERROR(Y421*1,"0")+IFERROR(Y422*1,"0")+IFERROR(Y423*1,"0")</f>
        <v>37.800000000000004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6759</v>
      </c>
      <c r="X568" s="46">
        <f>IFERROR(Y458*1,"0")+IFERROR(Y459*1,"0")+IFERROR(Y463*1,"0")+IFERROR(Y467*1,"0")+IFERROR(Y468*1,"0")+IFERROR(Y469*1,"0")</f>
        <v>504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1219.6800000000003</v>
      </c>
      <c r="AB568" s="46">
        <f>IFERROR(Y532*1,"0")+IFERROR(Y536*1,"0")+IFERROR(Y540*1,"0")+IFERROR(Y544*1,"0")+IFERROR(Y548*1,"0")+IFERROR(Y549*1,"0")</f>
        <v>27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7,00"/>
        <filter val="1 214,00"/>
        <filter val="1 420,00"/>
        <filter val="1 431,00"/>
        <filter val="1 550,00"/>
        <filter val="1 720,00"/>
        <filter val="1,00"/>
        <filter val="1,59"/>
        <filter val="100,00"/>
        <filter val="102,00"/>
        <filter val="104,00"/>
        <filter val="104,44"/>
        <filter val="104,76"/>
        <filter val="110,00"/>
        <filter val="114,67"/>
        <filter val="12,00"/>
        <filter val="12,82"/>
        <filter val="120,00"/>
        <filter val="14,00"/>
        <filter val="15,00"/>
        <filter val="150,00"/>
        <filter val="151,00"/>
        <filter val="16,00"/>
        <filter val="160,00"/>
        <filter val="163,07"/>
        <filter val="17 265,00"/>
        <filter val="17,14"/>
        <filter val="171,00"/>
        <filter val="175,00"/>
        <filter val="18 094,16"/>
        <filter val="18 819,16"/>
        <filter val="18,00"/>
        <filter val="187,28"/>
        <filter val="192,00"/>
        <filter val="2 040,00"/>
        <filter val="2 142,00"/>
        <filter val="2 446,62"/>
        <filter val="2,00"/>
        <filter val="2,22"/>
        <filter val="2,38"/>
        <filter val="2,78"/>
        <filter val="20,00"/>
        <filter val="20,46"/>
        <filter val="200,00"/>
        <filter val="21,00"/>
        <filter val="214,00"/>
        <filter val="216,46"/>
        <filter val="220,00"/>
        <filter val="221,00"/>
        <filter val="225,00"/>
        <filter val="24,00"/>
        <filter val="275,00"/>
        <filter val="28,00"/>
        <filter val="29"/>
        <filter val="3,00"/>
        <filter val="30,00"/>
        <filter val="33,98"/>
        <filter val="330,13"/>
        <filter val="337,00"/>
        <filter val="350,00"/>
        <filter val="36,00"/>
        <filter val="367,00"/>
        <filter val="4 952,00"/>
        <filter val="4,00"/>
        <filter val="40,00"/>
        <filter val="41,67"/>
        <filter val="42,00"/>
        <filter val="428,00"/>
        <filter val="450,00"/>
        <filter val="468,00"/>
        <filter val="471,00"/>
        <filter val="5,00"/>
        <filter val="5,56"/>
        <filter val="5,95"/>
        <filter val="50,00"/>
        <filter val="500,00"/>
        <filter val="52,43"/>
        <filter val="520,00"/>
        <filter val="55,56"/>
        <filter val="551,84"/>
        <filter val="579,00"/>
        <filter val="6,00"/>
        <filter val="6,67"/>
        <filter val="60,00"/>
        <filter val="640,00"/>
        <filter val="66,29"/>
        <filter val="660,00"/>
        <filter val="67,86"/>
        <filter val="73,19"/>
        <filter val="8,33"/>
        <filter val="83,00"/>
        <filter val="83,83"/>
        <filter val="84,62"/>
        <filter val="857,00"/>
        <filter val="861,00"/>
        <filter val="887,00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