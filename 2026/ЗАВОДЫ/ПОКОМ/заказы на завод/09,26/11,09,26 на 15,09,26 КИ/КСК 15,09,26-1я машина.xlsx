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B95EB2C-0554-4833-927E-F21BD52A9E9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93" i="2" l="1"/>
  <c r="BN474" i="2"/>
  <c r="BN107" i="2"/>
  <c r="BN118" i="2"/>
  <c r="BN384" i="2"/>
  <c r="BP50" i="2"/>
  <c r="Z93" i="2"/>
  <c r="BN159" i="2"/>
  <c r="BN191" i="2"/>
  <c r="Z205" i="2"/>
  <c r="Z206" i="2" s="1"/>
  <c r="BN292" i="2"/>
  <c r="BN327" i="2"/>
  <c r="Z349" i="2"/>
  <c r="Y366" i="2"/>
  <c r="BN410" i="2"/>
  <c r="BN442" i="2"/>
  <c r="Z486" i="2"/>
  <c r="Z436" i="2"/>
  <c r="BP436" i="2"/>
  <c r="Z318" i="2"/>
  <c r="Z319" i="2" s="1"/>
  <c r="BN443" i="2"/>
  <c r="Y136" i="2"/>
  <c r="BN516" i="2"/>
  <c r="Z241" i="2"/>
  <c r="Z293" i="2"/>
  <c r="BN397" i="2"/>
  <c r="Z396" i="2"/>
  <c r="BN521" i="2"/>
  <c r="Z532" i="2"/>
  <c r="BN530" i="2"/>
  <c r="Z521" i="2"/>
  <c r="BN515" i="2"/>
  <c r="BN512" i="2"/>
  <c r="Z512" i="2"/>
  <c r="BN510" i="2"/>
  <c r="BN503" i="2"/>
  <c r="BN502" i="2"/>
  <c r="BN486" i="2"/>
  <c r="Z474" i="2"/>
  <c r="Z466" i="2"/>
  <c r="Y468" i="2"/>
  <c r="BN466" i="2"/>
  <c r="Z465" i="2"/>
  <c r="Y467" i="2"/>
  <c r="BP465" i="2"/>
  <c r="BN460" i="2"/>
  <c r="Y462" i="2"/>
  <c r="BN455" i="2"/>
  <c r="BN454" i="2"/>
  <c r="Z442" i="2"/>
  <c r="Z440" i="2"/>
  <c r="BN429" i="2"/>
  <c r="Y432" i="2"/>
  <c r="BP422" i="2"/>
  <c r="Z417" i="2"/>
  <c r="BN416" i="2"/>
  <c r="Z415" i="2"/>
  <c r="Z404" i="2"/>
  <c r="Z397" i="2"/>
  <c r="BP396" i="2"/>
  <c r="BN392" i="2"/>
  <c r="Y394" i="2"/>
  <c r="BN382" i="2"/>
  <c r="Y387" i="2"/>
  <c r="BP379" i="2"/>
  <c r="Z374" i="2"/>
  <c r="BN374" i="2"/>
  <c r="BN372" i="2"/>
  <c r="Z363" i="2"/>
  <c r="Z353" i="2"/>
  <c r="BN351" i="2"/>
  <c r="BN343" i="2"/>
  <c r="Z337" i="2"/>
  <c r="BN336" i="2"/>
  <c r="BP333" i="2"/>
  <c r="Z328" i="2"/>
  <c r="Z327" i="2"/>
  <c r="Z326" i="2"/>
  <c r="Z329" i="2" s="1"/>
  <c r="BN326" i="2"/>
  <c r="BN313" i="2"/>
  <c r="BN298" i="2"/>
  <c r="Z295" i="2"/>
  <c r="BN293" i="2"/>
  <c r="Y299" i="2"/>
  <c r="Z277" i="2"/>
  <c r="BN266" i="2"/>
  <c r="Z261" i="2"/>
  <c r="Z262" i="2" s="1"/>
  <c r="Z251" i="2"/>
  <c r="BN250" i="2"/>
  <c r="Y252" i="2"/>
  <c r="Z242" i="2"/>
  <c r="BN233" i="2"/>
  <c r="Z233" i="2"/>
  <c r="Z231" i="2"/>
  <c r="Z230" i="2"/>
  <c r="Z221" i="2"/>
  <c r="Z219" i="2"/>
  <c r="BN218" i="2"/>
  <c r="BN199" i="2"/>
  <c r="BN194" i="2"/>
  <c r="BN192" i="2"/>
  <c r="Z191" i="2"/>
  <c r="Z190" i="2"/>
  <c r="BN187" i="2"/>
  <c r="BN185" i="2"/>
  <c r="Z185" i="2"/>
  <c r="Z184" i="2"/>
  <c r="BP184" i="2"/>
  <c r="Y179" i="2"/>
  <c r="BP173" i="2"/>
  <c r="BP161" i="2"/>
  <c r="Z161" i="2"/>
  <c r="BN145" i="2"/>
  <c r="Z127" i="2"/>
  <c r="BP115" i="2"/>
  <c r="Y112" i="2"/>
  <c r="Z107" i="2"/>
  <c r="BN106" i="2"/>
  <c r="Z104" i="2"/>
  <c r="BP98" i="2"/>
  <c r="Y100" i="2"/>
  <c r="Z86" i="2"/>
  <c r="BP86" i="2"/>
  <c r="BP80" i="2"/>
  <c r="X568" i="2"/>
  <c r="Z77" i="2"/>
  <c r="BP77" i="2"/>
  <c r="BN77" i="2"/>
  <c r="Z48" i="2"/>
  <c r="BN41" i="2"/>
  <c r="BN31" i="2"/>
  <c r="Z31" i="2"/>
  <c r="Z28" i="2"/>
  <c r="BN28" i="2"/>
  <c r="Y33" i="2"/>
  <c r="X565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" i="2" l="1"/>
  <c r="Z557" i="2"/>
  <c r="Z493" i="2"/>
  <c r="Z273" i="2"/>
  <c r="Z366" i="2"/>
  <c r="Z467" i="2"/>
  <c r="Z534" i="2"/>
  <c r="Z444" i="2"/>
  <c r="Z431" i="2"/>
  <c r="Z406" i="2"/>
  <c r="Z386" i="2"/>
  <c r="Z345" i="2"/>
  <c r="Z174" i="2"/>
  <c r="Z142" i="2"/>
  <c r="Z131" i="2"/>
  <c r="Z120" i="2"/>
  <c r="Z90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<sst xmlns="http://schemas.openxmlformats.org/spreadsheetml/2006/main" count="4366" uniqueCount="910">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</sst>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46280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Вторник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4.1666666666666664E-2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220</v>
      </c>
      <c r="Y47" s="55">
        <f>IFERROR(IF(X47="",0,CEILING((X47/$H47),1)*$H47),"")</f>
        <v>226.8</v>
      </c>
      <c r="Z47" s="41">
        <f>IFERROR(IF(Y47=0,"",ROUNDUP(Y47/H47,0)*0.01898),"")</f>
        <v>0.39857999999999999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228.35185185185188</v>
      </c>
      <c r="BN47" s="78">
        <f>IFERROR(Y47*I47/H47,"0")</f>
        <v>235.41000000000003</v>
      </c>
      <c r="BO47" s="78">
        <f>IFERROR(1/J47*(X47/H47),"0")</f>
        <v>0.31828703703703703</v>
      </c>
      <c r="BP47" s="78">
        <f>IFERROR(1/J47*(Y47/H47),"0")</f>
        <v>0.328125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80.370370370370367</v>
      </c>
      <c r="Y51" s="43">
        <f>IFERROR(Y47/H47,"0")+IFERROR(Y48/H48,"0")+IFERROR(Y49/H49,"0")+IFERROR(Y50/H50,"0")</f>
        <v>81</v>
      </c>
      <c r="Z51" s="43">
        <f>IFERROR(IF(Z47="",0,Z47),"0")+IFERROR(IF(Z48="",0,Z48),"0")+IFERROR(IF(Z49="",0,Z49),"0")+IFERROR(IF(Z50="",0,Z50),"0")</f>
        <v>0.93978000000000006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460</v>
      </c>
      <c r="Y52" s="43">
        <f>IFERROR(SUM(Y47:Y50),"0")</f>
        <v>466.8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495</v>
      </c>
      <c r="Y60" s="55">
        <f t="shared" si="0"/>
        <v>495</v>
      </c>
      <c r="Z60" s="41">
        <f>IFERROR(IF(Y60=0,"",ROUNDUP(Y60/H60,0)*0.00902),"")</f>
        <v>0.99219999999999997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515.90000000000009</v>
      </c>
      <c r="BN60" s="78">
        <f t="shared" si="2"/>
        <v>515.90000000000009</v>
      </c>
      <c r="BO60" s="78">
        <f t="shared" si="3"/>
        <v>0.83333333333333337</v>
      </c>
      <c r="BP60" s="78">
        <f t="shared" si="4"/>
        <v>0.83333333333333337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119.25925925925927</v>
      </c>
      <c r="Y61" s="43">
        <f>IFERROR(Y55/H55,"0")+IFERROR(Y56/H56,"0")+IFERROR(Y57/H57,"0")+IFERROR(Y58/H58,"0")+IFERROR(Y59/H59,"0")+IFERROR(Y60/H60,"0")</f>
        <v>120</v>
      </c>
      <c r="Z61" s="43">
        <f>IFERROR(IF(Z55="",0,Z55),"0")+IFERROR(IF(Z56="",0,Z56),"0")+IFERROR(IF(Z57="",0,Z57),"0")+IFERROR(IF(Z58="",0,Z58),"0")+IFERROR(IF(Z59="",0,Z59),"0")+IFERROR(IF(Z60="",0,Z60),"0")</f>
        <v>1.1819999999999999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595</v>
      </c>
      <c r="Y62" s="43">
        <f>IFERROR(SUM(Y55:Y60),"0")</f>
        <v>603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100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103.79629629629629</v>
      </c>
      <c r="BN64" s="78">
        <f>IFERROR(Y64*I64/H64,"0")</f>
        <v>112.1</v>
      </c>
      <c r="BO64" s="78">
        <f>IFERROR(1/J64*(X64/H64),"0")</f>
        <v>0.14467592592592593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180</v>
      </c>
      <c r="Y67" s="55">
        <f>IFERROR(IF(X67="",0,CEILING((X67/$H67),1)*$H67),"")</f>
        <v>180.9</v>
      </c>
      <c r="Z67" s="41">
        <f>IFERROR(IF(Y67=0,"",ROUNDUP(Y67/H67,0)*0.00651),"")</f>
        <v>0.43617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191.99999999999997</v>
      </c>
      <c r="BN67" s="78">
        <f>IFERROR(Y67*I67/H67,"0")</f>
        <v>192.95999999999998</v>
      </c>
      <c r="BO67" s="78">
        <f>IFERROR(1/J67*(X67/H67),"0")</f>
        <v>0.36630036630036628</v>
      </c>
      <c r="BP67" s="78">
        <f>IFERROR(1/J67*(Y67/H67),"0")</f>
        <v>0.36813186813186816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75.925925925925924</v>
      </c>
      <c r="Y68" s="43">
        <f>IFERROR(Y64/H64,"0")+IFERROR(Y65/H65,"0")+IFERROR(Y66/H66,"0")+IFERROR(Y67/H67,"0")</f>
        <v>77</v>
      </c>
      <c r="Z68" s="43">
        <f>IFERROR(IF(Z64="",0,Z64),"0")+IFERROR(IF(Z65="",0,Z65),"0")+IFERROR(IF(Z66="",0,Z66),"0")+IFERROR(IF(Z67="",0,Z67),"0")</f>
        <v>0.62597000000000003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280</v>
      </c>
      <c r="Y69" s="43">
        <f>IFERROR(SUM(Y64:Y67),"0")</f>
        <v>288.89999999999998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100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103.79629629629629</v>
      </c>
      <c r="BN85" s="78">
        <f>IFERROR(Y85*I85/H85,"0")</f>
        <v>112.1</v>
      </c>
      <c r="BO85" s="78">
        <f>IFERROR(1/J85*(X85/H85),"0")</f>
        <v>0.14467592592592593</v>
      </c>
      <c r="BP85" s="78">
        <f>IFERROR(1/J85*(Y85/H85),"0")</f>
        <v>0.15625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540</v>
      </c>
      <c r="Y89" s="55">
        <f>IFERROR(IF(X89="",0,CEILING((X89/$H89),1)*$H89),"")</f>
        <v>540</v>
      </c>
      <c r="Z89" s="41">
        <f>IFERROR(IF(Y89=0,"",ROUNDUP(Y89/H89,0)*0.00902),"")</f>
        <v>1.0824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562.80000000000007</v>
      </c>
      <c r="BN89" s="78">
        <f>IFERROR(Y89*I89/H89,"0")</f>
        <v>562.80000000000007</v>
      </c>
      <c r="BO89" s="78">
        <f>IFERROR(1/J89*(X89/H89),"0")</f>
        <v>0.90909090909090917</v>
      </c>
      <c r="BP89" s="78">
        <f>IFERROR(1/J89*(Y89/H89),"0")</f>
        <v>0.90909090909090917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129.25925925925927</v>
      </c>
      <c r="Y90" s="43">
        <f>IFERROR(Y85/H85,"0")+IFERROR(Y86/H86,"0")+IFERROR(Y87/H87,"0")+IFERROR(Y88/H88,"0")+IFERROR(Y89/H89,"0")</f>
        <v>130</v>
      </c>
      <c r="Z90" s="43">
        <f>IFERROR(IF(Z85="",0,Z85),"0")+IFERROR(IF(Z86="",0,Z86),"0")+IFERROR(IF(Z87="",0,Z87),"0")+IFERROR(IF(Z88="",0,Z88),"0")+IFERROR(IF(Z89="",0,Z89),"0")</f>
        <v>1.2722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640</v>
      </c>
      <c r="Y91" s="43">
        <f>IFERROR(SUM(Y85:Y89),"0")</f>
        <v>648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>
        <v>300</v>
      </c>
      <c r="Y93" s="55">
        <f t="shared" ref="Y93:Y99" si="5"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318.2962962962963</v>
      </c>
      <c r="BN93" s="78">
        <f t="shared" ref="BN93:BN99" si="7">IFERROR(Y93*I93/H93,"0")</f>
        <v>326.572</v>
      </c>
      <c r="BO93" s="78">
        <f t="shared" ref="BO93:BO99" si="8">IFERROR(1/J93*(X93/H93),"0")</f>
        <v>0.57870370370370372</v>
      </c>
      <c r="BP93" s="78">
        <f t="shared" ref="BP93:BP99" si="9">IFERROR(1/J93*(Y93/H93),"0")</f>
        <v>0.59375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>
        <v>225</v>
      </c>
      <c r="Y97" s="55">
        <f t="shared" si="5"/>
        <v>226.8</v>
      </c>
      <c r="Z97" s="41">
        <f>IFERROR(IF(Y97=0,"",ROUNDUP(Y97/H97,0)*0.00651),"")</f>
        <v>0.54683999999999999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246</v>
      </c>
      <c r="BN97" s="78">
        <f t="shared" si="7"/>
        <v>247.96799999999999</v>
      </c>
      <c r="BO97" s="78">
        <f t="shared" si="8"/>
        <v>0.45787545787545786</v>
      </c>
      <c r="BP97" s="78">
        <f t="shared" si="9"/>
        <v>0.46153846153846156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120.37037037037037</v>
      </c>
      <c r="Y100" s="43">
        <f>IFERROR(Y93/H93,"0")+IFERROR(Y94/H94,"0")+IFERROR(Y95/H95,"0")+IFERROR(Y96/H96,"0")+IFERROR(Y97/H97,"0")+IFERROR(Y98/H98,"0")+IFERROR(Y99/H99,"0")</f>
        <v>122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1.2680799999999999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525</v>
      </c>
      <c r="Y101" s="43">
        <f>IFERROR(SUM(Y93:Y99),"0")</f>
        <v>534.6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315</v>
      </c>
      <c r="Y109" s="55">
        <f t="shared" si="10"/>
        <v>315</v>
      </c>
      <c r="Z109" s="41">
        <f>IFERROR(IF(Y109=0,"",ROUNDUP(Y109/H109,0)*0.00902),"")</f>
        <v>0.63139999999999996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328.3</v>
      </c>
      <c r="BN109" s="78">
        <f t="shared" si="12"/>
        <v>328.3</v>
      </c>
      <c r="BO109" s="78">
        <f t="shared" si="13"/>
        <v>0.53030303030303028</v>
      </c>
      <c r="BP109" s="78">
        <f t="shared" si="14"/>
        <v>0.53030303030303028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70</v>
      </c>
      <c r="Y112" s="43">
        <f>IFERROR(Y104/H104,"0")+IFERROR(Y105/H105,"0")+IFERROR(Y106/H106,"0")+IFERROR(Y107/H107,"0")+IFERROR(Y108/H108,"0")+IFERROR(Y109/H109,"0")+IFERROR(Y110/H110,"0")+IFERROR(Y111/H111,"0")</f>
        <v>70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0.63139999999999996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315</v>
      </c>
      <c r="Y113" s="43">
        <f>IFERROR(SUM(Y104:Y111),"0")</f>
        <v>315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>
        <v>600</v>
      </c>
      <c r="Y123" s="55">
        <f t="shared" ref="Y123:Y130" si="15">IFERROR(IF(X123="",0,CEILING((X123/$H123),1)*$H123),"")</f>
        <v>607.5</v>
      </c>
      <c r="Z123" s="41">
        <f>IFERROR(IF(Y123=0,"",ROUNDUP(Y123/H123,0)*0.01898),"")</f>
        <v>1.4235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636.14814814814804</v>
      </c>
      <c r="BN123" s="78">
        <f t="shared" ref="BN123:BN130" si="17">IFERROR(Y123*I123/H123,"0")</f>
        <v>644.09999999999991</v>
      </c>
      <c r="BO123" s="78">
        <f t="shared" ref="BO123:BO130" si="18">IFERROR(1/J123*(X123/H123),"0")</f>
        <v>1.1574074074074074</v>
      </c>
      <c r="BP123" s="78">
        <f t="shared" ref="BP123:BP130" si="19">IFERROR(1/J123*(Y123/H123),"0")</f>
        <v>1.171875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74.074074074074076</v>
      </c>
      <c r="Y131" s="43">
        <f>IFERROR(Y123/H123,"0")+IFERROR(Y124/H124,"0")+IFERROR(Y125/H125,"0")+IFERROR(Y126/H126,"0")+IFERROR(Y127/H127,"0")+IFERROR(Y128/H128,"0")+IFERROR(Y129/H129,"0")+IFERROR(Y130/H130,"0")</f>
        <v>75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1.4235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600</v>
      </c>
      <c r="Y132" s="43">
        <f>IFERROR(SUM(Y123:Y130),"0")</f>
        <v>607.5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50</v>
      </c>
      <c r="Y134" s="55">
        <f>IFERROR(IF(X134="",0,CEILING((X134/$H134),1)*$H134),"")</f>
        <v>51.48</v>
      </c>
      <c r="Z134" s="41">
        <f>IFERROR(IF(Y134=0,"",ROUNDUP(Y134/H134,0)*0.00651),"")</f>
        <v>0.16925999999999999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56.515151515151516</v>
      </c>
      <c r="BN134" s="78">
        <f>IFERROR(Y134*I134/H134,"0")</f>
        <v>58.187999999999995</v>
      </c>
      <c r="BO134" s="78">
        <f>IFERROR(1/J134*(X134/H134),"0")</f>
        <v>0.13875013875013875</v>
      </c>
      <c r="BP134" s="78">
        <f>IFERROR(1/J134*(Y134/H134),"0")</f>
        <v>0.14285714285714288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25.252525252525253</v>
      </c>
      <c r="Y136" s="43">
        <f>IFERROR(Y134/H134,"0")+IFERROR(Y135/H135,"0")</f>
        <v>26</v>
      </c>
      <c r="Z136" s="43">
        <f>IFERROR(IF(Z134="",0,Z134),"0")+IFERROR(IF(Z135="",0,Z135),"0")</f>
        <v>0.16925999999999999</v>
      </c>
      <c r="AA136" s="67"/>
      <c r="AB136" s="67"/>
      <c r="AC136" s="67"/>
    </row>
    <row r="137" spans="1:68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50</v>
      </c>
      <c r="Y137" s="43">
        <f>IFERROR(SUM(Y134:Y135),"0")</f>
        <v>51.48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60</v>
      </c>
      <c r="Y141" s="55">
        <f>IFERROR(IF(X141="",0,CEILING((X141/$H141),1)*$H141),"")</f>
        <v>60.800000000000004</v>
      </c>
      <c r="Z141" s="41">
        <f>IFERROR(IF(Y141=0,"",ROUNDUP(Y141/H141,0)*0.00651),"")</f>
        <v>0.12369000000000001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63.374999999999993</v>
      </c>
      <c r="BN141" s="78">
        <f>IFERROR(Y141*I141/H141,"0")</f>
        <v>64.22</v>
      </c>
      <c r="BO141" s="78">
        <f>IFERROR(1/J141*(X141/H141),"0")</f>
        <v>0.10302197802197803</v>
      </c>
      <c r="BP141" s="78">
        <f>IFERROR(1/J141*(Y141/H141),"0")</f>
        <v>0.1043956043956044</v>
      </c>
    </row>
    <row r="142" spans="1:68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18.75</v>
      </c>
      <c r="Y142" s="43">
        <f>IFERROR(Y140/H140,"0")+IFERROR(Y141/H141,"0")</f>
        <v>19</v>
      </c>
      <c r="Z142" s="43">
        <f>IFERROR(IF(Z140="",0,Z140),"0")+IFERROR(IF(Z141="",0,Z141),"0")</f>
        <v>0.12369000000000001</v>
      </c>
      <c r="AA142" s="67"/>
      <c r="AB142" s="67"/>
      <c r="AC142" s="67"/>
    </row>
    <row r="143" spans="1:68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60</v>
      </c>
      <c r="Y143" s="43">
        <f>IFERROR(SUM(Y140:Y141),"0")</f>
        <v>60.800000000000004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42</v>
      </c>
      <c r="Y145" s="55">
        <f>IFERROR(IF(X145="",0,CEILING((X145/$H145),1)*$H145),"")</f>
        <v>42</v>
      </c>
      <c r="Z145" s="41">
        <f>IFERROR(IF(Y145=0,"",ROUNDUP(Y145/H145,0)*0.00651),"")</f>
        <v>9.7650000000000001E-2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46.02</v>
      </c>
      <c r="BN145" s="78">
        <f>IFERROR(Y145*I145/H145,"0")</f>
        <v>46.02</v>
      </c>
      <c r="BO145" s="78">
        <f>IFERROR(1/J145*(X145/H145),"0")</f>
        <v>8.241758241758243E-2</v>
      </c>
      <c r="BP145" s="78">
        <f>IFERROR(1/J145*(Y145/H145),"0")</f>
        <v>8.241758241758243E-2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15.000000000000002</v>
      </c>
      <c r="Y147" s="43">
        <f>IFERROR(Y145/H145,"0")+IFERROR(Y146/H146,"0")</f>
        <v>15.000000000000002</v>
      </c>
      <c r="Z147" s="43">
        <f>IFERROR(IF(Z145="",0,Z145),"0")+IFERROR(IF(Z146="",0,Z146),"0")</f>
        <v>9.7650000000000001E-2</v>
      </c>
      <c r="AA147" s="67"/>
      <c r="AB147" s="67"/>
      <c r="AC147" s="67"/>
    </row>
    <row r="148" spans="1:68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42</v>
      </c>
      <c r="Y148" s="43">
        <f>IFERROR(SUM(Y145:Y146),"0")</f>
        <v>42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82</v>
      </c>
      <c r="Y150" s="55">
        <f>IFERROR(IF(X150="",0,CEILING((X150/$H150),1)*$H150),"")</f>
        <v>84.48</v>
      </c>
      <c r="Z150" s="41">
        <f>IFERROR(IF(Y150=0,"",ROUNDUP(Y150/H150,0)*0.00651),"")</f>
        <v>0.20832000000000001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90.324242424242414</v>
      </c>
      <c r="BN150" s="78">
        <f>IFERROR(Y150*I150/H150,"0")</f>
        <v>93.055999999999997</v>
      </c>
      <c r="BO150" s="78">
        <f>IFERROR(1/J150*(X150/H150),"0")</f>
        <v>0.17066267066267066</v>
      </c>
      <c r="BP150" s="78">
        <f>IFERROR(1/J150*(Y150/H150),"0")</f>
        <v>0.17582417582417584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31.060606060606059</v>
      </c>
      <c r="Y152" s="43">
        <f>IFERROR(Y150/H150,"0")+IFERROR(Y151/H151,"0")</f>
        <v>32</v>
      </c>
      <c r="Z152" s="43">
        <f>IFERROR(IF(Z150="",0,Z150),"0")+IFERROR(IF(Z151="",0,Z151),"0")</f>
        <v>0.20832000000000001</v>
      </c>
      <c r="AA152" s="67"/>
      <c r="AB152" s="67"/>
      <c r="AC152" s="67"/>
    </row>
    <row r="153" spans="1:68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82</v>
      </c>
      <c r="Y153" s="43">
        <f>IFERROR(SUM(Y150:Y151),"0")</f>
        <v>84.48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400</v>
      </c>
      <c r="Y182" s="55">
        <f t="shared" ref="Y182:Y195" si="27">IFERROR(IF(X182="",0,CEILING((X182/$H182),1)*$H182),"")</f>
        <v>402.5</v>
      </c>
      <c r="Z182" s="41">
        <f t="shared" ref="Z182:Z187" si="28">IFERROR(IF(Y182=0,"",ROUNDUP(Y182/H182,0)*0.00902),"")</f>
        <v>1.0373000000000001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421.71428571428572</v>
      </c>
      <c r="BN182" s="78">
        <f t="shared" ref="BN182:BN195" si="30">IFERROR(Y182*I182/H182,"0")</f>
        <v>424.34999999999997</v>
      </c>
      <c r="BO182" s="78">
        <f t="shared" ref="BO182:BO195" si="31">IFERROR(1/J182*(X182/H182),"0")</f>
        <v>0.8658008658008659</v>
      </c>
      <c r="BP182" s="78">
        <f t="shared" ref="BP182:BP195" si="32">IFERROR(1/J182*(Y182/H182),"0")</f>
        <v>0.87121212121212122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400</v>
      </c>
      <c r="Y184" s="55">
        <f t="shared" si="27"/>
        <v>402.5</v>
      </c>
      <c r="Z184" s="41">
        <f t="shared" si="28"/>
        <v>1.0373000000000001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421.71428571428572</v>
      </c>
      <c r="BN184" s="78">
        <f t="shared" si="30"/>
        <v>424.34999999999997</v>
      </c>
      <c r="BO184" s="78">
        <f t="shared" si="31"/>
        <v>0.8658008658008659</v>
      </c>
      <c r="BP184" s="78">
        <f t="shared" si="32"/>
        <v>0.87121212121212122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400</v>
      </c>
      <c r="Y186" s="55">
        <f t="shared" si="27"/>
        <v>402.5</v>
      </c>
      <c r="Z186" s="41">
        <f t="shared" si="28"/>
        <v>1.0373000000000001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421.71428571428572</v>
      </c>
      <c r="BN186" s="78">
        <f t="shared" si="30"/>
        <v>424.34999999999997</v>
      </c>
      <c r="BO186" s="78">
        <f t="shared" si="31"/>
        <v>0.8658008658008659</v>
      </c>
      <c r="BP186" s="78">
        <f t="shared" si="32"/>
        <v>0.87121212121212122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224</v>
      </c>
      <c r="Y190" s="55">
        <f t="shared" si="27"/>
        <v>225.12</v>
      </c>
      <c r="Z190" s="41">
        <f>IFERROR(IF(Y190=0,"",ROUNDUP(Y190/H190,0)*0.00502),"")</f>
        <v>0.67268000000000006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237.33333333333337</v>
      </c>
      <c r="BN190" s="78">
        <f t="shared" si="30"/>
        <v>238.52000000000004</v>
      </c>
      <c r="BO190" s="78">
        <f t="shared" si="31"/>
        <v>0.56980056980056992</v>
      </c>
      <c r="BP190" s="78">
        <f t="shared" si="32"/>
        <v>0.57264957264957272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224</v>
      </c>
      <c r="Y192" s="55">
        <f t="shared" si="27"/>
        <v>225.12</v>
      </c>
      <c r="Z192" s="41">
        <f>IFERROR(IF(Y192=0,"",ROUNDUP(Y192/H192,0)*0.00502),"")</f>
        <v>0.67268000000000006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237.33333333333337</v>
      </c>
      <c r="BN192" s="78">
        <f t="shared" si="30"/>
        <v>238.52000000000004</v>
      </c>
      <c r="BO192" s="78">
        <f t="shared" si="31"/>
        <v>0.56980056980056992</v>
      </c>
      <c r="BP192" s="78">
        <f t="shared" si="32"/>
        <v>0.57264957264957272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224</v>
      </c>
      <c r="Y195" s="55">
        <f t="shared" si="27"/>
        <v>225.12</v>
      </c>
      <c r="Z195" s="41">
        <f>IFERROR(IF(Y195=0,"",ROUNDUP(Y195/H195,0)*0.00502),"")</f>
        <v>0.67268000000000006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237.33333333333337</v>
      </c>
      <c r="BN195" s="78">
        <f t="shared" si="30"/>
        <v>238.52000000000004</v>
      </c>
      <c r="BO195" s="78">
        <f t="shared" si="31"/>
        <v>0.56980056980056992</v>
      </c>
      <c r="BP195" s="78">
        <f t="shared" si="32"/>
        <v>0.57264957264957272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742.857142857143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747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5.1299400000000004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1872</v>
      </c>
      <c r="Y197" s="43">
        <f>IFERROR(SUM(Y182:Y195),"0")</f>
        <v>1882.8599999999997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108</v>
      </c>
      <c r="Z220" s="41">
        <f t="shared" si="34"/>
        <v>0.1898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103.79629629629629</v>
      </c>
      <c r="BN220" s="78">
        <f t="shared" si="36"/>
        <v>112.1</v>
      </c>
      <c r="BO220" s="78">
        <f t="shared" si="37"/>
        <v>0.14467592592592593</v>
      </c>
      <c r="BP220" s="78">
        <f t="shared" si="38"/>
        <v>0.15625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9.2592592592592595</v>
      </c>
      <c r="Y222" s="43">
        <f>IFERROR(Y215/H215,"0")+IFERROR(Y216/H216,"0")+IFERROR(Y217/H217,"0")+IFERROR(Y218/H218,"0")+IFERROR(Y219/H219,"0")+IFERROR(Y220/H220,"0")+IFERROR(Y221/H221,"0")</f>
        <v>10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7"/>
      <c r="AB222" s="67"/>
      <c r="AC222" s="67"/>
    </row>
    <row r="223" spans="1:68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100</v>
      </c>
      <c r="Y223" s="43">
        <f>IFERROR(SUM(Y215:Y221),"0")</f>
        <v>108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100</v>
      </c>
      <c r="Y230" s="55">
        <f t="shared" ref="Y230:Y243" si="39">IFERROR(IF(X230="",0,CEILING((X230/$H230),1)*$H230),"")</f>
        <v>100.80000000000001</v>
      </c>
      <c r="Z230" s="41">
        <f>IFERROR(IF(Y230=0,"",ROUNDUP(Y230/H230,0)*0.00902),"")</f>
        <v>0.21648000000000001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105.95238095238095</v>
      </c>
      <c r="BN230" s="78">
        <f t="shared" ref="BN230:BN243" si="41">IFERROR(Y230*I230/H230,"0")</f>
        <v>106.80000000000001</v>
      </c>
      <c r="BO230" s="78">
        <f t="shared" ref="BO230:BO243" si="42">IFERROR(1/J230*(X230/H230),"0")</f>
        <v>0.18037518037518038</v>
      </c>
      <c r="BP230" s="78">
        <f t="shared" ref="BP230:BP243" si="43">IFERROR(1/J230*(Y230/H230),"0")</f>
        <v>0.18181818181818182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8</v>
      </c>
      <c r="Y233" s="55">
        <f t="shared" si="39"/>
        <v>8</v>
      </c>
      <c r="Z233" s="41">
        <f>IFERROR(IF(Y233=0,"",ROUNDUP(Y233/H233,0)*0.00556),"")</f>
        <v>5.5599999999999997E-2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9.3000000000000007</v>
      </c>
      <c r="BN233" s="78">
        <f t="shared" si="41"/>
        <v>9.3000000000000007</v>
      </c>
      <c r="BO233" s="78">
        <f t="shared" si="42"/>
        <v>3.968253968253968E-2</v>
      </c>
      <c r="BP233" s="78">
        <f t="shared" si="43"/>
        <v>3.968253968253968E-2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70</v>
      </c>
      <c r="Y234" s="55">
        <f t="shared" si="39"/>
        <v>71.400000000000006</v>
      </c>
      <c r="Z234" s="41">
        <f t="shared" ref="Z234:Z239" si="44">IFERROR(IF(Y234=0,"",ROUNDUP(Y234/H234,0)*0.00502),"")</f>
        <v>0.17068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74.333333333333329</v>
      </c>
      <c r="BN234" s="78">
        <f t="shared" si="41"/>
        <v>75.820000000000007</v>
      </c>
      <c r="BO234" s="78">
        <f t="shared" si="42"/>
        <v>0.14245014245014245</v>
      </c>
      <c r="BP234" s="78">
        <f t="shared" si="43"/>
        <v>0.14529914529914531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175</v>
      </c>
      <c r="Y236" s="55">
        <f t="shared" si="39"/>
        <v>176.4</v>
      </c>
      <c r="Z236" s="41">
        <f t="shared" si="44"/>
        <v>0.42168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185.83333333333331</v>
      </c>
      <c r="BN236" s="78">
        <f t="shared" si="41"/>
        <v>187.32</v>
      </c>
      <c r="BO236" s="78">
        <f t="shared" si="42"/>
        <v>0.35612535612535612</v>
      </c>
      <c r="BP236" s="78">
        <f t="shared" si="43"/>
        <v>0.35897435897435903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8</v>
      </c>
      <c r="Y240" s="55">
        <f t="shared" si="39"/>
        <v>8</v>
      </c>
      <c r="Z240" s="41">
        <f>IFERROR(IF(Y240=0,"",ROUNDUP(Y240/H240,0)*0.00417),"")</f>
        <v>4.1700000000000001E-2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10.1</v>
      </c>
      <c r="BN240" s="78">
        <f t="shared" si="41"/>
        <v>10.1</v>
      </c>
      <c r="BO240" s="78">
        <f t="shared" si="42"/>
        <v>2.976190476190476E-2</v>
      </c>
      <c r="BP240" s="78">
        <f t="shared" si="43"/>
        <v>2.976190476190476E-2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350</v>
      </c>
      <c r="Y241" s="55">
        <f t="shared" si="39"/>
        <v>350.7</v>
      </c>
      <c r="Z241" s="41">
        <f>IFERROR(IF(Y241=0,"",ROUNDUP(Y241/H241,0)*0.00502),"")</f>
        <v>0.83833999999999997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366.66666666666669</v>
      </c>
      <c r="BN241" s="78">
        <f t="shared" si="41"/>
        <v>367.40000000000003</v>
      </c>
      <c r="BO241" s="78">
        <f t="shared" si="42"/>
        <v>0.71225071225071224</v>
      </c>
      <c r="BP241" s="78">
        <f t="shared" si="43"/>
        <v>0.71367521367521369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327.14285714285711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329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1.7444799999999998</v>
      </c>
      <c r="AA244" s="67"/>
      <c r="AB244" s="67"/>
      <c r="AC244" s="67"/>
    </row>
    <row r="245" spans="1:68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711</v>
      </c>
      <c r="Y245" s="43">
        <f>IFERROR(SUM(Y230:Y243),"0")</f>
        <v>715.3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300</v>
      </c>
      <c r="Y276" s="55">
        <f t="shared" ref="Y276:Y283" si="45">IFERROR(IF(X276="",0,CEILING((X276/$H276),1)*$H276),"")</f>
        <v>302.40000000000003</v>
      </c>
      <c r="Z276" s="41">
        <f>IFERROR(IF(Y276=0,"",ROUNDUP(Y276/H276,0)*0.00902),"")</f>
        <v>0.50512000000000001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310.55555555555554</v>
      </c>
      <c r="BN276" s="78">
        <f t="shared" ref="BN276:BN283" si="47">IFERROR(Y276*I276/H276,"0")</f>
        <v>313.04000000000002</v>
      </c>
      <c r="BO276" s="78">
        <f t="shared" ref="BO276:BO283" si="48">IFERROR(1/J276*(X276/H276),"0")</f>
        <v>0.42087542087542085</v>
      </c>
      <c r="BP276" s="78">
        <f t="shared" ref="BP276:BP283" si="49">IFERROR(1/J276*(Y276/H276),"0")</f>
        <v>0.42424242424242425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210</v>
      </c>
      <c r="Y280" s="55">
        <f t="shared" si="45"/>
        <v>210.6</v>
      </c>
      <c r="Z280" s="41">
        <f>IFERROR(IF(Y280=0,"",ROUNDUP(Y280/H280,0)*0.00502),"")</f>
        <v>0.58733999999999997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225.16666666666666</v>
      </c>
      <c r="BN280" s="78">
        <f t="shared" si="47"/>
        <v>225.80999999999997</v>
      </c>
      <c r="BO280" s="78">
        <f t="shared" si="48"/>
        <v>0.4985754985754986</v>
      </c>
      <c r="BP280" s="78">
        <f t="shared" si="49"/>
        <v>0.5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210</v>
      </c>
      <c r="Y281" s="55">
        <f t="shared" si="45"/>
        <v>210.6</v>
      </c>
      <c r="Z281" s="41">
        <f>IFERROR(IF(Y281=0,"",ROUNDUP(Y281/H281,0)*0.00502),"")</f>
        <v>0.58733999999999997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221.66666666666666</v>
      </c>
      <c r="BN281" s="78">
        <f t="shared" si="47"/>
        <v>222.29999999999998</v>
      </c>
      <c r="BO281" s="78">
        <f t="shared" si="48"/>
        <v>0.4985754985754986</v>
      </c>
      <c r="BP281" s="78">
        <f t="shared" si="49"/>
        <v>0.5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210</v>
      </c>
      <c r="Y282" s="55">
        <f t="shared" si="45"/>
        <v>210.6</v>
      </c>
      <c r="Z282" s="41">
        <f>IFERROR(IF(Y282=0,"",ROUNDUP(Y282/H282,0)*0.00502),"")</f>
        <v>0.58733999999999997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221.66666666666666</v>
      </c>
      <c r="BN282" s="78">
        <f t="shared" si="47"/>
        <v>222.29999999999998</v>
      </c>
      <c r="BO282" s="78">
        <f t="shared" si="48"/>
        <v>0.4985754985754986</v>
      </c>
      <c r="BP282" s="78">
        <f t="shared" si="49"/>
        <v>0.5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180</v>
      </c>
      <c r="Y283" s="55">
        <f t="shared" si="45"/>
        <v>180</v>
      </c>
      <c r="Z283" s="41">
        <f>IFERROR(IF(Y283=0,"",ROUNDUP(Y283/H283,0)*0.00502),"")</f>
        <v>0.502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190</v>
      </c>
      <c r="BN283" s="78">
        <f t="shared" si="47"/>
        <v>190</v>
      </c>
      <c r="BO283" s="78">
        <f t="shared" si="48"/>
        <v>0.42735042735042739</v>
      </c>
      <c r="BP283" s="78">
        <f t="shared" si="49"/>
        <v>0.42735042735042739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542.5925925925925</v>
      </c>
      <c r="Y284" s="43">
        <f>IFERROR(Y276/H276,"0")+IFERROR(Y277/H277,"0")+IFERROR(Y278/H278,"0")+IFERROR(Y279/H279,"0")+IFERROR(Y280/H280,"0")+IFERROR(Y281/H281,"0")+IFERROR(Y282/H282,"0")+IFERROR(Y283/H283,"0")</f>
        <v>545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3.1118999999999994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1310</v>
      </c>
      <c r="Y285" s="43">
        <f>IFERROR(SUM(Y276:Y283),"0")</f>
        <v>1319.4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200</v>
      </c>
      <c r="Y289" s="55">
        <f t="shared" si="50"/>
        <v>200.1</v>
      </c>
      <c r="Z289" s="41">
        <f>IFERROR(IF(Y289=0,"",ROUNDUP(Y289/H289,0)*0.01898),"")</f>
        <v>0.43653999999999998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211.35632183908049</v>
      </c>
      <c r="BN289" s="78">
        <f t="shared" si="52"/>
        <v>211.46200000000005</v>
      </c>
      <c r="BO289" s="78">
        <f t="shared" si="53"/>
        <v>0.35919540229885061</v>
      </c>
      <c r="BP289" s="78">
        <f t="shared" si="54"/>
        <v>0.359375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>
        <v>400</v>
      </c>
      <c r="Y290" s="55">
        <f t="shared" si="50"/>
        <v>400.8</v>
      </c>
      <c r="Z290" s="41">
        <f>IFERROR(IF(Y290=0,"",ROUNDUP(Y290/H290,0)*0.00651),"")</f>
        <v>1.08717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445</v>
      </c>
      <c r="BN290" s="78">
        <f t="shared" si="52"/>
        <v>445.89</v>
      </c>
      <c r="BO290" s="78">
        <f t="shared" si="53"/>
        <v>0.91575091575091594</v>
      </c>
      <c r="BP290" s="78">
        <f t="shared" si="54"/>
        <v>0.91758241758241765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>
        <v>400</v>
      </c>
      <c r="Y293" s="55">
        <f t="shared" si="50"/>
        <v>400.8</v>
      </c>
      <c r="Z293" s="41">
        <f>IFERROR(IF(Y293=0,"",ROUNDUP(Y293/H293,0)*0.00651),"")</f>
        <v>1.08717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442</v>
      </c>
      <c r="BN293" s="78">
        <f t="shared" si="52"/>
        <v>442.88400000000007</v>
      </c>
      <c r="BO293" s="78">
        <f t="shared" si="53"/>
        <v>0.91575091575091594</v>
      </c>
      <c r="BP293" s="78">
        <f t="shared" si="54"/>
        <v>0.91758241758241765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120</v>
      </c>
      <c r="Y296" s="55">
        <f t="shared" si="50"/>
        <v>120</v>
      </c>
      <c r="Z296" s="41">
        <f>IFERROR(IF(Y296=0,"",ROUNDUP(Y296/H296,0)*0.00651),"")</f>
        <v>0.32550000000000001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132.60000000000002</v>
      </c>
      <c r="BN296" s="78">
        <f t="shared" si="52"/>
        <v>132.60000000000002</v>
      </c>
      <c r="BO296" s="78">
        <f t="shared" si="53"/>
        <v>0.27472527472527475</v>
      </c>
      <c r="BP296" s="78">
        <f t="shared" si="54"/>
        <v>0.27472527472527475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400</v>
      </c>
      <c r="Y297" s="55">
        <f t="shared" si="50"/>
        <v>400.8</v>
      </c>
      <c r="Z297" s="41">
        <f>IFERROR(IF(Y297=0,"",ROUNDUP(Y297/H297,0)*0.00651),"")</f>
        <v>1.08717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443.00000000000006</v>
      </c>
      <c r="BN297" s="78">
        <f t="shared" si="52"/>
        <v>443.88599999999997</v>
      </c>
      <c r="BO297" s="78">
        <f t="shared" si="53"/>
        <v>0.91575091575091594</v>
      </c>
      <c r="BP297" s="78">
        <f t="shared" si="54"/>
        <v>0.91758241758241765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572.98850574712651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574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4.0235500000000002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1520</v>
      </c>
      <c r="Y300" s="43">
        <f>IFERROR(SUM(Y287:Y298),"0")</f>
        <v>1522.5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>
        <v>40</v>
      </c>
      <c r="Y302" s="55">
        <f>IFERROR(IF(X302="",0,CEILING((X302/$H302),1)*$H302),"")</f>
        <v>40.799999999999997</v>
      </c>
      <c r="Z302" s="41">
        <f>IFERROR(IF(Y302=0,"",ROUNDUP(Y302/H302,0)*0.00651),"")</f>
        <v>0.11067</v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44.20000000000001</v>
      </c>
      <c r="BN302" s="78">
        <f>IFERROR(Y302*I302/H302,"0")</f>
        <v>45.084000000000003</v>
      </c>
      <c r="BO302" s="78">
        <f>IFERROR(1/J302*(X302/H302),"0")</f>
        <v>9.1575091575091583E-2</v>
      </c>
      <c r="BP302" s="78">
        <f>IFERROR(1/J302*(Y302/H302),"0")</f>
        <v>9.3406593406593408E-2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200</v>
      </c>
      <c r="Y303" s="55">
        <f>IFERROR(IF(X303="",0,CEILING((X303/$H303),1)*$H303),"")</f>
        <v>201.6</v>
      </c>
      <c r="Z303" s="41">
        <f>IFERROR(IF(Y303=0,"",ROUNDUP(Y303/H303,0)*0.00651),"")</f>
        <v>0.54683999999999999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221</v>
      </c>
      <c r="BN303" s="78">
        <f>IFERROR(Y303*I303/H303,"0")</f>
        <v>222.768</v>
      </c>
      <c r="BO303" s="78">
        <f>IFERROR(1/J303*(X303/H303),"0")</f>
        <v>0.45787545787545797</v>
      </c>
      <c r="BP303" s="78">
        <f>IFERROR(1/J303*(Y303/H303),"0")</f>
        <v>0.46153846153846156</v>
      </c>
    </row>
    <row r="304" spans="1:68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100.00000000000001</v>
      </c>
      <c r="Y304" s="43">
        <f>IFERROR(Y302/H302,"0")+IFERROR(Y303/H303,"0")</f>
        <v>101</v>
      </c>
      <c r="Z304" s="43">
        <f>IFERROR(IF(Z302="",0,Z302),"0")+IFERROR(IF(Z303="",0,Z303),"0")</f>
        <v>0.65751000000000004</v>
      </c>
      <c r="AA304" s="67"/>
      <c r="AB304" s="67"/>
      <c r="AC304" s="67"/>
    </row>
    <row r="305" spans="1:68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240</v>
      </c>
      <c r="Y305" s="43">
        <f>IFERROR(SUM(Y302:Y303),"0")</f>
        <v>242.39999999999998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40</v>
      </c>
      <c r="Y314" s="55">
        <f t="shared" si="55"/>
        <v>40</v>
      </c>
      <c r="Z314" s="41">
        <f>IFERROR(IF(Y314=0,"",ROUNDUP(Y314/H314,0)*0.00902),"")</f>
        <v>9.0200000000000002E-2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41.900000000000006</v>
      </c>
      <c r="BN314" s="78">
        <f t="shared" si="57"/>
        <v>41.900000000000006</v>
      </c>
      <c r="BO314" s="78">
        <f t="shared" si="58"/>
        <v>7.575757575757576E-2</v>
      </c>
      <c r="BP314" s="78">
        <f t="shared" si="59"/>
        <v>7.575757575757576E-2</v>
      </c>
    </row>
    <row r="315" spans="1:68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10</v>
      </c>
      <c r="Y315" s="43">
        <f>IFERROR(Y308/H308,"0")+IFERROR(Y309/H309,"0")+IFERROR(Y310/H310,"0")+IFERROR(Y311/H311,"0")+IFERROR(Y312/H312,"0")+IFERROR(Y313/H313,"0")+IFERROR(Y314/H314,"0")</f>
        <v>10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9.0200000000000002E-2</v>
      </c>
      <c r="AA315" s="67"/>
      <c r="AB315" s="67"/>
      <c r="AC315" s="67"/>
    </row>
    <row r="316" spans="1:68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40</v>
      </c>
      <c r="Y316" s="43">
        <f>IFERROR(SUM(Y308:Y314),"0")</f>
        <v>40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33</v>
      </c>
      <c r="Y318" s="55">
        <f>IFERROR(IF(X318="",0,CEILING((X318/$H318),1)*$H318),"")</f>
        <v>33.659999999999997</v>
      </c>
      <c r="Z318" s="41">
        <f>IFERROR(IF(Y318=0,"",ROUNDUP(Y318/H318,0)*0.00502),"")</f>
        <v>8.5339999999999999E-2</v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34.666666666666664</v>
      </c>
      <c r="BN318" s="78">
        <f>IFERROR(Y318*I318/H318,"0")</f>
        <v>35.36</v>
      </c>
      <c r="BO318" s="78">
        <f>IFERROR(1/J318*(X318/H318),"0")</f>
        <v>7.122507122507124E-2</v>
      </c>
      <c r="BP318" s="78">
        <f>IFERROR(1/J318*(Y318/H318),"0")</f>
        <v>7.2649572649572655E-2</v>
      </c>
    </row>
    <row r="319" spans="1:68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16.666666666666668</v>
      </c>
      <c r="Y319" s="43">
        <f>IFERROR(Y318/H318,"0")</f>
        <v>17</v>
      </c>
      <c r="Z319" s="43">
        <f>IFERROR(IF(Z318="",0,Z318),"0")</f>
        <v>8.5339999999999999E-2</v>
      </c>
      <c r="AA319" s="67"/>
      <c r="AB319" s="67"/>
      <c r="AC319" s="67"/>
    </row>
    <row r="320" spans="1:68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33</v>
      </c>
      <c r="Y320" s="43">
        <f>IFERROR(SUM(Y318:Y318),"0")</f>
        <v>33.659999999999997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80</v>
      </c>
      <c r="Y343" s="55">
        <f>IFERROR(IF(X343="",0,CEILING((X343/$H343),1)*$H343),"")</f>
        <v>81.599999999999994</v>
      </c>
      <c r="Z343" s="41">
        <f>IFERROR(IF(Y343=0,"",ROUNDUP(Y343/H343,0)*0.00651),"")</f>
        <v>0.22134000000000001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88.40000000000002</v>
      </c>
      <c r="BN343" s="78">
        <f>IFERROR(Y343*I343/H343,"0")</f>
        <v>90.168000000000006</v>
      </c>
      <c r="BO343" s="78">
        <f>IFERROR(1/J343*(X343/H343),"0")</f>
        <v>0.18315018315018317</v>
      </c>
      <c r="BP343" s="78">
        <f>IFERROR(1/J343*(Y343/H343),"0")</f>
        <v>0.18681318681318682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400</v>
      </c>
      <c r="Y344" s="55">
        <f>IFERROR(IF(X344="",0,CEILING((X344/$H344),1)*$H344),"")</f>
        <v>400.8</v>
      </c>
      <c r="Z344" s="41">
        <f>IFERROR(IF(Y344=0,"",ROUNDUP(Y344/H344,0)*0.00651),"")</f>
        <v>1.08717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430</v>
      </c>
      <c r="BN344" s="78">
        <f>IFERROR(Y344*I344/H344,"0")</f>
        <v>430.86000000000007</v>
      </c>
      <c r="BO344" s="78">
        <f>IFERROR(1/J344*(X344/H344),"0")</f>
        <v>0.91575091575091594</v>
      </c>
      <c r="BP344" s="78">
        <f>IFERROR(1/J344*(Y344/H344),"0")</f>
        <v>0.91758241758241765</v>
      </c>
    </row>
    <row r="345" spans="1:68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200.00000000000003</v>
      </c>
      <c r="Y345" s="43">
        <f>IFERROR(Y342/H342,"0")+IFERROR(Y343/H343,"0")+IFERROR(Y344/H344,"0")</f>
        <v>201</v>
      </c>
      <c r="Z345" s="43">
        <f>IFERROR(IF(Z342="",0,Z342),"0")+IFERROR(IF(Z343="",0,Z343),"0")+IFERROR(IF(Z344="",0,Z344),"0")</f>
        <v>1.3085100000000001</v>
      </c>
      <c r="AA345" s="67"/>
      <c r="AB345" s="67"/>
      <c r="AC345" s="67"/>
    </row>
    <row r="346" spans="1:68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480</v>
      </c>
      <c r="Y346" s="43">
        <f>IFERROR(SUM(Y342:Y344),"0")</f>
        <v>482.4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280</v>
      </c>
      <c r="Y383" s="55">
        <f t="shared" si="65"/>
        <v>281.40000000000003</v>
      </c>
      <c r="Z383" s="41">
        <f>IFERROR(IF(Y383=0,"",ROUNDUP(Y383/H383,0)*0.00502),"")</f>
        <v>0.67268000000000006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293.33333333333331</v>
      </c>
      <c r="BN383" s="78">
        <f t="shared" si="67"/>
        <v>294.80000000000007</v>
      </c>
      <c r="BO383" s="78">
        <f t="shared" si="68"/>
        <v>0.56980056980056981</v>
      </c>
      <c r="BP383" s="78">
        <f t="shared" si="69"/>
        <v>0.57264957264957272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60</v>
      </c>
      <c r="Y385" s="55">
        <f t="shared" si="65"/>
        <v>61.2</v>
      </c>
      <c r="Z385" s="41">
        <f>IFERROR(IF(Y385=0,"",ROUNDUP(Y385/H385,0)*0.00651),"")</f>
        <v>0.22134000000000001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67.600000000000009</v>
      </c>
      <c r="BN385" s="78">
        <f t="shared" si="67"/>
        <v>68.951999999999998</v>
      </c>
      <c r="BO385" s="78">
        <f t="shared" si="68"/>
        <v>0.18315018315018317</v>
      </c>
      <c r="BP385" s="78">
        <f t="shared" si="69"/>
        <v>0.18681318681318682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166.66666666666666</v>
      </c>
      <c r="Y386" s="43">
        <f>IFERROR(Y379/H379,"0")+IFERROR(Y380/H380,"0")+IFERROR(Y381/H381,"0")+IFERROR(Y382/H382,"0")+IFERROR(Y383/H383,"0")+IFERROR(Y384/H384,"0")+IFERROR(Y385/H385,"0")</f>
        <v>168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0.89402000000000004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340</v>
      </c>
      <c r="Y387" s="43">
        <f>IFERROR(SUM(Y379:Y385),"0")</f>
        <v>342.6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300</v>
      </c>
      <c r="Y396" s="55">
        <f>IFERROR(IF(X396="",0,CEILING((X396/$H396),1)*$H396),"")</f>
        <v>302.40000000000003</v>
      </c>
      <c r="Z396" s="41">
        <f>IFERROR(IF(Y396=0,"",ROUNDUP(Y396/H396,0)*0.01898),"")</f>
        <v>0.68328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317.64285714285711</v>
      </c>
      <c r="BN396" s="78">
        <f>IFERROR(Y396*I396/H396,"0")</f>
        <v>320.18400000000003</v>
      </c>
      <c r="BO396" s="78">
        <f>IFERROR(1/J396*(X396/H396),"0")</f>
        <v>0.5580357142857143</v>
      </c>
      <c r="BP396" s="78">
        <f>IFERROR(1/J396*(Y396/H396),"0")</f>
        <v>0.5625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500</v>
      </c>
      <c r="Y397" s="55">
        <f>IFERROR(IF(X397="",0,CEILING((X397/$H397),1)*$H397),"")</f>
        <v>507</v>
      </c>
      <c r="Z397" s="41">
        <f>IFERROR(IF(Y397=0,"",ROUNDUP(Y397/H397,0)*0.01898),"")</f>
        <v>1.2337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531.66666666666663</v>
      </c>
      <c r="BN397" s="78">
        <f>IFERROR(Y397*I397/H397,"0")</f>
        <v>539.11</v>
      </c>
      <c r="BO397" s="78">
        <f>IFERROR(1/J397*(X397/H397),"0")</f>
        <v>1.0016025641025641</v>
      </c>
      <c r="BP397" s="78">
        <f>IFERROR(1/J397*(Y397/H397),"0")</f>
        <v>1.015625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105.88095238095238</v>
      </c>
      <c r="BN398" s="78">
        <f>IFERROR(Y398*I398/H398,"0")</f>
        <v>106.72800000000001</v>
      </c>
      <c r="BO398" s="78">
        <f>IFERROR(1/J398*(X398/H398),"0")</f>
        <v>0.18601190476190477</v>
      </c>
      <c r="BP398" s="78">
        <f>IFERROR(1/J398*(Y398/H398),"0")</f>
        <v>0.1875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111.72161172161171</v>
      </c>
      <c r="Y399" s="43">
        <f>IFERROR(Y396/H396,"0")+IFERROR(Y397/H397,"0")+IFERROR(Y398/H398,"0")</f>
        <v>113</v>
      </c>
      <c r="Z399" s="43">
        <f>IFERROR(IF(Z396="",0,Z396),"0")+IFERROR(IF(Z397="",0,Z397),"0")+IFERROR(IF(Z398="",0,Z398),"0")</f>
        <v>2.1447400000000001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900</v>
      </c>
      <c r="Y400" s="43">
        <f>IFERROR(SUM(Y396:Y398),"0")</f>
        <v>910.2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>
        <v>150</v>
      </c>
      <c r="Y422" s="55">
        <f>IFERROR(IF(X422="",0,CEILING((X422/$H422),1)*$H422),"")</f>
        <v>156</v>
      </c>
      <c r="Z422" s="41">
        <f>IFERROR(IF(Y422=0,"",ROUNDUP(Y422/H422,0)*0.01898),"")</f>
        <v>0.37959999999999999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157.88461538461542</v>
      </c>
      <c r="BN422" s="78">
        <f>IFERROR(Y422*I422/H422,"0")</f>
        <v>164.20000000000005</v>
      </c>
      <c r="BO422" s="78">
        <f>IFERROR(1/J422*(X422/H422),"0")</f>
        <v>0.30048076923076922</v>
      </c>
      <c r="BP422" s="78">
        <f>IFERROR(1/J422*(Y422/H422),"0")</f>
        <v>0.3125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19.23076923076923</v>
      </c>
      <c r="Y424" s="43">
        <f>IFERROR(Y422/H422,"0")+IFERROR(Y423/H423,"0")</f>
        <v>20</v>
      </c>
      <c r="Z424" s="43">
        <f>IFERROR(IF(Z422="",0,Z422),"0")+IFERROR(IF(Z423="",0,Z423),"0")</f>
        <v>0.37959999999999999</v>
      </c>
      <c r="AA424" s="67"/>
      <c r="AB424" s="67"/>
      <c r="AC424" s="67"/>
    </row>
    <row r="425" spans="1:68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150</v>
      </c>
      <c r="Y425" s="43">
        <f>IFERROR(SUM(Y422:Y423),"0")</f>
        <v>156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525</v>
      </c>
      <c r="Y429" s="55">
        <f>IFERROR(IF(X429="",0,CEILING((X429/$H429),1)*$H429),"")</f>
        <v>525</v>
      </c>
      <c r="Z429" s="41">
        <f>IFERROR(IF(Y429=0,"",ROUNDUP(Y429/H429,0)*0.00651),"")</f>
        <v>1.6274999999999999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588</v>
      </c>
      <c r="BN429" s="78">
        <f>IFERROR(Y429*I429/H429,"0")</f>
        <v>588</v>
      </c>
      <c r="BO429" s="78">
        <f>IFERROR(1/J429*(X429/H429),"0")</f>
        <v>1.3736263736263736</v>
      </c>
      <c r="BP429" s="78">
        <f>IFERROR(1/J429*(Y429/H429),"0")</f>
        <v>1.3736263736263736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350</v>
      </c>
      <c r="Y430" s="55">
        <f>IFERROR(IF(X430="",0,CEILING((X430/$H430),1)*$H430),"")</f>
        <v>350.7</v>
      </c>
      <c r="Z430" s="41">
        <f>IFERROR(IF(Y430=0,"",ROUNDUP(Y430/H430,0)*0.00651),"")</f>
        <v>1.08717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390</v>
      </c>
      <c r="BN430" s="78">
        <f>IFERROR(Y430*I430/H430,"0")</f>
        <v>390.78</v>
      </c>
      <c r="BO430" s="78">
        <f>IFERROR(1/J430*(X430/H430),"0")</f>
        <v>0.91575091575091572</v>
      </c>
      <c r="BP430" s="78">
        <f>IFERROR(1/J430*(Y430/H430),"0")</f>
        <v>0.91758241758241765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416.66666666666663</v>
      </c>
      <c r="Y431" s="43">
        <f>IFERROR(Y428/H428,"0")+IFERROR(Y429/H429,"0")+IFERROR(Y430/H430,"0")</f>
        <v>417</v>
      </c>
      <c r="Z431" s="43">
        <f>IFERROR(IF(Z428="",0,Z428),"0")+IFERROR(IF(Z429="",0,Z429),"0")+IFERROR(IF(Z430="",0,Z430),"0")</f>
        <v>2.7146699999999999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875</v>
      </c>
      <c r="Y432" s="43">
        <f>IFERROR(SUM(Y428:Y430),"0")</f>
        <v>875.7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60</v>
      </c>
      <c r="Y436" s="55">
        <f t="shared" ref="Y436:Y443" si="70">IFERROR(IF(X436="",0,CEILING((X436/$H436),1)*$H436),"")</f>
        <v>60</v>
      </c>
      <c r="Z436" s="41">
        <f>IFERROR(IF(Y436=0,"",ROUNDUP(Y436/H436,0)*0.02175),"")</f>
        <v>8.6999999999999994E-2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61.88</v>
      </c>
      <c r="BN436" s="78">
        <f t="shared" ref="BN436:BN443" si="72">IFERROR(Y436*I436/H436,"0")</f>
        <v>61.88</v>
      </c>
      <c r="BO436" s="78">
        <f t="shared" ref="BO436:BO443" si="73">IFERROR(1/J436*(X436/H436),"0")</f>
        <v>8.3333333333333329E-2</v>
      </c>
      <c r="BP436" s="78">
        <f t="shared" ref="BP436:BP443" si="74">IFERROR(1/J436*(Y436/H436),"0")</f>
        <v>8.3333333333333329E-2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700</v>
      </c>
      <c r="Y437" s="55">
        <f t="shared" si="70"/>
        <v>705</v>
      </c>
      <c r="Z437" s="41">
        <f>IFERROR(IF(Y437=0,"",ROUNDUP(Y437/H437,0)*0.02175),"")</f>
        <v>1.0222499999999999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721.93333333333328</v>
      </c>
      <c r="BN437" s="78">
        <f t="shared" si="72"/>
        <v>727.09</v>
      </c>
      <c r="BO437" s="78">
        <f t="shared" si="73"/>
        <v>0.9722222222222221</v>
      </c>
      <c r="BP437" s="78">
        <f t="shared" si="74"/>
        <v>0.97916666666666663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700</v>
      </c>
      <c r="Y438" s="55">
        <f t="shared" si="70"/>
        <v>705</v>
      </c>
      <c r="Z438" s="41">
        <f>IFERROR(IF(Y438=0,"",ROUNDUP(Y438/H438,0)*0.02175),"")</f>
        <v>1.0222499999999999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721.93333333333328</v>
      </c>
      <c r="BN438" s="78">
        <f t="shared" si="72"/>
        <v>727.09</v>
      </c>
      <c r="BO438" s="78">
        <f t="shared" si="73"/>
        <v>0.9722222222222221</v>
      </c>
      <c r="BP438" s="78">
        <f t="shared" si="74"/>
        <v>0.97916666666666663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70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1031.3333333333333</v>
      </c>
      <c r="BN439" s="78">
        <f t="shared" si="72"/>
        <v>1036.49</v>
      </c>
      <c r="BO439" s="78">
        <f t="shared" si="73"/>
        <v>1.3888888888888888</v>
      </c>
      <c r="BP439" s="78">
        <f t="shared" si="74"/>
        <v>1.3958333333333333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70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515.66666666666663</v>
      </c>
      <c r="BN440" s="78">
        <f t="shared" si="72"/>
        <v>525.98</v>
      </c>
      <c r="BO440" s="78">
        <f t="shared" si="73"/>
        <v>0.69444444444444442</v>
      </c>
      <c r="BP440" s="78">
        <f t="shared" si="74"/>
        <v>0.70833333333333326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10</v>
      </c>
      <c r="Y443" s="55">
        <f t="shared" si="70"/>
        <v>10</v>
      </c>
      <c r="Z443" s="41">
        <f>IFERROR(IF(Y443=0,"",ROUNDUP(Y443/H443,0)*0.00902),"")</f>
        <v>1.804E-2</v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10.38</v>
      </c>
      <c r="BN443" s="78">
        <f t="shared" si="72"/>
        <v>10.38</v>
      </c>
      <c r="BO443" s="78">
        <f t="shared" si="73"/>
        <v>1.5151515151515152E-2</v>
      </c>
      <c r="BP443" s="78">
        <f t="shared" si="74"/>
        <v>1.5151515151515152E-2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199.33333333333334</v>
      </c>
      <c r="Y444" s="43">
        <f>IFERROR(Y436/H436,"0")+IFERROR(Y437/H437,"0")+IFERROR(Y438/H438,"0")+IFERROR(Y439/H439,"0")+IFERROR(Y440/H440,"0")+IFERROR(Y441/H441,"0")+IFERROR(Y442/H442,"0")+IFERROR(Y443/H443,"0")</f>
        <v>201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4.3462899999999998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2970</v>
      </c>
      <c r="Y445" s="43">
        <f>IFERROR(SUM(Y436:Y443),"0")</f>
        <v>2995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1100</v>
      </c>
      <c r="Y447" s="55">
        <f>IFERROR(IF(X447="",0,CEILING((X447/$H447),1)*$H447),"")</f>
        <v>1110</v>
      </c>
      <c r="Z447" s="41">
        <f>IFERROR(IF(Y447=0,"",ROUNDUP(Y447/H447,0)*0.02175),"")</f>
        <v>1.6094999999999999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1134.4666666666667</v>
      </c>
      <c r="BN447" s="78">
        <f>IFERROR(Y447*I447/H447,"0")</f>
        <v>1144.78</v>
      </c>
      <c r="BO447" s="78">
        <f>IFERROR(1/J447*(X447/H447),"0")</f>
        <v>1.5277777777777777</v>
      </c>
      <c r="BP447" s="78">
        <f>IFERROR(1/J447*(Y447/H447),"0")</f>
        <v>1.5416666666666665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>
        <v>100</v>
      </c>
      <c r="Y448" s="55">
        <f>IFERROR(IF(X448="",0,CEILING((X448/$H448),1)*$H448),"")</f>
        <v>105</v>
      </c>
      <c r="Z448" s="41">
        <f>IFERROR(IF(Y448=0,"",ROUNDUP(Y448/H448,0)*0.02175),"")</f>
        <v>0.15225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103.13333333333334</v>
      </c>
      <c r="BN448" s="78">
        <f>IFERROR(Y448*I448/H448,"0")</f>
        <v>108.29</v>
      </c>
      <c r="BO448" s="78">
        <f>IFERROR(1/J448*(X448/H448),"0")</f>
        <v>0.1388888888888889</v>
      </c>
      <c r="BP448" s="78">
        <f>IFERROR(1/J448*(Y448/H448),"0")</f>
        <v>0.14583333333333331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80</v>
      </c>
      <c r="Y450" s="43">
        <f>IFERROR(Y447/H447,"0")+IFERROR(Y448/H448,"0")+IFERROR(Y449/H449,"0")</f>
        <v>81</v>
      </c>
      <c r="Z450" s="43">
        <f>IFERROR(IF(Z447="",0,Z447),"0")+IFERROR(IF(Z448="",0,Z448),"0")+IFERROR(IF(Z449="",0,Z449),"0")</f>
        <v>1.7617499999999999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1200</v>
      </c>
      <c r="Y451" s="43">
        <f>IFERROR(SUM(Y447:Y449),"0")</f>
        <v>1215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30</v>
      </c>
      <c r="Y454" s="55">
        <f>IFERROR(IF(X454="",0,CEILING((X454/$H454),1)*$H454),"")</f>
        <v>36</v>
      </c>
      <c r="Z454" s="41">
        <f>IFERROR(IF(Y454=0,"",ROUNDUP(Y454/H454,0)*0.01898),"")</f>
        <v>7.5920000000000001E-2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31.646666666666665</v>
      </c>
      <c r="BN454" s="78">
        <f>IFERROR(Y454*I454/H454,"0")</f>
        <v>37.975999999999999</v>
      </c>
      <c r="BO454" s="78">
        <f>IFERROR(1/J454*(X454/H454),"0")</f>
        <v>5.2083333333333336E-2</v>
      </c>
      <c r="BP454" s="78">
        <f>IFERROR(1/J454*(Y454/H454),"0")</f>
        <v>6.25E-2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3.3333333333333335</v>
      </c>
      <c r="Y456" s="43">
        <f>IFERROR(Y453/H453,"0")+IFERROR(Y454/H454,"0")+IFERROR(Y455/H455,"0")</f>
        <v>4</v>
      </c>
      <c r="Z456" s="43">
        <f>IFERROR(IF(Z453="",0,Z453),"0")+IFERROR(IF(Z454="",0,Z454),"0")+IFERROR(IF(Z455="",0,Z455),"0")</f>
        <v>7.5920000000000001E-2</v>
      </c>
      <c r="AA456" s="67"/>
      <c r="AB456" s="67"/>
      <c r="AC456" s="67"/>
    </row>
    <row r="457" spans="1:68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30</v>
      </c>
      <c r="Y457" s="43">
        <f>IFERROR(SUM(Y453:Y455),"0")</f>
        <v>36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5.6940000000000004E-2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31.025000000000002</v>
      </c>
      <c r="BN465" s="78">
        <f>IFERROR(Y465*I465/H465,"0")</f>
        <v>37.229999999999997</v>
      </c>
      <c r="BO465" s="78">
        <f>IFERROR(1/J465*(X465/H465),"0")</f>
        <v>3.90625E-2</v>
      </c>
      <c r="BP465" s="78">
        <f>IFERROR(1/J465*(Y465/H465),"0")</f>
        <v>4.6875E-2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2.5</v>
      </c>
      <c r="Y467" s="43">
        <f>IFERROR(Y465/H465,"0")+IFERROR(Y466/H466,"0")</f>
        <v>3</v>
      </c>
      <c r="Z467" s="43">
        <f>IFERROR(IF(Z465="",0,Z465),"0")+IFERROR(IF(Z466="",0,Z466),"0")</f>
        <v>5.6940000000000004E-2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30</v>
      </c>
      <c r="Y468" s="43">
        <f>IFERROR(SUM(Y465:Y466),"0")</f>
        <v>36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30</v>
      </c>
      <c r="Y474" s="55">
        <f>IFERROR(IF(X474="",0,CEILING((X474/$H474),1)*$H474),"")</f>
        <v>36</v>
      </c>
      <c r="Z474" s="41">
        <f>IFERROR(IF(Y474=0,"",ROUNDUP(Y474/H474,0)*0.01898),"")</f>
        <v>7.5920000000000001E-2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31.646666666666665</v>
      </c>
      <c r="BN474" s="78">
        <f>IFERROR(Y474*I474/H474,"0")</f>
        <v>37.975999999999999</v>
      </c>
      <c r="BO474" s="78">
        <f>IFERROR(1/J474*(X474/H474),"0")</f>
        <v>5.2083333333333336E-2</v>
      </c>
      <c r="BP474" s="78">
        <f>IFERROR(1/J474*(Y474/H474),"0")</f>
        <v>6.25E-2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3.3333333333333335</v>
      </c>
      <c r="Y477" s="43">
        <f>IFERROR(Y474/H474,"0")+IFERROR(Y475/H475,"0")+IFERROR(Y476/H476,"0")</f>
        <v>4</v>
      </c>
      <c r="Z477" s="43">
        <f>IFERROR(IF(Z474="",0,Z474),"0")+IFERROR(IF(Z475="",0,Z475),"0")+IFERROR(IF(Z476="",0,Z476),"0")</f>
        <v>7.5920000000000001E-2</v>
      </c>
      <c r="AA477" s="67"/>
      <c r="AB477" s="67"/>
      <c r="AC477" s="67"/>
    </row>
    <row r="478" spans="1:68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30</v>
      </c>
      <c r="Y478" s="43">
        <f>IFERROR(SUM(Y474:Y476),"0")</f>
        <v>36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50</v>
      </c>
      <c r="Y509" s="55">
        <f t="shared" ref="Y509:Y517" si="80">IFERROR(IF(X509="",0,CEILING((X509/$H509),1)*$H509),"")</f>
        <v>52.800000000000004</v>
      </c>
      <c r="Z509" s="41">
        <f t="shared" ref="Z509:Z514" si="81">IFERROR(IF(Y509=0,"",ROUNDUP(Y509/H509,0)*0.01196),"")</f>
        <v>0.1196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53.314393939393938</v>
      </c>
      <c r="BN509" s="78">
        <f t="shared" ref="BN509:BN517" si="83">IFERROR(Y509*I509/H509,"0")</f>
        <v>56.3</v>
      </c>
      <c r="BO509" s="78">
        <f t="shared" ref="BO509:BO517" si="84">IFERROR(1/J509*(X509/H509),"0")</f>
        <v>9.1054778554778545E-2</v>
      </c>
      <c r="BP509" s="78">
        <f t="shared" ref="BP509:BP517" si="85">IFERROR(1/J509*(Y509/H509),"0")</f>
        <v>9.6153846153846159E-2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100</v>
      </c>
      <c r="Y512" s="55">
        <f t="shared" si="80"/>
        <v>100.32000000000001</v>
      </c>
      <c r="Z512" s="41">
        <f t="shared" si="81"/>
        <v>0.22724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106.62878787878788</v>
      </c>
      <c r="BN512" s="78">
        <f t="shared" si="83"/>
        <v>106.97</v>
      </c>
      <c r="BO512" s="78">
        <f t="shared" si="84"/>
        <v>0.18210955710955709</v>
      </c>
      <c r="BP512" s="78">
        <f t="shared" si="85"/>
        <v>0.18269230769230771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250</v>
      </c>
      <c r="Y514" s="55">
        <f t="shared" si="80"/>
        <v>253.44</v>
      </c>
      <c r="Z514" s="41">
        <f t="shared" si="81"/>
        <v>0.57408000000000003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266.57196969696969</v>
      </c>
      <c r="BN514" s="78">
        <f t="shared" si="83"/>
        <v>270.23999999999995</v>
      </c>
      <c r="BO514" s="78">
        <f t="shared" si="84"/>
        <v>0.45527389277389274</v>
      </c>
      <c r="BP514" s="78">
        <f t="shared" si="85"/>
        <v>0.46153846153846156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48</v>
      </c>
      <c r="Y516" s="55">
        <f t="shared" si="80"/>
        <v>48</v>
      </c>
      <c r="Z516" s="41">
        <f>IFERROR(IF(Y516=0,"",ROUNDUP(Y516/H516,0)*0.00902),"")</f>
        <v>9.0200000000000002E-2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69.100000000000009</v>
      </c>
      <c r="BN516" s="78">
        <f t="shared" si="83"/>
        <v>69.100000000000009</v>
      </c>
      <c r="BO516" s="78">
        <f t="shared" si="84"/>
        <v>7.575757575757576E-2</v>
      </c>
      <c r="BP516" s="78">
        <f t="shared" si="85"/>
        <v>7.575757575757576E-2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90</v>
      </c>
      <c r="Y517" s="55">
        <f t="shared" si="80"/>
        <v>91.2</v>
      </c>
      <c r="Z517" s="41">
        <f>IFERROR(IF(Y517=0,"",ROUNDUP(Y517/H517,0)*0.00902),"")</f>
        <v>0.17138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129.5625</v>
      </c>
      <c r="BN517" s="78">
        <f t="shared" si="83"/>
        <v>131.29000000000002</v>
      </c>
      <c r="BO517" s="78">
        <f t="shared" si="84"/>
        <v>0.14204545454545456</v>
      </c>
      <c r="BP517" s="78">
        <f t="shared" si="85"/>
        <v>0.14393939393939395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104.50757575757575</v>
      </c>
      <c r="Y518" s="43">
        <f>IFERROR(Y509/H509,"0")+IFERROR(Y510/H510,"0")+IFERROR(Y511/H511,"0")+IFERROR(Y512/H512,"0")+IFERROR(Y513/H513,"0")+IFERROR(Y514/H514,"0")+IFERROR(Y515/H515,"0")+IFERROR(Y516/H516,"0")+IFERROR(Y517/H517,"0")</f>
        <v>106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1.1825000000000001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538</v>
      </c>
      <c r="Y519" s="43">
        <f>IFERROR(SUM(Y509:Y517),"0")</f>
        <v>545.76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400</v>
      </c>
      <c r="Y521" s="55">
        <f>IFERROR(IF(X521="",0,CEILING((X521/$H521),1)*$H521),"")</f>
        <v>401.28000000000003</v>
      </c>
      <c r="Z521" s="41">
        <f>IFERROR(IF(Y521=0,"",ROUNDUP(Y521/H521,0)*0.01196),"")</f>
        <v>0.90895999999999999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426.5151515151515</v>
      </c>
      <c r="BN521" s="78">
        <f>IFERROR(Y521*I521/H521,"0")</f>
        <v>427.88</v>
      </c>
      <c r="BO521" s="78">
        <f>IFERROR(1/J521*(X521/H521),"0")</f>
        <v>0.72843822843822836</v>
      </c>
      <c r="BP521" s="78">
        <f>IFERROR(1/J521*(Y521/H521),"0")</f>
        <v>0.73076923076923084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90</v>
      </c>
      <c r="Y523" s="55">
        <f>IFERROR(IF(X523="",0,CEILING((X523/$H523),1)*$H523),"")</f>
        <v>91.2</v>
      </c>
      <c r="Z523" s="41">
        <f>IFERROR(IF(Y523=0,"",ROUNDUP(Y523/H523,0)*0.00902),"")</f>
        <v>0.17138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129.5625</v>
      </c>
      <c r="BN523" s="78">
        <f>IFERROR(Y523*I523/H523,"0")</f>
        <v>131.29000000000002</v>
      </c>
      <c r="BO523" s="78">
        <f>IFERROR(1/J523*(X523/H523),"0")</f>
        <v>0.14204545454545456</v>
      </c>
      <c r="BP523" s="78">
        <f>IFERROR(1/J523*(Y523/H523),"0")</f>
        <v>0.14393939393939395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94.507575757575751</v>
      </c>
      <c r="Y524" s="43">
        <f>IFERROR(Y521/H521,"0")+IFERROR(Y522/H522,"0")+IFERROR(Y523/H523,"0")</f>
        <v>95</v>
      </c>
      <c r="Z524" s="43">
        <f>IFERROR(IF(Z521="",0,Z521),"0")+IFERROR(IF(Z522="",0,Z522),"0")+IFERROR(IF(Z523="",0,Z523),"0")</f>
        <v>1.0803400000000001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490</v>
      </c>
      <c r="Y525" s="43">
        <f>IFERROR(SUM(Y521:Y523),"0")</f>
        <v>492.48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8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53.314393939393938</v>
      </c>
      <c r="BN527" s="78">
        <f t="shared" ref="BN527:BN533" si="88">IFERROR(Y527*I527/H527,"0")</f>
        <v>56.3</v>
      </c>
      <c r="BO527" s="78">
        <f t="shared" ref="BO527:BO533" si="89">IFERROR(1/J527*(X527/H527),"0")</f>
        <v>9.1054778554778545E-2</v>
      </c>
      <c r="BP527" s="78">
        <f t="shared" ref="BP527:BP533" si="90">IFERROR(1/J527*(Y527/H527),"0")</f>
        <v>9.6153846153846159E-2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si="86"/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31.988636363636363</v>
      </c>
      <c r="BN528" s="78">
        <f t="shared" si="88"/>
        <v>33.779999999999994</v>
      </c>
      <c r="BO528" s="78">
        <f t="shared" si="89"/>
        <v>5.4632867132867136E-2</v>
      </c>
      <c r="BP528" s="78">
        <f t="shared" si="90"/>
        <v>5.7692307692307696E-2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300</v>
      </c>
      <c r="Y529" s="55">
        <f t="shared" si="86"/>
        <v>300.96000000000004</v>
      </c>
      <c r="Z529" s="41">
        <f>IFERROR(IF(Y529=0,"",ROUNDUP(Y529/H529,0)*0.01196),"")</f>
        <v>0.68171999999999999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319.88636363636363</v>
      </c>
      <c r="BN529" s="78">
        <f t="shared" si="88"/>
        <v>320.91000000000003</v>
      </c>
      <c r="BO529" s="78">
        <f t="shared" si="89"/>
        <v>0.54632867132867136</v>
      </c>
      <c r="BP529" s="78">
        <f t="shared" si="90"/>
        <v>0.54807692307692313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120</v>
      </c>
      <c r="Y533" s="55">
        <f t="shared" si="86"/>
        <v>120</v>
      </c>
      <c r="Z533" s="41">
        <f>IFERROR(IF(Y533=0,"",ROUNDUP(Y533/H533,0)*0.00902),"")</f>
        <v>0.22550000000000001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166.75</v>
      </c>
      <c r="BN533" s="78">
        <f t="shared" si="88"/>
        <v>166.75</v>
      </c>
      <c r="BO533" s="78">
        <f t="shared" si="89"/>
        <v>0.18939393939393939</v>
      </c>
      <c r="BP533" s="78">
        <f t="shared" si="90"/>
        <v>0.18939393939393939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96.969696969696969</v>
      </c>
      <c r="Y534" s="43">
        <f>IFERROR(Y527/H527,"0")+IFERROR(Y528/H528,"0")+IFERROR(Y529/H529,"0")+IFERROR(Y530/H530,"0")+IFERROR(Y531/H531,"0")+IFERROR(Y532/H532,"0")+IFERROR(Y533/H533,"0")</f>
        <v>98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1.0985799999999999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500</v>
      </c>
      <c r="Y535" s="43">
        <f>IFERROR(SUM(Y527:Y533),"0")</f>
        <v>505.44000000000005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120</v>
      </c>
      <c r="Y539" s="55">
        <f>IFERROR(IF(X539="",0,CEILING((X539/$H539),1)*$H539),"")</f>
        <v>120</v>
      </c>
      <c r="Z539" s="41">
        <f>IFERROR(IF(Y539=0,"",ROUNDUP(Y539/H539,0)*0.01898),"")</f>
        <v>0.1898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124.10000000000001</v>
      </c>
      <c r="BN539" s="78">
        <f>IFERROR(Y539*I539/H539,"0")</f>
        <v>124.10000000000001</v>
      </c>
      <c r="BO539" s="78">
        <f>IFERROR(1/J539*(X539/H539),"0")</f>
        <v>0.15625</v>
      </c>
      <c r="BP539" s="78">
        <f>IFERROR(1/J539*(Y539/H539),"0")</f>
        <v>0.15625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10</v>
      </c>
      <c r="Y540" s="43">
        <f>IFERROR(Y539/H539,"0")</f>
        <v>10</v>
      </c>
      <c r="Z540" s="43">
        <f>IFERROR(IF(Z539="",0,Z539),"0")</f>
        <v>0.1898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120</v>
      </c>
      <c r="Y541" s="43">
        <f>IFERROR(SUM(Y539:Y539),"0")</f>
        <v>120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500</v>
      </c>
      <c r="Y551" s="55">
        <f>IFERROR(IF(X551="",0,CEILING((X551/$H551),1)*$H551),"")</f>
        <v>504</v>
      </c>
      <c r="Z551" s="41">
        <f>IFERROR(IF(Y551=0,"",ROUNDUP(Y551/H551,0)*0.01898),"")</f>
        <v>1.06288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527.44444444444446</v>
      </c>
      <c r="BN551" s="78">
        <f>IFERROR(Y551*I551/H551,"0")</f>
        <v>531.66399999999999</v>
      </c>
      <c r="BO551" s="78">
        <f>IFERROR(1/J551*(X551/H551),"0")</f>
        <v>0.86805555555555558</v>
      </c>
      <c r="BP551" s="78">
        <f>IFERROR(1/J551*(Y551/H551),"0")</f>
        <v>0.875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55.555555555555557</v>
      </c>
      <c r="Y552" s="43">
        <f>IFERROR(Y551/H551,"0")</f>
        <v>56</v>
      </c>
      <c r="Z552" s="43">
        <f>IFERROR(IF(Z551="",0,Z551),"0")</f>
        <v>1.06288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500</v>
      </c>
      <c r="Y553" s="43">
        <f>IFERROR(SUM(Y551:Y551),"0")</f>
        <v>504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18628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18819.259999999998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19841.952594270348</v>
      </c>
      <c r="Y565" s="43">
        <f>IFERROR(SUM(BN22:BN561),"0")</f>
        <v>20043.865999999998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35</v>
      </c>
      <c r="Y566" s="44">
        <f>ROUNDUP(SUM(BP22:BP561),0)</f>
        <v>36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20716.952594270348</v>
      </c>
      <c r="Y567" s="43">
        <f>GrossWeightTotalR+PalletQtyTotalR*25</f>
        <v>20943.865999999998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4645.155533164153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4677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41.347029999999997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466.8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891.9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1182.5999999999999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973.98</v>
      </c>
      <c r="H574" s="52">
        <f>IFERROR(Y140*1,"0")+IFERROR(Y141*1,"0")+IFERROR(Y145*1,"0")+IFERROR(Y146*1,"0")+IFERROR(Y150*1,"0")+IFERROR(Y151*1,"0")</f>
        <v>187.28000000000003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1882.8599999999997</v>
      </c>
      <c r="K574" s="52">
        <f>IFERROR(Y215*1,"0")+IFERROR(Y216*1,"0")+IFERROR(Y217*1,"0")+IFERROR(Y218*1,"0")+IFERROR(Y219*1,"0")+IFERROR(Y220*1,"0")+IFERROR(Y221*1,"0")</f>
        <v>108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715.3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3084.3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73.66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482.4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1252.8</v>
      </c>
      <c r="U574" s="52">
        <f>IFERROR(Y422*1,"0")+IFERROR(Y423*1,"0")</f>
        <v>156</v>
      </c>
      <c r="V574" s="52">
        <f>IFERROR(Y428*1,"0")+IFERROR(Y429*1,"0")+IFERROR(Y430*1,"0")</f>
        <v>875.7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4246</v>
      </c>
      <c r="X574" s="52">
        <f>IFERROR(Y465*1,"0")+IFERROR(Y466*1,"0")+IFERROR(Y470*1,"0")+IFERROR(Y474*1,"0")+IFERROR(Y475*1,"0")+IFERROR(Y476*1,"0")</f>
        <v>72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1543.68</v>
      </c>
      <c r="AB574" s="52">
        <f>IFERROR(Y539*1,"0")+IFERROR(Y543*1,"0")+IFERROR(Y547*1,"0")+IFERROR(Y551*1,"0")+IFERROR(Y555*1,"0")+IFERROR(Y556*1,"0")</f>
        <v>624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00,00"/>
        <filter val="1 310,00"/>
        <filter val="1 520,00"/>
        <filter val="1 872,00"/>
        <filter val="10,00"/>
        <filter val="100,00"/>
        <filter val="104,51"/>
        <filter val="111,72"/>
        <filter val="119,26"/>
        <filter val="120,00"/>
        <filter val="120,37"/>
        <filter val="129,26"/>
        <filter val="15,00"/>
        <filter val="150,00"/>
        <filter val="16,67"/>
        <filter val="166,67"/>
        <filter val="175,00"/>
        <filter val="18 628,00"/>
        <filter val="18,75"/>
        <filter val="180,00"/>
        <filter val="19 841,95"/>
        <filter val="19,23"/>
        <filter val="199,33"/>
        <filter val="2 970,00"/>
        <filter val="2,50"/>
        <filter val="20 716,95"/>
        <filter val="200,00"/>
        <filter val="210,00"/>
        <filter val="220,00"/>
        <filter val="224,00"/>
        <filter val="225,00"/>
        <filter val="240,00"/>
        <filter val="25,25"/>
        <filter val="250,00"/>
        <filter val="280,00"/>
        <filter val="3,33"/>
        <filter val="30,00"/>
        <filter val="300,00"/>
        <filter val="31,06"/>
        <filter val="315,00"/>
        <filter val="327,14"/>
        <filter val="33,00"/>
        <filter val="340,00"/>
        <filter val="35"/>
        <filter val="350,00"/>
        <filter val="4 645,16"/>
        <filter val="40,00"/>
        <filter val="400,00"/>
        <filter val="416,67"/>
        <filter val="42,00"/>
        <filter val="460,00"/>
        <filter val="48,00"/>
        <filter val="480,00"/>
        <filter val="490,00"/>
        <filter val="495,00"/>
        <filter val="50,00"/>
        <filter val="500,00"/>
        <filter val="525,00"/>
        <filter val="538,00"/>
        <filter val="540,00"/>
        <filter val="542,59"/>
        <filter val="55,56"/>
        <filter val="572,99"/>
        <filter val="595,00"/>
        <filter val="60,00"/>
        <filter val="600,00"/>
        <filter val="640,00"/>
        <filter val="70,00"/>
        <filter val="700,00"/>
        <filter val="711,00"/>
        <filter val="74,07"/>
        <filter val="742,86"/>
        <filter val="75,93"/>
        <filter val="8,00"/>
        <filter val="80,00"/>
        <filter val="80,37"/>
        <filter val="82,00"/>
        <filter val="875,00"/>
        <filter val="9,26"/>
        <filter val="90,00"/>
        <filter val="900,00"/>
        <filter val="94,51"/>
        <filter val="96,97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