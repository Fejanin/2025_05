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AF9DC6-BD4D-4A56-8EDA-43C98606A3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92" i="2" l="1"/>
  <c r="BN199" i="2"/>
  <c r="BP199" i="2"/>
  <c r="Y200" i="2"/>
  <c r="Z206" i="2"/>
  <c r="BN26" i="2"/>
  <c r="BN28" i="2"/>
  <c r="BN29" i="2"/>
  <c r="Y37" i="2"/>
  <c r="BN35" i="2"/>
  <c r="BN53" i="2"/>
  <c r="Y73" i="2"/>
  <c r="BN115" i="2"/>
  <c r="Z180" i="2"/>
  <c r="Z251" i="2"/>
  <c r="BN254" i="2"/>
  <c r="BN258" i="2"/>
  <c r="Z30" i="2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X279" i="2" l="1"/>
  <c r="Z281" i="2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<sst xmlns="http://schemas.openxmlformats.org/spreadsheetml/2006/main" count="1750" uniqueCount="417">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</sst>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2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4"/>
      <c r="E5" s="464"/>
      <c r="F5" s="465" t="s">
        <v>14</v>
      </c>
      <c r="G5" s="465"/>
      <c r="H5" s="464" t="s">
        <v>416</v>
      </c>
      <c r="I5" s="464"/>
      <c r="J5" s="464"/>
      <c r="K5" s="464"/>
      <c r="L5" s="464"/>
      <c r="M5" s="464"/>
      <c r="N5" s="75"/>
      <c r="P5" s="27" t="s">
        <v>4</v>
      </c>
      <c r="Q5" s="466">
        <v>46279</v>
      </c>
      <c r="R5" s="467"/>
      <c r="T5" s="468" t="s">
        <v>3</v>
      </c>
      <c r="U5" s="469"/>
      <c r="V5" s="470" t="s">
        <v>384</v>
      </c>
      <c r="W5" s="471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391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3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57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3"/>
      <c r="P9" s="31" t="s">
        <v>15</v>
      </c>
      <c r="Q9" s="459">
        <v>46282</v>
      </c>
      <c r="R9" s="459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>
        <v>0.375</v>
      </c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6" t="s">
        <v>79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54"/>
      <c r="AB19" s="54"/>
      <c r="AC19" s="54"/>
    </row>
    <row r="20" spans="1:68" ht="16.5" hidden="1" customHeight="1" x14ac:dyDescent="0.25">
      <c r="A20" s="317" t="s">
        <v>79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65"/>
      <c r="AB20" s="65"/>
      <c r="AC20" s="82"/>
    </row>
    <row r="21" spans="1:68" ht="14.25" hidden="1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7" t="s">
        <v>104</v>
      </c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65"/>
      <c r="AB32" s="65"/>
      <c r="AC32" s="82"/>
    </row>
    <row r="33" spans="1:68" ht="14.25" hidden="1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6" t="s">
        <v>45</v>
      </c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54"/>
      <c r="AB38" s="54"/>
      <c r="AC38" s="54"/>
    </row>
    <row r="39" spans="1:68" ht="16.5" hidden="1" customHeight="1" x14ac:dyDescent="0.25">
      <c r="A39" s="317" t="s">
        <v>110</v>
      </c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65"/>
      <c r="AB39" s="65"/>
      <c r="AC39" s="82"/>
    </row>
    <row r="40" spans="1:68" ht="14.25" hidden="1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84</v>
      </c>
      <c r="Y41" s="55">
        <f>IFERROR(IF(X41="","",X41),"")</f>
        <v>84</v>
      </c>
      <c r="Z41" s="41">
        <f>IFERROR(IF(X41="","",X41*0.00941),"")</f>
        <v>0.79044000000000003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161.43119999999999</v>
      </c>
      <c r="BN41" s="81">
        <f>IFERROR(Y41*I41,"0")</f>
        <v>161.43119999999999</v>
      </c>
      <c r="BO41" s="81">
        <f>IFERROR(X41/J41,"0")</f>
        <v>0.6</v>
      </c>
      <c r="BP41" s="81">
        <f>IFERROR(Y41/J41,"0")</f>
        <v>0.6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hidden="1" customHeight="1" x14ac:dyDescent="0.25">
      <c r="A45" s="317" t="s">
        <v>121</v>
      </c>
      <c r="B45" s="317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65"/>
      <c r="AB45" s="65"/>
      <c r="AC45" s="82"/>
    </row>
    <row r="46" spans="1:68" ht="14.25" hidden="1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17" t="s">
        <v>128</v>
      </c>
      <c r="B51" s="317"/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65"/>
      <c r="AB51" s="65"/>
      <c r="AC51" s="82"/>
    </row>
    <row r="52" spans="1:68" ht="14.25" hidden="1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idden="1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0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17" t="s">
        <v>139</v>
      </c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65"/>
      <c r="AB59" s="65"/>
      <c r="AC59" s="82"/>
    </row>
    <row r="60" spans="1:68" ht="14.25" hidden="1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289">
        <v>4607111037008</v>
      </c>
      <c r="E65" s="28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289">
        <v>4607111037398</v>
      </c>
      <c r="E66" s="28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7"/>
      <c r="P68" s="293" t="s">
        <v>40</v>
      </c>
      <c r="Q68" s="294"/>
      <c r="R68" s="294"/>
      <c r="S68" s="294"/>
      <c r="T68" s="294"/>
      <c r="U68" s="294"/>
      <c r="V68" s="29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07" t="s">
        <v>149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289">
        <v>4607111039705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152</v>
      </c>
      <c r="B71" s="63" t="s">
        <v>153</v>
      </c>
      <c r="C71" s="36">
        <v>4301135665</v>
      </c>
      <c r="D71" s="289">
        <v>4607111039729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155</v>
      </c>
      <c r="B72" s="63" t="s">
        <v>156</v>
      </c>
      <c r="C72" s="36">
        <v>4301135702</v>
      </c>
      <c r="D72" s="289">
        <v>4620207490228</v>
      </c>
      <c r="E72" s="28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1"/>
      <c r="R72" s="291"/>
      <c r="S72" s="291"/>
      <c r="T72" s="29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7"/>
      <c r="P74" s="293" t="s">
        <v>40</v>
      </c>
      <c r="Q74" s="294"/>
      <c r="R74" s="294"/>
      <c r="S74" s="294"/>
      <c r="T74" s="294"/>
      <c r="U74" s="294"/>
      <c r="V74" s="29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17" t="s">
        <v>157</v>
      </c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65"/>
      <c r="AB75" s="65"/>
      <c r="AC75" s="82"/>
    </row>
    <row r="76" spans="1:68" ht="14.25" hidden="1" customHeight="1" x14ac:dyDescent="0.25">
      <c r="A76" s="307" t="s">
        <v>80</v>
      </c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289">
        <v>4607111037411</v>
      </c>
      <c r="E77" s="28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289">
        <v>4607111036728</v>
      </c>
      <c r="E78" s="28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1"/>
      <c r="R78" s="291"/>
      <c r="S78" s="291"/>
      <c r="T78" s="29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7"/>
      <c r="P80" s="293" t="s">
        <v>40</v>
      </c>
      <c r="Q80" s="294"/>
      <c r="R80" s="294"/>
      <c r="S80" s="294"/>
      <c r="T80" s="294"/>
      <c r="U80" s="294"/>
      <c r="V80" s="29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17" t="s">
        <v>164</v>
      </c>
      <c r="B81" s="317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65"/>
      <c r="AB81" s="65"/>
      <c r="AC81" s="82"/>
    </row>
    <row r="82" spans="1:68" ht="14.25" hidden="1" customHeight="1" x14ac:dyDescent="0.25">
      <c r="A82" s="307" t="s">
        <v>149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89">
        <v>4607111033659</v>
      </c>
      <c r="E83" s="28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1"/>
      <c r="R83" s="291"/>
      <c r="S83" s="291"/>
      <c r="T83" s="292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7"/>
      <c r="P85" s="293" t="s">
        <v>40</v>
      </c>
      <c r="Q85" s="294"/>
      <c r="R85" s="294"/>
      <c r="S85" s="294"/>
      <c r="T85" s="294"/>
      <c r="U85" s="294"/>
      <c r="V85" s="295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17" t="s">
        <v>168</v>
      </c>
      <c r="B86" s="317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65"/>
      <c r="AB86" s="65"/>
      <c r="AC86" s="82"/>
    </row>
    <row r="87" spans="1:68" ht="14.25" hidden="1" customHeight="1" x14ac:dyDescent="0.25">
      <c r="A87" s="307" t="s">
        <v>169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89">
        <v>4607111034120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89">
        <v>4607111034137</v>
      </c>
      <c r="E89" s="28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1"/>
      <c r="R89" s="291"/>
      <c r="S89" s="291"/>
      <c r="T89" s="292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7"/>
      <c r="P91" s="293" t="s">
        <v>40</v>
      </c>
      <c r="Q91" s="294"/>
      <c r="R91" s="294"/>
      <c r="S91" s="294"/>
      <c r="T91" s="294"/>
      <c r="U91" s="294"/>
      <c r="V91" s="295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hidden="1" customHeight="1" x14ac:dyDescent="0.25">
      <c r="A92" s="317" t="s">
        <v>176</v>
      </c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65"/>
      <c r="AB92" s="65"/>
      <c r="AC92" s="82"/>
    </row>
    <row r="93" spans="1:68" ht="14.25" hidden="1" customHeight="1" x14ac:dyDescent="0.25">
      <c r="A93" s="307" t="s">
        <v>149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89">
        <v>4620207491027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ref="Y94:Y99" si="6">IFERROR(IF(X94="","",X94),"")</f>
        <v>42</v>
      </c>
      <c r="Z94" s="41">
        <f t="shared" ref="Z94:Z99" si="7">IFERROR(IF(X94="","",X94*0.01788),"")</f>
        <v>0.75095999999999996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150.5112</v>
      </c>
      <c r="BN94" s="81">
        <f t="shared" ref="BN94:BN99" si="9">IFERROR(Y94*I94,"0")</f>
        <v>150.5112</v>
      </c>
      <c r="BO94" s="81">
        <f t="shared" ref="BO94:BO99" si="10">IFERROR(X94/J94,"0")</f>
        <v>0.6</v>
      </c>
      <c r="BP94" s="81">
        <f t="shared" ref="BP94:BP99" si="11">IFERROR(Y94/J94,"0")</f>
        <v>0.6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289">
        <v>4620207491003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289">
        <v>4620207491034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289">
        <v>4620207491010</v>
      </c>
      <c r="E97" s="28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289">
        <v>4607111035028</v>
      </c>
      <c r="E98" s="28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hidden="1" customHeight="1" x14ac:dyDescent="0.25">
      <c r="A99" s="63" t="s">
        <v>188</v>
      </c>
      <c r="B99" s="63" t="s">
        <v>189</v>
      </c>
      <c r="C99" s="36">
        <v>4301135285</v>
      </c>
      <c r="D99" s="289">
        <v>4607111036407</v>
      </c>
      <c r="E99" s="28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39</v>
      </c>
      <c r="X100" s="43">
        <f>IFERROR(SUM(X94:X99),"0")</f>
        <v>210</v>
      </c>
      <c r="Y100" s="43">
        <f>IFERROR(SUM(Y94:Y99),"0")</f>
        <v>210</v>
      </c>
      <c r="Z100" s="43">
        <f>IFERROR(IF(Z94="",0,Z94),"0")+IFERROR(IF(Z95="",0,Z95),"0")+IFERROR(IF(Z96="",0,Z96),"0")+IFERROR(IF(Z97="",0,Z97),"0")+IFERROR(IF(Z98="",0,Z98),"0")+IFERROR(IF(Z99="",0,Z99),"0")</f>
        <v>3.7547999999999999</v>
      </c>
      <c r="AA100" s="67"/>
      <c r="AB100" s="67"/>
      <c r="AC100" s="67"/>
    </row>
    <row r="101" spans="1:68" x14ac:dyDescent="0.2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7"/>
      <c r="P101" s="293" t="s">
        <v>40</v>
      </c>
      <c r="Q101" s="294"/>
      <c r="R101" s="294"/>
      <c r="S101" s="294"/>
      <c r="T101" s="294"/>
      <c r="U101" s="294"/>
      <c r="V101" s="295"/>
      <c r="W101" s="42" t="s">
        <v>0</v>
      </c>
      <c r="X101" s="43">
        <f>IFERROR(SUMPRODUCT(X94:X99*H94:H99),"0")</f>
        <v>618.24</v>
      </c>
      <c r="Y101" s="43">
        <f>IFERROR(SUMPRODUCT(Y94:Y99*H94:H99),"0")</f>
        <v>618.24</v>
      </c>
      <c r="Z101" s="42"/>
      <c r="AA101" s="67"/>
      <c r="AB101" s="67"/>
      <c r="AC101" s="67"/>
    </row>
    <row r="102" spans="1:68" ht="16.5" hidden="1" customHeight="1" x14ac:dyDescent="0.25">
      <c r="A102" s="317" t="s">
        <v>191</v>
      </c>
      <c r="B102" s="317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65"/>
      <c r="AB102" s="65"/>
      <c r="AC102" s="82"/>
    </row>
    <row r="103" spans="1:68" ht="14.25" hidden="1" customHeight="1" x14ac:dyDescent="0.25">
      <c r="A103" s="307" t="s">
        <v>143</v>
      </c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289">
        <v>4607025784012</v>
      </c>
      <c r="E104" s="28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289">
        <v>4607025784319</v>
      </c>
      <c r="E105" s="28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1"/>
      <c r="R105" s="291"/>
      <c r="S105" s="291"/>
      <c r="T105" s="29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7"/>
      <c r="P107" s="293" t="s">
        <v>40</v>
      </c>
      <c r="Q107" s="294"/>
      <c r="R107" s="294"/>
      <c r="S107" s="294"/>
      <c r="T107" s="294"/>
      <c r="U107" s="294"/>
      <c r="V107" s="29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17" t="s">
        <v>197</v>
      </c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65"/>
      <c r="AB108" s="65"/>
      <c r="AC108" s="82"/>
    </row>
    <row r="109" spans="1:68" ht="14.25" hidden="1" customHeight="1" x14ac:dyDescent="0.25">
      <c r="A109" s="307" t="s">
        <v>80</v>
      </c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289">
        <v>4620207491157</v>
      </c>
      <c r="E110" s="28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289">
        <v>4620207491393</v>
      </c>
      <c r="E111" s="28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4301071136</v>
      </c>
      <c r="D112" s="289">
        <v>4620207491829</v>
      </c>
      <c r="E112" s="289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4301071051</v>
      </c>
      <c r="D113" s="289">
        <v>4607111039262</v>
      </c>
      <c r="E113" s="289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208</v>
      </c>
      <c r="B114" s="63" t="s">
        <v>209</v>
      </c>
      <c r="C114" s="36">
        <v>4301071038</v>
      </c>
      <c r="D114" s="289">
        <v>4607111039248</v>
      </c>
      <c r="E114" s="289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210</v>
      </c>
      <c r="B115" s="63" t="s">
        <v>211</v>
      </c>
      <c r="C115" s="36">
        <v>4301070979</v>
      </c>
      <c r="D115" s="289">
        <v>4607111037145</v>
      </c>
      <c r="E115" s="289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4301071049</v>
      </c>
      <c r="D116" s="289">
        <v>4607111039293</v>
      </c>
      <c r="E116" s="289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289">
        <v>4607111039279</v>
      </c>
      <c r="E117" s="289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5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1"/>
      <c r="R117" s="291"/>
      <c r="S117" s="291"/>
      <c r="T117" s="292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87.6</v>
      </c>
      <c r="BN117" s="81">
        <f t="shared" si="15"/>
        <v>87.6</v>
      </c>
      <c r="BO117" s="81">
        <f t="shared" si="16"/>
        <v>0.14285714285714285</v>
      </c>
      <c r="BP117" s="81">
        <f t="shared" si="17"/>
        <v>0.14285714285714285</v>
      </c>
    </row>
    <row r="118" spans="1:68" x14ac:dyDescent="0.2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7"/>
      <c r="P118" s="293" t="s">
        <v>40</v>
      </c>
      <c r="Q118" s="294"/>
      <c r="R118" s="294"/>
      <c r="S118" s="294"/>
      <c r="T118" s="294"/>
      <c r="U118" s="294"/>
      <c r="V118" s="295"/>
      <c r="W118" s="42" t="s">
        <v>39</v>
      </c>
      <c r="X118" s="43">
        <f>IFERROR(SUM(X110:X117),"0")</f>
        <v>12</v>
      </c>
      <c r="Y118" s="43">
        <f>IFERROR(SUM(Y110:Y117),"0")</f>
        <v>12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0.186</v>
      </c>
      <c r="AA118" s="67"/>
      <c r="AB118" s="67"/>
      <c r="AC118" s="67"/>
    </row>
    <row r="119" spans="1:68" x14ac:dyDescent="0.2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7"/>
      <c r="P119" s="293" t="s">
        <v>40</v>
      </c>
      <c r="Q119" s="294"/>
      <c r="R119" s="294"/>
      <c r="S119" s="294"/>
      <c r="T119" s="294"/>
      <c r="U119" s="294"/>
      <c r="V119" s="295"/>
      <c r="W119" s="42" t="s">
        <v>0</v>
      </c>
      <c r="X119" s="43">
        <f>IFERROR(SUMPRODUCT(X110:X117*H110:H117),"0")</f>
        <v>84</v>
      </c>
      <c r="Y119" s="43">
        <f>IFERROR(SUMPRODUCT(Y110:Y117*H110:H117),"0")</f>
        <v>84</v>
      </c>
      <c r="Z119" s="42"/>
      <c r="AA119" s="67"/>
      <c r="AB119" s="67"/>
      <c r="AC119" s="67"/>
    </row>
    <row r="120" spans="1:68" ht="14.25" hidden="1" customHeight="1" x14ac:dyDescent="0.25">
      <c r="A120" s="307" t="s">
        <v>149</v>
      </c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289">
        <v>4620207490983</v>
      </c>
      <c r="E121" s="289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1"/>
      <c r="R121" s="291"/>
      <c r="S121" s="291"/>
      <c r="T121" s="292"/>
      <c r="U121" s="39" t="s">
        <v>46</v>
      </c>
      <c r="V121" s="39" t="s">
        <v>46</v>
      </c>
      <c r="W121" s="40" t="s">
        <v>39</v>
      </c>
      <c r="X121" s="58">
        <v>56</v>
      </c>
      <c r="Y121" s="55">
        <f>IFERROR(IF(X121="","",X121),"")</f>
        <v>56</v>
      </c>
      <c r="Z121" s="41">
        <f>IFERROR(IF(X121="","",X121*0.01788),"")</f>
        <v>1.0012799999999999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187.24160000000001</v>
      </c>
      <c r="BN121" s="81">
        <f>IFERROR(Y121*I121,"0")</f>
        <v>187.24160000000001</v>
      </c>
      <c r="BO121" s="81">
        <f>IFERROR(X121/J121,"0")</f>
        <v>0.8</v>
      </c>
      <c r="BP121" s="81">
        <f>IFERROR(Y121/J121,"0")</f>
        <v>0.8</v>
      </c>
    </row>
    <row r="122" spans="1:68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39</v>
      </c>
      <c r="X122" s="43">
        <f>IFERROR(SUM(X121:X121),"0")</f>
        <v>56</v>
      </c>
      <c r="Y122" s="43">
        <f>IFERROR(SUM(Y121:Y121),"0")</f>
        <v>56</v>
      </c>
      <c r="Z122" s="43">
        <f>IFERROR(IF(Z121="",0,Z121),"0")</f>
        <v>1.0012799999999999</v>
      </c>
      <c r="AA122" s="67"/>
      <c r="AB122" s="67"/>
      <c r="AC122" s="67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7"/>
      <c r="P123" s="293" t="s">
        <v>40</v>
      </c>
      <c r="Q123" s="294"/>
      <c r="R123" s="294"/>
      <c r="S123" s="294"/>
      <c r="T123" s="294"/>
      <c r="U123" s="294"/>
      <c r="V123" s="295"/>
      <c r="W123" s="42" t="s">
        <v>0</v>
      </c>
      <c r="X123" s="43">
        <f>IFERROR(SUMPRODUCT(X121:X121*H121:H121),"0")</f>
        <v>147.84</v>
      </c>
      <c r="Y123" s="43">
        <f>IFERROR(SUMPRODUCT(Y121:Y121*H121:H121),"0")</f>
        <v>147.84</v>
      </c>
      <c r="Z123" s="42"/>
      <c r="AA123" s="67"/>
      <c r="AB123" s="67"/>
      <c r="AC123" s="67"/>
    </row>
    <row r="124" spans="1:68" ht="14.25" hidden="1" customHeight="1" x14ac:dyDescent="0.25">
      <c r="A124" s="307" t="s">
        <v>220</v>
      </c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4301071094</v>
      </c>
      <c r="D125" s="289">
        <v>4620207491140</v>
      </c>
      <c r="E125" s="289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1"/>
      <c r="R125" s="291"/>
      <c r="S125" s="291"/>
      <c r="T125" s="29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7"/>
      <c r="P127" s="293" t="s">
        <v>40</v>
      </c>
      <c r="Q127" s="294"/>
      <c r="R127" s="294"/>
      <c r="S127" s="294"/>
      <c r="T127" s="294"/>
      <c r="U127" s="294"/>
      <c r="V127" s="29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17" t="s">
        <v>224</v>
      </c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65"/>
      <c r="AB128" s="65"/>
      <c r="AC128" s="82"/>
    </row>
    <row r="129" spans="1:68" ht="14.25" hidden="1" customHeight="1" x14ac:dyDescent="0.25">
      <c r="A129" s="307" t="s">
        <v>149</v>
      </c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66"/>
      <c r="AB129" s="66"/>
      <c r="AC129" s="83"/>
    </row>
    <row r="130" spans="1:68" ht="27" hidden="1" customHeight="1" x14ac:dyDescent="0.25">
      <c r="A130" s="63" t="s">
        <v>225</v>
      </c>
      <c r="B130" s="63" t="s">
        <v>226</v>
      </c>
      <c r="C130" s="36">
        <v>4301135848</v>
      </c>
      <c r="D130" s="289">
        <v>4620207491799</v>
      </c>
      <c r="E130" s="28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289">
        <v>4620207491492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289">
        <v>4620207491461</v>
      </c>
      <c r="E132" s="28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121.8</v>
      </c>
      <c r="BN132" s="81">
        <f>IFERROR(Y132*I132,"0")</f>
        <v>121.8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289">
        <v>4620207491485</v>
      </c>
      <c r="E133" s="28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1"/>
      <c r="R133" s="291"/>
      <c r="S133" s="291"/>
      <c r="T133" s="292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IFERROR(IF(X133="","",X133*0.00941),"")</f>
        <v>0.65869999999999995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126</v>
      </c>
      <c r="BN133" s="81">
        <f>IFERROR(Y133*I133,"0")</f>
        <v>126</v>
      </c>
      <c r="BO133" s="81">
        <f>IFERROR(X133/J133,"0")</f>
        <v>0.5</v>
      </c>
      <c r="BP133" s="81">
        <f>IFERROR(Y133/J133,"0")</f>
        <v>0.5</v>
      </c>
    </row>
    <row r="134" spans="1:68" x14ac:dyDescent="0.2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7"/>
      <c r="P134" s="293" t="s">
        <v>40</v>
      </c>
      <c r="Q134" s="294"/>
      <c r="R134" s="294"/>
      <c r="S134" s="294"/>
      <c r="T134" s="294"/>
      <c r="U134" s="294"/>
      <c r="V134" s="295"/>
      <c r="W134" s="42" t="s">
        <v>39</v>
      </c>
      <c r="X134" s="43">
        <f>IFERROR(SUM(X130:X133),"0")</f>
        <v>196</v>
      </c>
      <c r="Y134" s="43">
        <f>IFERROR(SUM(Y130:Y133),"0")</f>
        <v>196</v>
      </c>
      <c r="Z134" s="43">
        <f>IFERROR(IF(Z130="",0,Z130),"0")+IFERROR(IF(Z131="",0,Z131),"0")+IFERROR(IF(Z132="",0,Z132),"0")+IFERROR(IF(Z133="",0,Z133),"0")</f>
        <v>1.84436</v>
      </c>
      <c r="AA134" s="67"/>
      <c r="AB134" s="67"/>
      <c r="AC134" s="67"/>
    </row>
    <row r="135" spans="1:68" x14ac:dyDescent="0.2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7"/>
      <c r="P135" s="293" t="s">
        <v>40</v>
      </c>
      <c r="Q135" s="294"/>
      <c r="R135" s="294"/>
      <c r="S135" s="294"/>
      <c r="T135" s="294"/>
      <c r="U135" s="294"/>
      <c r="V135" s="295"/>
      <c r="W135" s="42" t="s">
        <v>0</v>
      </c>
      <c r="X135" s="43">
        <f>IFERROR(SUMPRODUCT(X130:X133*H130:H133),"0")</f>
        <v>266.27999999999997</v>
      </c>
      <c r="Y135" s="43">
        <f>IFERROR(SUMPRODUCT(Y130:Y133*H130:H133),"0")</f>
        <v>266.27999999999997</v>
      </c>
      <c r="Z135" s="42"/>
      <c r="AA135" s="67"/>
      <c r="AB135" s="67"/>
      <c r="AC135" s="67"/>
    </row>
    <row r="136" spans="1:68" ht="14.25" hidden="1" customHeight="1" x14ac:dyDescent="0.25">
      <c r="A136" s="307" t="s">
        <v>234</v>
      </c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66"/>
      <c r="AB136" s="66"/>
      <c r="AC136" s="83"/>
    </row>
    <row r="137" spans="1:68" ht="27" hidden="1" customHeight="1" x14ac:dyDescent="0.25">
      <c r="A137" s="63" t="s">
        <v>235</v>
      </c>
      <c r="B137" s="63" t="s">
        <v>236</v>
      </c>
      <c r="C137" s="36">
        <v>4301190117</v>
      </c>
      <c r="D137" s="289">
        <v>4620207491386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4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238</v>
      </c>
      <c r="B138" s="63" t="s">
        <v>239</v>
      </c>
      <c r="C138" s="36">
        <v>4301190115</v>
      </c>
      <c r="D138" s="289">
        <v>4620207491362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4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240</v>
      </c>
      <c r="B139" s="63" t="s">
        <v>241</v>
      </c>
      <c r="C139" s="36">
        <v>4301190116</v>
      </c>
      <c r="D139" s="289">
        <v>4620207491379</v>
      </c>
      <c r="E139" s="28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1"/>
      <c r="R139" s="291"/>
      <c r="S139" s="291"/>
      <c r="T139" s="29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7"/>
      <c r="P140" s="293" t="s">
        <v>40</v>
      </c>
      <c r="Q140" s="294"/>
      <c r="R140" s="294"/>
      <c r="S140" s="294"/>
      <c r="T140" s="294"/>
      <c r="U140" s="294"/>
      <c r="V140" s="29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7"/>
      <c r="P141" s="293" t="s">
        <v>40</v>
      </c>
      <c r="Q141" s="294"/>
      <c r="R141" s="294"/>
      <c r="S141" s="294"/>
      <c r="T141" s="294"/>
      <c r="U141" s="294"/>
      <c r="V141" s="29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17" t="s">
        <v>242</v>
      </c>
      <c r="B142" s="317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65"/>
      <c r="AB142" s="65"/>
      <c r="AC142" s="82"/>
    </row>
    <row r="143" spans="1:68" ht="14.25" hidden="1" customHeight="1" x14ac:dyDescent="0.25">
      <c r="A143" s="307" t="s">
        <v>149</v>
      </c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289">
        <v>4607111034014</v>
      </c>
      <c r="E144" s="28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1"/>
      <c r="R144" s="291"/>
      <c r="S144" s="291"/>
      <c r="T144" s="292"/>
      <c r="U144" s="39" t="s">
        <v>46</v>
      </c>
      <c r="V144" s="39" t="s">
        <v>46</v>
      </c>
      <c r="W144" s="40" t="s">
        <v>39</v>
      </c>
      <c r="X144" s="58">
        <v>98</v>
      </c>
      <c r="Y144" s="55">
        <f>IFERROR(IF(X144="","",X144),"")</f>
        <v>98</v>
      </c>
      <c r="Z144" s="41">
        <f>IFERROR(IF(X144="","",X144*0.01788),"")</f>
        <v>1.75224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362.95279999999997</v>
      </c>
      <c r="BN144" s="81">
        <f>IFERROR(Y144*I144,"0")</f>
        <v>362.95279999999997</v>
      </c>
      <c r="BO144" s="81">
        <f>IFERROR(X144/J144,"0")</f>
        <v>1.4</v>
      </c>
      <c r="BP144" s="81">
        <f>IFERROR(Y144/J144,"0")</f>
        <v>1.4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289">
        <v>4607111033994</v>
      </c>
      <c r="E145" s="28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1"/>
      <c r="R145" s="291"/>
      <c r="S145" s="291"/>
      <c r="T145" s="292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x14ac:dyDescent="0.2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7"/>
      <c r="P146" s="293" t="s">
        <v>40</v>
      </c>
      <c r="Q146" s="294"/>
      <c r="R146" s="294"/>
      <c r="S146" s="294"/>
      <c r="T146" s="294"/>
      <c r="U146" s="294"/>
      <c r="V146" s="295"/>
      <c r="W146" s="42" t="s">
        <v>39</v>
      </c>
      <c r="X146" s="43">
        <f>IFERROR(SUM(X144:X145),"0")</f>
        <v>238</v>
      </c>
      <c r="Y146" s="43">
        <f>IFERROR(SUM(Y144:Y145),"0")</f>
        <v>238</v>
      </c>
      <c r="Z146" s="43">
        <f>IFERROR(IF(Z144="",0,Z144),"0")+IFERROR(IF(Z145="",0,Z145),"0")</f>
        <v>4.2554400000000001</v>
      </c>
      <c r="AA146" s="67"/>
      <c r="AB146" s="67"/>
      <c r="AC146" s="67"/>
    </row>
    <row r="147" spans="1:68" x14ac:dyDescent="0.2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7"/>
      <c r="P147" s="293" t="s">
        <v>40</v>
      </c>
      <c r="Q147" s="294"/>
      <c r="R147" s="294"/>
      <c r="S147" s="294"/>
      <c r="T147" s="294"/>
      <c r="U147" s="294"/>
      <c r="V147" s="295"/>
      <c r="W147" s="42" t="s">
        <v>0</v>
      </c>
      <c r="X147" s="43">
        <f>IFERROR(SUMPRODUCT(X144:X145*H144:H145),"0")</f>
        <v>714</v>
      </c>
      <c r="Y147" s="43">
        <f>IFERROR(SUMPRODUCT(Y144:Y145*H144:H145),"0")</f>
        <v>714</v>
      </c>
      <c r="Z147" s="42"/>
      <c r="AA147" s="67"/>
      <c r="AB147" s="67"/>
      <c r="AC147" s="67"/>
    </row>
    <row r="148" spans="1:68" ht="16.5" hidden="1" customHeight="1" x14ac:dyDescent="0.25">
      <c r="A148" s="317" t="s">
        <v>248</v>
      </c>
      <c r="B148" s="317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65"/>
      <c r="AB148" s="65"/>
      <c r="AC148" s="82"/>
    </row>
    <row r="149" spans="1:68" ht="14.25" hidden="1" customHeight="1" x14ac:dyDescent="0.25">
      <c r="A149" s="307" t="s">
        <v>149</v>
      </c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289">
        <v>4607111039095</v>
      </c>
      <c r="E150" s="28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56</v>
      </c>
      <c r="Y150" s="55">
        <f>IFERROR(IF(X150="","",X150),"")</f>
        <v>56</v>
      </c>
      <c r="Z150" s="41">
        <f>IFERROR(IF(X150="","",X150*0.01788),"")</f>
        <v>1.0012799999999999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209.88800000000001</v>
      </c>
      <c r="BN150" s="81">
        <f>IFERROR(Y150*I150,"0")</f>
        <v>209.88800000000001</v>
      </c>
      <c r="BO150" s="81">
        <f>IFERROR(X150/J150,"0")</f>
        <v>0.8</v>
      </c>
      <c r="BP150" s="81">
        <f>IFERROR(Y150/J150,"0")</f>
        <v>0.8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289">
        <v>4620207491553</v>
      </c>
      <c r="E151" s="28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34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1"/>
      <c r="R151" s="291"/>
      <c r="S151" s="291"/>
      <c r="T151" s="292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39</v>
      </c>
      <c r="X152" s="43">
        <f>IFERROR(SUM(X150:X151),"0")</f>
        <v>126</v>
      </c>
      <c r="Y152" s="43">
        <f>IFERROR(SUM(Y150:Y151),"0")</f>
        <v>126</v>
      </c>
      <c r="Z152" s="43">
        <f>IFERROR(IF(Z150="",0,Z150),"0")+IFERROR(IF(Z151="",0,Z151),"0")</f>
        <v>2.2528800000000002</v>
      </c>
      <c r="AA152" s="67"/>
      <c r="AB152" s="67"/>
      <c r="AC152" s="67"/>
    </row>
    <row r="153" spans="1:68" x14ac:dyDescent="0.2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7"/>
      <c r="P153" s="293" t="s">
        <v>40</v>
      </c>
      <c r="Q153" s="294"/>
      <c r="R153" s="294"/>
      <c r="S153" s="294"/>
      <c r="T153" s="294"/>
      <c r="U153" s="294"/>
      <c r="V153" s="295"/>
      <c r="W153" s="42" t="s">
        <v>0</v>
      </c>
      <c r="X153" s="43">
        <f>IFERROR(SUMPRODUCT(X150:X151*H150:H151),"0")</f>
        <v>378</v>
      </c>
      <c r="Y153" s="43">
        <f>IFERROR(SUMPRODUCT(Y150:Y151*H150:H151),"0")</f>
        <v>378</v>
      </c>
      <c r="Z153" s="42"/>
      <c r="AA153" s="67"/>
      <c r="AB153" s="67"/>
      <c r="AC153" s="67"/>
    </row>
    <row r="154" spans="1:68" ht="16.5" hidden="1" customHeight="1" x14ac:dyDescent="0.25">
      <c r="A154" s="317" t="s">
        <v>255</v>
      </c>
      <c r="B154" s="317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65"/>
      <c r="AB154" s="65"/>
      <c r="AC154" s="82"/>
    </row>
    <row r="155" spans="1:68" ht="14.25" hidden="1" customHeight="1" x14ac:dyDescent="0.25">
      <c r="A155" s="307" t="s">
        <v>149</v>
      </c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289">
        <v>4620207490914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289">
        <v>4620207490853</v>
      </c>
      <c r="E157" s="28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1"/>
      <c r="R157" s="291"/>
      <c r="S157" s="291"/>
      <c r="T157" s="292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39</v>
      </c>
      <c r="X158" s="43">
        <f>IFERROR(SUM(X156:X157),"0")</f>
        <v>70</v>
      </c>
      <c r="Y158" s="43">
        <f>IFERROR(SUM(Y156:Y157),"0")</f>
        <v>70</v>
      </c>
      <c r="Z158" s="43">
        <f>IFERROR(IF(Z156="",0,Z156),"0")+IFERROR(IF(Z157="",0,Z157),"0")</f>
        <v>1.2515999999999998</v>
      </c>
      <c r="AA158" s="67"/>
      <c r="AB158" s="67"/>
      <c r="AC158" s="67"/>
    </row>
    <row r="159" spans="1:68" x14ac:dyDescent="0.2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7"/>
      <c r="P159" s="293" t="s">
        <v>40</v>
      </c>
      <c r="Q159" s="294"/>
      <c r="R159" s="294"/>
      <c r="S159" s="294"/>
      <c r="T159" s="294"/>
      <c r="U159" s="294"/>
      <c r="V159" s="295"/>
      <c r="W159" s="42" t="s">
        <v>0</v>
      </c>
      <c r="X159" s="43">
        <f>IFERROR(SUMPRODUCT(X156:X157*H156:H157),"0")</f>
        <v>168</v>
      </c>
      <c r="Y159" s="43">
        <f>IFERROR(SUMPRODUCT(Y156:Y157*H156:H157),"0")</f>
        <v>168</v>
      </c>
      <c r="Z159" s="42"/>
      <c r="AA159" s="67"/>
      <c r="AB159" s="67"/>
      <c r="AC159" s="67"/>
    </row>
    <row r="160" spans="1:68" ht="16.5" hidden="1" customHeight="1" x14ac:dyDescent="0.25">
      <c r="A160" s="317" t="s">
        <v>260</v>
      </c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65"/>
      <c r="AB160" s="65"/>
      <c r="AC160" s="82"/>
    </row>
    <row r="161" spans="1:68" ht="14.25" hidden="1" customHeight="1" x14ac:dyDescent="0.25">
      <c r="A161" s="307" t="s">
        <v>149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66"/>
      <c r="AB161" s="66"/>
      <c r="AC161" s="83"/>
    </row>
    <row r="162" spans="1:68" ht="27" hidden="1" customHeight="1" x14ac:dyDescent="0.25">
      <c r="A162" s="63" t="s">
        <v>261</v>
      </c>
      <c r="B162" s="63" t="s">
        <v>262</v>
      </c>
      <c r="C162" s="36">
        <v>4301135570</v>
      </c>
      <c r="D162" s="289">
        <v>4607111035806</v>
      </c>
      <c r="E162" s="28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1"/>
      <c r="R162" s="291"/>
      <c r="S162" s="291"/>
      <c r="T162" s="29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7"/>
      <c r="P164" s="293" t="s">
        <v>40</v>
      </c>
      <c r="Q164" s="294"/>
      <c r="R164" s="294"/>
      <c r="S164" s="294"/>
      <c r="T164" s="294"/>
      <c r="U164" s="294"/>
      <c r="V164" s="29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17" t="s">
        <v>264</v>
      </c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65"/>
      <c r="AB165" s="65"/>
      <c r="AC165" s="82"/>
    </row>
    <row r="166" spans="1:68" ht="14.25" hidden="1" customHeight="1" x14ac:dyDescent="0.25">
      <c r="A166" s="307" t="s">
        <v>149</v>
      </c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289">
        <v>4607111039613</v>
      </c>
      <c r="E167" s="28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1"/>
      <c r="R167" s="291"/>
      <c r="S167" s="291"/>
      <c r="T167" s="292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7"/>
      <c r="P169" s="293" t="s">
        <v>40</v>
      </c>
      <c r="Q169" s="294"/>
      <c r="R169" s="294"/>
      <c r="S169" s="294"/>
      <c r="T169" s="294"/>
      <c r="U169" s="294"/>
      <c r="V169" s="295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hidden="1" customHeight="1" x14ac:dyDescent="0.25">
      <c r="A170" s="317" t="s">
        <v>267</v>
      </c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65"/>
      <c r="AB170" s="65"/>
      <c r="AC170" s="82"/>
    </row>
    <row r="171" spans="1:68" ht="14.25" hidden="1" customHeight="1" x14ac:dyDescent="0.25">
      <c r="A171" s="307" t="s">
        <v>149</v>
      </c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289">
        <v>4607111036568</v>
      </c>
      <c r="E172" s="28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338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291"/>
      <c r="R172" s="291"/>
      <c r="S172" s="291"/>
      <c r="T172" s="292"/>
      <c r="U172" s="39" t="s">
        <v>46</v>
      </c>
      <c r="V172" s="39" t="s">
        <v>46</v>
      </c>
      <c r="W172" s="40" t="s">
        <v>39</v>
      </c>
      <c r="X172" s="58">
        <v>112</v>
      </c>
      <c r="Y172" s="55">
        <f>IFERROR(IF(X172="","",X172),"")</f>
        <v>112</v>
      </c>
      <c r="Z172" s="41">
        <f>IFERROR(IF(X172="","",X172*0.00941),"")</f>
        <v>1.05392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235.40159999999997</v>
      </c>
      <c r="BN172" s="81">
        <f>IFERROR(Y172*I172,"0")</f>
        <v>235.40159999999997</v>
      </c>
      <c r="BO172" s="81">
        <f>IFERROR(X172/J172,"0")</f>
        <v>0.8</v>
      </c>
      <c r="BP172" s="81">
        <f>IFERROR(Y172/J172,"0")</f>
        <v>0.8</v>
      </c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39</v>
      </c>
      <c r="X173" s="43">
        <f>IFERROR(SUM(X172:X172),"0")</f>
        <v>112</v>
      </c>
      <c r="Y173" s="43">
        <f>IFERROR(SUM(Y172:Y172),"0")</f>
        <v>112</v>
      </c>
      <c r="Z173" s="43">
        <f>IFERROR(IF(Z172="",0,Z172),"0")</f>
        <v>1.05392</v>
      </c>
      <c r="AA173" s="67"/>
      <c r="AB173" s="67"/>
      <c r="AC173" s="67"/>
    </row>
    <row r="174" spans="1:68" x14ac:dyDescent="0.2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7"/>
      <c r="P174" s="293" t="s">
        <v>40</v>
      </c>
      <c r="Q174" s="294"/>
      <c r="R174" s="294"/>
      <c r="S174" s="294"/>
      <c r="T174" s="294"/>
      <c r="U174" s="294"/>
      <c r="V174" s="295"/>
      <c r="W174" s="42" t="s">
        <v>0</v>
      </c>
      <c r="X174" s="43">
        <f>IFERROR(SUMPRODUCT(X172:X172*H172:H172),"0")</f>
        <v>188.16</v>
      </c>
      <c r="Y174" s="43">
        <f>IFERROR(SUMPRODUCT(Y172:Y172*H172:H172),"0")</f>
        <v>188.16</v>
      </c>
      <c r="Z174" s="42"/>
      <c r="AA174" s="67"/>
      <c r="AB174" s="67"/>
      <c r="AC174" s="67"/>
    </row>
    <row r="175" spans="1:68" ht="27.75" hidden="1" customHeight="1" x14ac:dyDescent="0.2">
      <c r="A175" s="316" t="s">
        <v>271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54"/>
      <c r="AB175" s="54"/>
      <c r="AC175" s="54"/>
    </row>
    <row r="176" spans="1:68" ht="16.5" hidden="1" customHeight="1" x14ac:dyDescent="0.25">
      <c r="A176" s="317" t="s">
        <v>272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65"/>
      <c r="AB176" s="65"/>
      <c r="AC176" s="82"/>
    </row>
    <row r="177" spans="1:68" ht="14.25" hidden="1" customHeight="1" x14ac:dyDescent="0.25">
      <c r="A177" s="307" t="s">
        <v>80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66"/>
      <c r="AB177" s="66"/>
      <c r="AC177" s="83"/>
    </row>
    <row r="178" spans="1:68" ht="16.5" hidden="1" customHeight="1" x14ac:dyDescent="0.25">
      <c r="A178" s="63" t="s">
        <v>273</v>
      </c>
      <c r="B178" s="63" t="s">
        <v>274</v>
      </c>
      <c r="C178" s="36">
        <v>4301071062</v>
      </c>
      <c r="D178" s="289">
        <v>4607111036384</v>
      </c>
      <c r="E178" s="28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276</v>
      </c>
      <c r="B179" s="63" t="s">
        <v>277</v>
      </c>
      <c r="C179" s="36">
        <v>4301071050</v>
      </c>
      <c r="D179" s="289">
        <v>4607111036216</v>
      </c>
      <c r="E179" s="28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33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1"/>
      <c r="R179" s="291"/>
      <c r="S179" s="291"/>
      <c r="T179" s="29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7"/>
      <c r="P181" s="293" t="s">
        <v>40</v>
      </c>
      <c r="Q181" s="294"/>
      <c r="R181" s="294"/>
      <c r="S181" s="294"/>
      <c r="T181" s="294"/>
      <c r="U181" s="294"/>
      <c r="V181" s="29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17" t="s">
        <v>279</v>
      </c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65"/>
      <c r="AB182" s="65"/>
      <c r="AC182" s="82"/>
    </row>
    <row r="183" spans="1:68" ht="14.25" hidden="1" customHeight="1" x14ac:dyDescent="0.25">
      <c r="A183" s="307" t="s">
        <v>80</v>
      </c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66"/>
      <c r="AB183" s="66"/>
      <c r="AC183" s="83"/>
    </row>
    <row r="184" spans="1:68" ht="27" hidden="1" customHeight="1" x14ac:dyDescent="0.25">
      <c r="A184" s="63" t="s">
        <v>280</v>
      </c>
      <c r="B184" s="63" t="s">
        <v>281</v>
      </c>
      <c r="C184" s="36">
        <v>4301071117</v>
      </c>
      <c r="D184" s="289">
        <v>4620207491737</v>
      </c>
      <c r="E184" s="28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1"/>
      <c r="R184" s="291"/>
      <c r="S184" s="291"/>
      <c r="T184" s="29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7"/>
      <c r="P186" s="293" t="s">
        <v>40</v>
      </c>
      <c r="Q186" s="294"/>
      <c r="R186" s="294"/>
      <c r="S186" s="294"/>
      <c r="T186" s="294"/>
      <c r="U186" s="294"/>
      <c r="V186" s="29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16" t="s">
        <v>282</v>
      </c>
      <c r="B187" s="316"/>
      <c r="C187" s="316"/>
      <c r="D187" s="316"/>
      <c r="E187" s="316"/>
      <c r="F187" s="316"/>
      <c r="G187" s="316"/>
      <c r="H187" s="316"/>
      <c r="I187" s="316"/>
      <c r="J187" s="316"/>
      <c r="K187" s="316"/>
      <c r="L187" s="316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54"/>
      <c r="AB187" s="54"/>
      <c r="AC187" s="54"/>
    </row>
    <row r="188" spans="1:68" ht="16.5" hidden="1" customHeight="1" x14ac:dyDescent="0.25">
      <c r="A188" s="317" t="s">
        <v>283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65"/>
      <c r="AB188" s="65"/>
      <c r="AC188" s="82"/>
    </row>
    <row r="189" spans="1:68" ht="14.25" hidden="1" customHeight="1" x14ac:dyDescent="0.25">
      <c r="A189" s="307" t="s">
        <v>111</v>
      </c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289">
        <v>4607111035691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289">
        <v>4607111035721</v>
      </c>
      <c r="E191" s="28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14</v>
      </c>
      <c r="Y191" s="55">
        <f>IFERROR(IF(X191="","",X191),"")</f>
        <v>14</v>
      </c>
      <c r="Z191" s="41">
        <f>IFERROR(IF(X191="","",X191*0.01788),"")</f>
        <v>0.25031999999999999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47.432000000000002</v>
      </c>
      <c r="BN191" s="81">
        <f>IFERROR(Y191*I191,"0")</f>
        <v>47.432000000000002</v>
      </c>
      <c r="BO191" s="81">
        <f>IFERROR(X191/J191,"0")</f>
        <v>0.2</v>
      </c>
      <c r="BP191" s="81">
        <f>IFERROR(Y191/J191,"0")</f>
        <v>0.2</v>
      </c>
    </row>
    <row r="192" spans="1:68" ht="27" hidden="1" customHeight="1" x14ac:dyDescent="0.25">
      <c r="A192" s="63" t="s">
        <v>290</v>
      </c>
      <c r="B192" s="63" t="s">
        <v>291</v>
      </c>
      <c r="C192" s="36">
        <v>4301132170</v>
      </c>
      <c r="D192" s="289">
        <v>4607111038487</v>
      </c>
      <c r="E192" s="28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289">
        <v>4620207491195</v>
      </c>
      <c r="E193" s="28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1"/>
      <c r="R193" s="291"/>
      <c r="S193" s="291"/>
      <c r="T193" s="292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176.28800000000001</v>
      </c>
      <c r="BN193" s="81">
        <f>IFERROR(Y193*I193,"0")</f>
        <v>176.28800000000001</v>
      </c>
      <c r="BO193" s="81">
        <f>IFERROR(X193/J193,"0")</f>
        <v>0.8</v>
      </c>
      <c r="BP193" s="81">
        <f>IFERROR(Y193/J193,"0")</f>
        <v>0.8</v>
      </c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39</v>
      </c>
      <c r="X194" s="43">
        <f>IFERROR(SUM(X190:X193),"0")</f>
        <v>112</v>
      </c>
      <c r="Y194" s="43">
        <f>IFERROR(SUM(Y190:Y193),"0")</f>
        <v>112</v>
      </c>
      <c r="Z194" s="43">
        <f>IFERROR(IF(Z190="",0,Z190),"0")+IFERROR(IF(Z191="",0,Z191),"0")+IFERROR(IF(Z192="",0,Z192),"0")+IFERROR(IF(Z193="",0,Z193),"0")</f>
        <v>2.0025599999999999</v>
      </c>
      <c r="AA194" s="67"/>
      <c r="AB194" s="67"/>
      <c r="AC194" s="67"/>
    </row>
    <row r="195" spans="1:68" x14ac:dyDescent="0.2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7"/>
      <c r="P195" s="293" t="s">
        <v>40</v>
      </c>
      <c r="Q195" s="294"/>
      <c r="R195" s="294"/>
      <c r="S195" s="294"/>
      <c r="T195" s="294"/>
      <c r="U195" s="294"/>
      <c r="V195" s="295"/>
      <c r="W195" s="42" t="s">
        <v>0</v>
      </c>
      <c r="X195" s="43">
        <f>IFERROR(SUMPRODUCT(X190:X193*H190:H193),"0")</f>
        <v>322.56</v>
      </c>
      <c r="Y195" s="43">
        <f>IFERROR(SUMPRODUCT(Y190:Y193*H190:H193),"0")</f>
        <v>322.56</v>
      </c>
      <c r="Z195" s="42"/>
      <c r="AA195" s="67"/>
      <c r="AB195" s="67"/>
      <c r="AC195" s="67"/>
    </row>
    <row r="196" spans="1:68" ht="27.75" hidden="1" customHeight="1" x14ac:dyDescent="0.2">
      <c r="A196" s="316" t="s">
        <v>296</v>
      </c>
      <c r="B196" s="316"/>
      <c r="C196" s="316"/>
      <c r="D196" s="316"/>
      <c r="E196" s="316"/>
      <c r="F196" s="316"/>
      <c r="G196" s="316"/>
      <c r="H196" s="316"/>
      <c r="I196" s="316"/>
      <c r="J196" s="316"/>
      <c r="K196" s="316"/>
      <c r="L196" s="316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54"/>
      <c r="AB196" s="54"/>
      <c r="AC196" s="54"/>
    </row>
    <row r="197" spans="1:68" ht="16.5" hidden="1" customHeight="1" x14ac:dyDescent="0.25">
      <c r="A197" s="317" t="s">
        <v>297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65"/>
      <c r="AB197" s="65"/>
      <c r="AC197" s="82"/>
    </row>
    <row r="198" spans="1:68" ht="14.25" hidden="1" customHeight="1" x14ac:dyDescent="0.25">
      <c r="A198" s="307" t="s">
        <v>111</v>
      </c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66"/>
      <c r="AB198" s="66"/>
      <c r="AC198" s="83"/>
    </row>
    <row r="199" spans="1:68" ht="27" hidden="1" customHeight="1" x14ac:dyDescent="0.25">
      <c r="A199" s="63" t="s">
        <v>298</v>
      </c>
      <c r="B199" s="63" t="s">
        <v>299</v>
      </c>
      <c r="C199" s="36">
        <v>4301132227</v>
      </c>
      <c r="D199" s="289">
        <v>4620207491133</v>
      </c>
      <c r="E199" s="28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1"/>
      <c r="R199" s="291"/>
      <c r="S199" s="291"/>
      <c r="T199" s="29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7"/>
      <c r="P201" s="293" t="s">
        <v>40</v>
      </c>
      <c r="Q201" s="294"/>
      <c r="R201" s="294"/>
      <c r="S201" s="294"/>
      <c r="T201" s="294"/>
      <c r="U201" s="294"/>
      <c r="V201" s="29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07" t="s">
        <v>149</v>
      </c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66"/>
      <c r="AB202" s="66"/>
      <c r="AC202" s="83"/>
    </row>
    <row r="203" spans="1:68" ht="27" hidden="1" customHeight="1" x14ac:dyDescent="0.25">
      <c r="A203" s="63" t="s">
        <v>301</v>
      </c>
      <c r="B203" s="63" t="s">
        <v>302</v>
      </c>
      <c r="C203" s="36">
        <v>4301135834</v>
      </c>
      <c r="D203" s="289">
        <v>4620207491188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304</v>
      </c>
      <c r="B204" s="63" t="s">
        <v>305</v>
      </c>
      <c r="C204" s="36">
        <v>4301135696</v>
      </c>
      <c r="D204" s="289">
        <v>4620207490235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307</v>
      </c>
      <c r="B205" s="63" t="s">
        <v>308</v>
      </c>
      <c r="C205" s="36">
        <v>4301135697</v>
      </c>
      <c r="D205" s="289">
        <v>4620207490259</v>
      </c>
      <c r="E205" s="28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3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1"/>
      <c r="R205" s="291"/>
      <c r="S205" s="291"/>
      <c r="T205" s="29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7"/>
      <c r="P207" s="293" t="s">
        <v>40</v>
      </c>
      <c r="Q207" s="294"/>
      <c r="R207" s="294"/>
      <c r="S207" s="294"/>
      <c r="T207" s="294"/>
      <c r="U207" s="294"/>
      <c r="V207" s="29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17" t="s">
        <v>310</v>
      </c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65"/>
      <c r="AB208" s="65"/>
      <c r="AC208" s="82"/>
    </row>
    <row r="209" spans="1:68" ht="14.25" hidden="1" customHeight="1" x14ac:dyDescent="0.25">
      <c r="A209" s="307" t="s">
        <v>149</v>
      </c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66"/>
      <c r="AB209" s="66"/>
      <c r="AC209" s="83"/>
    </row>
    <row r="210" spans="1:68" ht="27" hidden="1" customHeight="1" x14ac:dyDescent="0.25">
      <c r="A210" s="63" t="s">
        <v>311</v>
      </c>
      <c r="B210" s="63" t="s">
        <v>312</v>
      </c>
      <c r="C210" s="36">
        <v>4301135854</v>
      </c>
      <c r="D210" s="289">
        <v>4620207491706</v>
      </c>
      <c r="E210" s="28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314</v>
      </c>
      <c r="B211" s="63" t="s">
        <v>315</v>
      </c>
      <c r="C211" s="36">
        <v>4301135895</v>
      </c>
      <c r="D211" s="289">
        <v>4620207491522</v>
      </c>
      <c r="E211" s="28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32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1"/>
      <c r="R211" s="291"/>
      <c r="S211" s="291"/>
      <c r="T211" s="29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7"/>
      <c r="P213" s="293" t="s">
        <v>40</v>
      </c>
      <c r="Q213" s="294"/>
      <c r="R213" s="294"/>
      <c r="S213" s="294"/>
      <c r="T213" s="294"/>
      <c r="U213" s="294"/>
      <c r="V213" s="29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17" t="s">
        <v>317</v>
      </c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65"/>
      <c r="AB214" s="65"/>
      <c r="AC214" s="82"/>
    </row>
    <row r="215" spans="1:68" ht="14.25" hidden="1" customHeight="1" x14ac:dyDescent="0.25">
      <c r="A215" s="307" t="s">
        <v>80</v>
      </c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66"/>
      <c r="AB215" s="66"/>
      <c r="AC215" s="83"/>
    </row>
    <row r="216" spans="1:68" ht="27" hidden="1" customHeight="1" x14ac:dyDescent="0.25">
      <c r="A216" s="63" t="s">
        <v>318</v>
      </c>
      <c r="B216" s="63" t="s">
        <v>319</v>
      </c>
      <c r="C216" s="36">
        <v>4301071097</v>
      </c>
      <c r="D216" s="289">
        <v>4620207491096</v>
      </c>
      <c r="E216" s="28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1"/>
      <c r="R216" s="291"/>
      <c r="S216" s="291"/>
      <c r="T216" s="29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7"/>
      <c r="P218" s="293" t="s">
        <v>40</v>
      </c>
      <c r="Q218" s="294"/>
      <c r="R218" s="294"/>
      <c r="S218" s="294"/>
      <c r="T218" s="294"/>
      <c r="U218" s="294"/>
      <c r="V218" s="29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17" t="s">
        <v>321</v>
      </c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65"/>
      <c r="AB219" s="65"/>
      <c r="AC219" s="82"/>
    </row>
    <row r="220" spans="1:68" ht="14.25" hidden="1" customHeight="1" x14ac:dyDescent="0.25">
      <c r="A220" s="307" t="s">
        <v>149</v>
      </c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289">
        <v>4620207490501</v>
      </c>
      <c r="E221" s="28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1"/>
      <c r="R221" s="291"/>
      <c r="S221" s="291"/>
      <c r="T221" s="292"/>
      <c r="U221" s="39" t="s">
        <v>46</v>
      </c>
      <c r="V221" s="39" t="s">
        <v>46</v>
      </c>
      <c r="W221" s="40" t="s">
        <v>39</v>
      </c>
      <c r="X221" s="58">
        <v>56</v>
      </c>
      <c r="Y221" s="55">
        <f>IFERROR(IF(X221="","",X221),"")</f>
        <v>56</v>
      </c>
      <c r="Z221" s="41">
        <f>IFERROR(IF(X221="","",X221*0.01788),"")</f>
        <v>1.0012799999999999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173.80160000000001</v>
      </c>
      <c r="BN221" s="81">
        <f>IFERROR(Y221*I221,"0")</f>
        <v>173.80160000000001</v>
      </c>
      <c r="BO221" s="81">
        <f>IFERROR(X221/J221,"0")</f>
        <v>0.8</v>
      </c>
      <c r="BP221" s="81">
        <f>IFERROR(Y221/J221,"0")</f>
        <v>0.8</v>
      </c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39</v>
      </c>
      <c r="X222" s="43">
        <f>IFERROR(SUM(X221:X221),"0")</f>
        <v>56</v>
      </c>
      <c r="Y222" s="43">
        <f>IFERROR(SUM(Y221:Y221),"0")</f>
        <v>56</v>
      </c>
      <c r="Z222" s="43">
        <f>IFERROR(IF(Z221="",0,Z221),"0")</f>
        <v>1.0012799999999999</v>
      </c>
      <c r="AA222" s="67"/>
      <c r="AB222" s="67"/>
      <c r="AC222" s="67"/>
    </row>
    <row r="223" spans="1:68" x14ac:dyDescent="0.2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7"/>
      <c r="P223" s="293" t="s">
        <v>40</v>
      </c>
      <c r="Q223" s="294"/>
      <c r="R223" s="294"/>
      <c r="S223" s="294"/>
      <c r="T223" s="294"/>
      <c r="U223" s="294"/>
      <c r="V223" s="295"/>
      <c r="W223" s="42" t="s">
        <v>0</v>
      </c>
      <c r="X223" s="43">
        <f>IFERROR(SUMPRODUCT(X221:X221*H221:H221),"0")</f>
        <v>134.4</v>
      </c>
      <c r="Y223" s="43">
        <f>IFERROR(SUMPRODUCT(Y221:Y221*H221:H221),"0")</f>
        <v>134.4</v>
      </c>
      <c r="Z223" s="42"/>
      <c r="AA223" s="67"/>
      <c r="AB223" s="67"/>
      <c r="AC223" s="67"/>
    </row>
    <row r="224" spans="1:68" ht="27.75" hidden="1" customHeight="1" x14ac:dyDescent="0.2">
      <c r="A224" s="316" t="s">
        <v>325</v>
      </c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54"/>
      <c r="AB224" s="54"/>
      <c r="AC224" s="54"/>
    </row>
    <row r="225" spans="1:68" ht="16.5" hidden="1" customHeight="1" x14ac:dyDescent="0.25">
      <c r="A225" s="317" t="s">
        <v>326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65"/>
      <c r="AB225" s="65"/>
      <c r="AC225" s="82"/>
    </row>
    <row r="226" spans="1:68" ht="14.25" hidden="1" customHeight="1" x14ac:dyDescent="0.25">
      <c r="A226" s="307" t="s">
        <v>80</v>
      </c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66"/>
      <c r="AB226" s="66"/>
      <c r="AC226" s="83"/>
    </row>
    <row r="227" spans="1:68" ht="27" hidden="1" customHeight="1" x14ac:dyDescent="0.25">
      <c r="A227" s="63" t="s">
        <v>327</v>
      </c>
      <c r="B227" s="63" t="s">
        <v>328</v>
      </c>
      <c r="C227" s="36">
        <v>4301071036</v>
      </c>
      <c r="D227" s="289">
        <v>4607111036162</v>
      </c>
      <c r="E227" s="28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3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1"/>
      <c r="R227" s="291"/>
      <c r="S227" s="291"/>
      <c r="T227" s="29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7"/>
      <c r="P229" s="293" t="s">
        <v>40</v>
      </c>
      <c r="Q229" s="294"/>
      <c r="R229" s="294"/>
      <c r="S229" s="294"/>
      <c r="T229" s="294"/>
      <c r="U229" s="294"/>
      <c r="V229" s="29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16" t="s">
        <v>330</v>
      </c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54"/>
      <c r="AB230" s="54"/>
      <c r="AC230" s="54"/>
    </row>
    <row r="231" spans="1:68" ht="16.5" hidden="1" customHeight="1" x14ac:dyDescent="0.25">
      <c r="A231" s="317" t="s">
        <v>331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65"/>
      <c r="AB231" s="65"/>
      <c r="AC231" s="82"/>
    </row>
    <row r="232" spans="1:68" ht="14.25" hidden="1" customHeight="1" x14ac:dyDescent="0.25">
      <c r="A232" s="307" t="s">
        <v>332</v>
      </c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66"/>
      <c r="AB232" s="66"/>
      <c r="AC232" s="83"/>
    </row>
    <row r="233" spans="1:68" ht="27" hidden="1" customHeight="1" x14ac:dyDescent="0.25">
      <c r="A233" s="63" t="s">
        <v>333</v>
      </c>
      <c r="B233" s="63" t="s">
        <v>334</v>
      </c>
      <c r="C233" s="36">
        <v>4301133004</v>
      </c>
      <c r="D233" s="289">
        <v>4607111039774</v>
      </c>
      <c r="E233" s="28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1"/>
      <c r="R233" s="291"/>
      <c r="S233" s="291"/>
      <c r="T233" s="29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7"/>
      <c r="P235" s="293" t="s">
        <v>40</v>
      </c>
      <c r="Q235" s="294"/>
      <c r="R235" s="294"/>
      <c r="S235" s="294"/>
      <c r="T235" s="294"/>
      <c r="U235" s="294"/>
      <c r="V235" s="29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07" t="s">
        <v>149</v>
      </c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66"/>
      <c r="AB236" s="66"/>
      <c r="AC236" s="83"/>
    </row>
    <row r="237" spans="1:68" ht="37.5" hidden="1" customHeight="1" x14ac:dyDescent="0.25">
      <c r="A237" s="63" t="s">
        <v>336</v>
      </c>
      <c r="B237" s="63" t="s">
        <v>337</v>
      </c>
      <c r="C237" s="36">
        <v>4301135400</v>
      </c>
      <c r="D237" s="289">
        <v>4607111039361</v>
      </c>
      <c r="E237" s="28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1"/>
      <c r="R237" s="291"/>
      <c r="S237" s="291"/>
      <c r="T237" s="29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7"/>
      <c r="P239" s="293" t="s">
        <v>40</v>
      </c>
      <c r="Q239" s="294"/>
      <c r="R239" s="294"/>
      <c r="S239" s="294"/>
      <c r="T239" s="294"/>
      <c r="U239" s="294"/>
      <c r="V239" s="29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16" t="s">
        <v>338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54"/>
      <c r="AB240" s="54"/>
      <c r="AC240" s="54"/>
    </row>
    <row r="241" spans="1:68" ht="16.5" hidden="1" customHeight="1" x14ac:dyDescent="0.25">
      <c r="A241" s="317" t="s">
        <v>338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65"/>
      <c r="AB241" s="65"/>
      <c r="AC241" s="82"/>
    </row>
    <row r="242" spans="1:68" ht="14.25" hidden="1" customHeight="1" x14ac:dyDescent="0.25">
      <c r="A242" s="307" t="s">
        <v>111</v>
      </c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66"/>
      <c r="AB242" s="66"/>
      <c r="AC242" s="83"/>
    </row>
    <row r="243" spans="1:68" ht="27" hidden="1" customHeight="1" x14ac:dyDescent="0.25">
      <c r="A243" s="63" t="s">
        <v>339</v>
      </c>
      <c r="B243" s="63" t="s">
        <v>340</v>
      </c>
      <c r="C243" s="36">
        <v>4301132228</v>
      </c>
      <c r="D243" s="289">
        <v>4640242181950</v>
      </c>
      <c r="E243" s="28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1"/>
      <c r="R243" s="291"/>
      <c r="S243" s="291"/>
      <c r="T243" s="29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7"/>
      <c r="P245" s="293" t="s">
        <v>40</v>
      </c>
      <c r="Q245" s="294"/>
      <c r="R245" s="294"/>
      <c r="S245" s="294"/>
      <c r="T245" s="294"/>
      <c r="U245" s="294"/>
      <c r="V245" s="29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16" t="s">
        <v>342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54"/>
      <c r="AB246" s="54"/>
      <c r="AC246" s="54"/>
    </row>
    <row r="247" spans="1:68" ht="16.5" hidden="1" customHeight="1" x14ac:dyDescent="0.25">
      <c r="A247" s="317" t="s">
        <v>342</v>
      </c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65"/>
      <c r="AB247" s="65"/>
      <c r="AC247" s="82"/>
    </row>
    <row r="248" spans="1:68" ht="14.25" hidden="1" customHeight="1" x14ac:dyDescent="0.25">
      <c r="A248" s="307" t="s">
        <v>80</v>
      </c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4301071014</v>
      </c>
      <c r="D249" s="289">
        <v>4640242181264</v>
      </c>
      <c r="E249" s="289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31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291"/>
      <c r="R249" s="291"/>
      <c r="S249" s="291"/>
      <c r="T249" s="29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hidden="1" customHeight="1" x14ac:dyDescent="0.25">
      <c r="A250" s="63" t="s">
        <v>346</v>
      </c>
      <c r="B250" s="63" t="s">
        <v>347</v>
      </c>
      <c r="C250" s="36">
        <v>4301071021</v>
      </c>
      <c r="D250" s="289">
        <v>4640242181325</v>
      </c>
      <c r="E250" s="289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31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291"/>
      <c r="R250" s="291"/>
      <c r="S250" s="291"/>
      <c r="T250" s="29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7"/>
      <c r="P251" s="293" t="s">
        <v>40</v>
      </c>
      <c r="Q251" s="294"/>
      <c r="R251" s="294"/>
      <c r="S251" s="294"/>
      <c r="T251" s="294"/>
      <c r="U251" s="294"/>
      <c r="V251" s="295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7"/>
      <c r="P252" s="293" t="s">
        <v>40</v>
      </c>
      <c r="Q252" s="294"/>
      <c r="R252" s="294"/>
      <c r="S252" s="294"/>
      <c r="T252" s="294"/>
      <c r="U252" s="294"/>
      <c r="V252" s="295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hidden="1" customHeight="1" x14ac:dyDescent="0.25">
      <c r="A253" s="307" t="s">
        <v>111</v>
      </c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289">
        <v>4640242180397</v>
      </c>
      <c r="E254" s="289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291"/>
      <c r="R254" s="291"/>
      <c r="S254" s="291"/>
      <c r="T254" s="292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7"/>
      <c r="P256" s="293" t="s">
        <v>40</v>
      </c>
      <c r="Q256" s="294"/>
      <c r="R256" s="294"/>
      <c r="S256" s="294"/>
      <c r="T256" s="294"/>
      <c r="U256" s="294"/>
      <c r="V256" s="295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hidden="1" customHeight="1" x14ac:dyDescent="0.25">
      <c r="A257" s="307" t="s">
        <v>143</v>
      </c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66"/>
      <c r="AB257" s="66"/>
      <c r="AC257" s="83"/>
    </row>
    <row r="258" spans="1:68" ht="27" hidden="1" customHeight="1" x14ac:dyDescent="0.25">
      <c r="A258" s="63" t="s">
        <v>351</v>
      </c>
      <c r="B258" s="63" t="s">
        <v>352</v>
      </c>
      <c r="C258" s="36">
        <v>4301136051</v>
      </c>
      <c r="D258" s="289">
        <v>4640242180304</v>
      </c>
      <c r="E258" s="289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1"/>
      <c r="R258" s="291"/>
      <c r="S258" s="291"/>
      <c r="T258" s="29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hidden="1" customHeight="1" x14ac:dyDescent="0.25">
      <c r="A259" s="63" t="s">
        <v>354</v>
      </c>
      <c r="B259" s="63" t="s">
        <v>355</v>
      </c>
      <c r="C259" s="36">
        <v>4301136053</v>
      </c>
      <c r="D259" s="289">
        <v>4640242180236</v>
      </c>
      <c r="E259" s="289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1"/>
      <c r="R259" s="291"/>
      <c r="S259" s="291"/>
      <c r="T259" s="292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356</v>
      </c>
      <c r="B260" s="63" t="s">
        <v>357</v>
      </c>
      <c r="C260" s="36">
        <v>4301136052</v>
      </c>
      <c r="D260" s="289">
        <v>4640242180410</v>
      </c>
      <c r="E260" s="289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1"/>
      <c r="R260" s="291"/>
      <c r="S260" s="291"/>
      <c r="T260" s="292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7"/>
      <c r="P261" s="293" t="s">
        <v>40</v>
      </c>
      <c r="Q261" s="294"/>
      <c r="R261" s="294"/>
      <c r="S261" s="294"/>
      <c r="T261" s="294"/>
      <c r="U261" s="294"/>
      <c r="V261" s="295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7"/>
      <c r="P262" s="293" t="s">
        <v>40</v>
      </c>
      <c r="Q262" s="294"/>
      <c r="R262" s="294"/>
      <c r="S262" s="294"/>
      <c r="T262" s="294"/>
      <c r="U262" s="294"/>
      <c r="V262" s="295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07" t="s">
        <v>149</v>
      </c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66"/>
      <c r="AB263" s="66"/>
      <c r="AC263" s="83"/>
    </row>
    <row r="264" spans="1:68" ht="37.5" hidden="1" customHeight="1" x14ac:dyDescent="0.25">
      <c r="A264" s="63" t="s">
        <v>358</v>
      </c>
      <c r="B264" s="63" t="s">
        <v>359</v>
      </c>
      <c r="C264" s="36">
        <v>4301135504</v>
      </c>
      <c r="D264" s="289">
        <v>4640242181554</v>
      </c>
      <c r="E264" s="289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1"/>
      <c r="R264" s="291"/>
      <c r="S264" s="291"/>
      <c r="T264" s="29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289">
        <v>4620207492093</v>
      </c>
      <c r="E265" s="289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309" t="s">
        <v>363</v>
      </c>
      <c r="Q265" s="291"/>
      <c r="R265" s="291"/>
      <c r="S265" s="291"/>
      <c r="T265" s="292"/>
      <c r="U265" s="39" t="s">
        <v>46</v>
      </c>
      <c r="V265" s="39" t="s">
        <v>46</v>
      </c>
      <c r="W265" s="40" t="s">
        <v>39</v>
      </c>
      <c r="X265" s="58">
        <v>294</v>
      </c>
      <c r="Y265" s="55">
        <f t="shared" si="18"/>
        <v>294</v>
      </c>
      <c r="Z265" s="41">
        <f>IFERROR(IF(X265="","",X265*0.00936),"")</f>
        <v>2.7518400000000001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1144.248</v>
      </c>
      <c r="BN265" s="81">
        <f t="shared" si="20"/>
        <v>1144.248</v>
      </c>
      <c r="BO265" s="81">
        <f t="shared" si="21"/>
        <v>2.3333333333333335</v>
      </c>
      <c r="BP265" s="81">
        <f t="shared" si="22"/>
        <v>2.3333333333333335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289">
        <v>4640242181424</v>
      </c>
      <c r="E266" s="289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1"/>
      <c r="R266" s="291"/>
      <c r="S266" s="291"/>
      <c r="T266" s="292"/>
      <c r="U266" s="39" t="s">
        <v>46</v>
      </c>
      <c r="V266" s="39" t="s">
        <v>46</v>
      </c>
      <c r="W266" s="40" t="s">
        <v>39</v>
      </c>
      <c r="X266" s="58">
        <v>72</v>
      </c>
      <c r="Y266" s="55">
        <f t="shared" si="18"/>
        <v>72</v>
      </c>
      <c r="Z266" s="41">
        <f>IFERROR(IF(X266="","",X266*0.0155),"")</f>
        <v>1.1160000000000001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412.92</v>
      </c>
      <c r="BN266" s="81">
        <f t="shared" si="20"/>
        <v>412.92</v>
      </c>
      <c r="BO266" s="81">
        <f t="shared" si="21"/>
        <v>0.8571428571428571</v>
      </c>
      <c r="BP266" s="81">
        <f t="shared" si="22"/>
        <v>0.8571428571428571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289">
        <v>4640242181523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ref="Z267:Z272" si="23">IFERROR(IF(X267="","",X267*0.00936),"")</f>
        <v>0.26207999999999998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89.376000000000005</v>
      </c>
      <c r="BN267" s="81">
        <f t="shared" si="20"/>
        <v>89.376000000000005</v>
      </c>
      <c r="BO267" s="81">
        <f t="shared" si="21"/>
        <v>0.22222222222222221</v>
      </c>
      <c r="BP267" s="81">
        <f t="shared" si="22"/>
        <v>0.22222222222222221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289">
        <v>4640242181486</v>
      </c>
      <c r="E268" s="28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126</v>
      </c>
      <c r="Y268" s="55">
        <f t="shared" si="18"/>
        <v>126</v>
      </c>
      <c r="Z268" s="41">
        <f t="shared" si="23"/>
        <v>1.17936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490.392</v>
      </c>
      <c r="BN268" s="81">
        <f t="shared" si="20"/>
        <v>490.392</v>
      </c>
      <c r="BO268" s="81">
        <f t="shared" si="21"/>
        <v>1</v>
      </c>
      <c r="BP268" s="81">
        <f t="shared" si="22"/>
        <v>1</v>
      </c>
    </row>
    <row r="269" spans="1:68" ht="37.5" customHeight="1" x14ac:dyDescent="0.25">
      <c r="A269" s="63" t="s">
        <v>372</v>
      </c>
      <c r="B269" s="63" t="s">
        <v>373</v>
      </c>
      <c r="C269" s="36">
        <v>4301135402</v>
      </c>
      <c r="D269" s="289">
        <v>4640242181493</v>
      </c>
      <c r="E269" s="28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14</v>
      </c>
      <c r="Y269" s="55">
        <f t="shared" si="18"/>
        <v>14</v>
      </c>
      <c r="Z269" s="41">
        <f t="shared" si="23"/>
        <v>0.13103999999999999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54.488</v>
      </c>
      <c r="BN269" s="81">
        <f t="shared" si="20"/>
        <v>54.488</v>
      </c>
      <c r="BO269" s="81">
        <f t="shared" si="21"/>
        <v>0.1111111111111111</v>
      </c>
      <c r="BP269" s="81">
        <f t="shared" si="22"/>
        <v>0.1111111111111111</v>
      </c>
    </row>
    <row r="270" spans="1:68" ht="37.5" hidden="1" customHeight="1" x14ac:dyDescent="0.25">
      <c r="A270" s="63" t="s">
        <v>374</v>
      </c>
      <c r="B270" s="63" t="s">
        <v>375</v>
      </c>
      <c r="C270" s="36">
        <v>4301135403</v>
      </c>
      <c r="D270" s="289">
        <v>4640242181509</v>
      </c>
      <c r="E270" s="28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376</v>
      </c>
      <c r="B271" s="63" t="s">
        <v>377</v>
      </c>
      <c r="C271" s="36">
        <v>4301135304</v>
      </c>
      <c r="D271" s="289">
        <v>4640242181240</v>
      </c>
      <c r="E271" s="289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378</v>
      </c>
      <c r="B272" s="63" t="s">
        <v>379</v>
      </c>
      <c r="C272" s="36">
        <v>4301135610</v>
      </c>
      <c r="D272" s="289">
        <v>4640242181318</v>
      </c>
      <c r="E272" s="289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380</v>
      </c>
      <c r="B273" s="63" t="s">
        <v>381</v>
      </c>
      <c r="C273" s="36">
        <v>4301135306</v>
      </c>
      <c r="D273" s="289">
        <v>4640242181387</v>
      </c>
      <c r="E273" s="289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7"/>
      <c r="P274" s="293" t="s">
        <v>40</v>
      </c>
      <c r="Q274" s="294"/>
      <c r="R274" s="294"/>
      <c r="S274" s="294"/>
      <c r="T274" s="294"/>
      <c r="U274" s="294"/>
      <c r="V274" s="295"/>
      <c r="W274" s="42" t="s">
        <v>39</v>
      </c>
      <c r="X274" s="43">
        <f>IFERROR(SUM(X264:X273),"0")</f>
        <v>534</v>
      </c>
      <c r="Y274" s="43">
        <f>IFERROR(SUM(Y264:Y273),"0")</f>
        <v>534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5.4403199999999998</v>
      </c>
      <c r="AA274" s="67"/>
      <c r="AB274" s="67"/>
      <c r="AC274" s="67"/>
    </row>
    <row r="275" spans="1:68" x14ac:dyDescent="0.2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7"/>
      <c r="P275" s="293" t="s">
        <v>40</v>
      </c>
      <c r="Q275" s="294"/>
      <c r="R275" s="294"/>
      <c r="S275" s="294"/>
      <c r="T275" s="294"/>
      <c r="U275" s="294"/>
      <c r="V275" s="295"/>
      <c r="W275" s="42" t="s">
        <v>0</v>
      </c>
      <c r="X275" s="43">
        <f>IFERROR(SUMPRODUCT(X264:X273*H264:H273),"0")</f>
        <v>2085.8000000000002</v>
      </c>
      <c r="Y275" s="43">
        <f>IFERROR(SUMPRODUCT(Y264:Y273*H264:H273),"0")</f>
        <v>2085.8000000000002</v>
      </c>
      <c r="Z275" s="42"/>
      <c r="AA275" s="67"/>
      <c r="AB275" s="67"/>
      <c r="AC275" s="67"/>
    </row>
    <row r="276" spans="1:68" ht="15" customHeight="1" x14ac:dyDescent="0.2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301"/>
      <c r="P276" s="298" t="s">
        <v>33</v>
      </c>
      <c r="Q276" s="299"/>
      <c r="R276" s="299"/>
      <c r="S276" s="299"/>
      <c r="T276" s="299"/>
      <c r="U276" s="299"/>
      <c r="V276" s="300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6430.28</v>
      </c>
      <c r="Y276" s="43">
        <f>IFERROR(Y31+Y37+Y44+Y50+Y58+Y63+Y68+Y74+Y80+Y85+Y91+Y101+Y107+Y119+Y123+Y127+Y135+Y141+Y147+Y153+Y159+Y164+Y169+Y174+Y181+Y186+Y195+Y201+Y207+Y213+Y218+Y223+Y229+Y235+Y239+Y245+Y252+Y256+Y262+Y275,"0")</f>
        <v>6430.28</v>
      </c>
      <c r="Z276" s="42"/>
      <c r="AA276" s="67"/>
      <c r="AB276" s="67"/>
      <c r="AC276" s="67"/>
    </row>
    <row r="277" spans="1:68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301"/>
      <c r="P277" s="298" t="s">
        <v>34</v>
      </c>
      <c r="Q277" s="299"/>
      <c r="R277" s="299"/>
      <c r="S277" s="299"/>
      <c r="T277" s="299"/>
      <c r="U277" s="299"/>
      <c r="V277" s="300"/>
      <c r="W277" s="42" t="s">
        <v>0</v>
      </c>
      <c r="X277" s="43">
        <f>IFERROR(SUM(BM22:BM273),"0")</f>
        <v>7410.2115999999996</v>
      </c>
      <c r="Y277" s="43">
        <f>IFERROR(SUM(BN22:BN273),"0")</f>
        <v>7410.2115999999996</v>
      </c>
      <c r="Z277" s="42"/>
      <c r="AA277" s="67"/>
      <c r="AB277" s="67"/>
      <c r="AC277" s="67"/>
    </row>
    <row r="278" spans="1:68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301"/>
      <c r="P278" s="298" t="s">
        <v>35</v>
      </c>
      <c r="Q278" s="299"/>
      <c r="R278" s="299"/>
      <c r="S278" s="299"/>
      <c r="T278" s="299"/>
      <c r="U278" s="299"/>
      <c r="V278" s="300"/>
      <c r="W278" s="42" t="s">
        <v>20</v>
      </c>
      <c r="X278" s="44">
        <f>ROUNDUP(SUM(BO22:BO273),0)</f>
        <v>24</v>
      </c>
      <c r="Y278" s="44">
        <f>ROUNDUP(SUM(BP22:BP273),0)</f>
        <v>24</v>
      </c>
      <c r="Z278" s="42"/>
      <c r="AA278" s="67"/>
      <c r="AB278" s="67"/>
      <c r="AC278" s="67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36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GrossWeightTotal+PalletQtyTotal*25</f>
        <v>8010.2115999999996</v>
      </c>
      <c r="Y279" s="43">
        <f>GrossWeightTotalR+PalletQtyTotalR*25</f>
        <v>8010.2115999999996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37</v>
      </c>
      <c r="Q280" s="299"/>
      <c r="R280" s="299"/>
      <c r="S280" s="299"/>
      <c r="T280" s="299"/>
      <c r="U280" s="299"/>
      <c r="V280" s="300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2114</v>
      </c>
      <c r="Y280" s="43">
        <f>IFERROR(Y30+Y36+Y43+Y49+Y57+Y62+Y67+Y73+Y79+Y84+Y90+Y100+Y106+Y118+Y122+Y126+Y134+Y140+Y146+Y152+Y158+Y163+Y168+Y173+Y180+Y185+Y194+Y200+Y206+Y212+Y217+Y222+Y228+Y234+Y238+Y244+Y251+Y255+Y261+Y274,"0")</f>
        <v>2114</v>
      </c>
      <c r="Z280" s="42"/>
      <c r="AA280" s="67"/>
      <c r="AB280" s="67"/>
      <c r="AC280" s="67"/>
    </row>
    <row r="281" spans="1:68" ht="14.25" hidden="1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38</v>
      </c>
      <c r="Q281" s="299"/>
      <c r="R281" s="299"/>
      <c r="S281" s="299"/>
      <c r="T281" s="299"/>
      <c r="U281" s="299"/>
      <c r="V281" s="300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29.547700000000003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285" t="s">
        <v>79</v>
      </c>
      <c r="C283" s="285" t="s">
        <v>79</v>
      </c>
      <c r="D283" s="285" t="s">
        <v>45</v>
      </c>
      <c r="E283" s="285" t="s">
        <v>45</v>
      </c>
      <c r="F283" s="285" t="s">
        <v>45</v>
      </c>
      <c r="G283" s="285" t="s">
        <v>45</v>
      </c>
      <c r="H283" s="285" t="s">
        <v>45</v>
      </c>
      <c r="I283" s="285" t="s">
        <v>45</v>
      </c>
      <c r="J283" s="285" t="s">
        <v>45</v>
      </c>
      <c r="K283" s="285" t="s">
        <v>45</v>
      </c>
      <c r="L283" s="285" t="s">
        <v>45</v>
      </c>
      <c r="M283" s="285" t="s">
        <v>45</v>
      </c>
      <c r="N283" s="286"/>
      <c r="O283" s="285" t="s">
        <v>45</v>
      </c>
      <c r="P283" s="285" t="s">
        <v>45</v>
      </c>
      <c r="Q283" s="285" t="s">
        <v>45</v>
      </c>
      <c r="R283" s="285" t="s">
        <v>45</v>
      </c>
      <c r="S283" s="285" t="s">
        <v>45</v>
      </c>
      <c r="T283" s="285" t="s">
        <v>45</v>
      </c>
      <c r="U283" s="285" t="s">
        <v>45</v>
      </c>
      <c r="V283" s="285" t="s">
        <v>271</v>
      </c>
      <c r="W283" s="285" t="s">
        <v>271</v>
      </c>
      <c r="X283" s="88" t="s">
        <v>282</v>
      </c>
      <c r="Y283" s="285" t="s">
        <v>296</v>
      </c>
      <c r="Z283" s="285" t="s">
        <v>296</v>
      </c>
      <c r="AA283" s="285" t="s">
        <v>296</v>
      </c>
      <c r="AB283" s="285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287" t="s">
        <v>10</v>
      </c>
      <c r="B284" s="285" t="s">
        <v>79</v>
      </c>
      <c r="C284" s="285" t="s">
        <v>104</v>
      </c>
      <c r="D284" s="285" t="s">
        <v>110</v>
      </c>
      <c r="E284" s="285" t="s">
        <v>121</v>
      </c>
      <c r="F284" s="285" t="s">
        <v>128</v>
      </c>
      <c r="G284" s="285" t="s">
        <v>139</v>
      </c>
      <c r="H284" s="285" t="s">
        <v>157</v>
      </c>
      <c r="I284" s="285" t="s">
        <v>164</v>
      </c>
      <c r="J284" s="285" t="s">
        <v>168</v>
      </c>
      <c r="K284" s="285" t="s">
        <v>176</v>
      </c>
      <c r="L284" s="285" t="s">
        <v>191</v>
      </c>
      <c r="M284" s="285" t="s">
        <v>197</v>
      </c>
      <c r="N284" s="1"/>
      <c r="O284" s="285" t="s">
        <v>224</v>
      </c>
      <c r="P284" s="285" t="s">
        <v>242</v>
      </c>
      <c r="Q284" s="285" t="s">
        <v>248</v>
      </c>
      <c r="R284" s="285" t="s">
        <v>255</v>
      </c>
      <c r="S284" s="285" t="s">
        <v>260</v>
      </c>
      <c r="T284" s="285" t="s">
        <v>264</v>
      </c>
      <c r="U284" s="285" t="s">
        <v>267</v>
      </c>
      <c r="V284" s="285" t="s">
        <v>272</v>
      </c>
      <c r="W284" s="285" t="s">
        <v>279</v>
      </c>
      <c r="X284" s="285" t="s">
        <v>283</v>
      </c>
      <c r="Y284" s="285" t="s">
        <v>297</v>
      </c>
      <c r="Z284" s="285" t="s">
        <v>310</v>
      </c>
      <c r="AA284" s="285" t="s">
        <v>317</v>
      </c>
      <c r="AB284" s="285" t="s">
        <v>321</v>
      </c>
      <c r="AC284" s="285" t="s">
        <v>326</v>
      </c>
      <c r="AD284" s="285" t="s">
        <v>331</v>
      </c>
      <c r="AE284" s="285" t="s">
        <v>338</v>
      </c>
      <c r="AF284" s="285" t="s">
        <v>342</v>
      </c>
    </row>
    <row r="285" spans="1:68" ht="13.5" thickBot="1" x14ac:dyDescent="0.25">
      <c r="A285" s="288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1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189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618.24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231.84</v>
      </c>
      <c r="N286" s="1"/>
      <c r="O286" s="52">
        <f>IFERROR(X130*H130,"0")+IFERROR(X131*H131,"0")+IFERROR(X132*H132,"0")+IFERROR(X133*H133,"0")+IFERROR(X137*H137,"0")+IFERROR(X138*H138,"0")+IFERROR(X139*H139,"0")</f>
        <v>266.27999999999997</v>
      </c>
      <c r="P286" s="52">
        <f>IFERROR(X144*H144,"0")+IFERROR(X145*H145,"0")</f>
        <v>714</v>
      </c>
      <c r="Q286" s="52">
        <f>IFERROR(X150*H150,"0")+IFERROR(X151*H151,"0")</f>
        <v>378</v>
      </c>
      <c r="R286" s="52">
        <f>IFERROR(X156*H156,"0")+IFERROR(X157*H157,"0")</f>
        <v>168</v>
      </c>
      <c r="S286" s="52">
        <f>IFERROR(X162*H162,"0")</f>
        <v>0</v>
      </c>
      <c r="T286" s="52">
        <f>IFERROR(X167*H167,"0")</f>
        <v>75.600000000000009</v>
      </c>
      <c r="U286" s="52">
        <f>IFERROR(X172*H172,"0")</f>
        <v>188.16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322.56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134.4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2589.8000000000002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84</v>
      </c>
      <c r="B289" s="72">
        <f>SUMPRODUCT(--(BB:BB="ПГП"),--(W:W="кор"),H:H,Y:Y)+SUMPRODUCT(--(BB:BB="ПГП"),--(W:W="кг"),Y:Y)</f>
        <v>6346.28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12,00"/>
        <filter val="12,00"/>
        <filter val="126,00"/>
        <filter val="134,40"/>
        <filter val="14,00"/>
        <filter val="140,00"/>
        <filter val="147,84"/>
        <filter val="168,00"/>
        <filter val="188,16"/>
        <filter val="189,00"/>
        <filter val="196,00"/>
        <filter val="2 085,80"/>
        <filter val="2 114,00"/>
        <filter val="210,00"/>
        <filter val="238,00"/>
        <filter val="24"/>
        <filter val="266,28"/>
        <filter val="28,00"/>
        <filter val="294,00"/>
        <filter val="322,56"/>
        <filter val="378,00"/>
        <filter val="42,00"/>
        <filter val="453,60"/>
        <filter val="504,00"/>
        <filter val="534,00"/>
        <filter val="56,00"/>
        <filter val="6 430,28"/>
        <filter val="618,24"/>
        <filter val="7 410,21"/>
        <filter val="70,00"/>
        <filter val="714,00"/>
        <filter val="72,00"/>
        <filter val="75,60"/>
        <filter val="8 010,21"/>
        <filter val="84,00"/>
        <filter val="98,00"/>
      </filters>
    </filterColumn>
    <filterColumn colId="29" showButton="0"/>
    <filterColumn colId="30" showButton="0"/>
  </autoFilter>
  <dataConsolidate/>
  <mergeCells count="5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</mergeCells>
  <phoneticPr fontId="2" type="noConversion"/>
  <conditionalFormatting sqref="P9:R13 A8:N8 A9:C10 H10:N10 J9:N9">
    <cfRule type="expression" dxfId="11" priority="64" stopIfTrue="1">
      <formula>IF($V$5="самовывоз",1,0)</formula>
    </cfRule>
  </conditionalFormatting>
  <conditionalFormatting sqref="H9:I9">
    <cfRule type="expression" dxfId="10" priority="57" stopIfTrue="1">
      <formula>IF($V$5="самовывоз",1,0)</formula>
    </cfRule>
  </conditionalFormatting>
  <conditionalFormatting sqref="F9:G9">
    <cfRule type="expression" dxfId="9" priority="56" stopIfTrue="1">
      <formula>IF($V$5="самовывоз",1,0)</formula>
    </cfRule>
  </conditionalFormatting>
  <conditionalFormatting sqref="F10:G10">
    <cfRule type="expression" dxfId="8" priority="55" stopIfTrue="1">
      <formula>IF($V$5="самовывоз",1,0)</formula>
    </cfRule>
  </conditionalFormatting>
  <conditionalFormatting sqref="D9:E9">
    <cfRule type="expression" dxfId="7" priority="54" stopIfTrue="1">
      <formula>IF($V$5="самовывоз",1,0)</formula>
    </cfRule>
  </conditionalFormatting>
  <conditionalFormatting sqref="D10:E10">
    <cfRule type="expression" dxfId="6" priority="53" stopIfTrue="1">
      <formula>IF($V$5="самовывоз",1,0)</formula>
    </cfRule>
  </conditionalFormatting>
  <conditionalFormatting sqref="P8 P6:R6 P5">
    <cfRule type="expression" dxfId="5" priority="52" stopIfTrue="1">
      <formula>IF($V$5="доставка",1,0)</formula>
    </cfRule>
  </conditionalFormatting>
  <conditionalFormatting sqref="X190">
    <cfRule type="duplicateValues" dxfId="4" priority="12"/>
  </conditionalFormatting>
  <conditionalFormatting sqref="X191">
    <cfRule type="duplicateValues" dxfId="3" priority="11"/>
  </conditionalFormatting>
  <conditionalFormatting sqref="X193">
    <cfRule type="duplicateValues" dxfId="2" priority="10"/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