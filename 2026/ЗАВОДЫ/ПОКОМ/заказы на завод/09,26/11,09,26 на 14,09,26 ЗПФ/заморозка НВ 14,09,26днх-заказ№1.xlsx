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F4B2D2-46EA-4956-8A9E-73DD847AFA2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N274" i="1"/>
  <c r="BM274" i="1"/>
  <c r="Z274" i="1"/>
  <c r="Y274" i="1"/>
  <c r="BP274" i="1" s="1"/>
  <c r="P274" i="1"/>
  <c r="BO273" i="1"/>
  <c r="BM273" i="1"/>
  <c r="Z273" i="1"/>
  <c r="Y273" i="1"/>
  <c r="P273" i="1"/>
  <c r="BO272" i="1"/>
  <c r="BN272" i="1"/>
  <c r="BM272" i="1"/>
  <c r="Z272" i="1"/>
  <c r="Y272" i="1"/>
  <c r="BP272" i="1" s="1"/>
  <c r="P272" i="1"/>
  <c r="BO271" i="1"/>
  <c r="BM271" i="1"/>
  <c r="Z271" i="1"/>
  <c r="Y271" i="1"/>
  <c r="P271" i="1"/>
  <c r="BO270" i="1"/>
  <c r="BN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P263" i="1" s="1"/>
  <c r="P263" i="1"/>
  <c r="BO262" i="1"/>
  <c r="BM262" i="1"/>
  <c r="Z262" i="1"/>
  <c r="Z265" i="1" s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X248" i="1"/>
  <c r="BO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X217" i="1"/>
  <c r="BO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Z212" i="1" s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Z206" i="1" s="1"/>
  <c r="Y204" i="1"/>
  <c r="P204" i="1"/>
  <c r="BO203" i="1"/>
  <c r="BM203" i="1"/>
  <c r="Z203" i="1"/>
  <c r="Y203" i="1"/>
  <c r="Y207" i="1" s="1"/>
  <c r="P203" i="1"/>
  <c r="X201" i="1"/>
  <c r="X200" i="1"/>
  <c r="BO199" i="1"/>
  <c r="BM199" i="1"/>
  <c r="Z199" i="1"/>
  <c r="Z200" i="1" s="1"/>
  <c r="Y199" i="1"/>
  <c r="Y201" i="1" s="1"/>
  <c r="P199" i="1"/>
  <c r="X195" i="1"/>
  <c r="X194" i="1"/>
  <c r="BO193" i="1"/>
  <c r="BM193" i="1"/>
  <c r="Z193" i="1"/>
  <c r="Y193" i="1"/>
  <c r="P193" i="1"/>
  <c r="BP192" i="1"/>
  <c r="BO192" i="1"/>
  <c r="BM192" i="1"/>
  <c r="Z192" i="1"/>
  <c r="Y192" i="1"/>
  <c r="BN192" i="1" s="1"/>
  <c r="P192" i="1"/>
  <c r="BO191" i="1"/>
  <c r="BM191" i="1"/>
  <c r="Z191" i="1"/>
  <c r="Y191" i="1"/>
  <c r="P191" i="1"/>
  <c r="BP190" i="1"/>
  <c r="BO190" i="1"/>
  <c r="BM190" i="1"/>
  <c r="Z190" i="1"/>
  <c r="Z194" i="1" s="1"/>
  <c r="Y190" i="1"/>
  <c r="BN190" i="1" s="1"/>
  <c r="P190" i="1"/>
  <c r="X186" i="1"/>
  <c r="Y185" i="1"/>
  <c r="X185" i="1"/>
  <c r="BO184" i="1"/>
  <c r="BN184" i="1"/>
  <c r="BM184" i="1"/>
  <c r="Z184" i="1"/>
  <c r="Z185" i="1" s="1"/>
  <c r="Y184" i="1"/>
  <c r="Y186" i="1" s="1"/>
  <c r="P184" i="1"/>
  <c r="X181" i="1"/>
  <c r="X180" i="1"/>
  <c r="BO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Y174" i="1" s="1"/>
  <c r="P172" i="1"/>
  <c r="X169" i="1"/>
  <c r="X168" i="1"/>
  <c r="BO167" i="1"/>
  <c r="BM167" i="1"/>
  <c r="Z167" i="1"/>
  <c r="Z168" i="1" s="1"/>
  <c r="Y167" i="1"/>
  <c r="Y169" i="1" s="1"/>
  <c r="P167" i="1"/>
  <c r="Y164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Y159" i="1" s="1"/>
  <c r="P157" i="1"/>
  <c r="BO156" i="1"/>
  <c r="BN156" i="1"/>
  <c r="BM156" i="1"/>
  <c r="Z156" i="1"/>
  <c r="Y156" i="1"/>
  <c r="BP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Y144" i="1"/>
  <c r="P144" i="1"/>
  <c r="X141" i="1"/>
  <c r="X140" i="1"/>
  <c r="BO139" i="1"/>
  <c r="BM139" i="1"/>
  <c r="Z139" i="1"/>
  <c r="Y139" i="1"/>
  <c r="BP139" i="1" s="1"/>
  <c r="P139" i="1"/>
  <c r="BP138" i="1"/>
  <c r="BO138" i="1"/>
  <c r="BM138" i="1"/>
  <c r="Z138" i="1"/>
  <c r="Z140" i="1" s="1"/>
  <c r="Y138" i="1"/>
  <c r="BN138" i="1" s="1"/>
  <c r="P138" i="1"/>
  <c r="BO137" i="1"/>
  <c r="BM137" i="1"/>
  <c r="Z137" i="1"/>
  <c r="Y137" i="1"/>
  <c r="Y141" i="1" s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Y130" i="1"/>
  <c r="Y134" i="1" s="1"/>
  <c r="P130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Z122" i="1" s="1"/>
  <c r="Y121" i="1"/>
  <c r="Y123" i="1" s="1"/>
  <c r="P121" i="1"/>
  <c r="X119" i="1"/>
  <c r="X118" i="1"/>
  <c r="BO117" i="1"/>
  <c r="BN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N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N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N111" i="1"/>
  <c r="BM111" i="1"/>
  <c r="Z111" i="1"/>
  <c r="Y111" i="1"/>
  <c r="BP111" i="1" s="1"/>
  <c r="P111" i="1"/>
  <c r="BO110" i="1"/>
  <c r="BM110" i="1"/>
  <c r="Z110" i="1"/>
  <c r="Y110" i="1"/>
  <c r="Y118" i="1" s="1"/>
  <c r="P110" i="1"/>
  <c r="X107" i="1"/>
  <c r="X106" i="1"/>
  <c r="BO105" i="1"/>
  <c r="BM105" i="1"/>
  <c r="Z105" i="1"/>
  <c r="Y105" i="1"/>
  <c r="P105" i="1"/>
  <c r="BO104" i="1"/>
  <c r="BM104" i="1"/>
  <c r="Z104" i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Y101" i="1" s="1"/>
  <c r="P94" i="1"/>
  <c r="X91" i="1"/>
  <c r="X90" i="1"/>
  <c r="BO89" i="1"/>
  <c r="BM89" i="1"/>
  <c r="Z89" i="1"/>
  <c r="Y89" i="1"/>
  <c r="P89" i="1"/>
  <c r="BO88" i="1"/>
  <c r="BM88" i="1"/>
  <c r="Z88" i="1"/>
  <c r="Y88" i="1"/>
  <c r="Y90" i="1" s="1"/>
  <c r="P88" i="1"/>
  <c r="X85" i="1"/>
  <c r="X84" i="1"/>
  <c r="BO83" i="1"/>
  <c r="BM83" i="1"/>
  <c r="Z83" i="1"/>
  <c r="Z84" i="1" s="1"/>
  <c r="Y83" i="1"/>
  <c r="Y85" i="1" s="1"/>
  <c r="P83" i="1"/>
  <c r="X80" i="1"/>
  <c r="X79" i="1"/>
  <c r="BO78" i="1"/>
  <c r="BN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O72" i="1"/>
  <c r="BM72" i="1"/>
  <c r="Z72" i="1"/>
  <c r="Y72" i="1"/>
  <c r="BP72" i="1" s="1"/>
  <c r="P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Y66" i="1"/>
  <c r="Y68" i="1" s="1"/>
  <c r="P66" i="1"/>
  <c r="BO65" i="1"/>
  <c r="BN65" i="1"/>
  <c r="BM65" i="1"/>
  <c r="Z65" i="1"/>
  <c r="Y65" i="1"/>
  <c r="BP65" i="1" s="1"/>
  <c r="P65" i="1"/>
  <c r="X63" i="1"/>
  <c r="X62" i="1"/>
  <c r="BO61" i="1"/>
  <c r="BM61" i="1"/>
  <c r="Z61" i="1"/>
  <c r="Z62" i="1" s="1"/>
  <c r="Y61" i="1"/>
  <c r="Y63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P48" i="1"/>
  <c r="BO47" i="1"/>
  <c r="BM47" i="1"/>
  <c r="Z47" i="1"/>
  <c r="Y47" i="1"/>
  <c r="BN47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Z43" i="1" s="1"/>
  <c r="Y41" i="1"/>
  <c r="P41" i="1"/>
  <c r="X37" i="1"/>
  <c r="X36" i="1"/>
  <c r="BO35" i="1"/>
  <c r="BM35" i="1"/>
  <c r="Z35" i="1"/>
  <c r="Y35" i="1"/>
  <c r="Y37" i="1" s="1"/>
  <c r="P35" i="1"/>
  <c r="BO34" i="1"/>
  <c r="BN34" i="1"/>
  <c r="BM34" i="1"/>
  <c r="Z34" i="1"/>
  <c r="Y34" i="1"/>
  <c r="BP34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30" i="1" l="1"/>
  <c r="Z49" i="1"/>
  <c r="BP47" i="1"/>
  <c r="BP61" i="1"/>
  <c r="BP216" i="1"/>
  <c r="BP227" i="1"/>
  <c r="BP237" i="1"/>
  <c r="BP247" i="1"/>
  <c r="Z158" i="1"/>
  <c r="BP184" i="1"/>
  <c r="Y195" i="1"/>
  <c r="Z278" i="1"/>
  <c r="X282" i="1"/>
  <c r="Z36" i="1"/>
  <c r="Y50" i="1"/>
  <c r="Z57" i="1"/>
  <c r="BN61" i="1"/>
  <c r="Y62" i="1"/>
  <c r="Z67" i="1"/>
  <c r="BN216" i="1"/>
  <c r="Y217" i="1"/>
  <c r="BN227" i="1"/>
  <c r="Y228" i="1"/>
  <c r="BN237" i="1"/>
  <c r="Y238" i="1"/>
  <c r="BN247" i="1"/>
  <c r="Y248" i="1"/>
  <c r="Y266" i="1"/>
  <c r="Y31" i="1"/>
  <c r="X281" i="1"/>
  <c r="BN23" i="1"/>
  <c r="BN25" i="1"/>
  <c r="BN27" i="1"/>
  <c r="BN29" i="1"/>
  <c r="X280" i="1"/>
  <c r="Y36" i="1"/>
  <c r="Y44" i="1"/>
  <c r="BN42" i="1"/>
  <c r="Y49" i="1"/>
  <c r="Y57" i="1"/>
  <c r="BN54" i="1"/>
  <c r="BN56" i="1"/>
  <c r="Y67" i="1"/>
  <c r="Y74" i="1"/>
  <c r="Z73" i="1"/>
  <c r="BN71" i="1"/>
  <c r="Z79" i="1"/>
  <c r="BN83" i="1"/>
  <c r="BP83" i="1"/>
  <c r="Y84" i="1"/>
  <c r="Z90" i="1"/>
  <c r="BN88" i="1"/>
  <c r="BP88" i="1"/>
  <c r="Y91" i="1"/>
  <c r="Z100" i="1"/>
  <c r="Z106" i="1"/>
  <c r="BN104" i="1"/>
  <c r="BP104" i="1"/>
  <c r="Y107" i="1"/>
  <c r="Z118" i="1"/>
  <c r="BN121" i="1"/>
  <c r="BP121" i="1"/>
  <c r="Y122" i="1"/>
  <c r="BN125" i="1"/>
  <c r="BP125" i="1"/>
  <c r="Y126" i="1"/>
  <c r="Z134" i="1"/>
  <c r="BN130" i="1"/>
  <c r="BP130" i="1"/>
  <c r="Y135" i="1"/>
  <c r="BN132" i="1"/>
  <c r="Y146" i="1"/>
  <c r="Z146" i="1"/>
  <c r="BN145" i="1"/>
  <c r="BN151" i="1"/>
  <c r="BN179" i="1"/>
  <c r="BN211" i="1"/>
  <c r="Y255" i="1"/>
  <c r="Y256" i="1"/>
  <c r="BN263" i="1"/>
  <c r="H9" i="1"/>
  <c r="A10" i="1"/>
  <c r="Y30" i="1"/>
  <c r="Y43" i="1"/>
  <c r="Y100" i="1"/>
  <c r="F9" i="1"/>
  <c r="J9" i="1"/>
  <c r="BN22" i="1"/>
  <c r="BP22" i="1"/>
  <c r="BN24" i="1"/>
  <c r="BN26" i="1"/>
  <c r="BN28" i="1"/>
  <c r="X284" i="1"/>
  <c r="BN35" i="1"/>
  <c r="BP35" i="1"/>
  <c r="BN41" i="1"/>
  <c r="BP41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BN77" i="1"/>
  <c r="BP77" i="1"/>
  <c r="Y80" i="1"/>
  <c r="BN89" i="1"/>
  <c r="BP89" i="1"/>
  <c r="BN94" i="1"/>
  <c r="BP94" i="1"/>
  <c r="BN96" i="1"/>
  <c r="BN98" i="1"/>
  <c r="BN105" i="1"/>
  <c r="BP105" i="1"/>
  <c r="BN110" i="1"/>
  <c r="BP110" i="1"/>
  <c r="BN112" i="1"/>
  <c r="BN114" i="1"/>
  <c r="BN116" i="1"/>
  <c r="Y119" i="1"/>
  <c r="BN131" i="1"/>
  <c r="BP131" i="1"/>
  <c r="BN133" i="1"/>
  <c r="BN137" i="1"/>
  <c r="BP137" i="1"/>
  <c r="BN139" i="1"/>
  <c r="Y140" i="1"/>
  <c r="BN144" i="1"/>
  <c r="BP144" i="1"/>
  <c r="Z152" i="1"/>
  <c r="Y158" i="1"/>
  <c r="Y163" i="1"/>
  <c r="BP162" i="1"/>
  <c r="BN162" i="1"/>
  <c r="Y173" i="1"/>
  <c r="BP172" i="1"/>
  <c r="BN172" i="1"/>
  <c r="Z180" i="1"/>
  <c r="Y194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Y147" i="1"/>
  <c r="Y153" i="1"/>
  <c r="BP150" i="1"/>
  <c r="BN150" i="1"/>
  <c r="Y152" i="1"/>
  <c r="BP157" i="1"/>
  <c r="BN157" i="1"/>
  <c r="Y168" i="1"/>
  <c r="BP167" i="1"/>
  <c r="BN167" i="1"/>
  <c r="Y181" i="1"/>
  <c r="BP178" i="1"/>
  <c r="BN178" i="1"/>
  <c r="Y180" i="1"/>
  <c r="BP191" i="1"/>
  <c r="BN191" i="1"/>
  <c r="BP193" i="1"/>
  <c r="BN193" i="1"/>
  <c r="Y206" i="1"/>
  <c r="BP203" i="1"/>
  <c r="BN203" i="1"/>
  <c r="BP205" i="1"/>
  <c r="BN205" i="1"/>
  <c r="Y259" i="1"/>
  <c r="BP258" i="1"/>
  <c r="BN258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X283" i="1" l="1"/>
  <c r="Y280" i="1"/>
  <c r="Z285" i="1"/>
  <c r="A293" i="1"/>
  <c r="Y282" i="1"/>
  <c r="Y284" i="1"/>
  <c r="Y281" i="1"/>
  <c r="Y283" i="1" s="1"/>
  <c r="C293" i="1" l="1"/>
  <c r="B293" i="1"/>
</calcChain>
</file>

<file path=xl/sharedStrings.xml><?xml version="1.0" encoding="utf-8"?>
<sst xmlns="http://schemas.openxmlformats.org/spreadsheetml/2006/main" count="1295" uniqueCount="420">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</sst>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419</v>
      </c>
      <c r="I5" s="445"/>
      <c r="J5" s="445"/>
      <c r="K5" s="445"/>
      <c r="L5" s="445"/>
      <c r="M5" s="340"/>
      <c r="N5" s="61"/>
      <c r="P5" s="24" t="s">
        <v>10</v>
      </c>
      <c r="Q5" s="455">
        <v>46279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394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3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24</v>
      </c>
      <c r="Y27" s="279">
        <f t="shared" si="0"/>
        <v>24</v>
      </c>
      <c r="Z27" s="37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249.60000000000002</v>
      </c>
      <c r="Y31" s="280">
        <f>IFERROR(SUMPRODUCT(Y22:Y29*H22:H29),"0")</f>
        <v>249.60000000000002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0</v>
      </c>
      <c r="Y41" s="279">
        <f>IFERROR(IF(X41="","",X41),"")</f>
        <v>0</v>
      </c>
      <c r="Z41" s="37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0</v>
      </c>
      <c r="Y44" s="280">
        <f>IFERROR(SUMPRODUCT(Y41:Y42*H41:H42),"0")</f>
        <v>0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60</v>
      </c>
      <c r="Y48" s="279">
        <f>IFERROR(IF(X48="","",X48),"")</f>
        <v>60</v>
      </c>
      <c r="Z48" s="37">
        <f>IFERROR(IF(X48="","",X48*0.0155),"")</f>
        <v>0.92999999999999994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352.2</v>
      </c>
      <c r="BN48" s="67">
        <f>IFERROR(Y48*I48,"0")</f>
        <v>352.2</v>
      </c>
      <c r="BO48" s="67">
        <f>IFERROR(X48/J48,"0")</f>
        <v>0.7142857142857143</v>
      </c>
      <c r="BP48" s="67">
        <f>IFERROR(Y48/J48,"0")</f>
        <v>0.7142857142857143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108</v>
      </c>
      <c r="Y49" s="280">
        <f>IFERROR(SUM(Y47:Y48),"0")</f>
        <v>108</v>
      </c>
      <c r="Z49" s="280">
        <f>IFERROR(IF(Z47="",0,Z47),"0")+IFERROR(IF(Z48="",0,Z48),"0")</f>
        <v>1.6739999999999999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604.79999999999995</v>
      </c>
      <c r="Y50" s="280">
        <f>IFERROR(SUMPRODUCT(Y47:Y48*H47:H48),"0")</f>
        <v>604.79999999999995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60</v>
      </c>
      <c r="Y53" s="279">
        <f>IFERROR(IF(X53="","",X53),"")</f>
        <v>60</v>
      </c>
      <c r="Z53" s="37">
        <f>IFERROR(IF(X53="","",X53*0.0155),"")</f>
        <v>0.92999999999999994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36</v>
      </c>
      <c r="Y54" s="279">
        <f>IFERROR(IF(X54="","",X54),"")</f>
        <v>36</v>
      </c>
      <c r="Z54" s="37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262.29599999999999</v>
      </c>
      <c r="BN54" s="67">
        <f>IFERROR(Y54*I54,"0")</f>
        <v>262.29599999999999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96</v>
      </c>
      <c r="Y57" s="280">
        <f>IFERROR(SUM(Y53:Y56),"0")</f>
        <v>96</v>
      </c>
      <c r="Z57" s="280">
        <f>IFERROR(IF(Z53="",0,Z53),"0")+IFERROR(IF(Z54="",0,Z54),"0")+IFERROR(IF(Z55="",0,Z55),"0")+IFERROR(IF(Z56="",0,Z56),"0")</f>
        <v>1.488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672</v>
      </c>
      <c r="Y58" s="280">
        <f>IFERROR(SUMPRODUCT(Y53:Y56*H53:H56),"0")</f>
        <v>672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60</v>
      </c>
      <c r="Y78" s="279">
        <f>IFERROR(IF(X78="","",X78),"")</f>
        <v>60</v>
      </c>
      <c r="Z78" s="37">
        <f>IFERROR(IF(X78="","",X78*0.00866),"")</f>
        <v>0.51959999999999995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312.79199999999997</v>
      </c>
      <c r="BN78" s="67">
        <f>IFERROR(Y78*I78,"0")</f>
        <v>312.79199999999997</v>
      </c>
      <c r="BO78" s="67">
        <f>IFERROR(X78/J78,"0")</f>
        <v>0.41666666666666669</v>
      </c>
      <c r="BP78" s="67">
        <f>IFERROR(Y78/J78,"0")</f>
        <v>0.41666666666666669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60</v>
      </c>
      <c r="Y79" s="280">
        <f>IFERROR(SUM(Y77:Y78),"0")</f>
        <v>60</v>
      </c>
      <c r="Z79" s="280">
        <f>IFERROR(IF(Z77="",0,Z77),"0")+IFERROR(IF(Z78="",0,Z78),"0")</f>
        <v>0.51959999999999995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300</v>
      </c>
      <c r="Y80" s="280">
        <f>IFERROR(SUMPRODUCT(Y77:Y78*H77:H78),"0")</f>
        <v>300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0</v>
      </c>
      <c r="Y88" s="279">
        <f>IFERROR(IF(X88="","",X88),"")</f>
        <v>0</v>
      </c>
      <c r="Z88" s="37">
        <f>IFERROR(IF(X88="","",X88*0.01788),"")</f>
        <v>0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14</v>
      </c>
      <c r="Y89" s="279">
        <f>IFERROR(IF(X89="","",X89),"")</f>
        <v>14</v>
      </c>
      <c r="Z89" s="37">
        <f>IFERROR(IF(X89="","",X89*0.01788),"")</f>
        <v>0.25031999999999999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60.250400000000006</v>
      </c>
      <c r="BN89" s="67">
        <f>IFERROR(Y89*I89,"0")</f>
        <v>60.250400000000006</v>
      </c>
      <c r="BO89" s="67">
        <f>IFERROR(X89/J89,"0")</f>
        <v>0.2</v>
      </c>
      <c r="BP89" s="67">
        <f>IFERROR(Y89/J89,"0")</f>
        <v>0.2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14</v>
      </c>
      <c r="Y90" s="280">
        <f>IFERROR(SUM(Y88:Y89),"0")</f>
        <v>14</v>
      </c>
      <c r="Z90" s="280">
        <f>IFERROR(IF(Z88="",0,Z88),"0")+IFERROR(IF(Z89="",0,Z89),"0")</f>
        <v>0.25031999999999999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50.4</v>
      </c>
      <c r="Y91" s="280">
        <f>IFERROR(SUMPRODUCT(Y88:Y89*H88:H89),"0")</f>
        <v>50.4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hidden="1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0</v>
      </c>
      <c r="Y94" s="279">
        <f t="shared" ref="Y94:Y99" si="6">IFERROR(IF(X94="","",X94),"")</f>
        <v>0</v>
      </c>
      <c r="Z94" s="37">
        <f t="shared" ref="Z94:Z99" si="7">IFERROR(IF(X94="","",X94*0.01788),"")</f>
        <v>0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28</v>
      </c>
      <c r="Y95" s="279">
        <f t="shared" si="6"/>
        <v>28</v>
      </c>
      <c r="Z95" s="37">
        <f t="shared" si="7"/>
        <v>0.50063999999999997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hidden="1" customHeight="1" x14ac:dyDescent="0.25">
      <c r="A96" s="54" t="s">
        <v>168</v>
      </c>
      <c r="B96" s="54" t="s">
        <v>169</v>
      </c>
      <c r="C96" s="32">
        <v>4301135990</v>
      </c>
      <c r="D96" s="292">
        <v>4620207491881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170</v>
      </c>
      <c r="B97" s="54" t="s">
        <v>171</v>
      </c>
      <c r="C97" s="32">
        <v>4301135920</v>
      </c>
      <c r="D97" s="292">
        <v>4620207491577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14</v>
      </c>
      <c r="Y97" s="279">
        <f t="shared" si="6"/>
        <v>14</v>
      </c>
      <c r="Z97" s="37">
        <f t="shared" si="7"/>
        <v>0.25031999999999999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50.170400000000001</v>
      </c>
      <c r="BN97" s="67">
        <f t="shared" si="9"/>
        <v>50.170400000000001</v>
      </c>
      <c r="BO97" s="67">
        <f t="shared" si="10"/>
        <v>0.2</v>
      </c>
      <c r="BP97" s="67">
        <f t="shared" si="11"/>
        <v>0.2</v>
      </c>
    </row>
    <row r="98" spans="1:68" ht="27" hidden="1" customHeight="1" x14ac:dyDescent="0.25">
      <c r="A98" s="54" t="s">
        <v>172</v>
      </c>
      <c r="B98" s="54" t="s">
        <v>173</v>
      </c>
      <c r="C98" s="32">
        <v>4301135984</v>
      </c>
      <c r="D98" s="292">
        <v>4620207491874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56</v>
      </c>
      <c r="Y99" s="279">
        <f t="shared" si="6"/>
        <v>56</v>
      </c>
      <c r="Z99" s="37">
        <f t="shared" si="7"/>
        <v>1.0012799999999999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253.63520000000003</v>
      </c>
      <c r="BN99" s="67">
        <f t="shared" si="9"/>
        <v>253.63520000000003</v>
      </c>
      <c r="BO99" s="67">
        <f t="shared" si="10"/>
        <v>0.8</v>
      </c>
      <c r="BP99" s="67">
        <f t="shared" si="11"/>
        <v>0.8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98</v>
      </c>
      <c r="Y100" s="280">
        <f>IFERROR(SUM(Y94:Y99),"0")</f>
        <v>98</v>
      </c>
      <c r="Z100" s="280">
        <f>IFERROR(IF(Z94="",0,Z94),"0")+IFERROR(IF(Z95="",0,Z95),"0")+IFERROR(IF(Z96="",0,Z96),"0")+IFERROR(IF(Z97="",0,Z97),"0")+IFERROR(IF(Z98="",0,Z98),"0")+IFERROR(IF(Z99="",0,Z99),"0")</f>
        <v>1.75224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356.16</v>
      </c>
      <c r="Y101" s="280">
        <f>IFERROR(SUMPRODUCT(Y94:Y99*H94:H99),"0")</f>
        <v>356.16</v>
      </c>
      <c r="Z101" s="38"/>
      <c r="AA101" s="281"/>
      <c r="AB101" s="281"/>
      <c r="AC101" s="281"/>
    </row>
    <row r="102" spans="1:68" ht="16.5" hidden="1" customHeight="1" x14ac:dyDescent="0.25">
      <c r="A102" s="308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2">
        <v>4620207491652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192</v>
      </c>
      <c r="B113" s="54" t="s">
        <v>193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48</v>
      </c>
      <c r="Y114" s="279">
        <f t="shared" si="12"/>
        <v>48</v>
      </c>
      <c r="Z114" s="37">
        <f t="shared" si="13"/>
        <v>0.74399999999999999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350.4</v>
      </c>
      <c r="BN114" s="67">
        <f t="shared" si="15"/>
        <v>350.4</v>
      </c>
      <c r="BO114" s="67">
        <f t="shared" si="16"/>
        <v>0.5714285714285714</v>
      </c>
      <c r="BP114" s="67">
        <f t="shared" si="17"/>
        <v>0.5714285714285714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199</v>
      </c>
      <c r="B116" s="54" t="s">
        <v>200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36</v>
      </c>
      <c r="Y116" s="279">
        <f t="shared" si="12"/>
        <v>36</v>
      </c>
      <c r="Z116" s="37">
        <f t="shared" si="13"/>
        <v>0.55800000000000005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241.90559999999999</v>
      </c>
      <c r="BN116" s="67">
        <f t="shared" si="15"/>
        <v>241.90559999999999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96</v>
      </c>
      <c r="Y117" s="279">
        <f t="shared" si="12"/>
        <v>96</v>
      </c>
      <c r="Z117" s="37">
        <f t="shared" si="13"/>
        <v>1.488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700.8</v>
      </c>
      <c r="BN117" s="67">
        <f t="shared" si="15"/>
        <v>700.8</v>
      </c>
      <c r="BO117" s="67">
        <f t="shared" si="16"/>
        <v>1.1428571428571428</v>
      </c>
      <c r="BP117" s="67">
        <f t="shared" si="17"/>
        <v>1.1428571428571428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180</v>
      </c>
      <c r="Y118" s="280">
        <f>IFERROR(SUM(Y110:Y117),"0")</f>
        <v>180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2.79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1238.4000000000001</v>
      </c>
      <c r="Y119" s="280">
        <f>IFERROR(SUMPRODUCT(Y110:Y117*H110:H117),"0")</f>
        <v>1238.4000000000001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210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42</v>
      </c>
      <c r="Y130" s="279">
        <f>IFERROR(IF(X130="","",X130),"")</f>
        <v>42</v>
      </c>
      <c r="Z130" s="37">
        <f>IFERROR(IF(X130="","",X130*0.00941),"")</f>
        <v>0.39522000000000002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75.600000000000009</v>
      </c>
      <c r="BN130" s="67">
        <f>IFERROR(Y130*I130,"0")</f>
        <v>75.600000000000009</v>
      </c>
      <c r="BO130" s="67">
        <f>IFERROR(X130/J130,"0")</f>
        <v>0.3</v>
      </c>
      <c r="BP130" s="67">
        <f>IFERROR(Y130/J130,"0")</f>
        <v>0.3</v>
      </c>
    </row>
    <row r="131" spans="1:68" ht="27" hidden="1" customHeight="1" x14ac:dyDescent="0.25">
      <c r="A131" s="54" t="s">
        <v>214</v>
      </c>
      <c r="B131" s="54" t="s">
        <v>215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14</v>
      </c>
      <c r="Y132" s="279">
        <f>IFERROR(IF(X132="","",X132),"")</f>
        <v>14</v>
      </c>
      <c r="Z132" s="37">
        <f>IFERROR(IF(X132="","",X132*0.00941),"")</f>
        <v>0.13174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24.36</v>
      </c>
      <c r="BN132" s="67">
        <f>IFERROR(Y132*I132,"0")</f>
        <v>24.36</v>
      </c>
      <c r="BO132" s="67">
        <f>IFERROR(X132/J132,"0")</f>
        <v>0.1</v>
      </c>
      <c r="BP132" s="67">
        <f>IFERROR(Y132/J132,"0")</f>
        <v>0.1</v>
      </c>
    </row>
    <row r="133" spans="1:68" ht="27" hidden="1" customHeight="1" x14ac:dyDescent="0.25">
      <c r="A133" s="54" t="s">
        <v>218</v>
      </c>
      <c r="B133" s="54" t="s">
        <v>219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56</v>
      </c>
      <c r="Y134" s="280">
        <f>IFERROR(SUM(Y130:Y133),"0")</f>
        <v>56</v>
      </c>
      <c r="Z134" s="280">
        <f>IFERROR(IF(Z130="",0,Z130),"0")+IFERROR(IF(Z131="",0,Z131),"0")+IFERROR(IF(Z132="",0,Z132),"0")+IFERROR(IF(Z133="",0,Z133),"0")</f>
        <v>0.52695999999999998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76.44</v>
      </c>
      <c r="Y135" s="280">
        <f>IFERROR(SUMPRODUCT(Y130:Y133*H130:H133),"0")</f>
        <v>76.44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220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228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229</v>
      </c>
      <c r="B144" s="54" t="s">
        <v>230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42</v>
      </c>
      <c r="Y144" s="279">
        <f>IFERROR(IF(X144="","",X144),"")</f>
        <v>42</v>
      </c>
      <c r="Z144" s="37">
        <f>IFERROR(IF(X144="","",X144*0.01788),"")</f>
        <v>0.75095999999999996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155.55119999999999</v>
      </c>
      <c r="BN144" s="67">
        <f>IFERROR(Y144*I144,"0")</f>
        <v>155.55119999999999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232</v>
      </c>
      <c r="B145" s="54" t="s">
        <v>233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140</v>
      </c>
      <c r="Y145" s="279">
        <f>IFERROR(IF(X145="","",X145),"")</f>
        <v>140</v>
      </c>
      <c r="Z145" s="37">
        <f>IFERROR(IF(X145="","",X145*0.01788),"")</f>
        <v>2.5032000000000001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518.50400000000002</v>
      </c>
      <c r="BN145" s="67">
        <f>IFERROR(Y145*I145,"0")</f>
        <v>518.50400000000002</v>
      </c>
      <c r="BO145" s="67">
        <f>IFERROR(X145/J145,"0")</f>
        <v>2</v>
      </c>
      <c r="BP145" s="67">
        <f>IFERROR(Y145/J145,"0")</f>
        <v>2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182</v>
      </c>
      <c r="Y146" s="280">
        <f>IFERROR(SUM(Y144:Y145),"0")</f>
        <v>182</v>
      </c>
      <c r="Z146" s="280">
        <f>IFERROR(IF(Z144="",0,Z144),"0")+IFERROR(IF(Z145="",0,Z145),"0")</f>
        <v>3.2541600000000002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546</v>
      </c>
      <c r="Y147" s="280">
        <f>IFERROR(SUMPRODUCT(Y144:Y145*H144:H145),"0")</f>
        <v>546</v>
      </c>
      <c r="Z147" s="38"/>
      <c r="AA147" s="281"/>
      <c r="AB147" s="281"/>
      <c r="AC147" s="281"/>
    </row>
    <row r="148" spans="1:68" ht="16.5" hidden="1" customHeight="1" x14ac:dyDescent="0.25">
      <c r="A148" s="308" t="s">
        <v>234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hidden="1" customHeight="1" x14ac:dyDescent="0.25">
      <c r="A150" s="54" t="s">
        <v>235</v>
      </c>
      <c r="B150" s="54" t="s">
        <v>236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238</v>
      </c>
      <c r="B151" s="54" t="s">
        <v>239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0</v>
      </c>
      <c r="Y151" s="279">
        <f>IFERROR(IF(X151="","",X151),"")</f>
        <v>0</v>
      </c>
      <c r="Z151" s="37">
        <f>IFERROR(IF(X151="","",X151*0.01788),"")</f>
        <v>0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0</v>
      </c>
      <c r="Y153" s="280">
        <f>IFERROR(SUMPRODUCT(Y150:Y151*H150:H151),"0")</f>
        <v>0</v>
      </c>
      <c r="Z153" s="38"/>
      <c r="AA153" s="281"/>
      <c r="AB153" s="281"/>
      <c r="AC153" s="281"/>
    </row>
    <row r="154" spans="1:68" ht="16.5" hidden="1" customHeight="1" x14ac:dyDescent="0.25">
      <c r="A154" s="308" t="s">
        <v>241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hidden="1" customHeight="1" x14ac:dyDescent="0.25">
      <c r="A157" s="54" t="s">
        <v>244</v>
      </c>
      <c r="B157" s="54" t="s">
        <v>245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28</v>
      </c>
      <c r="Y158" s="280">
        <f>IFERROR(SUM(Y156:Y157),"0")</f>
        <v>28</v>
      </c>
      <c r="Z158" s="280">
        <f>IFERROR(IF(Z156="",0,Z156),"0")+IFERROR(IF(Z157="",0,Z157),"0")</f>
        <v>0.50063999999999997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67.2</v>
      </c>
      <c r="Y159" s="280">
        <f>IFERROR(SUMPRODUCT(Y156:Y157*H156:H157),"0")</f>
        <v>67.2</v>
      </c>
      <c r="Z159" s="38"/>
      <c r="AA159" s="281"/>
      <c r="AB159" s="281"/>
      <c r="AC159" s="281"/>
    </row>
    <row r="160" spans="1:68" ht="16.5" hidden="1" customHeight="1" x14ac:dyDescent="0.25">
      <c r="A160" s="308" t="s">
        <v>246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247</v>
      </c>
      <c r="B162" s="54" t="s">
        <v>248</v>
      </c>
      <c r="C162" s="32">
        <v>4301135940</v>
      </c>
      <c r="D162" s="292">
        <v>4620207491614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250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253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42</v>
      </c>
      <c r="Y172" s="279">
        <f>IFERROR(IF(X172="","",X172),"")</f>
        <v>42</v>
      </c>
      <c r="Z172" s="37">
        <f>IFERROR(IF(X172="","",X172*0.00941),"")</f>
        <v>0.39522000000000002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88.275599999999997</v>
      </c>
      <c r="BN172" s="67">
        <f>IFERROR(Y172*I172,"0")</f>
        <v>88.275599999999997</v>
      </c>
      <c r="BO172" s="67">
        <f>IFERROR(X172/J172,"0")</f>
        <v>0.3</v>
      </c>
      <c r="BP172" s="67">
        <f>IFERROR(Y172/J172,"0")</f>
        <v>0.3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42</v>
      </c>
      <c r="Y173" s="280">
        <f>IFERROR(SUM(Y172:Y172),"0")</f>
        <v>42</v>
      </c>
      <c r="Z173" s="280">
        <f>IFERROR(IF(Z172="",0,Z172),"0")</f>
        <v>0.39522000000000002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70.56</v>
      </c>
      <c r="Y174" s="280">
        <f>IFERROR(SUMPRODUCT(Y172:Y172*H172:H172),"0")</f>
        <v>70.56</v>
      </c>
      <c r="Z174" s="38"/>
      <c r="AA174" s="281"/>
      <c r="AB174" s="281"/>
      <c r="AC174" s="281"/>
    </row>
    <row r="175" spans="1:68" ht="27.75" hidden="1" customHeight="1" x14ac:dyDescent="0.2">
      <c r="A175" s="363" t="s">
        <v>257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258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262</v>
      </c>
      <c r="B179" s="54" t="s">
        <v>263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48</v>
      </c>
      <c r="Y179" s="279">
        <f>IFERROR(IF(X179="","",X179),"")</f>
        <v>48</v>
      </c>
      <c r="Z179" s="37">
        <f>IFERROR(IF(X179="","",X179*0.00866),"")</f>
        <v>0.41567999999999994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250.23359999999997</v>
      </c>
      <c r="BN179" s="67">
        <f>IFERROR(Y179*I179,"0")</f>
        <v>250.23359999999997</v>
      </c>
      <c r="BO179" s="67">
        <f>IFERROR(X179/J179,"0")</f>
        <v>0.33333333333333331</v>
      </c>
      <c r="BP179" s="67">
        <f>IFERROR(Y179/J179,"0")</f>
        <v>0.33333333333333331</v>
      </c>
    </row>
    <row r="180" spans="1:68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48</v>
      </c>
      <c r="Y180" s="280">
        <f>IFERROR(SUM(Y178:Y179),"0")</f>
        <v>48</v>
      </c>
      <c r="Z180" s="280">
        <f>IFERROR(IF(Z178="",0,Z178),"0")+IFERROR(IF(Z179="",0,Z179),"0")</f>
        <v>0.41567999999999994</v>
      </c>
      <c r="AA180" s="281"/>
      <c r="AB180" s="281"/>
      <c r="AC180" s="281"/>
    </row>
    <row r="181" spans="1:68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240</v>
      </c>
      <c r="Y181" s="280">
        <f>IFERROR(SUMPRODUCT(Y178:Y179*H178:H179),"0")</f>
        <v>240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265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12</v>
      </c>
      <c r="Y184" s="279">
        <f>IFERROR(IF(X184="","",X184),"")</f>
        <v>12</v>
      </c>
      <c r="Z184" s="37">
        <f>IFERROR(IF(X184="","",X184*0.0155),"")</f>
        <v>0.186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63.143999999999991</v>
      </c>
      <c r="BN184" s="67">
        <f>IFERROR(Y184*I184,"0")</f>
        <v>63.143999999999991</v>
      </c>
      <c r="BO184" s="67">
        <f>IFERROR(X184/J184,"0")</f>
        <v>0.14285714285714285</v>
      </c>
      <c r="BP184" s="67">
        <f>IFERROR(Y184/J184,"0")</f>
        <v>0.14285714285714285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12</v>
      </c>
      <c r="Y185" s="280">
        <f>IFERROR(SUM(Y184:Y184),"0")</f>
        <v>12</v>
      </c>
      <c r="Z185" s="280">
        <f>IFERROR(IF(Z184="",0,Z184),"0")</f>
        <v>0.186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60</v>
      </c>
      <c r="Y186" s="280">
        <f>IFERROR(SUMPRODUCT(Y184:Y184*H184:H184),"0")</f>
        <v>60</v>
      </c>
      <c r="Z186" s="38"/>
      <c r="AA186" s="281"/>
      <c r="AB186" s="281"/>
      <c r="AC186" s="281"/>
    </row>
    <row r="187" spans="1:68" ht="27.75" hidden="1" customHeight="1" x14ac:dyDescent="0.2">
      <c r="A187" s="363" t="s">
        <v>268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269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70</v>
      </c>
      <c r="Y190" s="279">
        <f>IFERROR(IF(X190="","",X190),"")</f>
        <v>70</v>
      </c>
      <c r="Z190" s="37">
        <f>IFERROR(IF(X190="","",X190*0.01788),"")</f>
        <v>1.2516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237.16</v>
      </c>
      <c r="BN190" s="67">
        <f>IFERROR(Y190*I190,"0")</f>
        <v>237.16</v>
      </c>
      <c r="BO190" s="67">
        <f>IFERROR(X190/J190,"0")</f>
        <v>1</v>
      </c>
      <c r="BP190" s="67">
        <f>IFERROR(Y190/J190,"0")</f>
        <v>1</v>
      </c>
    </row>
    <row r="191" spans="1:68" ht="27" customHeight="1" x14ac:dyDescent="0.25">
      <c r="A191" s="54" t="s">
        <v>273</v>
      </c>
      <c r="B191" s="54" t="s">
        <v>274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14</v>
      </c>
      <c r="Y191" s="279">
        <f>IFERROR(IF(X191="","",X191),"")</f>
        <v>14</v>
      </c>
      <c r="Z191" s="37">
        <f>IFERROR(IF(X191="","",X191*0.01788),"")</f>
        <v>0.25031999999999999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47.432000000000002</v>
      </c>
      <c r="BN191" s="67">
        <f>IFERROR(Y191*I191,"0")</f>
        <v>47.432000000000002</v>
      </c>
      <c r="BO191" s="67">
        <f>IFERROR(X191/J191,"0")</f>
        <v>0.2</v>
      </c>
      <c r="BP191" s="67">
        <f>IFERROR(Y191/J191,"0")</f>
        <v>0.2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14</v>
      </c>
      <c r="Y192" s="279">
        <f>IFERROR(IF(X192="","",X192),"")</f>
        <v>14</v>
      </c>
      <c r="Z192" s="37">
        <f>IFERROR(IF(X192="","",X192*0.01788),"")</f>
        <v>0.25031999999999999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52.304000000000002</v>
      </c>
      <c r="BN192" s="67">
        <f>IFERROR(Y192*I192,"0")</f>
        <v>52.304000000000002</v>
      </c>
      <c r="BO192" s="67">
        <f>IFERROR(X192/J192,"0")</f>
        <v>0.2</v>
      </c>
      <c r="BP192" s="67">
        <f>IFERROR(Y192/J192,"0")</f>
        <v>0.2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98</v>
      </c>
      <c r="Y194" s="280">
        <f>IFERROR(SUM(Y190:Y193),"0")</f>
        <v>98</v>
      </c>
      <c r="Z194" s="280">
        <f>IFERROR(IF(Z190="",0,Z190),"0")+IFERROR(IF(Z191="",0,Z191),"0")+IFERROR(IF(Z192="",0,Z192),"0")+IFERROR(IF(Z193="",0,Z193),"0")</f>
        <v>1.75224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294</v>
      </c>
      <c r="Y195" s="280">
        <f>IFERROR(SUMPRODUCT(Y190:Y193*H190:H193),"0")</f>
        <v>294</v>
      </c>
      <c r="Z195" s="38"/>
      <c r="AA195" s="281"/>
      <c r="AB195" s="281"/>
      <c r="AC195" s="281"/>
    </row>
    <row r="196" spans="1:68" ht="27.75" hidden="1" customHeight="1" x14ac:dyDescent="0.2">
      <c r="A196" s="363" t="s">
        <v>282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283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98</v>
      </c>
      <c r="Y199" s="279">
        <f>IFERROR(IF(X199="","",X199),"")</f>
        <v>98</v>
      </c>
      <c r="Z199" s="37">
        <f>IFERROR(IF(X199="","",X199*0.01788),"")</f>
        <v>1.75224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292.04000000000002</v>
      </c>
      <c r="BN199" s="67">
        <f>IFERROR(Y199*I199,"0")</f>
        <v>292.04000000000002</v>
      </c>
      <c r="BO199" s="67">
        <f>IFERROR(X199/J199,"0")</f>
        <v>1.4</v>
      </c>
      <c r="BP199" s="67">
        <f>IFERROR(Y199/J199,"0")</f>
        <v>1.4</v>
      </c>
    </row>
    <row r="200" spans="1:68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98</v>
      </c>
      <c r="Y200" s="280">
        <f>IFERROR(SUM(Y199:Y199),"0")</f>
        <v>98</v>
      </c>
      <c r="Z200" s="280">
        <f>IFERROR(IF(Z199="",0,Z199),"0")</f>
        <v>1.75224</v>
      </c>
      <c r="AA200" s="281"/>
      <c r="AB200" s="281"/>
      <c r="AC200" s="281"/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270.47999999999996</v>
      </c>
      <c r="Y201" s="280">
        <f>IFERROR(SUMPRODUCT(Y199:Y199*H199:H199),"0")</f>
        <v>270.47999999999996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customHeight="1" x14ac:dyDescent="0.25">
      <c r="A203" s="54" t="s">
        <v>287</v>
      </c>
      <c r="B203" s="54" t="s">
        <v>288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14</v>
      </c>
      <c r="Y203" s="279">
        <f>IFERROR(IF(X203="","",X203),"")</f>
        <v>14</v>
      </c>
      <c r="Z203" s="37">
        <f>IFERROR(IF(X203="","",X203*0.01788),"")</f>
        <v>0.25031999999999999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14</v>
      </c>
      <c r="Y206" s="280">
        <f>IFERROR(SUM(Y203:Y205),"0")</f>
        <v>14</v>
      </c>
      <c r="Z206" s="280">
        <f>IFERROR(IF(Z203="",0,Z203),"0")+IFERROR(IF(Z204="",0,Z204),"0")+IFERROR(IF(Z205="",0,Z205),"0")</f>
        <v>0.25031999999999999</v>
      </c>
      <c r="AA206" s="281"/>
      <c r="AB206" s="281"/>
      <c r="AC206" s="281"/>
    </row>
    <row r="207" spans="1:68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33.6</v>
      </c>
      <c r="Y207" s="280">
        <f>IFERROR(SUMPRODUCT(Y203:Y205*H203:H205),"0")</f>
        <v>33.6</v>
      </c>
      <c r="Z207" s="38"/>
      <c r="AA207" s="281"/>
      <c r="AB207" s="281"/>
      <c r="AC207" s="281"/>
    </row>
    <row r="208" spans="1:68" ht="16.5" hidden="1" customHeight="1" x14ac:dyDescent="0.25">
      <c r="A208" s="308" t="s">
        <v>296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192</v>
      </c>
      <c r="Y216" s="279">
        <f>IFERROR(IF(X216="","",X216),"")</f>
        <v>192</v>
      </c>
      <c r="Z216" s="37">
        <f>IFERROR(IF(X216="","",X216*0.0155),"")</f>
        <v>2.976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1004.1600000000001</v>
      </c>
      <c r="BN216" s="67">
        <f>IFERROR(Y216*I216,"0")</f>
        <v>1004.1600000000001</v>
      </c>
      <c r="BO216" s="67">
        <f>IFERROR(X216/J216,"0")</f>
        <v>2.2857142857142856</v>
      </c>
      <c r="BP216" s="67">
        <f>IFERROR(Y216/J216,"0")</f>
        <v>2.2857142857142856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192</v>
      </c>
      <c r="Y217" s="280">
        <f>IFERROR(SUM(Y216:Y216),"0")</f>
        <v>192</v>
      </c>
      <c r="Z217" s="280">
        <f>IFERROR(IF(Z216="",0,Z216),"0")</f>
        <v>2.976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960</v>
      </c>
      <c r="Y218" s="280">
        <f>IFERROR(SUMPRODUCT(Y216:Y216*H216:H216),"0")</f>
        <v>960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307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311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316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317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324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331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331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335</v>
      </c>
      <c r="B254" s="54" t="s">
        <v>336</v>
      </c>
      <c r="C254" s="32">
        <v>4301071141</v>
      </c>
      <c r="D254" s="292">
        <v>4620207491980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24</v>
      </c>
      <c r="Y258" s="279">
        <f>IFERROR(IF(X258="","",X258),"")</f>
        <v>24</v>
      </c>
      <c r="Z258" s="37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344</v>
      </c>
      <c r="B263" s="54" t="s">
        <v>345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353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357</v>
      </c>
      <c r="B271" s="54" t="s">
        <v>358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360</v>
      </c>
      <c r="B272" s="54" t="s">
        <v>361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56</v>
      </c>
      <c r="Y272" s="279">
        <f t="shared" si="18"/>
        <v>56</v>
      </c>
      <c r="Z272" s="37">
        <f t="shared" si="23"/>
        <v>0.52415999999999996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217.952</v>
      </c>
      <c r="BN272" s="67">
        <f t="shared" si="20"/>
        <v>217.952</v>
      </c>
      <c r="BO272" s="67">
        <f t="shared" si="21"/>
        <v>0.44444444444444442</v>
      </c>
      <c r="BP272" s="67">
        <f t="shared" si="22"/>
        <v>0.44444444444444442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56</v>
      </c>
      <c r="Y278" s="280">
        <f>IFERROR(SUM(Y268:Y277),"0")</f>
        <v>56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0.52415999999999996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207.20000000000002</v>
      </c>
      <c r="Y279" s="280">
        <f>IFERROR(SUMPRODUCT(Y268:Y277*H268:H277),"0")</f>
        <v>207.20000000000002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372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6440.84</v>
      </c>
      <c r="Y280" s="280">
        <f>IFERROR(Y31+Y37+Y44+Y50+Y58+Y63+Y68+Y74+Y80+Y85+Y91+Y101+Y107+Y119+Y123+Y127+Y135+Y141+Y147+Y153+Y159+Y164+Y169+Y174+Y181+Y186+Y195+Y201+Y207+Y213+Y218+Y223+Y229+Y235+Y239+Y245+Y249+Y256+Y260+Y266+Y279,"0")</f>
        <v>6440.84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373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6958.837199999999</v>
      </c>
      <c r="Y281" s="280">
        <f>IFERROR(SUM(BN22:BN277),"0")</f>
        <v>6958.837199999999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374</v>
      </c>
      <c r="Q282" s="334"/>
      <c r="R282" s="334"/>
      <c r="S282" s="334"/>
      <c r="T282" s="334"/>
      <c r="U282" s="334"/>
      <c r="V282" s="335"/>
      <c r="W282" s="38" t="s">
        <v>375</v>
      </c>
      <c r="X282" s="39">
        <f>ROUNDUP(SUM(BO22:BO277),0)</f>
        <v>18</v>
      </c>
      <c r="Y282" s="39">
        <f>ROUNDUP(SUM(BP22:BP277),0)</f>
        <v>18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376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7408.837199999999</v>
      </c>
      <c r="Y283" s="280">
        <f>GrossWeightTotalR+PalletQtyTotalR*25</f>
        <v>7408.837199999999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377</v>
      </c>
      <c r="Q284" s="334"/>
      <c r="R284" s="334"/>
      <c r="S284" s="334"/>
      <c r="T284" s="334"/>
      <c r="U284" s="334"/>
      <c r="V284" s="335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1442</v>
      </c>
      <c r="Y284" s="280">
        <f>IFERROR(Y30+Y36+Y43+Y49+Y57+Y62+Y67+Y73+Y79+Y84+Y90+Y100+Y106+Y118+Y122+Y126+Y134+Y140+Y146+Y152+Y158+Y163+Y168+Y173+Y180+Y185+Y194+Y200+Y206+Y212+Y217+Y222+Y228+Y234+Y238+Y244+Y248+Y255+Y259+Y265+Y278,"0")</f>
        <v>1442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378</v>
      </c>
      <c r="Q285" s="334"/>
      <c r="R285" s="334"/>
      <c r="S285" s="334"/>
      <c r="T285" s="334"/>
      <c r="U285" s="334"/>
      <c r="V285" s="335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21.93778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257</v>
      </c>
      <c r="W287" s="283"/>
      <c r="X287" s="275" t="s">
        <v>268</v>
      </c>
      <c r="Y287" s="282" t="s">
        <v>282</v>
      </c>
      <c r="Z287" s="381"/>
      <c r="AA287" s="381"/>
      <c r="AB287" s="28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7" t="s">
        <v>381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177</v>
      </c>
      <c r="M288" s="282" t="s">
        <v>183</v>
      </c>
      <c r="N288" s="276"/>
      <c r="O288" s="282" t="s">
        <v>210</v>
      </c>
      <c r="P288" s="282" t="s">
        <v>228</v>
      </c>
      <c r="Q288" s="282" t="s">
        <v>234</v>
      </c>
      <c r="R288" s="282" t="s">
        <v>241</v>
      </c>
      <c r="S288" s="282" t="s">
        <v>246</v>
      </c>
      <c r="T288" s="282" t="s">
        <v>250</v>
      </c>
      <c r="U288" s="282" t="s">
        <v>253</v>
      </c>
      <c r="V288" s="282" t="s">
        <v>258</v>
      </c>
      <c r="W288" s="282" t="s">
        <v>265</v>
      </c>
      <c r="X288" s="282" t="s">
        <v>269</v>
      </c>
      <c r="Y288" s="282" t="s">
        <v>283</v>
      </c>
      <c r="Z288" s="282" t="s">
        <v>296</v>
      </c>
      <c r="AA288" s="282" t="s">
        <v>303</v>
      </c>
      <c r="AB288" s="282" t="s">
        <v>307</v>
      </c>
      <c r="AC288" s="282" t="s">
        <v>312</v>
      </c>
      <c r="AD288" s="282" t="s">
        <v>317</v>
      </c>
      <c r="AE288" s="282" t="s">
        <v>324</v>
      </c>
      <c r="AF288" s="282" t="s">
        <v>331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249.60000000000002</v>
      </c>
      <c r="C290" s="47">
        <f>IFERROR(X34*H34,"0")+IFERROR(X35*H35,"0")</f>
        <v>0</v>
      </c>
      <c r="D290" s="47">
        <f>IFERROR(X41*H41,"0")+IFERROR(X42*H42,"0")</f>
        <v>0</v>
      </c>
      <c r="E290" s="47">
        <f>IFERROR(X47*H47,"0")+IFERROR(X48*H48,"0")</f>
        <v>604.79999999999995</v>
      </c>
      <c r="F290" s="47">
        <f>IFERROR(X53*H53,"0")+IFERROR(X54*H54,"0")+IFERROR(X55*H55,"0")+IFERROR(X56*H56,"0")</f>
        <v>672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300</v>
      </c>
      <c r="I290" s="47">
        <f>IFERROR(X83*H83,"0")</f>
        <v>0</v>
      </c>
      <c r="J290" s="47">
        <f>IFERROR(X88*H88,"0")+IFERROR(X89*H89,"0")</f>
        <v>50.4</v>
      </c>
      <c r="K290" s="47">
        <f>IFERROR(X94*H94,"0")+IFERROR(X95*H95,"0")+IFERROR(X96*H96,"0")+IFERROR(X97*H97,"0")+IFERROR(X98*H98,"0")+IFERROR(X99*H99,"0")</f>
        <v>356.16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1238.4000000000001</v>
      </c>
      <c r="N290" s="276"/>
      <c r="O290" s="47">
        <f>IFERROR(X130*H130,"0")+IFERROR(X131*H131,"0")+IFERROR(X132*H132,"0")+IFERROR(X133*H133,"0")+IFERROR(X137*H137,"0")+IFERROR(X138*H138,"0")+IFERROR(X139*H139,"0")</f>
        <v>76.44</v>
      </c>
      <c r="P290" s="47">
        <f>IFERROR(X144*H144,"0")+IFERROR(X145*H145,"0")</f>
        <v>546</v>
      </c>
      <c r="Q290" s="47">
        <f>IFERROR(X150*H150,"0")+IFERROR(X151*H151,"0")</f>
        <v>0</v>
      </c>
      <c r="R290" s="47">
        <f>IFERROR(X156*H156,"0")+IFERROR(X157*H157,"0")</f>
        <v>67.2</v>
      </c>
      <c r="S290" s="47">
        <f>IFERROR(X162*H162,"0")</f>
        <v>0</v>
      </c>
      <c r="T290" s="47">
        <f>IFERROR(X167*H167,"0")</f>
        <v>0</v>
      </c>
      <c r="U290" s="47">
        <f>IFERROR(X172*H172,"0")</f>
        <v>70.56</v>
      </c>
      <c r="V290" s="47">
        <f>IFERROR(X178*H178,"0")+IFERROR(X179*H179,"0")</f>
        <v>240</v>
      </c>
      <c r="W290" s="47">
        <f>IFERROR(X184*H184,"0")</f>
        <v>60</v>
      </c>
      <c r="X290" s="47">
        <f>IFERROR(X190*H190,"0")+IFERROR(X191*H191,"0")+IFERROR(X192*H192,"0")+IFERROR(X193*H193,"0")</f>
        <v>294</v>
      </c>
      <c r="Y290" s="47">
        <f>IFERROR(X199*H199,"0")+IFERROR(X203*H203,"0")+IFERROR(X204*H204,"0")+IFERROR(X205*H205,"0")</f>
        <v>304.08</v>
      </c>
      <c r="Z290" s="47">
        <f>IFERROR(X210*H210,"0")+IFERROR(X211*H211,"0")</f>
        <v>0</v>
      </c>
      <c r="AA290" s="47">
        <f>IFERROR(X216*H216,"0")</f>
        <v>960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351.20000000000005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4324.8</v>
      </c>
      <c r="B293" s="60">
        <f>SUMPRODUCT(--(BB:BB="ПГП"),--(W:W="кор"),H:H,Y:Y)+SUMPRODUCT(--(BB:BB="ПГП"),--(W:W="кг"),Y:Y)</f>
        <v>2116.04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38,40"/>
        <filter val="1 442,00"/>
        <filter val="108,00"/>
        <filter val="12,00"/>
        <filter val="14,00"/>
        <filter val="140,00"/>
        <filter val="144,00"/>
        <filter val="18"/>
        <filter val="180,00"/>
        <filter val="182,00"/>
        <filter val="192,00"/>
        <filter val="207,20"/>
        <filter val="24,00"/>
        <filter val="240,00"/>
        <filter val="249,60"/>
        <filter val="270,48"/>
        <filter val="28,00"/>
        <filter val="294,00"/>
        <filter val="300,00"/>
        <filter val="33,60"/>
        <filter val="356,16"/>
        <filter val="36,00"/>
        <filter val="42,00"/>
        <filter val="48,00"/>
        <filter val="50,40"/>
        <filter val="546,00"/>
        <filter val="56,00"/>
        <filter val="6 440,84"/>
        <filter val="6 958,84"/>
        <filter val="60,00"/>
        <filter val="604,80"/>
        <filter val="67,20"/>
        <filter val="672,00"/>
        <filter val="7 408,84"/>
        <filter val="70,00"/>
        <filter val="70,56"/>
        <filter val="76,44"/>
        <filter val="96,00"/>
        <filter val="960,0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