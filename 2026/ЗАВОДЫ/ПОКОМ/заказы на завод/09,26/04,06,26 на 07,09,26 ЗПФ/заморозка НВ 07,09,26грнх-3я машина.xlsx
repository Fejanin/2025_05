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21F1C4A-D00F-45C0-95A7-732489DE304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N258" i="2"/>
  <c r="BM258" i="2"/>
  <c r="Z258" i="2"/>
  <c r="Y258" i="2"/>
  <c r="BP258" i="2" s="1"/>
  <c r="P258" i="2"/>
  <c r="X256" i="2"/>
  <c r="X255" i="2"/>
  <c r="BO254" i="2"/>
  <c r="BN254" i="2"/>
  <c r="BM254" i="2"/>
  <c r="Z254" i="2"/>
  <c r="Z255" i="2" s="1"/>
  <c r="Y254" i="2"/>
  <c r="Y255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Z251" i="2" s="1"/>
  <c r="Y249" i="2"/>
  <c r="BP249" i="2" s="1"/>
  <c r="P249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1" i="2" s="1"/>
  <c r="P199" i="2"/>
  <c r="X195" i="2"/>
  <c r="X194" i="2"/>
  <c r="BO193" i="2"/>
  <c r="BM193" i="2"/>
  <c r="Z193" i="2"/>
  <c r="Y193" i="2"/>
  <c r="BP193" i="2" s="1"/>
  <c r="P193" i="2"/>
  <c r="BO192" i="2"/>
  <c r="BN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Y185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Z180" i="2" s="1"/>
  <c r="Y178" i="2"/>
  <c r="BN178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8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BP125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N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Y73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N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N35" i="2"/>
  <c r="BM35" i="2"/>
  <c r="Z35" i="2"/>
  <c r="Y35" i="2"/>
  <c r="BP35" i="2" s="1"/>
  <c r="P35" i="2"/>
  <c r="BO34" i="2"/>
  <c r="BM34" i="2"/>
  <c r="Z34" i="2"/>
  <c r="Y34" i="2"/>
  <c r="Y37" i="2" s="1"/>
  <c r="P34" i="2"/>
  <c r="X31" i="2"/>
  <c r="X30" i="2"/>
  <c r="BP29" i="2"/>
  <c r="BO29" i="2"/>
  <c r="BM29" i="2"/>
  <c r="Z29" i="2"/>
  <c r="Y29" i="2"/>
  <c r="BN29" i="2" s="1"/>
  <c r="P29" i="2"/>
  <c r="BO28" i="2"/>
  <c r="BN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N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P199" i="2" l="1"/>
  <c r="BN199" i="2"/>
  <c r="Y200" i="2"/>
  <c r="Z206" i="2"/>
  <c r="Z30" i="2"/>
  <c r="BN24" i="2"/>
  <c r="Z67" i="2"/>
  <c r="Y67" i="2"/>
  <c r="Z106" i="2"/>
  <c r="Z212" i="2"/>
  <c r="BN210" i="2"/>
  <c r="BN227" i="2"/>
  <c r="BP227" i="2"/>
  <c r="BN237" i="2"/>
  <c r="BP237" i="2"/>
  <c r="Y238" i="2"/>
  <c r="BN243" i="2"/>
  <c r="BP243" i="2"/>
  <c r="Y80" i="2"/>
  <c r="Y119" i="2"/>
  <c r="BN116" i="2"/>
  <c r="BN117" i="2"/>
  <c r="Y134" i="2"/>
  <c r="BN268" i="2"/>
  <c r="BN269" i="2"/>
  <c r="BN270" i="2"/>
  <c r="Z158" i="2"/>
  <c r="Z118" i="2"/>
  <c r="BN94" i="2"/>
  <c r="BN55" i="2"/>
  <c r="BN266" i="2"/>
  <c r="BN221" i="2"/>
  <c r="BP221" i="2"/>
  <c r="Y222" i="2"/>
  <c r="Z194" i="2"/>
  <c r="Z152" i="2"/>
  <c r="Z100" i="2"/>
  <c r="BN95" i="2"/>
  <c r="Z90" i="2"/>
  <c r="BN83" i="2"/>
  <c r="BP83" i="2"/>
  <c r="Y84" i="2"/>
  <c r="Z79" i="2"/>
  <c r="BN77" i="2"/>
  <c r="BP77" i="2"/>
  <c r="Y79" i="2"/>
  <c r="Y58" i="2"/>
  <c r="BN56" i="2"/>
  <c r="Y49" i="2"/>
  <c r="Z49" i="2"/>
  <c r="Z43" i="2"/>
  <c r="X280" i="2"/>
  <c r="Z134" i="2"/>
  <c r="X276" i="2"/>
  <c r="X278" i="2"/>
  <c r="Y31" i="2"/>
  <c r="X277" i="2"/>
  <c r="BP25" i="2"/>
  <c r="Z36" i="2"/>
  <c r="Y43" i="2"/>
  <c r="Y50" i="2"/>
  <c r="Z57" i="2"/>
  <c r="Z73" i="2"/>
  <c r="Y74" i="2"/>
  <c r="BN88" i="2"/>
  <c r="BN89" i="2"/>
  <c r="Y90" i="2"/>
  <c r="Y100" i="2"/>
  <c r="BN99" i="2"/>
  <c r="Y101" i="2"/>
  <c r="BN105" i="2"/>
  <c r="BN112" i="2"/>
  <c r="BN114" i="2"/>
  <c r="BN130" i="2"/>
  <c r="BP130" i="2"/>
  <c r="BP131" i="2"/>
  <c r="BN137" i="2"/>
  <c r="Z146" i="2"/>
  <c r="BP156" i="2"/>
  <c r="BP162" i="2"/>
  <c r="Y169" i="2"/>
  <c r="BP178" i="2"/>
  <c r="Y181" i="2"/>
  <c r="BP205" i="2"/>
  <c r="Y213" i="2"/>
  <c r="BN211" i="2"/>
  <c r="Y218" i="2"/>
  <c r="Y229" i="2"/>
  <c r="Y235" i="2"/>
  <c r="Y245" i="2"/>
  <c r="BN250" i="2"/>
  <c r="Y256" i="2"/>
  <c r="Z274" i="2"/>
  <c r="BP267" i="2"/>
  <c r="BP271" i="2"/>
  <c r="BP272" i="2"/>
  <c r="Y44" i="2"/>
  <c r="BP70" i="2"/>
  <c r="Y91" i="2"/>
  <c r="BP96" i="2"/>
  <c r="BP113" i="2"/>
  <c r="Y126" i="2"/>
  <c r="Y135" i="2"/>
  <c r="Z140" i="2"/>
  <c r="BN138" i="2"/>
  <c r="BN139" i="2"/>
  <c r="Y153" i="2"/>
  <c r="BN167" i="2"/>
  <c r="BP167" i="2"/>
  <c r="BN179" i="2"/>
  <c r="Y180" i="2"/>
  <c r="BN184" i="2"/>
  <c r="BP184" i="2"/>
  <c r="Y186" i="2"/>
  <c r="BN191" i="2"/>
  <c r="Y194" i="2"/>
  <c r="Y207" i="2"/>
  <c r="BN204" i="2"/>
  <c r="Z26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X279" i="2" l="1"/>
  <c r="Z281" i="2"/>
  <c r="Y276" i="2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<sst xmlns="http://schemas.openxmlformats.org/spreadsheetml/2006/main" count="1750" uniqueCount="417">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</sst>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7" fillId="0" borderId="0"/>
  </cellStyleXfs>
  <cellXfs count="47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3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Excel Built-in Normal" xfId="52" xr:uid="{9E515354-C822-4B32-9F24-24A4A164D414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1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Y11" sqref="Y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 t="s">
        <v>416</v>
      </c>
      <c r="I5" s="290"/>
      <c r="J5" s="290"/>
      <c r="K5" s="290"/>
      <c r="L5" s="290"/>
      <c r="M5" s="290"/>
      <c r="N5" s="75"/>
      <c r="P5" s="27" t="s">
        <v>4</v>
      </c>
      <c r="Q5" s="292">
        <v>46272</v>
      </c>
      <c r="R5" s="292"/>
      <c r="T5" s="293" t="s">
        <v>3</v>
      </c>
      <c r="U5" s="294"/>
      <c r="V5" s="295" t="s">
        <v>384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 t="s">
        <v>391</v>
      </c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 t="str">
        <f>IFERROR(VLOOKUP(DeliveryAddress,Table,3,0),1)</f>
        <v>3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>
        <v>0.45833333333333331</v>
      </c>
      <c r="R8" s="313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4"/>
      <c r="C9" s="314"/>
      <c r="D9" s="315" t="s">
        <v>46</v>
      </c>
      <c r="E9" s="316"/>
      <c r="F9" s="31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4"/>
      <c r="H9" s="317" t="str">
        <f>IF(AND($A$9="Тип доверенности/получателя при получении в адресе перегруза:",$D$9="Разовая доверенность"),"Введите ФИО","")</f>
        <v/>
      </c>
      <c r="I9" s="317"/>
      <c r="J9" s="3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7"/>
      <c r="L9" s="317"/>
      <c r="M9" s="317"/>
      <c r="N9" s="73"/>
      <c r="P9" s="31" t="s">
        <v>15</v>
      </c>
      <c r="Q9" s="318">
        <v>46275</v>
      </c>
      <c r="R9" s="318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4"/>
      <c r="C10" s="314"/>
      <c r="D10" s="315"/>
      <c r="E10" s="316"/>
      <c r="F10" s="31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4"/>
      <c r="H10" s="319" t="str">
        <f>IFERROR(VLOOKUP($D$10,Proxy,2,FALSE),"")</f>
        <v/>
      </c>
      <c r="I10" s="319"/>
      <c r="J10" s="319"/>
      <c r="K10" s="319"/>
      <c r="L10" s="319"/>
      <c r="M10" s="319"/>
      <c r="N10" s="74"/>
      <c r="P10" s="31" t="s">
        <v>32</v>
      </c>
      <c r="Q10" s="320">
        <v>0.375</v>
      </c>
      <c r="R10" s="320"/>
      <c r="U10" s="29" t="s">
        <v>12</v>
      </c>
      <c r="V10" s="321" t="s">
        <v>74</v>
      </c>
      <c r="W10" s="32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3"/>
      <c r="R11" s="323"/>
      <c r="U11" s="29" t="s">
        <v>28</v>
      </c>
      <c r="V11" s="324" t="s">
        <v>55</v>
      </c>
      <c r="W11" s="32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5" t="s">
        <v>75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5"/>
      <c r="N12" s="79"/>
      <c r="P12" s="27" t="s">
        <v>30</v>
      </c>
      <c r="Q12" s="312"/>
      <c r="R12" s="312"/>
      <c r="S12" s="28"/>
      <c r="T12"/>
      <c r="U12" s="29" t="s">
        <v>46</v>
      </c>
      <c r="V12" s="326"/>
      <c r="W12" s="326"/>
      <c r="X12"/>
      <c r="AB12" s="59"/>
      <c r="AC12" s="59"/>
      <c r="AD12" s="59"/>
      <c r="AE12" s="59"/>
    </row>
    <row r="13" spans="1:32" s="17" customFormat="1" ht="23.25" customHeight="1" x14ac:dyDescent="0.2">
      <c r="A13" s="325" t="s">
        <v>76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5"/>
      <c r="N13" s="79"/>
      <c r="O13" s="31"/>
      <c r="P13" s="31" t="s">
        <v>31</v>
      </c>
      <c r="Q13" s="324"/>
      <c r="R13" s="32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5" t="s">
        <v>77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5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7" t="s">
        <v>78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80"/>
      <c r="O15"/>
      <c r="P15" s="328" t="s">
        <v>61</v>
      </c>
      <c r="Q15" s="328"/>
      <c r="R15" s="328"/>
      <c r="S15" s="328"/>
      <c r="T15" s="32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9"/>
      <c r="Q16" s="329"/>
      <c r="R16" s="329"/>
      <c r="S16" s="329"/>
      <c r="T16" s="32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2" t="s">
        <v>59</v>
      </c>
      <c r="B17" s="332" t="s">
        <v>49</v>
      </c>
      <c r="C17" s="334" t="s">
        <v>48</v>
      </c>
      <c r="D17" s="336" t="s">
        <v>50</v>
      </c>
      <c r="E17" s="337"/>
      <c r="F17" s="332" t="s">
        <v>21</v>
      </c>
      <c r="G17" s="332" t="s">
        <v>24</v>
      </c>
      <c r="H17" s="332" t="s">
        <v>22</v>
      </c>
      <c r="I17" s="332" t="s">
        <v>23</v>
      </c>
      <c r="J17" s="332" t="s">
        <v>16</v>
      </c>
      <c r="K17" s="332" t="s">
        <v>69</v>
      </c>
      <c r="L17" s="332" t="s">
        <v>67</v>
      </c>
      <c r="M17" s="332" t="s">
        <v>2</v>
      </c>
      <c r="N17" s="332" t="s">
        <v>66</v>
      </c>
      <c r="O17" s="332" t="s">
        <v>25</v>
      </c>
      <c r="P17" s="336" t="s">
        <v>17</v>
      </c>
      <c r="Q17" s="340"/>
      <c r="R17" s="340"/>
      <c r="S17" s="340"/>
      <c r="T17" s="337"/>
      <c r="U17" s="330" t="s">
        <v>56</v>
      </c>
      <c r="V17" s="331"/>
      <c r="W17" s="332" t="s">
        <v>6</v>
      </c>
      <c r="X17" s="332" t="s">
        <v>41</v>
      </c>
      <c r="Y17" s="342" t="s">
        <v>54</v>
      </c>
      <c r="Z17" s="344" t="s">
        <v>18</v>
      </c>
      <c r="AA17" s="346" t="s">
        <v>60</v>
      </c>
      <c r="AB17" s="346" t="s">
        <v>19</v>
      </c>
      <c r="AC17" s="346" t="s">
        <v>68</v>
      </c>
      <c r="AD17" s="348" t="s">
        <v>57</v>
      </c>
      <c r="AE17" s="349"/>
      <c r="AF17" s="350"/>
      <c r="AG17" s="85"/>
      <c r="BD17" s="84" t="s">
        <v>64</v>
      </c>
    </row>
    <row r="18" spans="1:68" ht="14.25" customHeight="1" x14ac:dyDescent="0.2">
      <c r="A18" s="333"/>
      <c r="B18" s="333"/>
      <c r="C18" s="335"/>
      <c r="D18" s="338"/>
      <c r="E18" s="339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8"/>
      <c r="Q18" s="341"/>
      <c r="R18" s="341"/>
      <c r="S18" s="341"/>
      <c r="T18" s="339"/>
      <c r="U18" s="86" t="s">
        <v>44</v>
      </c>
      <c r="V18" s="86" t="s">
        <v>43</v>
      </c>
      <c r="W18" s="333"/>
      <c r="X18" s="333"/>
      <c r="Y18" s="343"/>
      <c r="Z18" s="345"/>
      <c r="AA18" s="347"/>
      <c r="AB18" s="347"/>
      <c r="AC18" s="347"/>
      <c r="AD18" s="351"/>
      <c r="AE18" s="352"/>
      <c r="AF18" s="353"/>
      <c r="AG18" s="85"/>
      <c r="BD18" s="84"/>
    </row>
    <row r="19" spans="1:68" ht="27.75" hidden="1" customHeight="1" x14ac:dyDescent="0.2">
      <c r="A19" s="354" t="s">
        <v>79</v>
      </c>
      <c r="B19" s="354"/>
      <c r="C19" s="354"/>
      <c r="D19" s="354"/>
      <c r="E19" s="354"/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  <c r="AA19" s="54"/>
      <c r="AB19" s="54"/>
      <c r="AC19" s="54"/>
    </row>
    <row r="20" spans="1:68" ht="16.5" hidden="1" customHeight="1" x14ac:dyDescent="0.25">
      <c r="A20" s="355" t="s">
        <v>79</v>
      </c>
      <c r="B20" s="355"/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  <c r="Z20" s="355"/>
      <c r="AA20" s="65"/>
      <c r="AB20" s="65"/>
      <c r="AC20" s="82"/>
    </row>
    <row r="21" spans="1:68" ht="14.25" hidden="1" customHeight="1" x14ac:dyDescent="0.25">
      <c r="A21" s="356" t="s">
        <v>80</v>
      </c>
      <c r="B21" s="356"/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356"/>
      <c r="O21" s="356"/>
      <c r="P21" s="356"/>
      <c r="Q21" s="356"/>
      <c r="R21" s="356"/>
      <c r="S21" s="356"/>
      <c r="T21" s="356"/>
      <c r="U21" s="356"/>
      <c r="V21" s="356"/>
      <c r="W21" s="356"/>
      <c r="X21" s="356"/>
      <c r="Y21" s="356"/>
      <c r="Z21" s="356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7">
        <v>4620207491508</v>
      </c>
      <c r="E22" s="357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9"/>
      <c r="R22" s="359"/>
      <c r="S22" s="359"/>
      <c r="T22" s="360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7">
        <v>4620207491256</v>
      </c>
      <c r="E23" s="357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9"/>
      <c r="R23" s="359"/>
      <c r="S23" s="359"/>
      <c r="T23" s="360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7">
        <v>4620207491713</v>
      </c>
      <c r="E24" s="357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2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9"/>
      <c r="R24" s="359"/>
      <c r="S24" s="359"/>
      <c r="T24" s="360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7">
        <v>4620207491720</v>
      </c>
      <c r="E25" s="357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3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9"/>
      <c r="R25" s="359"/>
      <c r="S25" s="359"/>
      <c r="T25" s="360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7">
        <v>4607111035912</v>
      </c>
      <c r="E26" s="357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9"/>
      <c r="R26" s="359"/>
      <c r="S26" s="359"/>
      <c r="T26" s="360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7">
        <v>4607111035929</v>
      </c>
      <c r="E27" s="357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9"/>
      <c r="R27" s="359"/>
      <c r="S27" s="359"/>
      <c r="T27" s="360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7">
        <v>4607111035882</v>
      </c>
      <c r="E28" s="357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9"/>
      <c r="R28" s="359"/>
      <c r="S28" s="359"/>
      <c r="T28" s="360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7">
        <v>4607111035905</v>
      </c>
      <c r="E29" s="357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9"/>
      <c r="R29" s="359"/>
      <c r="S29" s="359"/>
      <c r="T29" s="360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1"/>
      <c r="B30" s="371"/>
      <c r="C30" s="371"/>
      <c r="D30" s="371"/>
      <c r="E30" s="371"/>
      <c r="F30" s="371"/>
      <c r="G30" s="371"/>
      <c r="H30" s="371"/>
      <c r="I30" s="371"/>
      <c r="J30" s="371"/>
      <c r="K30" s="371"/>
      <c r="L30" s="371"/>
      <c r="M30" s="371"/>
      <c r="N30" s="371"/>
      <c r="O30" s="372"/>
      <c r="P30" s="368" t="s">
        <v>40</v>
      </c>
      <c r="Q30" s="369"/>
      <c r="R30" s="369"/>
      <c r="S30" s="369"/>
      <c r="T30" s="369"/>
      <c r="U30" s="369"/>
      <c r="V30" s="370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1"/>
      <c r="B31" s="371"/>
      <c r="C31" s="371"/>
      <c r="D31" s="371"/>
      <c r="E31" s="371"/>
      <c r="F31" s="371"/>
      <c r="G31" s="371"/>
      <c r="H31" s="371"/>
      <c r="I31" s="371"/>
      <c r="J31" s="371"/>
      <c r="K31" s="371"/>
      <c r="L31" s="371"/>
      <c r="M31" s="371"/>
      <c r="N31" s="371"/>
      <c r="O31" s="372"/>
      <c r="P31" s="368" t="s">
        <v>40</v>
      </c>
      <c r="Q31" s="369"/>
      <c r="R31" s="369"/>
      <c r="S31" s="369"/>
      <c r="T31" s="369"/>
      <c r="U31" s="369"/>
      <c r="V31" s="370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5" t="s">
        <v>104</v>
      </c>
      <c r="B32" s="355"/>
      <c r="C32" s="355"/>
      <c r="D32" s="355"/>
      <c r="E32" s="355"/>
      <c r="F32" s="355"/>
      <c r="G32" s="355"/>
      <c r="H32" s="355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  <c r="Z32" s="355"/>
      <c r="AA32" s="65"/>
      <c r="AB32" s="65"/>
      <c r="AC32" s="82"/>
    </row>
    <row r="33" spans="1:68" ht="14.25" hidden="1" customHeight="1" x14ac:dyDescent="0.25">
      <c r="A33" s="356" t="s">
        <v>80</v>
      </c>
      <c r="B33" s="356"/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356"/>
      <c r="O33" s="356"/>
      <c r="P33" s="356"/>
      <c r="Q33" s="356"/>
      <c r="R33" s="356"/>
      <c r="S33" s="356"/>
      <c r="T33" s="356"/>
      <c r="U33" s="356"/>
      <c r="V33" s="356"/>
      <c r="W33" s="356"/>
      <c r="X33" s="356"/>
      <c r="Y33" s="356"/>
      <c r="Z33" s="356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7">
        <v>4607111039019</v>
      </c>
      <c r="E34" s="357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9"/>
      <c r="R34" s="359"/>
      <c r="S34" s="359"/>
      <c r="T34" s="360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7">
        <v>4607111038708</v>
      </c>
      <c r="E35" s="357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9"/>
      <c r="R35" s="359"/>
      <c r="S35" s="359"/>
      <c r="T35" s="360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1"/>
      <c r="B36" s="371"/>
      <c r="C36" s="371"/>
      <c r="D36" s="371"/>
      <c r="E36" s="371"/>
      <c r="F36" s="371"/>
      <c r="G36" s="371"/>
      <c r="H36" s="371"/>
      <c r="I36" s="371"/>
      <c r="J36" s="371"/>
      <c r="K36" s="371"/>
      <c r="L36" s="371"/>
      <c r="M36" s="371"/>
      <c r="N36" s="371"/>
      <c r="O36" s="372"/>
      <c r="P36" s="368" t="s">
        <v>40</v>
      </c>
      <c r="Q36" s="369"/>
      <c r="R36" s="369"/>
      <c r="S36" s="369"/>
      <c r="T36" s="369"/>
      <c r="U36" s="369"/>
      <c r="V36" s="370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1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2"/>
      <c r="P37" s="368" t="s">
        <v>40</v>
      </c>
      <c r="Q37" s="369"/>
      <c r="R37" s="369"/>
      <c r="S37" s="369"/>
      <c r="T37" s="369"/>
      <c r="U37" s="369"/>
      <c r="V37" s="370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4" t="s">
        <v>45</v>
      </c>
      <c r="B38" s="354"/>
      <c r="C38" s="354"/>
      <c r="D38" s="354"/>
      <c r="E38" s="354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  <c r="AA38" s="54"/>
      <c r="AB38" s="54"/>
      <c r="AC38" s="54"/>
    </row>
    <row r="39" spans="1:68" ht="16.5" hidden="1" customHeight="1" x14ac:dyDescent="0.25">
      <c r="A39" s="355" t="s">
        <v>110</v>
      </c>
      <c r="B39" s="35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65"/>
      <c r="AB39" s="65"/>
      <c r="AC39" s="82"/>
    </row>
    <row r="40" spans="1:68" ht="14.25" hidden="1" customHeight="1" x14ac:dyDescent="0.25">
      <c r="A40" s="356" t="s">
        <v>111</v>
      </c>
      <c r="B40" s="356"/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56"/>
      <c r="Z40" s="356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7">
        <v>4607111036537</v>
      </c>
      <c r="E41" s="357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9"/>
      <c r="R41" s="359"/>
      <c r="S41" s="359"/>
      <c r="T41" s="360"/>
      <c r="U41" s="39" t="s">
        <v>46</v>
      </c>
      <c r="V41" s="39" t="s">
        <v>46</v>
      </c>
      <c r="W41" s="40" t="s">
        <v>39</v>
      </c>
      <c r="X41" s="58">
        <v>140</v>
      </c>
      <c r="Y41" s="55">
        <f>IFERROR(IF(X41="","",X41),"")</f>
        <v>140</v>
      </c>
      <c r="Z41" s="41">
        <f>IFERROR(IF(X41="","",X41*0.00941),"")</f>
        <v>1.3173999999999999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269.05200000000002</v>
      </c>
      <c r="BN41" s="81">
        <f>IFERROR(Y41*I41,"0")</f>
        <v>269.05200000000002</v>
      </c>
      <c r="BO41" s="81">
        <f>IFERROR(X41/J41,"0")</f>
        <v>1</v>
      </c>
      <c r="BP41" s="81">
        <f>IFERROR(Y41/J41,"0")</f>
        <v>1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7">
        <v>4607111036605</v>
      </c>
      <c r="E42" s="357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9"/>
      <c r="R42" s="359"/>
      <c r="S42" s="359"/>
      <c r="T42" s="360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71"/>
      <c r="B43" s="371"/>
      <c r="C43" s="371"/>
      <c r="D43" s="371"/>
      <c r="E43" s="371"/>
      <c r="F43" s="371"/>
      <c r="G43" s="371"/>
      <c r="H43" s="371"/>
      <c r="I43" s="371"/>
      <c r="J43" s="371"/>
      <c r="K43" s="371"/>
      <c r="L43" s="371"/>
      <c r="M43" s="371"/>
      <c r="N43" s="371"/>
      <c r="O43" s="372"/>
      <c r="P43" s="368" t="s">
        <v>40</v>
      </c>
      <c r="Q43" s="369"/>
      <c r="R43" s="369"/>
      <c r="S43" s="369"/>
      <c r="T43" s="369"/>
      <c r="U43" s="369"/>
      <c r="V43" s="370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1.7126199999999998</v>
      </c>
      <c r="AA43" s="67"/>
      <c r="AB43" s="67"/>
      <c r="AC43" s="67"/>
    </row>
    <row r="44" spans="1:68" x14ac:dyDescent="0.2">
      <c r="A44" s="371"/>
      <c r="B44" s="371"/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2"/>
      <c r="P44" s="368" t="s">
        <v>40</v>
      </c>
      <c r="Q44" s="369"/>
      <c r="R44" s="369"/>
      <c r="S44" s="369"/>
      <c r="T44" s="369"/>
      <c r="U44" s="369"/>
      <c r="V44" s="370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55" t="s">
        <v>121</v>
      </c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  <c r="Z45" s="355"/>
      <c r="AA45" s="65"/>
      <c r="AB45" s="65"/>
      <c r="AC45" s="82"/>
    </row>
    <row r="46" spans="1:68" ht="14.25" hidden="1" customHeight="1" x14ac:dyDescent="0.25">
      <c r="A46" s="356" t="s">
        <v>80</v>
      </c>
      <c r="B46" s="356"/>
      <c r="C46" s="356"/>
      <c r="D46" s="356"/>
      <c r="E46" s="356"/>
      <c r="F46" s="356"/>
      <c r="G46" s="356"/>
      <c r="H46" s="356"/>
      <c r="I46" s="356"/>
      <c r="J46" s="356"/>
      <c r="K46" s="356"/>
      <c r="L46" s="356"/>
      <c r="M46" s="356"/>
      <c r="N46" s="356"/>
      <c r="O46" s="356"/>
      <c r="P46" s="356"/>
      <c r="Q46" s="356"/>
      <c r="R46" s="356"/>
      <c r="S46" s="356"/>
      <c r="T46" s="356"/>
      <c r="U46" s="356"/>
      <c r="V46" s="356"/>
      <c r="W46" s="356"/>
      <c r="X46" s="356"/>
      <c r="Y46" s="356"/>
      <c r="Z46" s="356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7">
        <v>4620207490075</v>
      </c>
      <c r="E47" s="357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9"/>
      <c r="R47" s="359"/>
      <c r="S47" s="359"/>
      <c r="T47" s="360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7">
        <v>4620207490174</v>
      </c>
      <c r="E48" s="357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9"/>
      <c r="R48" s="359"/>
      <c r="S48" s="359"/>
      <c r="T48" s="360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1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2"/>
      <c r="P49" s="368" t="s">
        <v>40</v>
      </c>
      <c r="Q49" s="369"/>
      <c r="R49" s="369"/>
      <c r="S49" s="369"/>
      <c r="T49" s="369"/>
      <c r="U49" s="369"/>
      <c r="V49" s="370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1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2"/>
      <c r="P50" s="368" t="s">
        <v>40</v>
      </c>
      <c r="Q50" s="369"/>
      <c r="R50" s="369"/>
      <c r="S50" s="369"/>
      <c r="T50" s="369"/>
      <c r="U50" s="369"/>
      <c r="V50" s="370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5" t="s">
        <v>128</v>
      </c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  <c r="Z51" s="355"/>
      <c r="AA51" s="65"/>
      <c r="AB51" s="65"/>
      <c r="AC51" s="82"/>
    </row>
    <row r="52" spans="1:68" ht="14.25" hidden="1" customHeight="1" x14ac:dyDescent="0.25">
      <c r="A52" s="356" t="s">
        <v>80</v>
      </c>
      <c r="B52" s="356"/>
      <c r="C52" s="356"/>
      <c r="D52" s="356"/>
      <c r="E52" s="356"/>
      <c r="F52" s="356"/>
      <c r="G52" s="356"/>
      <c r="H52" s="356"/>
      <c r="I52" s="356"/>
      <c r="J52" s="356"/>
      <c r="K52" s="356"/>
      <c r="L52" s="356"/>
      <c r="M52" s="356"/>
      <c r="N52" s="356"/>
      <c r="O52" s="356"/>
      <c r="P52" s="356"/>
      <c r="Q52" s="356"/>
      <c r="R52" s="356"/>
      <c r="S52" s="356"/>
      <c r="T52" s="356"/>
      <c r="U52" s="356"/>
      <c r="V52" s="356"/>
      <c r="W52" s="356"/>
      <c r="X52" s="356"/>
      <c r="Y52" s="356"/>
      <c r="Z52" s="356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7">
        <v>4607111039385</v>
      </c>
      <c r="E53" s="357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9"/>
      <c r="R53" s="359"/>
      <c r="S53" s="359"/>
      <c r="T53" s="360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7">
        <v>4607111038982</v>
      </c>
      <c r="E54" s="357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9"/>
      <c r="R54" s="359"/>
      <c r="S54" s="359"/>
      <c r="T54" s="360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4301071046</v>
      </c>
      <c r="D55" s="357">
        <v>4607111039354</v>
      </c>
      <c r="E55" s="357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9"/>
      <c r="R55" s="359"/>
      <c r="S55" s="359"/>
      <c r="T55" s="360"/>
      <c r="U55" s="39" t="s">
        <v>46</v>
      </c>
      <c r="V55" s="39" t="s">
        <v>46</v>
      </c>
      <c r="W55" s="40" t="s">
        <v>39</v>
      </c>
      <c r="X55" s="58">
        <v>24</v>
      </c>
      <c r="Y55" s="55">
        <f>IFERROR(IF(X55="","",X55),"")</f>
        <v>24</v>
      </c>
      <c r="Z55" s="41">
        <f>IFERROR(IF(X55="","",X55*0.0155),"")</f>
        <v>0.372</v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161.2704</v>
      </c>
      <c r="BN55" s="81">
        <f>IFERROR(Y55*I55,"0")</f>
        <v>161.2704</v>
      </c>
      <c r="BO55" s="81">
        <f>IFERROR(X55/J55,"0")</f>
        <v>0.2857142857142857</v>
      </c>
      <c r="BP55" s="81">
        <f>IFERROR(Y55/J55,"0")</f>
        <v>0.2857142857142857</v>
      </c>
    </row>
    <row r="56" spans="1:68" ht="27" customHeight="1" x14ac:dyDescent="0.25">
      <c r="A56" s="63" t="s">
        <v>137</v>
      </c>
      <c r="B56" s="63" t="s">
        <v>138</v>
      </c>
      <c r="C56" s="36">
        <v>4301071047</v>
      </c>
      <c r="D56" s="357">
        <v>4607111039330</v>
      </c>
      <c r="E56" s="357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9"/>
      <c r="R56" s="359"/>
      <c r="S56" s="359"/>
      <c r="T56" s="360"/>
      <c r="U56" s="39" t="s">
        <v>46</v>
      </c>
      <c r="V56" s="39" t="s">
        <v>46</v>
      </c>
      <c r="W56" s="40" t="s">
        <v>39</v>
      </c>
      <c r="X56" s="58">
        <v>12</v>
      </c>
      <c r="Y56" s="55">
        <f>IFERROR(IF(X56="","",X56),"")</f>
        <v>12</v>
      </c>
      <c r="Z56" s="41">
        <f>IFERROR(IF(X56="","",X56*0.0155),"")</f>
        <v>0.186</v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87.6</v>
      </c>
      <c r="BN56" s="81">
        <f>IFERROR(Y56*I56,"0")</f>
        <v>87.6</v>
      </c>
      <c r="BO56" s="81">
        <f>IFERROR(X56/J56,"0")</f>
        <v>0.14285714285714285</v>
      </c>
      <c r="BP56" s="81">
        <f>IFERROR(Y56/J56,"0")</f>
        <v>0.14285714285714285</v>
      </c>
    </row>
    <row r="57" spans="1:68" x14ac:dyDescent="0.2">
      <c r="A57" s="371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2"/>
      <c r="P57" s="368" t="s">
        <v>40</v>
      </c>
      <c r="Q57" s="369"/>
      <c r="R57" s="369"/>
      <c r="S57" s="369"/>
      <c r="T57" s="369"/>
      <c r="U57" s="369"/>
      <c r="V57" s="370"/>
      <c r="W57" s="42" t="s">
        <v>39</v>
      </c>
      <c r="X57" s="43">
        <f>IFERROR(SUM(X53:X56),"0")</f>
        <v>36</v>
      </c>
      <c r="Y57" s="43">
        <f>IFERROR(SUM(Y53:Y56),"0")</f>
        <v>36</v>
      </c>
      <c r="Z57" s="43">
        <f>IFERROR(IF(Z53="",0,Z53),"0")+IFERROR(IF(Z54="",0,Z54),"0")+IFERROR(IF(Z55="",0,Z55),"0")+IFERROR(IF(Z56="",0,Z56),"0")</f>
        <v>0.55800000000000005</v>
      </c>
      <c r="AA57" s="67"/>
      <c r="AB57" s="67"/>
      <c r="AC57" s="67"/>
    </row>
    <row r="58" spans="1:68" x14ac:dyDescent="0.2">
      <c r="A58" s="371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2"/>
      <c r="P58" s="368" t="s">
        <v>40</v>
      </c>
      <c r="Q58" s="369"/>
      <c r="R58" s="369"/>
      <c r="S58" s="369"/>
      <c r="T58" s="369"/>
      <c r="U58" s="369"/>
      <c r="V58" s="370"/>
      <c r="W58" s="42" t="s">
        <v>0</v>
      </c>
      <c r="X58" s="43">
        <f>IFERROR(SUMPRODUCT(X53:X56*H53:H56),"0")</f>
        <v>237.60000000000002</v>
      </c>
      <c r="Y58" s="43">
        <f>IFERROR(SUMPRODUCT(Y53:Y56*H53:H56),"0")</f>
        <v>237.60000000000002</v>
      </c>
      <c r="Z58" s="42"/>
      <c r="AA58" s="67"/>
      <c r="AB58" s="67"/>
      <c r="AC58" s="67"/>
    </row>
    <row r="59" spans="1:68" ht="16.5" hidden="1" customHeight="1" x14ac:dyDescent="0.25">
      <c r="A59" s="355" t="s">
        <v>139</v>
      </c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  <c r="Z59" s="355"/>
      <c r="AA59" s="65"/>
      <c r="AB59" s="65"/>
      <c r="AC59" s="82"/>
    </row>
    <row r="60" spans="1:68" ht="14.25" hidden="1" customHeight="1" x14ac:dyDescent="0.25">
      <c r="A60" s="356" t="s">
        <v>111</v>
      </c>
      <c r="B60" s="356"/>
      <c r="C60" s="356"/>
      <c r="D60" s="356"/>
      <c r="E60" s="356"/>
      <c r="F60" s="356"/>
      <c r="G60" s="356"/>
      <c r="H60" s="356"/>
      <c r="I60" s="356"/>
      <c r="J60" s="356"/>
      <c r="K60" s="356"/>
      <c r="L60" s="356"/>
      <c r="M60" s="356"/>
      <c r="N60" s="356"/>
      <c r="O60" s="356"/>
      <c r="P60" s="356"/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7">
        <v>4607111039712</v>
      </c>
      <c r="E61" s="357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9"/>
      <c r="R61" s="359"/>
      <c r="S61" s="359"/>
      <c r="T61" s="360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1"/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2"/>
      <c r="P62" s="368" t="s">
        <v>40</v>
      </c>
      <c r="Q62" s="369"/>
      <c r="R62" s="369"/>
      <c r="S62" s="369"/>
      <c r="T62" s="369"/>
      <c r="U62" s="369"/>
      <c r="V62" s="370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1"/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2"/>
      <c r="P63" s="368" t="s">
        <v>40</v>
      </c>
      <c r="Q63" s="369"/>
      <c r="R63" s="369"/>
      <c r="S63" s="369"/>
      <c r="T63" s="369"/>
      <c r="U63" s="369"/>
      <c r="V63" s="370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6" t="s">
        <v>143</v>
      </c>
      <c r="B64" s="356"/>
      <c r="C64" s="356"/>
      <c r="D64" s="356"/>
      <c r="E64" s="356"/>
      <c r="F64" s="356"/>
      <c r="G64" s="356"/>
      <c r="H64" s="356"/>
      <c r="I64" s="356"/>
      <c r="J64" s="356"/>
      <c r="K64" s="356"/>
      <c r="L64" s="356"/>
      <c r="M64" s="356"/>
      <c r="N64" s="356"/>
      <c r="O64" s="356"/>
      <c r="P64" s="356"/>
      <c r="Q64" s="356"/>
      <c r="R64" s="356"/>
      <c r="S64" s="356"/>
      <c r="T64" s="356"/>
      <c r="U64" s="356"/>
      <c r="V64" s="356"/>
      <c r="W64" s="356"/>
      <c r="X64" s="356"/>
      <c r="Y64" s="356"/>
      <c r="Z64" s="356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357">
        <v>4607111037008</v>
      </c>
      <c r="E65" s="357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9"/>
      <c r="R65" s="359"/>
      <c r="S65" s="359"/>
      <c r="T65" s="360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357">
        <v>4607111037398</v>
      </c>
      <c r="E66" s="357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9"/>
      <c r="R66" s="359"/>
      <c r="S66" s="359"/>
      <c r="T66" s="360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1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2"/>
      <c r="P67" s="368" t="s">
        <v>40</v>
      </c>
      <c r="Q67" s="369"/>
      <c r="R67" s="369"/>
      <c r="S67" s="369"/>
      <c r="T67" s="369"/>
      <c r="U67" s="369"/>
      <c r="V67" s="370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1"/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2"/>
      <c r="P68" s="368" t="s">
        <v>40</v>
      </c>
      <c r="Q68" s="369"/>
      <c r="R68" s="369"/>
      <c r="S68" s="369"/>
      <c r="T68" s="369"/>
      <c r="U68" s="369"/>
      <c r="V68" s="370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6" t="s">
        <v>149</v>
      </c>
      <c r="B69" s="356"/>
      <c r="C69" s="356"/>
      <c r="D69" s="356"/>
      <c r="E69" s="356"/>
      <c r="F69" s="356"/>
      <c r="G69" s="356"/>
      <c r="H69" s="356"/>
      <c r="I69" s="356"/>
      <c r="J69" s="356"/>
      <c r="K69" s="356"/>
      <c r="L69" s="356"/>
      <c r="M69" s="356"/>
      <c r="N69" s="356"/>
      <c r="O69" s="356"/>
      <c r="P69" s="356"/>
      <c r="Q69" s="356"/>
      <c r="R69" s="356"/>
      <c r="S69" s="356"/>
      <c r="T69" s="356"/>
      <c r="U69" s="356"/>
      <c r="V69" s="356"/>
      <c r="W69" s="356"/>
      <c r="X69" s="356"/>
      <c r="Y69" s="356"/>
      <c r="Z69" s="356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357">
        <v>4607111039705</v>
      </c>
      <c r="E70" s="357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9"/>
      <c r="R70" s="359"/>
      <c r="S70" s="359"/>
      <c r="T70" s="360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152</v>
      </c>
      <c r="B71" s="63" t="s">
        <v>153</v>
      </c>
      <c r="C71" s="36">
        <v>4301135665</v>
      </c>
      <c r="D71" s="357">
        <v>4607111039729</v>
      </c>
      <c r="E71" s="357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9"/>
      <c r="R71" s="359"/>
      <c r="S71" s="359"/>
      <c r="T71" s="360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155</v>
      </c>
      <c r="B72" s="63" t="s">
        <v>156</v>
      </c>
      <c r="C72" s="36">
        <v>4301135702</v>
      </c>
      <c r="D72" s="357">
        <v>4620207490228</v>
      </c>
      <c r="E72" s="357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9"/>
      <c r="R72" s="359"/>
      <c r="S72" s="359"/>
      <c r="T72" s="360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1"/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2"/>
      <c r="P73" s="368" t="s">
        <v>40</v>
      </c>
      <c r="Q73" s="369"/>
      <c r="R73" s="369"/>
      <c r="S73" s="369"/>
      <c r="T73" s="369"/>
      <c r="U73" s="369"/>
      <c r="V73" s="370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1"/>
      <c r="B74" s="371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2"/>
      <c r="P74" s="368" t="s">
        <v>40</v>
      </c>
      <c r="Q74" s="369"/>
      <c r="R74" s="369"/>
      <c r="S74" s="369"/>
      <c r="T74" s="369"/>
      <c r="U74" s="369"/>
      <c r="V74" s="370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55" t="s">
        <v>157</v>
      </c>
      <c r="B75" s="355"/>
      <c r="C75" s="355"/>
      <c r="D75" s="355"/>
      <c r="E75" s="355"/>
      <c r="F75" s="355"/>
      <c r="G75" s="355"/>
      <c r="H75" s="355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  <c r="Z75" s="355"/>
      <c r="AA75" s="65"/>
      <c r="AB75" s="65"/>
      <c r="AC75" s="82"/>
    </row>
    <row r="76" spans="1:68" ht="14.25" hidden="1" customHeight="1" x14ac:dyDescent="0.25">
      <c r="A76" s="356" t="s">
        <v>80</v>
      </c>
      <c r="B76" s="356"/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356"/>
      <c r="O76" s="356"/>
      <c r="P76" s="356"/>
      <c r="Q76" s="356"/>
      <c r="R76" s="356"/>
      <c r="S76" s="356"/>
      <c r="T76" s="356"/>
      <c r="U76" s="356"/>
      <c r="V76" s="356"/>
      <c r="W76" s="356"/>
      <c r="X76" s="356"/>
      <c r="Y76" s="356"/>
      <c r="Z76" s="356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357">
        <v>4607111037411</v>
      </c>
      <c r="E77" s="357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8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9"/>
      <c r="R77" s="359"/>
      <c r="S77" s="359"/>
      <c r="T77" s="360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357">
        <v>4607111036728</v>
      </c>
      <c r="E78" s="357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9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9"/>
      <c r="R78" s="359"/>
      <c r="S78" s="359"/>
      <c r="T78" s="360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1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2"/>
      <c r="P79" s="368" t="s">
        <v>40</v>
      </c>
      <c r="Q79" s="369"/>
      <c r="R79" s="369"/>
      <c r="S79" s="369"/>
      <c r="T79" s="369"/>
      <c r="U79" s="369"/>
      <c r="V79" s="370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1"/>
      <c r="B80" s="371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2"/>
      <c r="P80" s="368" t="s">
        <v>40</v>
      </c>
      <c r="Q80" s="369"/>
      <c r="R80" s="369"/>
      <c r="S80" s="369"/>
      <c r="T80" s="369"/>
      <c r="U80" s="369"/>
      <c r="V80" s="370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55" t="s">
        <v>164</v>
      </c>
      <c r="B81" s="355"/>
      <c r="C81" s="355"/>
      <c r="D81" s="355"/>
      <c r="E81" s="355"/>
      <c r="F81" s="355"/>
      <c r="G81" s="355"/>
      <c r="H81" s="355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  <c r="Z81" s="355"/>
      <c r="AA81" s="65"/>
      <c r="AB81" s="65"/>
      <c r="AC81" s="82"/>
    </row>
    <row r="82" spans="1:68" ht="14.25" hidden="1" customHeight="1" x14ac:dyDescent="0.25">
      <c r="A82" s="356" t="s">
        <v>149</v>
      </c>
      <c r="B82" s="356"/>
      <c r="C82" s="356"/>
      <c r="D82" s="356"/>
      <c r="E82" s="356"/>
      <c r="F82" s="356"/>
      <c r="G82" s="356"/>
      <c r="H82" s="356"/>
      <c r="I82" s="356"/>
      <c r="J82" s="356"/>
      <c r="K82" s="356"/>
      <c r="L82" s="356"/>
      <c r="M82" s="356"/>
      <c r="N82" s="356"/>
      <c r="O82" s="356"/>
      <c r="P82" s="356"/>
      <c r="Q82" s="356"/>
      <c r="R82" s="356"/>
      <c r="S82" s="356"/>
      <c r="T82" s="356"/>
      <c r="U82" s="356"/>
      <c r="V82" s="356"/>
      <c r="W82" s="356"/>
      <c r="X82" s="356"/>
      <c r="Y82" s="356"/>
      <c r="Z82" s="356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57">
        <v>4607111033659</v>
      </c>
      <c r="E83" s="357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9"/>
      <c r="R83" s="359"/>
      <c r="S83" s="359"/>
      <c r="T83" s="360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71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2"/>
      <c r="P84" s="368" t="s">
        <v>40</v>
      </c>
      <c r="Q84" s="369"/>
      <c r="R84" s="369"/>
      <c r="S84" s="369"/>
      <c r="T84" s="369"/>
      <c r="U84" s="369"/>
      <c r="V84" s="370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71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2"/>
      <c r="P85" s="368" t="s">
        <v>40</v>
      </c>
      <c r="Q85" s="369"/>
      <c r="R85" s="369"/>
      <c r="S85" s="369"/>
      <c r="T85" s="369"/>
      <c r="U85" s="369"/>
      <c r="V85" s="370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55" t="s">
        <v>168</v>
      </c>
      <c r="B86" s="355"/>
      <c r="C86" s="355"/>
      <c r="D86" s="355"/>
      <c r="E86" s="355"/>
      <c r="F86" s="355"/>
      <c r="G86" s="355"/>
      <c r="H86" s="355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  <c r="Z86" s="355"/>
      <c r="AA86" s="65"/>
      <c r="AB86" s="65"/>
      <c r="AC86" s="82"/>
    </row>
    <row r="87" spans="1:68" ht="14.25" hidden="1" customHeight="1" x14ac:dyDescent="0.25">
      <c r="A87" s="356" t="s">
        <v>169</v>
      </c>
      <c r="B87" s="356"/>
      <c r="C87" s="356"/>
      <c r="D87" s="356"/>
      <c r="E87" s="356"/>
      <c r="F87" s="356"/>
      <c r="G87" s="356"/>
      <c r="H87" s="356"/>
      <c r="I87" s="356"/>
      <c r="J87" s="356"/>
      <c r="K87" s="356"/>
      <c r="L87" s="356"/>
      <c r="M87" s="356"/>
      <c r="N87" s="356"/>
      <c r="O87" s="356"/>
      <c r="P87" s="356"/>
      <c r="Q87" s="356"/>
      <c r="R87" s="356"/>
      <c r="S87" s="356"/>
      <c r="T87" s="356"/>
      <c r="U87" s="356"/>
      <c r="V87" s="356"/>
      <c r="W87" s="356"/>
      <c r="X87" s="356"/>
      <c r="Y87" s="356"/>
      <c r="Z87" s="356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57">
        <v>4607111034120</v>
      </c>
      <c r="E88" s="357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2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9"/>
      <c r="R88" s="359"/>
      <c r="S88" s="359"/>
      <c r="T88" s="360"/>
      <c r="U88" s="39" t="s">
        <v>46</v>
      </c>
      <c r="V88" s="39" t="s">
        <v>46</v>
      </c>
      <c r="W88" s="40" t="s">
        <v>39</v>
      </c>
      <c r="X88" s="58">
        <v>84</v>
      </c>
      <c r="Y88" s="55">
        <f>IFERROR(IF(X88="","",X88),"")</f>
        <v>84</v>
      </c>
      <c r="Z88" s="41">
        <f>IFERROR(IF(X88="","",X88*0.01788),"")</f>
        <v>1.5019199999999999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361.50240000000002</v>
      </c>
      <c r="BN88" s="81">
        <f>IFERROR(Y88*I88,"0")</f>
        <v>361.50240000000002</v>
      </c>
      <c r="BO88" s="81">
        <f>IFERROR(X88/J88,"0")</f>
        <v>1.2</v>
      </c>
      <c r="BP88" s="81">
        <f>IFERROR(Y88/J88,"0")</f>
        <v>1.2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57">
        <v>4607111034137</v>
      </c>
      <c r="E89" s="357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3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9"/>
      <c r="R89" s="359"/>
      <c r="S89" s="359"/>
      <c r="T89" s="360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71"/>
      <c r="B90" s="371"/>
      <c r="C90" s="371"/>
      <c r="D90" s="371"/>
      <c r="E90" s="371"/>
      <c r="F90" s="371"/>
      <c r="G90" s="371"/>
      <c r="H90" s="371"/>
      <c r="I90" s="371"/>
      <c r="J90" s="371"/>
      <c r="K90" s="371"/>
      <c r="L90" s="371"/>
      <c r="M90" s="371"/>
      <c r="N90" s="371"/>
      <c r="O90" s="372"/>
      <c r="P90" s="368" t="s">
        <v>40</v>
      </c>
      <c r="Q90" s="369"/>
      <c r="R90" s="369"/>
      <c r="S90" s="369"/>
      <c r="T90" s="369"/>
      <c r="U90" s="369"/>
      <c r="V90" s="370"/>
      <c r="W90" s="42" t="s">
        <v>39</v>
      </c>
      <c r="X90" s="43">
        <f>IFERROR(SUM(X88:X89),"0")</f>
        <v>126</v>
      </c>
      <c r="Y90" s="43">
        <f>IFERROR(SUM(Y88:Y89),"0")</f>
        <v>126</v>
      </c>
      <c r="Z90" s="43">
        <f>IFERROR(IF(Z88="",0,Z88),"0")+IFERROR(IF(Z89="",0,Z89),"0")</f>
        <v>2.2528799999999998</v>
      </c>
      <c r="AA90" s="67"/>
      <c r="AB90" s="67"/>
      <c r="AC90" s="67"/>
    </row>
    <row r="91" spans="1:68" x14ac:dyDescent="0.2">
      <c r="A91" s="371"/>
      <c r="B91" s="371"/>
      <c r="C91" s="371"/>
      <c r="D91" s="371"/>
      <c r="E91" s="371"/>
      <c r="F91" s="371"/>
      <c r="G91" s="371"/>
      <c r="H91" s="371"/>
      <c r="I91" s="371"/>
      <c r="J91" s="371"/>
      <c r="K91" s="371"/>
      <c r="L91" s="371"/>
      <c r="M91" s="371"/>
      <c r="N91" s="371"/>
      <c r="O91" s="372"/>
      <c r="P91" s="368" t="s">
        <v>40</v>
      </c>
      <c r="Q91" s="369"/>
      <c r="R91" s="369"/>
      <c r="S91" s="369"/>
      <c r="T91" s="369"/>
      <c r="U91" s="369"/>
      <c r="V91" s="370"/>
      <c r="W91" s="42" t="s">
        <v>0</v>
      </c>
      <c r="X91" s="43">
        <f>IFERROR(SUMPRODUCT(X88:X89*H88:H89),"0")</f>
        <v>453.6</v>
      </c>
      <c r="Y91" s="43">
        <f>IFERROR(SUMPRODUCT(Y88:Y89*H88:H89),"0")</f>
        <v>453.6</v>
      </c>
      <c r="Z91" s="42"/>
      <c r="AA91" s="67"/>
      <c r="AB91" s="67"/>
      <c r="AC91" s="67"/>
    </row>
    <row r="92" spans="1:68" ht="16.5" hidden="1" customHeight="1" x14ac:dyDescent="0.25">
      <c r="A92" s="355" t="s">
        <v>176</v>
      </c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  <c r="Z92" s="355"/>
      <c r="AA92" s="65"/>
      <c r="AB92" s="65"/>
      <c r="AC92" s="82"/>
    </row>
    <row r="93" spans="1:68" ht="14.25" hidden="1" customHeight="1" x14ac:dyDescent="0.25">
      <c r="A93" s="356" t="s">
        <v>149</v>
      </c>
      <c r="B93" s="356"/>
      <c r="C93" s="356"/>
      <c r="D93" s="356"/>
      <c r="E93" s="356"/>
      <c r="F93" s="356"/>
      <c r="G93" s="356"/>
      <c r="H93" s="356"/>
      <c r="I93" s="356"/>
      <c r="J93" s="356"/>
      <c r="K93" s="356"/>
      <c r="L93" s="356"/>
      <c r="M93" s="356"/>
      <c r="N93" s="356"/>
      <c r="O93" s="356"/>
      <c r="P93" s="356"/>
      <c r="Q93" s="356"/>
      <c r="R93" s="356"/>
      <c r="S93" s="356"/>
      <c r="T93" s="356"/>
      <c r="U93" s="356"/>
      <c r="V93" s="356"/>
      <c r="W93" s="356"/>
      <c r="X93" s="356"/>
      <c r="Y93" s="356"/>
      <c r="Z93" s="356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57">
        <v>4620207491027</v>
      </c>
      <c r="E94" s="357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4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9"/>
      <c r="R94" s="359"/>
      <c r="S94" s="359"/>
      <c r="T94" s="360"/>
      <c r="U94" s="39" t="s">
        <v>46</v>
      </c>
      <c r="V94" s="39" t="s">
        <v>46</v>
      </c>
      <c r="W94" s="40" t="s">
        <v>39</v>
      </c>
      <c r="X94" s="58">
        <v>56</v>
      </c>
      <c r="Y94" s="55">
        <f t="shared" ref="Y94:Y99" si="6">IFERROR(IF(X94="","",X94),"")</f>
        <v>56</v>
      </c>
      <c r="Z94" s="41">
        <f t="shared" ref="Z94:Z99" si="7">IFERROR(IF(X94="","",X94*0.01788),"")</f>
        <v>1.0012799999999999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200.6816</v>
      </c>
      <c r="BN94" s="81">
        <f t="shared" ref="BN94:BN99" si="9">IFERROR(Y94*I94,"0")</f>
        <v>200.6816</v>
      </c>
      <c r="BO94" s="81">
        <f t="shared" ref="BO94:BO99" si="10">IFERROR(X94/J94,"0")</f>
        <v>0.8</v>
      </c>
      <c r="BP94" s="81">
        <f t="shared" ref="BP94:BP99" si="11">IFERROR(Y94/J94,"0")</f>
        <v>0.8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357">
        <v>4620207491003</v>
      </c>
      <c r="E95" s="357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9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9"/>
      <c r="R95" s="359"/>
      <c r="S95" s="359"/>
      <c r="T95" s="360"/>
      <c r="U95" s="39" t="s">
        <v>46</v>
      </c>
      <c r="V95" s="39" t="s">
        <v>46</v>
      </c>
      <c r="W95" s="40" t="s">
        <v>39</v>
      </c>
      <c r="X95" s="58">
        <v>84</v>
      </c>
      <c r="Y95" s="55">
        <f t="shared" si="6"/>
        <v>84</v>
      </c>
      <c r="Z95" s="41">
        <f t="shared" si="7"/>
        <v>1.5019199999999999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301.0224</v>
      </c>
      <c r="BN95" s="81">
        <f t="shared" si="9"/>
        <v>301.0224</v>
      </c>
      <c r="BO95" s="81">
        <f t="shared" si="10"/>
        <v>1.2</v>
      </c>
      <c r="BP95" s="81">
        <f t="shared" si="11"/>
        <v>1.2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357">
        <v>4620207491034</v>
      </c>
      <c r="E96" s="357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96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9"/>
      <c r="R96" s="359"/>
      <c r="S96" s="359"/>
      <c r="T96" s="360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57">
        <v>4620207491010</v>
      </c>
      <c r="E97" s="357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97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9"/>
      <c r="R97" s="359"/>
      <c r="S97" s="359"/>
      <c r="T97" s="360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357">
        <v>4607111035028</v>
      </c>
      <c r="E98" s="357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98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9"/>
      <c r="R98" s="359"/>
      <c r="S98" s="359"/>
      <c r="T98" s="360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62.283200000000008</v>
      </c>
      <c r="BN98" s="81">
        <f t="shared" si="9"/>
        <v>62.283200000000008</v>
      </c>
      <c r="BO98" s="81">
        <f t="shared" si="10"/>
        <v>0.2</v>
      </c>
      <c r="BP98" s="81">
        <f t="shared" si="11"/>
        <v>0.2</v>
      </c>
    </row>
    <row r="99" spans="1:68" ht="27" customHeight="1" x14ac:dyDescent="0.25">
      <c r="A99" s="63" t="s">
        <v>188</v>
      </c>
      <c r="B99" s="63" t="s">
        <v>189</v>
      </c>
      <c r="C99" s="36">
        <v>4301135285</v>
      </c>
      <c r="D99" s="357">
        <v>4607111036407</v>
      </c>
      <c r="E99" s="357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9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9"/>
      <c r="R99" s="359"/>
      <c r="S99" s="359"/>
      <c r="T99" s="360"/>
      <c r="U99" s="39" t="s">
        <v>46</v>
      </c>
      <c r="V99" s="39" t="s">
        <v>46</v>
      </c>
      <c r="W99" s="40" t="s">
        <v>39</v>
      </c>
      <c r="X99" s="58">
        <v>14</v>
      </c>
      <c r="Y99" s="55">
        <f t="shared" si="6"/>
        <v>14</v>
      </c>
      <c r="Z99" s="41">
        <f t="shared" si="7"/>
        <v>0.25031999999999999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63.408800000000006</v>
      </c>
      <c r="BN99" s="81">
        <f t="shared" si="9"/>
        <v>63.408800000000006</v>
      </c>
      <c r="BO99" s="81">
        <f t="shared" si="10"/>
        <v>0.2</v>
      </c>
      <c r="BP99" s="81">
        <f t="shared" si="11"/>
        <v>0.2</v>
      </c>
    </row>
    <row r="100" spans="1:68" x14ac:dyDescent="0.2">
      <c r="A100" s="371"/>
      <c r="B100" s="371"/>
      <c r="C100" s="371"/>
      <c r="D100" s="371"/>
      <c r="E100" s="371"/>
      <c r="F100" s="371"/>
      <c r="G100" s="371"/>
      <c r="H100" s="371"/>
      <c r="I100" s="371"/>
      <c r="J100" s="371"/>
      <c r="K100" s="371"/>
      <c r="L100" s="371"/>
      <c r="M100" s="371"/>
      <c r="N100" s="371"/>
      <c r="O100" s="372"/>
      <c r="P100" s="368" t="s">
        <v>40</v>
      </c>
      <c r="Q100" s="369"/>
      <c r="R100" s="369"/>
      <c r="S100" s="369"/>
      <c r="T100" s="369"/>
      <c r="U100" s="369"/>
      <c r="V100" s="370"/>
      <c r="W100" s="42" t="s">
        <v>39</v>
      </c>
      <c r="X100" s="43">
        <f>IFERROR(SUM(X94:X99),"0")</f>
        <v>266</v>
      </c>
      <c r="Y100" s="43">
        <f>IFERROR(SUM(Y94:Y99),"0")</f>
        <v>266</v>
      </c>
      <c r="Z100" s="43">
        <f>IFERROR(IF(Z94="",0,Z94),"0")+IFERROR(IF(Z95="",0,Z95),"0")+IFERROR(IF(Z96="",0,Z96),"0")+IFERROR(IF(Z97="",0,Z97),"0")+IFERROR(IF(Z98="",0,Z98),"0")+IFERROR(IF(Z99="",0,Z99),"0")</f>
        <v>4.7560800000000008</v>
      </c>
      <c r="AA100" s="67"/>
      <c r="AB100" s="67"/>
      <c r="AC100" s="67"/>
    </row>
    <row r="101" spans="1:68" x14ac:dyDescent="0.2">
      <c r="A101" s="371"/>
      <c r="B101" s="371"/>
      <c r="C101" s="371"/>
      <c r="D101" s="371"/>
      <c r="E101" s="371"/>
      <c r="F101" s="371"/>
      <c r="G101" s="371"/>
      <c r="H101" s="371"/>
      <c r="I101" s="371"/>
      <c r="J101" s="371"/>
      <c r="K101" s="371"/>
      <c r="L101" s="371"/>
      <c r="M101" s="371"/>
      <c r="N101" s="371"/>
      <c r="O101" s="372"/>
      <c r="P101" s="368" t="s">
        <v>40</v>
      </c>
      <c r="Q101" s="369"/>
      <c r="R101" s="369"/>
      <c r="S101" s="369"/>
      <c r="T101" s="369"/>
      <c r="U101" s="369"/>
      <c r="V101" s="370"/>
      <c r="W101" s="42" t="s">
        <v>0</v>
      </c>
      <c r="X101" s="43">
        <f>IFERROR(SUMPRODUCT(X94:X99*H94:H99),"0")</f>
        <v>797.99999999999989</v>
      </c>
      <c r="Y101" s="43">
        <f>IFERROR(SUMPRODUCT(Y94:Y99*H94:H99),"0")</f>
        <v>797.99999999999989</v>
      </c>
      <c r="Z101" s="42"/>
      <c r="AA101" s="67"/>
      <c r="AB101" s="67"/>
      <c r="AC101" s="67"/>
    </row>
    <row r="102" spans="1:68" ht="16.5" hidden="1" customHeight="1" x14ac:dyDescent="0.25">
      <c r="A102" s="355" t="s">
        <v>191</v>
      </c>
      <c r="B102" s="355"/>
      <c r="C102" s="355"/>
      <c r="D102" s="355"/>
      <c r="E102" s="355"/>
      <c r="F102" s="355"/>
      <c r="G102" s="355"/>
      <c r="H102" s="355"/>
      <c r="I102" s="355"/>
      <c r="J102" s="355"/>
      <c r="K102" s="355"/>
      <c r="L102" s="355"/>
      <c r="M102" s="355"/>
      <c r="N102" s="355"/>
      <c r="O102" s="355"/>
      <c r="P102" s="355"/>
      <c r="Q102" s="355"/>
      <c r="R102" s="355"/>
      <c r="S102" s="355"/>
      <c r="T102" s="355"/>
      <c r="U102" s="355"/>
      <c r="V102" s="355"/>
      <c r="W102" s="355"/>
      <c r="X102" s="355"/>
      <c r="Y102" s="355"/>
      <c r="Z102" s="355"/>
      <c r="AA102" s="65"/>
      <c r="AB102" s="65"/>
      <c r="AC102" s="82"/>
    </row>
    <row r="103" spans="1:68" ht="14.25" hidden="1" customHeight="1" x14ac:dyDescent="0.25">
      <c r="A103" s="356" t="s">
        <v>143</v>
      </c>
      <c r="B103" s="356"/>
      <c r="C103" s="356"/>
      <c r="D103" s="356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356"/>
      <c r="U103" s="356"/>
      <c r="V103" s="356"/>
      <c r="W103" s="356"/>
      <c r="X103" s="356"/>
      <c r="Y103" s="356"/>
      <c r="Z103" s="356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357">
        <v>4607025784012</v>
      </c>
      <c r="E104" s="357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40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9"/>
      <c r="R104" s="359"/>
      <c r="S104" s="359"/>
      <c r="T104" s="360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357">
        <v>4607025784319</v>
      </c>
      <c r="E105" s="357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40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59"/>
      <c r="R105" s="359"/>
      <c r="S105" s="359"/>
      <c r="T105" s="360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1"/>
      <c r="B106" s="371"/>
      <c r="C106" s="371"/>
      <c r="D106" s="371"/>
      <c r="E106" s="371"/>
      <c r="F106" s="371"/>
      <c r="G106" s="371"/>
      <c r="H106" s="371"/>
      <c r="I106" s="371"/>
      <c r="J106" s="371"/>
      <c r="K106" s="371"/>
      <c r="L106" s="371"/>
      <c r="M106" s="371"/>
      <c r="N106" s="371"/>
      <c r="O106" s="372"/>
      <c r="P106" s="368" t="s">
        <v>40</v>
      </c>
      <c r="Q106" s="369"/>
      <c r="R106" s="369"/>
      <c r="S106" s="369"/>
      <c r="T106" s="369"/>
      <c r="U106" s="369"/>
      <c r="V106" s="370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1"/>
      <c r="B107" s="371"/>
      <c r="C107" s="371"/>
      <c r="D107" s="371"/>
      <c r="E107" s="371"/>
      <c r="F107" s="371"/>
      <c r="G107" s="371"/>
      <c r="H107" s="371"/>
      <c r="I107" s="371"/>
      <c r="J107" s="371"/>
      <c r="K107" s="371"/>
      <c r="L107" s="371"/>
      <c r="M107" s="371"/>
      <c r="N107" s="371"/>
      <c r="O107" s="372"/>
      <c r="P107" s="368" t="s">
        <v>40</v>
      </c>
      <c r="Q107" s="369"/>
      <c r="R107" s="369"/>
      <c r="S107" s="369"/>
      <c r="T107" s="369"/>
      <c r="U107" s="369"/>
      <c r="V107" s="370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5" t="s">
        <v>197</v>
      </c>
      <c r="B108" s="355"/>
      <c r="C108" s="355"/>
      <c r="D108" s="355"/>
      <c r="E108" s="355"/>
      <c r="F108" s="355"/>
      <c r="G108" s="355"/>
      <c r="H108" s="355"/>
      <c r="I108" s="355"/>
      <c r="J108" s="355"/>
      <c r="K108" s="355"/>
      <c r="L108" s="355"/>
      <c r="M108" s="355"/>
      <c r="N108" s="355"/>
      <c r="O108" s="355"/>
      <c r="P108" s="355"/>
      <c r="Q108" s="355"/>
      <c r="R108" s="355"/>
      <c r="S108" s="355"/>
      <c r="T108" s="355"/>
      <c r="U108" s="355"/>
      <c r="V108" s="355"/>
      <c r="W108" s="355"/>
      <c r="X108" s="355"/>
      <c r="Y108" s="355"/>
      <c r="Z108" s="355"/>
      <c r="AA108" s="65"/>
      <c r="AB108" s="65"/>
      <c r="AC108" s="82"/>
    </row>
    <row r="109" spans="1:68" ht="14.25" hidden="1" customHeight="1" x14ac:dyDescent="0.25">
      <c r="A109" s="356" t="s">
        <v>80</v>
      </c>
      <c r="B109" s="356"/>
      <c r="C109" s="356"/>
      <c r="D109" s="356"/>
      <c r="E109" s="356"/>
      <c r="F109" s="356"/>
      <c r="G109" s="356"/>
      <c r="H109" s="356"/>
      <c r="I109" s="356"/>
      <c r="J109" s="356"/>
      <c r="K109" s="356"/>
      <c r="L109" s="356"/>
      <c r="M109" s="356"/>
      <c r="N109" s="356"/>
      <c r="O109" s="356"/>
      <c r="P109" s="356"/>
      <c r="Q109" s="356"/>
      <c r="R109" s="356"/>
      <c r="S109" s="356"/>
      <c r="T109" s="356"/>
      <c r="U109" s="356"/>
      <c r="V109" s="356"/>
      <c r="W109" s="356"/>
      <c r="X109" s="356"/>
      <c r="Y109" s="356"/>
      <c r="Z109" s="356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357">
        <v>4620207491157</v>
      </c>
      <c r="E110" s="357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9"/>
      <c r="R110" s="359"/>
      <c r="S110" s="359"/>
      <c r="T110" s="360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357">
        <v>4620207491393</v>
      </c>
      <c r="E111" s="357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9"/>
      <c r="R111" s="359"/>
      <c r="S111" s="359"/>
      <c r="T111" s="360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4301071136</v>
      </c>
      <c r="D112" s="357">
        <v>4620207491829</v>
      </c>
      <c r="E112" s="357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4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9"/>
      <c r="R112" s="359"/>
      <c r="S112" s="359"/>
      <c r="T112" s="360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4301071051</v>
      </c>
      <c r="D113" s="357">
        <v>4607111039262</v>
      </c>
      <c r="E113" s="357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9"/>
      <c r="R113" s="359"/>
      <c r="S113" s="359"/>
      <c r="T113" s="360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208</v>
      </c>
      <c r="B114" s="63" t="s">
        <v>209</v>
      </c>
      <c r="C114" s="36">
        <v>4301071038</v>
      </c>
      <c r="D114" s="357">
        <v>4607111039248</v>
      </c>
      <c r="E114" s="357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9"/>
      <c r="R114" s="359"/>
      <c r="S114" s="359"/>
      <c r="T114" s="360"/>
      <c r="U114" s="39" t="s">
        <v>46</v>
      </c>
      <c r="V114" s="39" t="s">
        <v>46</v>
      </c>
      <c r="W114" s="40" t="s">
        <v>39</v>
      </c>
      <c r="X114" s="58">
        <v>36</v>
      </c>
      <c r="Y114" s="55">
        <f t="shared" si="12"/>
        <v>36</v>
      </c>
      <c r="Z114" s="41">
        <f t="shared" si="13"/>
        <v>0.55800000000000005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262.8</v>
      </c>
      <c r="BN114" s="81">
        <f t="shared" si="15"/>
        <v>262.8</v>
      </c>
      <c r="BO114" s="81">
        <f t="shared" si="16"/>
        <v>0.42857142857142855</v>
      </c>
      <c r="BP114" s="81">
        <f t="shared" si="17"/>
        <v>0.42857142857142855</v>
      </c>
    </row>
    <row r="115" spans="1:68" ht="27" hidden="1" customHeight="1" x14ac:dyDescent="0.25">
      <c r="A115" s="63" t="s">
        <v>210</v>
      </c>
      <c r="B115" s="63" t="s">
        <v>211</v>
      </c>
      <c r="C115" s="36">
        <v>4301070979</v>
      </c>
      <c r="D115" s="357">
        <v>4607111037145</v>
      </c>
      <c r="E115" s="357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40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9"/>
      <c r="R115" s="359"/>
      <c r="S115" s="359"/>
      <c r="T115" s="360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4301071049</v>
      </c>
      <c r="D116" s="357">
        <v>4607111039293</v>
      </c>
      <c r="E116" s="357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0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9"/>
      <c r="R116" s="359"/>
      <c r="S116" s="359"/>
      <c r="T116" s="360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hidden="1" customHeight="1" x14ac:dyDescent="0.25">
      <c r="A117" s="63" t="s">
        <v>215</v>
      </c>
      <c r="B117" s="63" t="s">
        <v>216</v>
      </c>
      <c r="C117" s="36">
        <v>4301071039</v>
      </c>
      <c r="D117" s="357">
        <v>4607111039279</v>
      </c>
      <c r="E117" s="357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9"/>
      <c r="R117" s="359"/>
      <c r="S117" s="359"/>
      <c r="T117" s="360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371"/>
      <c r="B118" s="371"/>
      <c r="C118" s="371"/>
      <c r="D118" s="371"/>
      <c r="E118" s="371"/>
      <c r="F118" s="371"/>
      <c r="G118" s="371"/>
      <c r="H118" s="371"/>
      <c r="I118" s="371"/>
      <c r="J118" s="371"/>
      <c r="K118" s="371"/>
      <c r="L118" s="371"/>
      <c r="M118" s="371"/>
      <c r="N118" s="371"/>
      <c r="O118" s="372"/>
      <c r="P118" s="368" t="s">
        <v>40</v>
      </c>
      <c r="Q118" s="369"/>
      <c r="R118" s="369"/>
      <c r="S118" s="369"/>
      <c r="T118" s="369"/>
      <c r="U118" s="369"/>
      <c r="V118" s="370"/>
      <c r="W118" s="42" t="s">
        <v>39</v>
      </c>
      <c r="X118" s="43">
        <f>IFERROR(SUM(X110:X117),"0")</f>
        <v>36</v>
      </c>
      <c r="Y118" s="43">
        <f>IFERROR(SUM(Y110:Y117),"0")</f>
        <v>36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0.55800000000000005</v>
      </c>
      <c r="AA118" s="67"/>
      <c r="AB118" s="67"/>
      <c r="AC118" s="67"/>
    </row>
    <row r="119" spans="1:68" x14ac:dyDescent="0.2">
      <c r="A119" s="371"/>
      <c r="B119" s="371"/>
      <c r="C119" s="371"/>
      <c r="D119" s="371"/>
      <c r="E119" s="371"/>
      <c r="F119" s="371"/>
      <c r="G119" s="371"/>
      <c r="H119" s="371"/>
      <c r="I119" s="371"/>
      <c r="J119" s="371"/>
      <c r="K119" s="371"/>
      <c r="L119" s="371"/>
      <c r="M119" s="371"/>
      <c r="N119" s="371"/>
      <c r="O119" s="372"/>
      <c r="P119" s="368" t="s">
        <v>40</v>
      </c>
      <c r="Q119" s="369"/>
      <c r="R119" s="369"/>
      <c r="S119" s="369"/>
      <c r="T119" s="369"/>
      <c r="U119" s="369"/>
      <c r="V119" s="370"/>
      <c r="W119" s="42" t="s">
        <v>0</v>
      </c>
      <c r="X119" s="43">
        <f>IFERROR(SUMPRODUCT(X110:X117*H110:H117),"0")</f>
        <v>252</v>
      </c>
      <c r="Y119" s="43">
        <f>IFERROR(SUMPRODUCT(Y110:Y117*H110:H117),"0")</f>
        <v>252</v>
      </c>
      <c r="Z119" s="42"/>
      <c r="AA119" s="67"/>
      <c r="AB119" s="67"/>
      <c r="AC119" s="67"/>
    </row>
    <row r="120" spans="1:68" ht="14.25" hidden="1" customHeight="1" x14ac:dyDescent="0.25">
      <c r="A120" s="356" t="s">
        <v>149</v>
      </c>
      <c r="B120" s="356"/>
      <c r="C120" s="356"/>
      <c r="D120" s="356"/>
      <c r="E120" s="356"/>
      <c r="F120" s="356"/>
      <c r="G120" s="356"/>
      <c r="H120" s="356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356"/>
      <c r="U120" s="356"/>
      <c r="V120" s="356"/>
      <c r="W120" s="356"/>
      <c r="X120" s="356"/>
      <c r="Y120" s="356"/>
      <c r="Z120" s="356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357">
        <v>4620207490983</v>
      </c>
      <c r="E121" s="357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41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9"/>
      <c r="R121" s="359"/>
      <c r="S121" s="359"/>
      <c r="T121" s="360"/>
      <c r="U121" s="39" t="s">
        <v>46</v>
      </c>
      <c r="V121" s="39" t="s">
        <v>46</v>
      </c>
      <c r="W121" s="40" t="s">
        <v>39</v>
      </c>
      <c r="X121" s="58">
        <v>126</v>
      </c>
      <c r="Y121" s="55">
        <f>IFERROR(IF(X121="","",X121),"")</f>
        <v>126</v>
      </c>
      <c r="Z121" s="41">
        <f>IFERROR(IF(X121="","",X121*0.01788),"")</f>
        <v>2.2528800000000002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421.29359999999997</v>
      </c>
      <c r="BN121" s="81">
        <f>IFERROR(Y121*I121,"0")</f>
        <v>421.29359999999997</v>
      </c>
      <c r="BO121" s="81">
        <f>IFERROR(X121/J121,"0")</f>
        <v>1.8</v>
      </c>
      <c r="BP121" s="81">
        <f>IFERROR(Y121/J121,"0")</f>
        <v>1.8</v>
      </c>
    </row>
    <row r="122" spans="1:68" x14ac:dyDescent="0.2">
      <c r="A122" s="371"/>
      <c r="B122" s="371"/>
      <c r="C122" s="371"/>
      <c r="D122" s="371"/>
      <c r="E122" s="371"/>
      <c r="F122" s="371"/>
      <c r="G122" s="371"/>
      <c r="H122" s="371"/>
      <c r="I122" s="371"/>
      <c r="J122" s="371"/>
      <c r="K122" s="371"/>
      <c r="L122" s="371"/>
      <c r="M122" s="371"/>
      <c r="N122" s="371"/>
      <c r="O122" s="372"/>
      <c r="P122" s="368" t="s">
        <v>40</v>
      </c>
      <c r="Q122" s="369"/>
      <c r="R122" s="369"/>
      <c r="S122" s="369"/>
      <c r="T122" s="369"/>
      <c r="U122" s="369"/>
      <c r="V122" s="370"/>
      <c r="W122" s="42" t="s">
        <v>39</v>
      </c>
      <c r="X122" s="43">
        <f>IFERROR(SUM(X121:X121),"0")</f>
        <v>126</v>
      </c>
      <c r="Y122" s="43">
        <f>IFERROR(SUM(Y121:Y121),"0")</f>
        <v>126</v>
      </c>
      <c r="Z122" s="43">
        <f>IFERROR(IF(Z121="",0,Z121),"0")</f>
        <v>2.2528800000000002</v>
      </c>
      <c r="AA122" s="67"/>
      <c r="AB122" s="67"/>
      <c r="AC122" s="67"/>
    </row>
    <row r="123" spans="1:68" x14ac:dyDescent="0.2">
      <c r="A123" s="371"/>
      <c r="B123" s="371"/>
      <c r="C123" s="371"/>
      <c r="D123" s="371"/>
      <c r="E123" s="371"/>
      <c r="F123" s="371"/>
      <c r="G123" s="371"/>
      <c r="H123" s="371"/>
      <c r="I123" s="371"/>
      <c r="J123" s="371"/>
      <c r="K123" s="371"/>
      <c r="L123" s="371"/>
      <c r="M123" s="371"/>
      <c r="N123" s="371"/>
      <c r="O123" s="372"/>
      <c r="P123" s="368" t="s">
        <v>40</v>
      </c>
      <c r="Q123" s="369"/>
      <c r="R123" s="369"/>
      <c r="S123" s="369"/>
      <c r="T123" s="369"/>
      <c r="U123" s="369"/>
      <c r="V123" s="370"/>
      <c r="W123" s="42" t="s">
        <v>0</v>
      </c>
      <c r="X123" s="43">
        <f>IFERROR(SUMPRODUCT(X121:X121*H121:H121),"0")</f>
        <v>332.64000000000004</v>
      </c>
      <c r="Y123" s="43">
        <f>IFERROR(SUMPRODUCT(Y121:Y121*H121:H121),"0")</f>
        <v>332.64000000000004</v>
      </c>
      <c r="Z123" s="42"/>
      <c r="AA123" s="67"/>
      <c r="AB123" s="67"/>
      <c r="AC123" s="67"/>
    </row>
    <row r="124" spans="1:68" ht="14.25" hidden="1" customHeight="1" x14ac:dyDescent="0.25">
      <c r="A124" s="356" t="s">
        <v>220</v>
      </c>
      <c r="B124" s="356"/>
      <c r="C124" s="356"/>
      <c r="D124" s="356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356"/>
      <c r="U124" s="356"/>
      <c r="V124" s="356"/>
      <c r="W124" s="356"/>
      <c r="X124" s="356"/>
      <c r="Y124" s="356"/>
      <c r="Z124" s="356"/>
      <c r="AA124" s="66"/>
      <c r="AB124" s="66"/>
      <c r="AC124" s="83"/>
    </row>
    <row r="125" spans="1:68" ht="27" hidden="1" customHeight="1" x14ac:dyDescent="0.25">
      <c r="A125" s="63" t="s">
        <v>221</v>
      </c>
      <c r="B125" s="63" t="s">
        <v>222</v>
      </c>
      <c r="C125" s="36">
        <v>4301071094</v>
      </c>
      <c r="D125" s="357">
        <v>4620207491140</v>
      </c>
      <c r="E125" s="357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41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9"/>
      <c r="R125" s="359"/>
      <c r="S125" s="359"/>
      <c r="T125" s="360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1"/>
      <c r="B126" s="371"/>
      <c r="C126" s="371"/>
      <c r="D126" s="371"/>
      <c r="E126" s="371"/>
      <c r="F126" s="371"/>
      <c r="G126" s="371"/>
      <c r="H126" s="371"/>
      <c r="I126" s="371"/>
      <c r="J126" s="371"/>
      <c r="K126" s="371"/>
      <c r="L126" s="371"/>
      <c r="M126" s="371"/>
      <c r="N126" s="371"/>
      <c r="O126" s="372"/>
      <c r="P126" s="368" t="s">
        <v>40</v>
      </c>
      <c r="Q126" s="369"/>
      <c r="R126" s="369"/>
      <c r="S126" s="369"/>
      <c r="T126" s="369"/>
      <c r="U126" s="369"/>
      <c r="V126" s="370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1"/>
      <c r="B127" s="371"/>
      <c r="C127" s="371"/>
      <c r="D127" s="371"/>
      <c r="E127" s="371"/>
      <c r="F127" s="371"/>
      <c r="G127" s="371"/>
      <c r="H127" s="371"/>
      <c r="I127" s="371"/>
      <c r="J127" s="371"/>
      <c r="K127" s="371"/>
      <c r="L127" s="371"/>
      <c r="M127" s="371"/>
      <c r="N127" s="371"/>
      <c r="O127" s="372"/>
      <c r="P127" s="368" t="s">
        <v>40</v>
      </c>
      <c r="Q127" s="369"/>
      <c r="R127" s="369"/>
      <c r="S127" s="369"/>
      <c r="T127" s="369"/>
      <c r="U127" s="369"/>
      <c r="V127" s="370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5" t="s">
        <v>224</v>
      </c>
      <c r="B128" s="355"/>
      <c r="C128" s="355"/>
      <c r="D128" s="355"/>
      <c r="E128" s="355"/>
      <c r="F128" s="355"/>
      <c r="G128" s="355"/>
      <c r="H128" s="355"/>
      <c r="I128" s="355"/>
      <c r="J128" s="355"/>
      <c r="K128" s="355"/>
      <c r="L128" s="355"/>
      <c r="M128" s="355"/>
      <c r="N128" s="355"/>
      <c r="O128" s="355"/>
      <c r="P128" s="355"/>
      <c r="Q128" s="355"/>
      <c r="R128" s="355"/>
      <c r="S128" s="355"/>
      <c r="T128" s="355"/>
      <c r="U128" s="355"/>
      <c r="V128" s="355"/>
      <c r="W128" s="355"/>
      <c r="X128" s="355"/>
      <c r="Y128" s="355"/>
      <c r="Z128" s="355"/>
      <c r="AA128" s="65"/>
      <c r="AB128" s="65"/>
      <c r="AC128" s="82"/>
    </row>
    <row r="129" spans="1:68" ht="14.25" hidden="1" customHeight="1" x14ac:dyDescent="0.25">
      <c r="A129" s="356" t="s">
        <v>149</v>
      </c>
      <c r="B129" s="356"/>
      <c r="C129" s="356"/>
      <c r="D129" s="356"/>
      <c r="E129" s="356"/>
      <c r="F129" s="356"/>
      <c r="G129" s="356"/>
      <c r="H129" s="356"/>
      <c r="I129" s="356"/>
      <c r="J129" s="356"/>
      <c r="K129" s="356"/>
      <c r="L129" s="356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66"/>
      <c r="AB129" s="66"/>
      <c r="AC129" s="83"/>
    </row>
    <row r="130" spans="1:68" ht="27" hidden="1" customHeight="1" x14ac:dyDescent="0.25">
      <c r="A130" s="63" t="s">
        <v>225</v>
      </c>
      <c r="B130" s="63" t="s">
        <v>226</v>
      </c>
      <c r="C130" s="36">
        <v>4301135848</v>
      </c>
      <c r="D130" s="357">
        <v>4620207491799</v>
      </c>
      <c r="E130" s="357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9"/>
      <c r="R130" s="359"/>
      <c r="S130" s="359"/>
      <c r="T130" s="360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357">
        <v>4620207491492</v>
      </c>
      <c r="E131" s="357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9"/>
      <c r="R131" s="359"/>
      <c r="S131" s="359"/>
      <c r="T131" s="360"/>
      <c r="U131" s="39" t="s">
        <v>46</v>
      </c>
      <c r="V131" s="39" t="s">
        <v>46</v>
      </c>
      <c r="W131" s="40" t="s">
        <v>39</v>
      </c>
      <c r="X131" s="58">
        <v>126</v>
      </c>
      <c r="Y131" s="55">
        <f>IFERROR(IF(X131="","",X131),"")</f>
        <v>126</v>
      </c>
      <c r="Z131" s="41">
        <f>IFERROR(IF(X131="","",X131*0.00941),"")</f>
        <v>1.1856599999999999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226.8</v>
      </c>
      <c r="BN131" s="81">
        <f>IFERROR(Y131*I131,"0")</f>
        <v>226.8</v>
      </c>
      <c r="BO131" s="81">
        <f>IFERROR(X131/J131,"0")</f>
        <v>0.9</v>
      </c>
      <c r="BP131" s="81">
        <f>IFERROR(Y131/J131,"0")</f>
        <v>0.9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357">
        <v>4620207491461</v>
      </c>
      <c r="E132" s="357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9"/>
      <c r="R132" s="359"/>
      <c r="S132" s="359"/>
      <c r="T132" s="360"/>
      <c r="U132" s="39" t="s">
        <v>46</v>
      </c>
      <c r="V132" s="39" t="s">
        <v>46</v>
      </c>
      <c r="W132" s="40" t="s">
        <v>39</v>
      </c>
      <c r="X132" s="58">
        <v>126</v>
      </c>
      <c r="Y132" s="55">
        <f>IFERROR(IF(X132="","",X132),"")</f>
        <v>126</v>
      </c>
      <c r="Z132" s="41">
        <f>IFERROR(IF(X132="","",X132*0.00941),"")</f>
        <v>1.1856599999999999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219.24</v>
      </c>
      <c r="BN132" s="81">
        <f>IFERROR(Y132*I132,"0")</f>
        <v>219.24</v>
      </c>
      <c r="BO132" s="81">
        <f>IFERROR(X132/J132,"0")</f>
        <v>0.9</v>
      </c>
      <c r="BP132" s="81">
        <f>IFERROR(Y132/J132,"0")</f>
        <v>0.9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357">
        <v>4620207491485</v>
      </c>
      <c r="E133" s="357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9"/>
      <c r="R133" s="359"/>
      <c r="S133" s="359"/>
      <c r="T133" s="360"/>
      <c r="U133" s="39" t="s">
        <v>46</v>
      </c>
      <c r="V133" s="39" t="s">
        <v>46</v>
      </c>
      <c r="W133" s="40" t="s">
        <v>39</v>
      </c>
      <c r="X133" s="58">
        <v>140</v>
      </c>
      <c r="Y133" s="55">
        <f>IFERROR(IF(X133="","",X133),"")</f>
        <v>140</v>
      </c>
      <c r="Z133" s="41">
        <f>IFERROR(IF(X133="","",X133*0.00941),"")</f>
        <v>1.3173999999999999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252</v>
      </c>
      <c r="BN133" s="81">
        <f>IFERROR(Y133*I133,"0")</f>
        <v>252</v>
      </c>
      <c r="BO133" s="81">
        <f>IFERROR(X133/J133,"0")</f>
        <v>1</v>
      </c>
      <c r="BP133" s="81">
        <f>IFERROR(Y133/J133,"0")</f>
        <v>1</v>
      </c>
    </row>
    <row r="134" spans="1:68" x14ac:dyDescent="0.2">
      <c r="A134" s="371"/>
      <c r="B134" s="371"/>
      <c r="C134" s="371"/>
      <c r="D134" s="371"/>
      <c r="E134" s="371"/>
      <c r="F134" s="371"/>
      <c r="G134" s="371"/>
      <c r="H134" s="371"/>
      <c r="I134" s="371"/>
      <c r="J134" s="371"/>
      <c r="K134" s="371"/>
      <c r="L134" s="371"/>
      <c r="M134" s="371"/>
      <c r="N134" s="371"/>
      <c r="O134" s="372"/>
      <c r="P134" s="368" t="s">
        <v>40</v>
      </c>
      <c r="Q134" s="369"/>
      <c r="R134" s="369"/>
      <c r="S134" s="369"/>
      <c r="T134" s="369"/>
      <c r="U134" s="369"/>
      <c r="V134" s="370"/>
      <c r="W134" s="42" t="s">
        <v>39</v>
      </c>
      <c r="X134" s="43">
        <f>IFERROR(SUM(X130:X133),"0")</f>
        <v>392</v>
      </c>
      <c r="Y134" s="43">
        <f>IFERROR(SUM(Y130:Y133),"0")</f>
        <v>392</v>
      </c>
      <c r="Z134" s="43">
        <f>IFERROR(IF(Z130="",0,Z130),"0")+IFERROR(IF(Z131="",0,Z131),"0")+IFERROR(IF(Z132="",0,Z132),"0")+IFERROR(IF(Z133="",0,Z133),"0")</f>
        <v>3.68872</v>
      </c>
      <c r="AA134" s="67"/>
      <c r="AB134" s="67"/>
      <c r="AC134" s="67"/>
    </row>
    <row r="135" spans="1:68" x14ac:dyDescent="0.2">
      <c r="A135" s="371"/>
      <c r="B135" s="371"/>
      <c r="C135" s="371"/>
      <c r="D135" s="371"/>
      <c r="E135" s="371"/>
      <c r="F135" s="371"/>
      <c r="G135" s="371"/>
      <c r="H135" s="371"/>
      <c r="I135" s="371"/>
      <c r="J135" s="371"/>
      <c r="K135" s="371"/>
      <c r="L135" s="371"/>
      <c r="M135" s="371"/>
      <c r="N135" s="371"/>
      <c r="O135" s="372"/>
      <c r="P135" s="368" t="s">
        <v>40</v>
      </c>
      <c r="Q135" s="369"/>
      <c r="R135" s="369"/>
      <c r="S135" s="369"/>
      <c r="T135" s="369"/>
      <c r="U135" s="369"/>
      <c r="V135" s="370"/>
      <c r="W135" s="42" t="s">
        <v>0</v>
      </c>
      <c r="X135" s="43">
        <f>IFERROR(SUMPRODUCT(X130:X133*H130:H133),"0")</f>
        <v>533.40000000000009</v>
      </c>
      <c r="Y135" s="43">
        <f>IFERROR(SUMPRODUCT(Y130:Y133*H130:H133),"0")</f>
        <v>533.40000000000009</v>
      </c>
      <c r="Z135" s="42"/>
      <c r="AA135" s="67"/>
      <c r="AB135" s="67"/>
      <c r="AC135" s="67"/>
    </row>
    <row r="136" spans="1:68" ht="14.25" hidden="1" customHeight="1" x14ac:dyDescent="0.25">
      <c r="A136" s="356" t="s">
        <v>234</v>
      </c>
      <c r="B136" s="356"/>
      <c r="C136" s="356"/>
      <c r="D136" s="356"/>
      <c r="E136" s="356"/>
      <c r="F136" s="356"/>
      <c r="G136" s="356"/>
      <c r="H136" s="356"/>
      <c r="I136" s="356"/>
      <c r="J136" s="356"/>
      <c r="K136" s="356"/>
      <c r="L136" s="356"/>
      <c r="M136" s="356"/>
      <c r="N136" s="356"/>
      <c r="O136" s="356"/>
      <c r="P136" s="356"/>
      <c r="Q136" s="356"/>
      <c r="R136" s="356"/>
      <c r="S136" s="356"/>
      <c r="T136" s="356"/>
      <c r="U136" s="356"/>
      <c r="V136" s="356"/>
      <c r="W136" s="356"/>
      <c r="X136" s="356"/>
      <c r="Y136" s="356"/>
      <c r="Z136" s="356"/>
      <c r="AA136" s="66"/>
      <c r="AB136" s="66"/>
      <c r="AC136" s="83"/>
    </row>
    <row r="137" spans="1:68" ht="27" customHeight="1" x14ac:dyDescent="0.25">
      <c r="A137" s="63" t="s">
        <v>235</v>
      </c>
      <c r="B137" s="63" t="s">
        <v>236</v>
      </c>
      <c r="C137" s="36">
        <v>4301190117</v>
      </c>
      <c r="D137" s="357">
        <v>4620207491386</v>
      </c>
      <c r="E137" s="357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6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9"/>
      <c r="R137" s="359"/>
      <c r="S137" s="359"/>
      <c r="T137" s="360"/>
      <c r="U137" s="39" t="s">
        <v>46</v>
      </c>
      <c r="V137" s="39" t="s">
        <v>46</v>
      </c>
      <c r="W137" s="40" t="s">
        <v>39</v>
      </c>
      <c r="X137" s="58">
        <v>70</v>
      </c>
      <c r="Y137" s="55">
        <f>IFERROR(IF(X137="","",X137),"")</f>
        <v>70</v>
      </c>
      <c r="Z137" s="41">
        <f>IFERROR(IF(X137="","",X137*0.00941),"")</f>
        <v>0.65869999999999995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97.86</v>
      </c>
      <c r="BN137" s="81">
        <f>IFERROR(Y137*I137,"0")</f>
        <v>97.86</v>
      </c>
      <c r="BO137" s="81">
        <f>IFERROR(X137/J137,"0")</f>
        <v>0.5</v>
      </c>
      <c r="BP137" s="81">
        <f>IFERROR(Y137/J137,"0")</f>
        <v>0.5</v>
      </c>
    </row>
    <row r="138" spans="1:68" ht="27" customHeight="1" x14ac:dyDescent="0.25">
      <c r="A138" s="63" t="s">
        <v>238</v>
      </c>
      <c r="B138" s="63" t="s">
        <v>239</v>
      </c>
      <c r="C138" s="36">
        <v>4301190115</v>
      </c>
      <c r="D138" s="357">
        <v>4620207491362</v>
      </c>
      <c r="E138" s="357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1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9"/>
      <c r="R138" s="359"/>
      <c r="S138" s="359"/>
      <c r="T138" s="360"/>
      <c r="U138" s="39" t="s">
        <v>46</v>
      </c>
      <c r="V138" s="39" t="s">
        <v>46</v>
      </c>
      <c r="W138" s="40" t="s">
        <v>39</v>
      </c>
      <c r="X138" s="58">
        <v>70</v>
      </c>
      <c r="Y138" s="55">
        <f>IFERROR(IF(X138="","",X138),"")</f>
        <v>70</v>
      </c>
      <c r="Z138" s="41">
        <f>IFERROR(IF(X138="","",X138*0.00941),"")</f>
        <v>0.65869999999999995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97.86</v>
      </c>
      <c r="BN138" s="81">
        <f>IFERROR(Y138*I138,"0")</f>
        <v>97.86</v>
      </c>
      <c r="BO138" s="81">
        <f>IFERROR(X138/J138,"0")</f>
        <v>0.5</v>
      </c>
      <c r="BP138" s="81">
        <f>IFERROR(Y138/J138,"0")</f>
        <v>0.5</v>
      </c>
    </row>
    <row r="139" spans="1:68" ht="27" customHeight="1" x14ac:dyDescent="0.25">
      <c r="A139" s="63" t="s">
        <v>240</v>
      </c>
      <c r="B139" s="63" t="s">
        <v>241</v>
      </c>
      <c r="C139" s="36">
        <v>4301190116</v>
      </c>
      <c r="D139" s="357">
        <v>4620207491379</v>
      </c>
      <c r="E139" s="357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9"/>
      <c r="R139" s="359"/>
      <c r="S139" s="359"/>
      <c r="T139" s="360"/>
      <c r="U139" s="39" t="s">
        <v>46</v>
      </c>
      <c r="V139" s="39" t="s">
        <v>46</v>
      </c>
      <c r="W139" s="40" t="s">
        <v>39</v>
      </c>
      <c r="X139" s="58">
        <v>70</v>
      </c>
      <c r="Y139" s="55">
        <f>IFERROR(IF(X139="","",X139),"")</f>
        <v>70</v>
      </c>
      <c r="Z139" s="41">
        <f>IFERROR(IF(X139="","",X139*0.00941),"")</f>
        <v>0.65869999999999995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97.86</v>
      </c>
      <c r="BN139" s="81">
        <f>IFERROR(Y139*I139,"0")</f>
        <v>97.86</v>
      </c>
      <c r="BO139" s="81">
        <f>IFERROR(X139/J139,"0")</f>
        <v>0.5</v>
      </c>
      <c r="BP139" s="81">
        <f>IFERROR(Y139/J139,"0")</f>
        <v>0.5</v>
      </c>
    </row>
    <row r="140" spans="1:68" x14ac:dyDescent="0.2">
      <c r="A140" s="371"/>
      <c r="B140" s="371"/>
      <c r="C140" s="371"/>
      <c r="D140" s="371"/>
      <c r="E140" s="371"/>
      <c r="F140" s="371"/>
      <c r="G140" s="371"/>
      <c r="H140" s="371"/>
      <c r="I140" s="371"/>
      <c r="J140" s="371"/>
      <c r="K140" s="371"/>
      <c r="L140" s="371"/>
      <c r="M140" s="371"/>
      <c r="N140" s="371"/>
      <c r="O140" s="372"/>
      <c r="P140" s="368" t="s">
        <v>40</v>
      </c>
      <c r="Q140" s="369"/>
      <c r="R140" s="369"/>
      <c r="S140" s="369"/>
      <c r="T140" s="369"/>
      <c r="U140" s="369"/>
      <c r="V140" s="370"/>
      <c r="W140" s="42" t="s">
        <v>39</v>
      </c>
      <c r="X140" s="43">
        <f>IFERROR(SUM(X137:X139),"0")</f>
        <v>210</v>
      </c>
      <c r="Y140" s="43">
        <f>IFERROR(SUM(Y137:Y139),"0")</f>
        <v>210</v>
      </c>
      <c r="Z140" s="43">
        <f>IFERROR(IF(Z137="",0,Z137),"0")+IFERROR(IF(Z138="",0,Z138),"0")+IFERROR(IF(Z139="",0,Z139),"0")</f>
        <v>1.9760999999999997</v>
      </c>
      <c r="AA140" s="67"/>
      <c r="AB140" s="67"/>
      <c r="AC140" s="67"/>
    </row>
    <row r="141" spans="1:68" x14ac:dyDescent="0.2">
      <c r="A141" s="371"/>
      <c r="B141" s="371"/>
      <c r="C141" s="371"/>
      <c r="D141" s="371"/>
      <c r="E141" s="371"/>
      <c r="F141" s="371"/>
      <c r="G141" s="371"/>
      <c r="H141" s="371"/>
      <c r="I141" s="371"/>
      <c r="J141" s="371"/>
      <c r="K141" s="371"/>
      <c r="L141" s="371"/>
      <c r="M141" s="371"/>
      <c r="N141" s="371"/>
      <c r="O141" s="372"/>
      <c r="P141" s="368" t="s">
        <v>40</v>
      </c>
      <c r="Q141" s="369"/>
      <c r="R141" s="369"/>
      <c r="S141" s="369"/>
      <c r="T141" s="369"/>
      <c r="U141" s="369"/>
      <c r="V141" s="370"/>
      <c r="W141" s="42" t="s">
        <v>0</v>
      </c>
      <c r="X141" s="43">
        <f>IFERROR(SUMPRODUCT(X137:X139*H137:H139),"0")</f>
        <v>226.8</v>
      </c>
      <c r="Y141" s="43">
        <f>IFERROR(SUMPRODUCT(Y137:Y139*H137:H139),"0")</f>
        <v>226.8</v>
      </c>
      <c r="Z141" s="42"/>
      <c r="AA141" s="67"/>
      <c r="AB141" s="67"/>
      <c r="AC141" s="67"/>
    </row>
    <row r="142" spans="1:68" ht="16.5" hidden="1" customHeight="1" x14ac:dyDescent="0.25">
      <c r="A142" s="355" t="s">
        <v>242</v>
      </c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5"/>
      <c r="P142" s="355"/>
      <c r="Q142" s="355"/>
      <c r="R142" s="355"/>
      <c r="S142" s="355"/>
      <c r="T142" s="355"/>
      <c r="U142" s="355"/>
      <c r="V142" s="355"/>
      <c r="W142" s="355"/>
      <c r="X142" s="355"/>
      <c r="Y142" s="355"/>
      <c r="Z142" s="355"/>
      <c r="AA142" s="65"/>
      <c r="AB142" s="65"/>
      <c r="AC142" s="82"/>
    </row>
    <row r="143" spans="1:68" ht="14.25" hidden="1" customHeight="1" x14ac:dyDescent="0.25">
      <c r="A143" s="356" t="s">
        <v>149</v>
      </c>
      <c r="B143" s="356"/>
      <c r="C143" s="356"/>
      <c r="D143" s="356"/>
      <c r="E143" s="356"/>
      <c r="F143" s="356"/>
      <c r="G143" s="356"/>
      <c r="H143" s="356"/>
      <c r="I143" s="356"/>
      <c r="J143" s="356"/>
      <c r="K143" s="356"/>
      <c r="L143" s="356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357">
        <v>4607111034014</v>
      </c>
      <c r="E144" s="357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1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9"/>
      <c r="R144" s="359"/>
      <c r="S144" s="359"/>
      <c r="T144" s="360"/>
      <c r="U144" s="39" t="s">
        <v>46</v>
      </c>
      <c r="V144" s="39" t="s">
        <v>46</v>
      </c>
      <c r="W144" s="40" t="s">
        <v>39</v>
      </c>
      <c r="X144" s="58">
        <v>140</v>
      </c>
      <c r="Y144" s="55">
        <f>IFERROR(IF(X144="","",X144),"")</f>
        <v>140</v>
      </c>
      <c r="Z144" s="41">
        <f>IFERROR(IF(X144="","",X144*0.01788),"")</f>
        <v>2.5032000000000001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518.50400000000002</v>
      </c>
      <c r="BN144" s="81">
        <f>IFERROR(Y144*I144,"0")</f>
        <v>518.50400000000002</v>
      </c>
      <c r="BO144" s="81">
        <f>IFERROR(X144/J144,"0")</f>
        <v>2</v>
      </c>
      <c r="BP144" s="81">
        <f>IFERROR(Y144/J144,"0")</f>
        <v>2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357">
        <v>4607111033994</v>
      </c>
      <c r="E145" s="357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42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9"/>
      <c r="R145" s="359"/>
      <c r="S145" s="359"/>
      <c r="T145" s="360"/>
      <c r="U145" s="39" t="s">
        <v>46</v>
      </c>
      <c r="V145" s="39" t="s">
        <v>46</v>
      </c>
      <c r="W145" s="40" t="s">
        <v>39</v>
      </c>
      <c r="X145" s="58">
        <v>168</v>
      </c>
      <c r="Y145" s="55">
        <f>IFERROR(IF(X145="","",X145),"")</f>
        <v>168</v>
      </c>
      <c r="Z145" s="41">
        <f>IFERROR(IF(X145="","",X145*0.01788),"")</f>
        <v>3.0038399999999998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622.20479999999998</v>
      </c>
      <c r="BN145" s="81">
        <f>IFERROR(Y145*I145,"0")</f>
        <v>622.20479999999998</v>
      </c>
      <c r="BO145" s="81">
        <f>IFERROR(X145/J145,"0")</f>
        <v>2.4</v>
      </c>
      <c r="BP145" s="81">
        <f>IFERROR(Y145/J145,"0")</f>
        <v>2.4</v>
      </c>
    </row>
    <row r="146" spans="1:68" x14ac:dyDescent="0.2">
      <c r="A146" s="371"/>
      <c r="B146" s="371"/>
      <c r="C146" s="371"/>
      <c r="D146" s="371"/>
      <c r="E146" s="371"/>
      <c r="F146" s="371"/>
      <c r="G146" s="371"/>
      <c r="H146" s="371"/>
      <c r="I146" s="371"/>
      <c r="J146" s="371"/>
      <c r="K146" s="371"/>
      <c r="L146" s="371"/>
      <c r="M146" s="371"/>
      <c r="N146" s="371"/>
      <c r="O146" s="372"/>
      <c r="P146" s="368" t="s">
        <v>40</v>
      </c>
      <c r="Q146" s="369"/>
      <c r="R146" s="369"/>
      <c r="S146" s="369"/>
      <c r="T146" s="369"/>
      <c r="U146" s="369"/>
      <c r="V146" s="370"/>
      <c r="W146" s="42" t="s">
        <v>39</v>
      </c>
      <c r="X146" s="43">
        <f>IFERROR(SUM(X144:X145),"0")</f>
        <v>308</v>
      </c>
      <c r="Y146" s="43">
        <f>IFERROR(SUM(Y144:Y145),"0")</f>
        <v>308</v>
      </c>
      <c r="Z146" s="43">
        <f>IFERROR(IF(Z144="",0,Z144),"0")+IFERROR(IF(Z145="",0,Z145),"0")</f>
        <v>5.5070399999999999</v>
      </c>
      <c r="AA146" s="67"/>
      <c r="AB146" s="67"/>
      <c r="AC146" s="67"/>
    </row>
    <row r="147" spans="1:68" x14ac:dyDescent="0.2">
      <c r="A147" s="371"/>
      <c r="B147" s="371"/>
      <c r="C147" s="371"/>
      <c r="D147" s="371"/>
      <c r="E147" s="371"/>
      <c r="F147" s="371"/>
      <c r="G147" s="371"/>
      <c r="H147" s="371"/>
      <c r="I147" s="371"/>
      <c r="J147" s="371"/>
      <c r="K147" s="371"/>
      <c r="L147" s="371"/>
      <c r="M147" s="371"/>
      <c r="N147" s="371"/>
      <c r="O147" s="372"/>
      <c r="P147" s="368" t="s">
        <v>40</v>
      </c>
      <c r="Q147" s="369"/>
      <c r="R147" s="369"/>
      <c r="S147" s="369"/>
      <c r="T147" s="369"/>
      <c r="U147" s="369"/>
      <c r="V147" s="370"/>
      <c r="W147" s="42" t="s">
        <v>0</v>
      </c>
      <c r="X147" s="43">
        <f>IFERROR(SUMPRODUCT(X144:X145*H144:H145),"0")</f>
        <v>924</v>
      </c>
      <c r="Y147" s="43">
        <f>IFERROR(SUMPRODUCT(Y144:Y145*H144:H145),"0")</f>
        <v>924</v>
      </c>
      <c r="Z147" s="42"/>
      <c r="AA147" s="67"/>
      <c r="AB147" s="67"/>
      <c r="AC147" s="67"/>
    </row>
    <row r="148" spans="1:68" ht="16.5" hidden="1" customHeight="1" x14ac:dyDescent="0.25">
      <c r="A148" s="355" t="s">
        <v>248</v>
      </c>
      <c r="B148" s="355"/>
      <c r="C148" s="355"/>
      <c r="D148" s="355"/>
      <c r="E148" s="355"/>
      <c r="F148" s="355"/>
      <c r="G148" s="355"/>
      <c r="H148" s="355"/>
      <c r="I148" s="355"/>
      <c r="J148" s="355"/>
      <c r="K148" s="355"/>
      <c r="L148" s="355"/>
      <c r="M148" s="355"/>
      <c r="N148" s="355"/>
      <c r="O148" s="355"/>
      <c r="P148" s="355"/>
      <c r="Q148" s="355"/>
      <c r="R148" s="355"/>
      <c r="S148" s="355"/>
      <c r="T148" s="355"/>
      <c r="U148" s="355"/>
      <c r="V148" s="355"/>
      <c r="W148" s="355"/>
      <c r="X148" s="355"/>
      <c r="Y148" s="355"/>
      <c r="Z148" s="355"/>
      <c r="AA148" s="65"/>
      <c r="AB148" s="65"/>
      <c r="AC148" s="82"/>
    </row>
    <row r="149" spans="1:68" ht="14.25" hidden="1" customHeight="1" x14ac:dyDescent="0.25">
      <c r="A149" s="356" t="s">
        <v>149</v>
      </c>
      <c r="B149" s="356"/>
      <c r="C149" s="356"/>
      <c r="D149" s="356"/>
      <c r="E149" s="356"/>
      <c r="F149" s="356"/>
      <c r="G149" s="356"/>
      <c r="H149" s="356"/>
      <c r="I149" s="356"/>
      <c r="J149" s="356"/>
      <c r="K149" s="356"/>
      <c r="L149" s="356"/>
      <c r="M149" s="356"/>
      <c r="N149" s="356"/>
      <c r="O149" s="356"/>
      <c r="P149" s="356"/>
      <c r="Q149" s="356"/>
      <c r="R149" s="356"/>
      <c r="S149" s="356"/>
      <c r="T149" s="356"/>
      <c r="U149" s="356"/>
      <c r="V149" s="356"/>
      <c r="W149" s="356"/>
      <c r="X149" s="356"/>
      <c r="Y149" s="356"/>
      <c r="Z149" s="356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357">
        <v>4607111039095</v>
      </c>
      <c r="E150" s="357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9"/>
      <c r="R150" s="359"/>
      <c r="S150" s="359"/>
      <c r="T150" s="360"/>
      <c r="U150" s="39" t="s">
        <v>46</v>
      </c>
      <c r="V150" s="39" t="s">
        <v>46</v>
      </c>
      <c r="W150" s="40" t="s">
        <v>39</v>
      </c>
      <c r="X150" s="58">
        <v>42</v>
      </c>
      <c r="Y150" s="55">
        <f>IFERROR(IF(X150="","",X150),"")</f>
        <v>42</v>
      </c>
      <c r="Z150" s="41">
        <f>IFERROR(IF(X150="","",X150*0.01788),"")</f>
        <v>0.75095999999999996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157.416</v>
      </c>
      <c r="BN150" s="81">
        <f>IFERROR(Y150*I150,"0")</f>
        <v>157.416</v>
      </c>
      <c r="BO150" s="81">
        <f>IFERROR(X150/J150,"0")</f>
        <v>0.6</v>
      </c>
      <c r="BP150" s="81">
        <f>IFERROR(Y150/J150,"0")</f>
        <v>0.6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357">
        <v>4620207491553</v>
      </c>
      <c r="E151" s="357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422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9"/>
      <c r="R151" s="359"/>
      <c r="S151" s="359"/>
      <c r="T151" s="360"/>
      <c r="U151" s="39" t="s">
        <v>46</v>
      </c>
      <c r="V151" s="39" t="s">
        <v>46</v>
      </c>
      <c r="W151" s="40" t="s">
        <v>39</v>
      </c>
      <c r="X151" s="58">
        <v>42</v>
      </c>
      <c r="Y151" s="55">
        <f>IFERROR(IF(X151="","",X151),"")</f>
        <v>42</v>
      </c>
      <c r="Z151" s="41">
        <f>IFERROR(IF(X151="","",X151*0.01788),"")</f>
        <v>0.75095999999999996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155.55119999999999</v>
      </c>
      <c r="BN151" s="81">
        <f>IFERROR(Y151*I151,"0")</f>
        <v>155.55119999999999</v>
      </c>
      <c r="BO151" s="81">
        <f>IFERROR(X151/J151,"0")</f>
        <v>0.6</v>
      </c>
      <c r="BP151" s="81">
        <f>IFERROR(Y151/J151,"0")</f>
        <v>0.6</v>
      </c>
    </row>
    <row r="152" spans="1:68" x14ac:dyDescent="0.2">
      <c r="A152" s="371"/>
      <c r="B152" s="371"/>
      <c r="C152" s="371"/>
      <c r="D152" s="371"/>
      <c r="E152" s="371"/>
      <c r="F152" s="371"/>
      <c r="G152" s="371"/>
      <c r="H152" s="371"/>
      <c r="I152" s="371"/>
      <c r="J152" s="371"/>
      <c r="K152" s="371"/>
      <c r="L152" s="371"/>
      <c r="M152" s="371"/>
      <c r="N152" s="371"/>
      <c r="O152" s="372"/>
      <c r="P152" s="368" t="s">
        <v>40</v>
      </c>
      <c r="Q152" s="369"/>
      <c r="R152" s="369"/>
      <c r="S152" s="369"/>
      <c r="T152" s="369"/>
      <c r="U152" s="369"/>
      <c r="V152" s="370"/>
      <c r="W152" s="42" t="s">
        <v>39</v>
      </c>
      <c r="X152" s="43">
        <f>IFERROR(SUM(X150:X151),"0")</f>
        <v>84</v>
      </c>
      <c r="Y152" s="43">
        <f>IFERROR(SUM(Y150:Y151),"0")</f>
        <v>84</v>
      </c>
      <c r="Z152" s="43">
        <f>IFERROR(IF(Z150="",0,Z150),"0")+IFERROR(IF(Z151="",0,Z151),"0")</f>
        <v>1.5019199999999999</v>
      </c>
      <c r="AA152" s="67"/>
      <c r="AB152" s="67"/>
      <c r="AC152" s="67"/>
    </row>
    <row r="153" spans="1:68" x14ac:dyDescent="0.2">
      <c r="A153" s="371"/>
      <c r="B153" s="371"/>
      <c r="C153" s="371"/>
      <c r="D153" s="371"/>
      <c r="E153" s="371"/>
      <c r="F153" s="371"/>
      <c r="G153" s="371"/>
      <c r="H153" s="371"/>
      <c r="I153" s="371"/>
      <c r="J153" s="371"/>
      <c r="K153" s="371"/>
      <c r="L153" s="371"/>
      <c r="M153" s="371"/>
      <c r="N153" s="371"/>
      <c r="O153" s="372"/>
      <c r="P153" s="368" t="s">
        <v>40</v>
      </c>
      <c r="Q153" s="369"/>
      <c r="R153" s="369"/>
      <c r="S153" s="369"/>
      <c r="T153" s="369"/>
      <c r="U153" s="369"/>
      <c r="V153" s="370"/>
      <c r="W153" s="42" t="s">
        <v>0</v>
      </c>
      <c r="X153" s="43">
        <f>IFERROR(SUMPRODUCT(X150:X151*H150:H151),"0")</f>
        <v>252</v>
      </c>
      <c r="Y153" s="43">
        <f>IFERROR(SUMPRODUCT(Y150:Y151*H150:H151),"0")</f>
        <v>252</v>
      </c>
      <c r="Z153" s="42"/>
      <c r="AA153" s="67"/>
      <c r="AB153" s="67"/>
      <c r="AC153" s="67"/>
    </row>
    <row r="154" spans="1:68" ht="16.5" hidden="1" customHeight="1" x14ac:dyDescent="0.25">
      <c r="A154" s="355" t="s">
        <v>255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65"/>
      <c r="AB154" s="65"/>
      <c r="AC154" s="82"/>
    </row>
    <row r="155" spans="1:68" ht="14.25" hidden="1" customHeight="1" x14ac:dyDescent="0.25">
      <c r="A155" s="356" t="s">
        <v>149</v>
      </c>
      <c r="B155" s="356"/>
      <c r="C155" s="356"/>
      <c r="D155" s="356"/>
      <c r="E155" s="356"/>
      <c r="F155" s="356"/>
      <c r="G155" s="356"/>
      <c r="H155" s="356"/>
      <c r="I155" s="356"/>
      <c r="J155" s="356"/>
      <c r="K155" s="356"/>
      <c r="L155" s="356"/>
      <c r="M155" s="356"/>
      <c r="N155" s="356"/>
      <c r="O155" s="356"/>
      <c r="P155" s="356"/>
      <c r="Q155" s="356"/>
      <c r="R155" s="356"/>
      <c r="S155" s="356"/>
      <c r="T155" s="356"/>
      <c r="U155" s="356"/>
      <c r="V155" s="356"/>
      <c r="W155" s="356"/>
      <c r="X155" s="356"/>
      <c r="Y155" s="356"/>
      <c r="Z155" s="356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357">
        <v>4620207490914</v>
      </c>
      <c r="E156" s="357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9"/>
      <c r="R156" s="359"/>
      <c r="S156" s="359"/>
      <c r="T156" s="360"/>
      <c r="U156" s="39" t="s">
        <v>46</v>
      </c>
      <c r="V156" s="39" t="s">
        <v>46</v>
      </c>
      <c r="W156" s="40" t="s">
        <v>39</v>
      </c>
      <c r="X156" s="58">
        <v>42</v>
      </c>
      <c r="Y156" s="55">
        <f>IFERROR(IF(X156="","",X156),"")</f>
        <v>42</v>
      </c>
      <c r="Z156" s="41">
        <f>IFERROR(IF(X156="","",X156*0.01788),"")</f>
        <v>0.75095999999999996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112.56</v>
      </c>
      <c r="BN156" s="81">
        <f>IFERROR(Y156*I156,"0")</f>
        <v>112.56</v>
      </c>
      <c r="BO156" s="81">
        <f>IFERROR(X156/J156,"0")</f>
        <v>0.6</v>
      </c>
      <c r="BP156" s="81">
        <f>IFERROR(Y156/J156,"0")</f>
        <v>0.6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357">
        <v>4620207490853</v>
      </c>
      <c r="E157" s="357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42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9"/>
      <c r="R157" s="359"/>
      <c r="S157" s="359"/>
      <c r="T157" s="360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1"/>
      <c r="B158" s="371"/>
      <c r="C158" s="371"/>
      <c r="D158" s="371"/>
      <c r="E158" s="371"/>
      <c r="F158" s="371"/>
      <c r="G158" s="371"/>
      <c r="H158" s="371"/>
      <c r="I158" s="371"/>
      <c r="J158" s="371"/>
      <c r="K158" s="371"/>
      <c r="L158" s="371"/>
      <c r="M158" s="371"/>
      <c r="N158" s="371"/>
      <c r="O158" s="372"/>
      <c r="P158" s="368" t="s">
        <v>40</v>
      </c>
      <c r="Q158" s="369"/>
      <c r="R158" s="369"/>
      <c r="S158" s="369"/>
      <c r="T158" s="369"/>
      <c r="U158" s="369"/>
      <c r="V158" s="370"/>
      <c r="W158" s="42" t="s">
        <v>39</v>
      </c>
      <c r="X158" s="43">
        <f>IFERROR(SUM(X156:X157),"0")</f>
        <v>84</v>
      </c>
      <c r="Y158" s="43">
        <f>IFERROR(SUM(Y156:Y157),"0")</f>
        <v>84</v>
      </c>
      <c r="Z158" s="43">
        <f>IFERROR(IF(Z156="",0,Z156),"0")+IFERROR(IF(Z157="",0,Z157),"0")</f>
        <v>1.5019199999999999</v>
      </c>
      <c r="AA158" s="67"/>
      <c r="AB158" s="67"/>
      <c r="AC158" s="67"/>
    </row>
    <row r="159" spans="1:68" x14ac:dyDescent="0.2">
      <c r="A159" s="371"/>
      <c r="B159" s="371"/>
      <c r="C159" s="371"/>
      <c r="D159" s="371"/>
      <c r="E159" s="371"/>
      <c r="F159" s="371"/>
      <c r="G159" s="371"/>
      <c r="H159" s="371"/>
      <c r="I159" s="371"/>
      <c r="J159" s="371"/>
      <c r="K159" s="371"/>
      <c r="L159" s="371"/>
      <c r="M159" s="371"/>
      <c r="N159" s="371"/>
      <c r="O159" s="372"/>
      <c r="P159" s="368" t="s">
        <v>40</v>
      </c>
      <c r="Q159" s="369"/>
      <c r="R159" s="369"/>
      <c r="S159" s="369"/>
      <c r="T159" s="369"/>
      <c r="U159" s="369"/>
      <c r="V159" s="370"/>
      <c r="W159" s="42" t="s">
        <v>0</v>
      </c>
      <c r="X159" s="43">
        <f>IFERROR(SUMPRODUCT(X156:X157*H156:H157),"0")</f>
        <v>201.6</v>
      </c>
      <c r="Y159" s="43">
        <f>IFERROR(SUMPRODUCT(Y156:Y157*H156:H157),"0")</f>
        <v>201.6</v>
      </c>
      <c r="Z159" s="42"/>
      <c r="AA159" s="67"/>
      <c r="AB159" s="67"/>
      <c r="AC159" s="67"/>
    </row>
    <row r="160" spans="1:68" ht="16.5" hidden="1" customHeight="1" x14ac:dyDescent="0.25">
      <c r="A160" s="355" t="s">
        <v>260</v>
      </c>
      <c r="B160" s="355"/>
      <c r="C160" s="355"/>
      <c r="D160" s="355"/>
      <c r="E160" s="355"/>
      <c r="F160" s="355"/>
      <c r="G160" s="355"/>
      <c r="H160" s="355"/>
      <c r="I160" s="355"/>
      <c r="J160" s="355"/>
      <c r="K160" s="355"/>
      <c r="L160" s="355"/>
      <c r="M160" s="355"/>
      <c r="N160" s="355"/>
      <c r="O160" s="355"/>
      <c r="P160" s="355"/>
      <c r="Q160" s="355"/>
      <c r="R160" s="355"/>
      <c r="S160" s="355"/>
      <c r="T160" s="355"/>
      <c r="U160" s="355"/>
      <c r="V160" s="355"/>
      <c r="W160" s="355"/>
      <c r="X160" s="355"/>
      <c r="Y160" s="355"/>
      <c r="Z160" s="355"/>
      <c r="AA160" s="65"/>
      <c r="AB160" s="65"/>
      <c r="AC160" s="82"/>
    </row>
    <row r="161" spans="1:68" ht="14.25" hidden="1" customHeight="1" x14ac:dyDescent="0.25">
      <c r="A161" s="356" t="s">
        <v>149</v>
      </c>
      <c r="B161" s="356"/>
      <c r="C161" s="356"/>
      <c r="D161" s="356"/>
      <c r="E161" s="356"/>
      <c r="F161" s="356"/>
      <c r="G161" s="356"/>
      <c r="H161" s="356"/>
      <c r="I161" s="356"/>
      <c r="J161" s="356"/>
      <c r="K161" s="356"/>
      <c r="L161" s="356"/>
      <c r="M161" s="356"/>
      <c r="N161" s="356"/>
      <c r="O161" s="356"/>
      <c r="P161" s="356"/>
      <c r="Q161" s="356"/>
      <c r="R161" s="356"/>
      <c r="S161" s="356"/>
      <c r="T161" s="356"/>
      <c r="U161" s="356"/>
      <c r="V161" s="356"/>
      <c r="W161" s="356"/>
      <c r="X161" s="356"/>
      <c r="Y161" s="356"/>
      <c r="Z161" s="356"/>
      <c r="AA161" s="66"/>
      <c r="AB161" s="66"/>
      <c r="AC161" s="83"/>
    </row>
    <row r="162" spans="1:68" ht="27" customHeight="1" x14ac:dyDescent="0.25">
      <c r="A162" s="63" t="s">
        <v>261</v>
      </c>
      <c r="B162" s="63" t="s">
        <v>262</v>
      </c>
      <c r="C162" s="36">
        <v>4301135570</v>
      </c>
      <c r="D162" s="357">
        <v>4607111035806</v>
      </c>
      <c r="E162" s="357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42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59"/>
      <c r="R162" s="359"/>
      <c r="S162" s="359"/>
      <c r="T162" s="360"/>
      <c r="U162" s="39" t="s">
        <v>46</v>
      </c>
      <c r="V162" s="39" t="s">
        <v>46</v>
      </c>
      <c r="W162" s="40" t="s">
        <v>39</v>
      </c>
      <c r="X162" s="58">
        <v>28</v>
      </c>
      <c r="Y162" s="55">
        <f>IFERROR(IF(X162="","",X162),"")</f>
        <v>28</v>
      </c>
      <c r="Z162" s="41">
        <f>IFERROR(IF(X162="","",X162*0.01788),"")</f>
        <v>0.50063999999999997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103.70079999999999</v>
      </c>
      <c r="BN162" s="81">
        <f>IFERROR(Y162*I162,"0")</f>
        <v>103.70079999999999</v>
      </c>
      <c r="BO162" s="81">
        <f>IFERROR(X162/J162,"0")</f>
        <v>0.4</v>
      </c>
      <c r="BP162" s="81">
        <f>IFERROR(Y162/J162,"0")</f>
        <v>0.4</v>
      </c>
    </row>
    <row r="163" spans="1:68" x14ac:dyDescent="0.2">
      <c r="A163" s="371"/>
      <c r="B163" s="371"/>
      <c r="C163" s="371"/>
      <c r="D163" s="371"/>
      <c r="E163" s="371"/>
      <c r="F163" s="371"/>
      <c r="G163" s="371"/>
      <c r="H163" s="371"/>
      <c r="I163" s="371"/>
      <c r="J163" s="371"/>
      <c r="K163" s="371"/>
      <c r="L163" s="371"/>
      <c r="M163" s="371"/>
      <c r="N163" s="371"/>
      <c r="O163" s="372"/>
      <c r="P163" s="368" t="s">
        <v>40</v>
      </c>
      <c r="Q163" s="369"/>
      <c r="R163" s="369"/>
      <c r="S163" s="369"/>
      <c r="T163" s="369"/>
      <c r="U163" s="369"/>
      <c r="V163" s="370"/>
      <c r="W163" s="42" t="s">
        <v>39</v>
      </c>
      <c r="X163" s="43">
        <f>IFERROR(SUM(X162:X162),"0")</f>
        <v>28</v>
      </c>
      <c r="Y163" s="43">
        <f>IFERROR(SUM(Y162:Y162),"0")</f>
        <v>28</v>
      </c>
      <c r="Z163" s="43">
        <f>IFERROR(IF(Z162="",0,Z162),"0")</f>
        <v>0.50063999999999997</v>
      </c>
      <c r="AA163" s="67"/>
      <c r="AB163" s="67"/>
      <c r="AC163" s="67"/>
    </row>
    <row r="164" spans="1:68" x14ac:dyDescent="0.2">
      <c r="A164" s="371"/>
      <c r="B164" s="371"/>
      <c r="C164" s="371"/>
      <c r="D164" s="371"/>
      <c r="E164" s="371"/>
      <c r="F164" s="371"/>
      <c r="G164" s="371"/>
      <c r="H164" s="371"/>
      <c r="I164" s="371"/>
      <c r="J164" s="371"/>
      <c r="K164" s="371"/>
      <c r="L164" s="371"/>
      <c r="M164" s="371"/>
      <c r="N164" s="371"/>
      <c r="O164" s="372"/>
      <c r="P164" s="368" t="s">
        <v>40</v>
      </c>
      <c r="Q164" s="369"/>
      <c r="R164" s="369"/>
      <c r="S164" s="369"/>
      <c r="T164" s="369"/>
      <c r="U164" s="369"/>
      <c r="V164" s="370"/>
      <c r="W164" s="42" t="s">
        <v>0</v>
      </c>
      <c r="X164" s="43">
        <f>IFERROR(SUMPRODUCT(X162:X162*H162:H162),"0")</f>
        <v>84</v>
      </c>
      <c r="Y164" s="43">
        <f>IFERROR(SUMPRODUCT(Y162:Y162*H162:H162),"0")</f>
        <v>84</v>
      </c>
      <c r="Z164" s="42"/>
      <c r="AA164" s="67"/>
      <c r="AB164" s="67"/>
      <c r="AC164" s="67"/>
    </row>
    <row r="165" spans="1:68" ht="16.5" hidden="1" customHeight="1" x14ac:dyDescent="0.25">
      <c r="A165" s="355" t="s">
        <v>264</v>
      </c>
      <c r="B165" s="355"/>
      <c r="C165" s="355"/>
      <c r="D165" s="355"/>
      <c r="E165" s="355"/>
      <c r="F165" s="355"/>
      <c r="G165" s="355"/>
      <c r="H165" s="355"/>
      <c r="I165" s="355"/>
      <c r="J165" s="355"/>
      <c r="K165" s="355"/>
      <c r="L165" s="355"/>
      <c r="M165" s="355"/>
      <c r="N165" s="355"/>
      <c r="O165" s="355"/>
      <c r="P165" s="355"/>
      <c r="Q165" s="355"/>
      <c r="R165" s="355"/>
      <c r="S165" s="355"/>
      <c r="T165" s="355"/>
      <c r="U165" s="355"/>
      <c r="V165" s="355"/>
      <c r="W165" s="355"/>
      <c r="X165" s="355"/>
      <c r="Y165" s="355"/>
      <c r="Z165" s="355"/>
      <c r="AA165" s="65"/>
      <c r="AB165" s="65"/>
      <c r="AC165" s="82"/>
    </row>
    <row r="166" spans="1:68" ht="14.25" hidden="1" customHeight="1" x14ac:dyDescent="0.25">
      <c r="A166" s="356" t="s">
        <v>149</v>
      </c>
      <c r="B166" s="356"/>
      <c r="C166" s="356"/>
      <c r="D166" s="356"/>
      <c r="E166" s="356"/>
      <c r="F166" s="356"/>
      <c r="G166" s="356"/>
      <c r="H166" s="356"/>
      <c r="I166" s="356"/>
      <c r="J166" s="356"/>
      <c r="K166" s="356"/>
      <c r="L166" s="356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357">
        <v>4607111039613</v>
      </c>
      <c r="E167" s="357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42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9"/>
      <c r="R167" s="359"/>
      <c r="S167" s="359"/>
      <c r="T167" s="360"/>
      <c r="U167" s="39" t="s">
        <v>46</v>
      </c>
      <c r="V167" s="39" t="s">
        <v>46</v>
      </c>
      <c r="W167" s="40" t="s">
        <v>39</v>
      </c>
      <c r="X167" s="58">
        <v>56</v>
      </c>
      <c r="Y167" s="55">
        <f>IFERROR(IF(X167="","",X167),"")</f>
        <v>56</v>
      </c>
      <c r="Z167" s="41">
        <f>IFERROR(IF(X167="","",X167*0.00936),"")</f>
        <v>0.52415999999999996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173.04</v>
      </c>
      <c r="BN167" s="81">
        <f>IFERROR(Y167*I167,"0")</f>
        <v>173.04</v>
      </c>
      <c r="BO167" s="81">
        <f>IFERROR(X167/J167,"0")</f>
        <v>0.44444444444444442</v>
      </c>
      <c r="BP167" s="81">
        <f>IFERROR(Y167/J167,"0")</f>
        <v>0.44444444444444442</v>
      </c>
    </row>
    <row r="168" spans="1:68" x14ac:dyDescent="0.2">
      <c r="A168" s="371"/>
      <c r="B168" s="371"/>
      <c r="C168" s="371"/>
      <c r="D168" s="371"/>
      <c r="E168" s="371"/>
      <c r="F168" s="371"/>
      <c r="G168" s="371"/>
      <c r="H168" s="371"/>
      <c r="I168" s="371"/>
      <c r="J168" s="371"/>
      <c r="K168" s="371"/>
      <c r="L168" s="371"/>
      <c r="M168" s="371"/>
      <c r="N168" s="371"/>
      <c r="O168" s="372"/>
      <c r="P168" s="368" t="s">
        <v>40</v>
      </c>
      <c r="Q168" s="369"/>
      <c r="R168" s="369"/>
      <c r="S168" s="369"/>
      <c r="T168" s="369"/>
      <c r="U168" s="369"/>
      <c r="V168" s="370"/>
      <c r="W168" s="42" t="s">
        <v>39</v>
      </c>
      <c r="X168" s="43">
        <f>IFERROR(SUM(X167:X167),"0")</f>
        <v>56</v>
      </c>
      <c r="Y168" s="43">
        <f>IFERROR(SUM(Y167:Y167),"0")</f>
        <v>56</v>
      </c>
      <c r="Z168" s="43">
        <f>IFERROR(IF(Z167="",0,Z167),"0")</f>
        <v>0.52415999999999996</v>
      </c>
      <c r="AA168" s="67"/>
      <c r="AB168" s="67"/>
      <c r="AC168" s="67"/>
    </row>
    <row r="169" spans="1:68" x14ac:dyDescent="0.2">
      <c r="A169" s="371"/>
      <c r="B169" s="371"/>
      <c r="C169" s="371"/>
      <c r="D169" s="371"/>
      <c r="E169" s="371"/>
      <c r="F169" s="371"/>
      <c r="G169" s="371"/>
      <c r="H169" s="371"/>
      <c r="I169" s="371"/>
      <c r="J169" s="371"/>
      <c r="K169" s="371"/>
      <c r="L169" s="371"/>
      <c r="M169" s="371"/>
      <c r="N169" s="371"/>
      <c r="O169" s="372"/>
      <c r="P169" s="368" t="s">
        <v>40</v>
      </c>
      <c r="Q169" s="369"/>
      <c r="R169" s="369"/>
      <c r="S169" s="369"/>
      <c r="T169" s="369"/>
      <c r="U169" s="369"/>
      <c r="V169" s="370"/>
      <c r="W169" s="42" t="s">
        <v>0</v>
      </c>
      <c r="X169" s="43">
        <f>IFERROR(SUMPRODUCT(X167:X167*H167:H167),"0")</f>
        <v>151.20000000000002</v>
      </c>
      <c r="Y169" s="43">
        <f>IFERROR(SUMPRODUCT(Y167:Y167*H167:H167),"0")</f>
        <v>151.20000000000002</v>
      </c>
      <c r="Z169" s="42"/>
      <c r="AA169" s="67"/>
      <c r="AB169" s="67"/>
      <c r="AC169" s="67"/>
    </row>
    <row r="170" spans="1:68" ht="16.5" hidden="1" customHeight="1" x14ac:dyDescent="0.25">
      <c r="A170" s="355" t="s">
        <v>267</v>
      </c>
      <c r="B170" s="355"/>
      <c r="C170" s="355"/>
      <c r="D170" s="355"/>
      <c r="E170" s="355"/>
      <c r="F170" s="355"/>
      <c r="G170" s="355"/>
      <c r="H170" s="355"/>
      <c r="I170" s="355"/>
      <c r="J170" s="355"/>
      <c r="K170" s="355"/>
      <c r="L170" s="35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65"/>
      <c r="AB170" s="65"/>
      <c r="AC170" s="82"/>
    </row>
    <row r="171" spans="1:68" ht="14.25" hidden="1" customHeight="1" x14ac:dyDescent="0.25">
      <c r="A171" s="356" t="s">
        <v>149</v>
      </c>
      <c r="B171" s="356"/>
      <c r="C171" s="356"/>
      <c r="D171" s="356"/>
      <c r="E171" s="356"/>
      <c r="F171" s="356"/>
      <c r="G171" s="356"/>
      <c r="H171" s="356"/>
      <c r="I171" s="356"/>
      <c r="J171" s="356"/>
      <c r="K171" s="356"/>
      <c r="L171" s="356"/>
      <c r="M171" s="356"/>
      <c r="N171" s="356"/>
      <c r="O171" s="356"/>
      <c r="P171" s="356"/>
      <c r="Q171" s="356"/>
      <c r="R171" s="356"/>
      <c r="S171" s="356"/>
      <c r="T171" s="356"/>
      <c r="U171" s="356"/>
      <c r="V171" s="356"/>
      <c r="W171" s="356"/>
      <c r="X171" s="356"/>
      <c r="Y171" s="356"/>
      <c r="Z171" s="356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357">
        <v>4607111036568</v>
      </c>
      <c r="E172" s="357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427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359"/>
      <c r="R172" s="359"/>
      <c r="S172" s="359"/>
      <c r="T172" s="360"/>
      <c r="U172" s="39" t="s">
        <v>46</v>
      </c>
      <c r="V172" s="39" t="s">
        <v>46</v>
      </c>
      <c r="W172" s="40" t="s">
        <v>39</v>
      </c>
      <c r="X172" s="58">
        <v>98</v>
      </c>
      <c r="Y172" s="55">
        <f>IFERROR(IF(X172="","",X172),"")</f>
        <v>98</v>
      </c>
      <c r="Z172" s="41">
        <f>IFERROR(IF(X172="","",X172*0.00941),"")</f>
        <v>0.92218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205.97639999999998</v>
      </c>
      <c r="BN172" s="81">
        <f>IFERROR(Y172*I172,"0")</f>
        <v>205.97639999999998</v>
      </c>
      <c r="BO172" s="81">
        <f>IFERROR(X172/J172,"0")</f>
        <v>0.7</v>
      </c>
      <c r="BP172" s="81">
        <f>IFERROR(Y172/J172,"0")</f>
        <v>0.7</v>
      </c>
    </row>
    <row r="173" spans="1:68" x14ac:dyDescent="0.2">
      <c r="A173" s="371"/>
      <c r="B173" s="371"/>
      <c r="C173" s="371"/>
      <c r="D173" s="371"/>
      <c r="E173" s="371"/>
      <c r="F173" s="371"/>
      <c r="G173" s="371"/>
      <c r="H173" s="371"/>
      <c r="I173" s="371"/>
      <c r="J173" s="371"/>
      <c r="K173" s="371"/>
      <c r="L173" s="371"/>
      <c r="M173" s="371"/>
      <c r="N173" s="371"/>
      <c r="O173" s="372"/>
      <c r="P173" s="368" t="s">
        <v>40</v>
      </c>
      <c r="Q173" s="369"/>
      <c r="R173" s="369"/>
      <c r="S173" s="369"/>
      <c r="T173" s="369"/>
      <c r="U173" s="369"/>
      <c r="V173" s="370"/>
      <c r="W173" s="42" t="s">
        <v>39</v>
      </c>
      <c r="X173" s="43">
        <f>IFERROR(SUM(X172:X172),"0")</f>
        <v>98</v>
      </c>
      <c r="Y173" s="43">
        <f>IFERROR(SUM(Y172:Y172),"0")</f>
        <v>98</v>
      </c>
      <c r="Z173" s="43">
        <f>IFERROR(IF(Z172="",0,Z172),"0")</f>
        <v>0.92218</v>
      </c>
      <c r="AA173" s="67"/>
      <c r="AB173" s="67"/>
      <c r="AC173" s="67"/>
    </row>
    <row r="174" spans="1:68" x14ac:dyDescent="0.2">
      <c r="A174" s="371"/>
      <c r="B174" s="371"/>
      <c r="C174" s="371"/>
      <c r="D174" s="371"/>
      <c r="E174" s="371"/>
      <c r="F174" s="371"/>
      <c r="G174" s="371"/>
      <c r="H174" s="371"/>
      <c r="I174" s="371"/>
      <c r="J174" s="371"/>
      <c r="K174" s="371"/>
      <c r="L174" s="371"/>
      <c r="M174" s="371"/>
      <c r="N174" s="371"/>
      <c r="O174" s="372"/>
      <c r="P174" s="368" t="s">
        <v>40</v>
      </c>
      <c r="Q174" s="369"/>
      <c r="R174" s="369"/>
      <c r="S174" s="369"/>
      <c r="T174" s="369"/>
      <c r="U174" s="369"/>
      <c r="V174" s="370"/>
      <c r="W174" s="42" t="s">
        <v>0</v>
      </c>
      <c r="X174" s="43">
        <f>IFERROR(SUMPRODUCT(X172:X172*H172:H172),"0")</f>
        <v>164.64</v>
      </c>
      <c r="Y174" s="43">
        <f>IFERROR(SUMPRODUCT(Y172:Y172*H172:H172),"0")</f>
        <v>164.64</v>
      </c>
      <c r="Z174" s="42"/>
      <c r="AA174" s="67"/>
      <c r="AB174" s="67"/>
      <c r="AC174" s="67"/>
    </row>
    <row r="175" spans="1:68" ht="27.75" hidden="1" customHeight="1" x14ac:dyDescent="0.2">
      <c r="A175" s="354" t="s">
        <v>271</v>
      </c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  <c r="AA175" s="54"/>
      <c r="AB175" s="54"/>
      <c r="AC175" s="54"/>
    </row>
    <row r="176" spans="1:68" ht="16.5" hidden="1" customHeight="1" x14ac:dyDescent="0.25">
      <c r="A176" s="355" t="s">
        <v>272</v>
      </c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5"/>
      <c r="P176" s="355"/>
      <c r="Q176" s="355"/>
      <c r="R176" s="355"/>
      <c r="S176" s="355"/>
      <c r="T176" s="355"/>
      <c r="U176" s="355"/>
      <c r="V176" s="355"/>
      <c r="W176" s="355"/>
      <c r="X176" s="355"/>
      <c r="Y176" s="355"/>
      <c r="Z176" s="355"/>
      <c r="AA176" s="65"/>
      <c r="AB176" s="65"/>
      <c r="AC176" s="82"/>
    </row>
    <row r="177" spans="1:68" ht="14.25" hidden="1" customHeight="1" x14ac:dyDescent="0.25">
      <c r="A177" s="356" t="s">
        <v>80</v>
      </c>
      <c r="B177" s="356"/>
      <c r="C177" s="356"/>
      <c r="D177" s="356"/>
      <c r="E177" s="356"/>
      <c r="F177" s="356"/>
      <c r="G177" s="356"/>
      <c r="H177" s="356"/>
      <c r="I177" s="356"/>
      <c r="J177" s="356"/>
      <c r="K177" s="356"/>
      <c r="L177" s="356"/>
      <c r="M177" s="356"/>
      <c r="N177" s="356"/>
      <c r="O177" s="356"/>
      <c r="P177" s="356"/>
      <c r="Q177" s="356"/>
      <c r="R177" s="356"/>
      <c r="S177" s="356"/>
      <c r="T177" s="356"/>
      <c r="U177" s="356"/>
      <c r="V177" s="356"/>
      <c r="W177" s="356"/>
      <c r="X177" s="356"/>
      <c r="Y177" s="356"/>
      <c r="Z177" s="356"/>
      <c r="AA177" s="66"/>
      <c r="AB177" s="66"/>
      <c r="AC177" s="83"/>
    </row>
    <row r="178" spans="1:68" ht="16.5" hidden="1" customHeight="1" x14ac:dyDescent="0.25">
      <c r="A178" s="63" t="s">
        <v>273</v>
      </c>
      <c r="B178" s="63" t="s">
        <v>274</v>
      </c>
      <c r="C178" s="36">
        <v>4301071062</v>
      </c>
      <c r="D178" s="357">
        <v>4607111036384</v>
      </c>
      <c r="E178" s="357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9"/>
      <c r="R178" s="359"/>
      <c r="S178" s="359"/>
      <c r="T178" s="360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276</v>
      </c>
      <c r="B179" s="63" t="s">
        <v>277</v>
      </c>
      <c r="C179" s="36">
        <v>4301071050</v>
      </c>
      <c r="D179" s="357">
        <v>4607111036216</v>
      </c>
      <c r="E179" s="357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42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9"/>
      <c r="R179" s="359"/>
      <c r="S179" s="359"/>
      <c r="T179" s="360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371"/>
      <c r="B180" s="371"/>
      <c r="C180" s="371"/>
      <c r="D180" s="371"/>
      <c r="E180" s="371"/>
      <c r="F180" s="371"/>
      <c r="G180" s="371"/>
      <c r="H180" s="371"/>
      <c r="I180" s="371"/>
      <c r="J180" s="371"/>
      <c r="K180" s="371"/>
      <c r="L180" s="371"/>
      <c r="M180" s="371"/>
      <c r="N180" s="371"/>
      <c r="O180" s="372"/>
      <c r="P180" s="368" t="s">
        <v>40</v>
      </c>
      <c r="Q180" s="369"/>
      <c r="R180" s="369"/>
      <c r="S180" s="369"/>
      <c r="T180" s="369"/>
      <c r="U180" s="369"/>
      <c r="V180" s="370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371"/>
      <c r="B181" s="371"/>
      <c r="C181" s="371"/>
      <c r="D181" s="371"/>
      <c r="E181" s="371"/>
      <c r="F181" s="371"/>
      <c r="G181" s="371"/>
      <c r="H181" s="371"/>
      <c r="I181" s="371"/>
      <c r="J181" s="371"/>
      <c r="K181" s="371"/>
      <c r="L181" s="371"/>
      <c r="M181" s="371"/>
      <c r="N181" s="371"/>
      <c r="O181" s="372"/>
      <c r="P181" s="368" t="s">
        <v>40</v>
      </c>
      <c r="Q181" s="369"/>
      <c r="R181" s="369"/>
      <c r="S181" s="369"/>
      <c r="T181" s="369"/>
      <c r="U181" s="369"/>
      <c r="V181" s="370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55" t="s">
        <v>279</v>
      </c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65"/>
      <c r="AB182" s="65"/>
      <c r="AC182" s="82"/>
    </row>
    <row r="183" spans="1:68" ht="14.25" hidden="1" customHeight="1" x14ac:dyDescent="0.25">
      <c r="A183" s="356" t="s">
        <v>80</v>
      </c>
      <c r="B183" s="356"/>
      <c r="C183" s="356"/>
      <c r="D183" s="356"/>
      <c r="E183" s="356"/>
      <c r="F183" s="356"/>
      <c r="G183" s="356"/>
      <c r="H183" s="356"/>
      <c r="I183" s="356"/>
      <c r="J183" s="356"/>
      <c r="K183" s="356"/>
      <c r="L183" s="356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66"/>
      <c r="AB183" s="66"/>
      <c r="AC183" s="83"/>
    </row>
    <row r="184" spans="1:68" ht="27" hidden="1" customHeight="1" x14ac:dyDescent="0.25">
      <c r="A184" s="63" t="s">
        <v>280</v>
      </c>
      <c r="B184" s="63" t="s">
        <v>281</v>
      </c>
      <c r="C184" s="36">
        <v>4301071117</v>
      </c>
      <c r="D184" s="357">
        <v>4620207491737</v>
      </c>
      <c r="E184" s="357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43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9"/>
      <c r="R184" s="359"/>
      <c r="S184" s="359"/>
      <c r="T184" s="360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1"/>
      <c r="B185" s="371"/>
      <c r="C185" s="371"/>
      <c r="D185" s="371"/>
      <c r="E185" s="371"/>
      <c r="F185" s="371"/>
      <c r="G185" s="371"/>
      <c r="H185" s="371"/>
      <c r="I185" s="371"/>
      <c r="J185" s="371"/>
      <c r="K185" s="371"/>
      <c r="L185" s="371"/>
      <c r="M185" s="371"/>
      <c r="N185" s="371"/>
      <c r="O185" s="372"/>
      <c r="P185" s="368" t="s">
        <v>40</v>
      </c>
      <c r="Q185" s="369"/>
      <c r="R185" s="369"/>
      <c r="S185" s="369"/>
      <c r="T185" s="369"/>
      <c r="U185" s="369"/>
      <c r="V185" s="370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1"/>
      <c r="B186" s="371"/>
      <c r="C186" s="371"/>
      <c r="D186" s="371"/>
      <c r="E186" s="371"/>
      <c r="F186" s="371"/>
      <c r="G186" s="371"/>
      <c r="H186" s="371"/>
      <c r="I186" s="371"/>
      <c r="J186" s="371"/>
      <c r="K186" s="371"/>
      <c r="L186" s="371"/>
      <c r="M186" s="371"/>
      <c r="N186" s="371"/>
      <c r="O186" s="372"/>
      <c r="P186" s="368" t="s">
        <v>40</v>
      </c>
      <c r="Q186" s="369"/>
      <c r="R186" s="369"/>
      <c r="S186" s="369"/>
      <c r="T186" s="369"/>
      <c r="U186" s="369"/>
      <c r="V186" s="370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54" t="s">
        <v>282</v>
      </c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54"/>
      <c r="AB187" s="54"/>
      <c r="AC187" s="54"/>
    </row>
    <row r="188" spans="1:68" ht="16.5" hidden="1" customHeight="1" x14ac:dyDescent="0.25">
      <c r="A188" s="355" t="s">
        <v>283</v>
      </c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65"/>
      <c r="AB188" s="65"/>
      <c r="AC188" s="82"/>
    </row>
    <row r="189" spans="1:68" ht="14.25" hidden="1" customHeight="1" x14ac:dyDescent="0.25">
      <c r="A189" s="356" t="s">
        <v>111</v>
      </c>
      <c r="B189" s="356"/>
      <c r="C189" s="356"/>
      <c r="D189" s="356"/>
      <c r="E189" s="356"/>
      <c r="F189" s="356"/>
      <c r="G189" s="356"/>
      <c r="H189" s="356"/>
      <c r="I189" s="356"/>
      <c r="J189" s="356"/>
      <c r="K189" s="356"/>
      <c r="L189" s="356"/>
      <c r="M189" s="356"/>
      <c r="N189" s="356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  <c r="Z189" s="356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357">
        <v>4607111035691</v>
      </c>
      <c r="E190" s="357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9"/>
      <c r="R190" s="359"/>
      <c r="S190" s="359"/>
      <c r="T190" s="360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357">
        <v>4607111035721</v>
      </c>
      <c r="E191" s="357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4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9"/>
      <c r="R191" s="359"/>
      <c r="S191" s="359"/>
      <c r="T191" s="360"/>
      <c r="U191" s="39" t="s">
        <v>46</v>
      </c>
      <c r="V191" s="39" t="s">
        <v>46</v>
      </c>
      <c r="W191" s="40" t="s">
        <v>39</v>
      </c>
      <c r="X191" s="58">
        <v>28</v>
      </c>
      <c r="Y191" s="55">
        <f>IFERROR(IF(X191="","",X191),"")</f>
        <v>28</v>
      </c>
      <c r="Z191" s="41">
        <f>IFERROR(IF(X191="","",X191*0.01788),"")</f>
        <v>0.50063999999999997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94.864000000000004</v>
      </c>
      <c r="BN191" s="81">
        <f>IFERROR(Y191*I191,"0")</f>
        <v>94.864000000000004</v>
      </c>
      <c r="BO191" s="81">
        <f>IFERROR(X191/J191,"0")</f>
        <v>0.4</v>
      </c>
      <c r="BP191" s="81">
        <f>IFERROR(Y191/J191,"0")</f>
        <v>0.4</v>
      </c>
    </row>
    <row r="192" spans="1:68" ht="27" hidden="1" customHeight="1" x14ac:dyDescent="0.25">
      <c r="A192" s="63" t="s">
        <v>290</v>
      </c>
      <c r="B192" s="63" t="s">
        <v>291</v>
      </c>
      <c r="C192" s="36">
        <v>4301132170</v>
      </c>
      <c r="D192" s="357">
        <v>4607111038487</v>
      </c>
      <c r="E192" s="357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4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9"/>
      <c r="R192" s="359"/>
      <c r="S192" s="359"/>
      <c r="T192" s="360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357">
        <v>4620207491195</v>
      </c>
      <c r="E193" s="357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434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9"/>
      <c r="R193" s="359"/>
      <c r="S193" s="359"/>
      <c r="T193" s="360"/>
      <c r="U193" s="39" t="s">
        <v>46</v>
      </c>
      <c r="V193" s="39" t="s">
        <v>46</v>
      </c>
      <c r="W193" s="40" t="s">
        <v>39</v>
      </c>
      <c r="X193" s="58">
        <v>126</v>
      </c>
      <c r="Y193" s="55">
        <f>IFERROR(IF(X193="","",X193),"")</f>
        <v>126</v>
      </c>
      <c r="Z193" s="41">
        <f>IFERROR(IF(X193="","",X193*0.01788),"")</f>
        <v>2.2528800000000002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396.64800000000002</v>
      </c>
      <c r="BN193" s="81">
        <f>IFERROR(Y193*I193,"0")</f>
        <v>396.64800000000002</v>
      </c>
      <c r="BO193" s="81">
        <f>IFERROR(X193/J193,"0")</f>
        <v>1.8</v>
      </c>
      <c r="BP193" s="81">
        <f>IFERROR(Y193/J193,"0")</f>
        <v>1.8</v>
      </c>
    </row>
    <row r="194" spans="1:68" x14ac:dyDescent="0.2">
      <c r="A194" s="371"/>
      <c r="B194" s="371"/>
      <c r="C194" s="371"/>
      <c r="D194" s="371"/>
      <c r="E194" s="371"/>
      <c r="F194" s="371"/>
      <c r="G194" s="371"/>
      <c r="H194" s="371"/>
      <c r="I194" s="371"/>
      <c r="J194" s="371"/>
      <c r="K194" s="371"/>
      <c r="L194" s="371"/>
      <c r="M194" s="371"/>
      <c r="N194" s="371"/>
      <c r="O194" s="372"/>
      <c r="P194" s="368" t="s">
        <v>40</v>
      </c>
      <c r="Q194" s="369"/>
      <c r="R194" s="369"/>
      <c r="S194" s="369"/>
      <c r="T194" s="369"/>
      <c r="U194" s="369"/>
      <c r="V194" s="370"/>
      <c r="W194" s="42" t="s">
        <v>39</v>
      </c>
      <c r="X194" s="43">
        <f>IFERROR(SUM(X190:X193),"0")</f>
        <v>196</v>
      </c>
      <c r="Y194" s="43">
        <f>IFERROR(SUM(Y190:Y193),"0")</f>
        <v>196</v>
      </c>
      <c r="Z194" s="43">
        <f>IFERROR(IF(Z190="",0,Z190),"0")+IFERROR(IF(Z191="",0,Z191),"0")+IFERROR(IF(Z192="",0,Z192),"0")+IFERROR(IF(Z193="",0,Z193),"0")</f>
        <v>3.50448</v>
      </c>
      <c r="AA194" s="67"/>
      <c r="AB194" s="67"/>
      <c r="AC194" s="67"/>
    </row>
    <row r="195" spans="1:68" x14ac:dyDescent="0.2">
      <c r="A195" s="371"/>
      <c r="B195" s="371"/>
      <c r="C195" s="371"/>
      <c r="D195" s="371"/>
      <c r="E195" s="371"/>
      <c r="F195" s="371"/>
      <c r="G195" s="371"/>
      <c r="H195" s="371"/>
      <c r="I195" s="371"/>
      <c r="J195" s="371"/>
      <c r="K195" s="371"/>
      <c r="L195" s="371"/>
      <c r="M195" s="371"/>
      <c r="N195" s="371"/>
      <c r="O195" s="372"/>
      <c r="P195" s="368" t="s">
        <v>40</v>
      </c>
      <c r="Q195" s="369"/>
      <c r="R195" s="369"/>
      <c r="S195" s="369"/>
      <c r="T195" s="369"/>
      <c r="U195" s="369"/>
      <c r="V195" s="370"/>
      <c r="W195" s="42" t="s">
        <v>0</v>
      </c>
      <c r="X195" s="43">
        <f>IFERROR(SUMPRODUCT(X190:X193*H190:H193),"0")</f>
        <v>557.76</v>
      </c>
      <c r="Y195" s="43">
        <f>IFERROR(SUMPRODUCT(Y190:Y193*H190:H193),"0")</f>
        <v>557.76</v>
      </c>
      <c r="Z195" s="42"/>
      <c r="AA195" s="67"/>
      <c r="AB195" s="67"/>
      <c r="AC195" s="67"/>
    </row>
    <row r="196" spans="1:68" ht="27.75" hidden="1" customHeight="1" x14ac:dyDescent="0.2">
      <c r="A196" s="354" t="s">
        <v>296</v>
      </c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54"/>
      <c r="AB196" s="54"/>
      <c r="AC196" s="54"/>
    </row>
    <row r="197" spans="1:68" ht="16.5" hidden="1" customHeight="1" x14ac:dyDescent="0.25">
      <c r="A197" s="355" t="s">
        <v>297</v>
      </c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5"/>
      <c r="P197" s="355"/>
      <c r="Q197" s="355"/>
      <c r="R197" s="355"/>
      <c r="S197" s="355"/>
      <c r="T197" s="355"/>
      <c r="U197" s="355"/>
      <c r="V197" s="355"/>
      <c r="W197" s="355"/>
      <c r="X197" s="355"/>
      <c r="Y197" s="355"/>
      <c r="Z197" s="355"/>
      <c r="AA197" s="65"/>
      <c r="AB197" s="65"/>
      <c r="AC197" s="82"/>
    </row>
    <row r="198" spans="1:68" ht="14.25" hidden="1" customHeight="1" x14ac:dyDescent="0.25">
      <c r="A198" s="356" t="s">
        <v>111</v>
      </c>
      <c r="B198" s="356"/>
      <c r="C198" s="356"/>
      <c r="D198" s="356"/>
      <c r="E198" s="356"/>
      <c r="F198" s="356"/>
      <c r="G198" s="356"/>
      <c r="H198" s="356"/>
      <c r="I198" s="356"/>
      <c r="J198" s="356"/>
      <c r="K198" s="356"/>
      <c r="L198" s="356"/>
      <c r="M198" s="356"/>
      <c r="N198" s="356"/>
      <c r="O198" s="356"/>
      <c r="P198" s="356"/>
      <c r="Q198" s="356"/>
      <c r="R198" s="356"/>
      <c r="S198" s="356"/>
      <c r="T198" s="356"/>
      <c r="U198" s="356"/>
      <c r="V198" s="356"/>
      <c r="W198" s="356"/>
      <c r="X198" s="356"/>
      <c r="Y198" s="356"/>
      <c r="Z198" s="356"/>
      <c r="AA198" s="66"/>
      <c r="AB198" s="66"/>
      <c r="AC198" s="83"/>
    </row>
    <row r="199" spans="1:68" ht="27" hidden="1" customHeight="1" x14ac:dyDescent="0.25">
      <c r="A199" s="63" t="s">
        <v>298</v>
      </c>
      <c r="B199" s="63" t="s">
        <v>299</v>
      </c>
      <c r="C199" s="36">
        <v>4301132227</v>
      </c>
      <c r="D199" s="357">
        <v>4620207491133</v>
      </c>
      <c r="E199" s="357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9"/>
      <c r="R199" s="359"/>
      <c r="S199" s="359"/>
      <c r="T199" s="360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371"/>
      <c r="B200" s="371"/>
      <c r="C200" s="371"/>
      <c r="D200" s="371"/>
      <c r="E200" s="371"/>
      <c r="F200" s="371"/>
      <c r="G200" s="371"/>
      <c r="H200" s="371"/>
      <c r="I200" s="371"/>
      <c r="J200" s="371"/>
      <c r="K200" s="371"/>
      <c r="L200" s="371"/>
      <c r="M200" s="371"/>
      <c r="N200" s="371"/>
      <c r="O200" s="372"/>
      <c r="P200" s="368" t="s">
        <v>40</v>
      </c>
      <c r="Q200" s="369"/>
      <c r="R200" s="369"/>
      <c r="S200" s="369"/>
      <c r="T200" s="369"/>
      <c r="U200" s="369"/>
      <c r="V200" s="370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371"/>
      <c r="B201" s="371"/>
      <c r="C201" s="371"/>
      <c r="D201" s="371"/>
      <c r="E201" s="371"/>
      <c r="F201" s="371"/>
      <c r="G201" s="371"/>
      <c r="H201" s="371"/>
      <c r="I201" s="371"/>
      <c r="J201" s="371"/>
      <c r="K201" s="371"/>
      <c r="L201" s="371"/>
      <c r="M201" s="371"/>
      <c r="N201" s="371"/>
      <c r="O201" s="372"/>
      <c r="P201" s="368" t="s">
        <v>40</v>
      </c>
      <c r="Q201" s="369"/>
      <c r="R201" s="369"/>
      <c r="S201" s="369"/>
      <c r="T201" s="369"/>
      <c r="U201" s="369"/>
      <c r="V201" s="370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56" t="s">
        <v>149</v>
      </c>
      <c r="B202" s="356"/>
      <c r="C202" s="356"/>
      <c r="D202" s="356"/>
      <c r="E202" s="356"/>
      <c r="F202" s="356"/>
      <c r="G202" s="356"/>
      <c r="H202" s="356"/>
      <c r="I202" s="356"/>
      <c r="J202" s="356"/>
      <c r="K202" s="356"/>
      <c r="L202" s="356"/>
      <c r="M202" s="356"/>
      <c r="N202" s="356"/>
      <c r="O202" s="356"/>
      <c r="P202" s="356"/>
      <c r="Q202" s="356"/>
      <c r="R202" s="356"/>
      <c r="S202" s="356"/>
      <c r="T202" s="356"/>
      <c r="U202" s="356"/>
      <c r="V202" s="356"/>
      <c r="W202" s="356"/>
      <c r="X202" s="356"/>
      <c r="Y202" s="356"/>
      <c r="Z202" s="356"/>
      <c r="AA202" s="66"/>
      <c r="AB202" s="66"/>
      <c r="AC202" s="83"/>
    </row>
    <row r="203" spans="1:68" ht="27" hidden="1" customHeight="1" x14ac:dyDescent="0.25">
      <c r="A203" s="63" t="s">
        <v>301</v>
      </c>
      <c r="B203" s="63" t="s">
        <v>302</v>
      </c>
      <c r="C203" s="36">
        <v>4301135834</v>
      </c>
      <c r="D203" s="357">
        <v>4620207491188</v>
      </c>
      <c r="E203" s="357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43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9"/>
      <c r="R203" s="359"/>
      <c r="S203" s="359"/>
      <c r="T203" s="360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304</v>
      </c>
      <c r="B204" s="63" t="s">
        <v>305</v>
      </c>
      <c r="C204" s="36">
        <v>4301135696</v>
      </c>
      <c r="D204" s="357">
        <v>4620207490235</v>
      </c>
      <c r="E204" s="357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9"/>
      <c r="R204" s="359"/>
      <c r="S204" s="359"/>
      <c r="T204" s="360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307</v>
      </c>
      <c r="B205" s="63" t="s">
        <v>308</v>
      </c>
      <c r="C205" s="36">
        <v>4301135697</v>
      </c>
      <c r="D205" s="357">
        <v>4620207490259</v>
      </c>
      <c r="E205" s="357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4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9"/>
      <c r="R205" s="359"/>
      <c r="S205" s="359"/>
      <c r="T205" s="360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1"/>
      <c r="B206" s="371"/>
      <c r="C206" s="371"/>
      <c r="D206" s="371"/>
      <c r="E206" s="371"/>
      <c r="F206" s="371"/>
      <c r="G206" s="371"/>
      <c r="H206" s="371"/>
      <c r="I206" s="371"/>
      <c r="J206" s="371"/>
      <c r="K206" s="371"/>
      <c r="L206" s="371"/>
      <c r="M206" s="371"/>
      <c r="N206" s="371"/>
      <c r="O206" s="372"/>
      <c r="P206" s="368" t="s">
        <v>40</v>
      </c>
      <c r="Q206" s="369"/>
      <c r="R206" s="369"/>
      <c r="S206" s="369"/>
      <c r="T206" s="369"/>
      <c r="U206" s="369"/>
      <c r="V206" s="370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1"/>
      <c r="B207" s="371"/>
      <c r="C207" s="371"/>
      <c r="D207" s="371"/>
      <c r="E207" s="371"/>
      <c r="F207" s="371"/>
      <c r="G207" s="371"/>
      <c r="H207" s="371"/>
      <c r="I207" s="371"/>
      <c r="J207" s="371"/>
      <c r="K207" s="371"/>
      <c r="L207" s="371"/>
      <c r="M207" s="371"/>
      <c r="N207" s="371"/>
      <c r="O207" s="372"/>
      <c r="P207" s="368" t="s">
        <v>40</v>
      </c>
      <c r="Q207" s="369"/>
      <c r="R207" s="369"/>
      <c r="S207" s="369"/>
      <c r="T207" s="369"/>
      <c r="U207" s="369"/>
      <c r="V207" s="370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5" t="s">
        <v>310</v>
      </c>
      <c r="B208" s="355"/>
      <c r="C208" s="355"/>
      <c r="D208" s="355"/>
      <c r="E208" s="355"/>
      <c r="F208" s="355"/>
      <c r="G208" s="355"/>
      <c r="H208" s="355"/>
      <c r="I208" s="355"/>
      <c r="J208" s="355"/>
      <c r="K208" s="355"/>
      <c r="L208" s="355"/>
      <c r="M208" s="355"/>
      <c r="N208" s="355"/>
      <c r="O208" s="355"/>
      <c r="P208" s="355"/>
      <c r="Q208" s="355"/>
      <c r="R208" s="355"/>
      <c r="S208" s="355"/>
      <c r="T208" s="355"/>
      <c r="U208" s="355"/>
      <c r="V208" s="355"/>
      <c r="W208" s="355"/>
      <c r="X208" s="355"/>
      <c r="Y208" s="355"/>
      <c r="Z208" s="355"/>
      <c r="AA208" s="65"/>
      <c r="AB208" s="65"/>
      <c r="AC208" s="82"/>
    </row>
    <row r="209" spans="1:68" ht="14.25" hidden="1" customHeight="1" x14ac:dyDescent="0.25">
      <c r="A209" s="356" t="s">
        <v>149</v>
      </c>
      <c r="B209" s="356"/>
      <c r="C209" s="356"/>
      <c r="D209" s="356"/>
      <c r="E209" s="356"/>
      <c r="F209" s="356"/>
      <c r="G209" s="356"/>
      <c r="H209" s="356"/>
      <c r="I209" s="356"/>
      <c r="J209" s="356"/>
      <c r="K209" s="356"/>
      <c r="L209" s="356"/>
      <c r="M209" s="356"/>
      <c r="N209" s="356"/>
      <c r="O209" s="356"/>
      <c r="P209" s="356"/>
      <c r="Q209" s="356"/>
      <c r="R209" s="356"/>
      <c r="S209" s="356"/>
      <c r="T209" s="356"/>
      <c r="U209" s="356"/>
      <c r="V209" s="356"/>
      <c r="W209" s="356"/>
      <c r="X209" s="356"/>
      <c r="Y209" s="356"/>
      <c r="Z209" s="356"/>
      <c r="AA209" s="66"/>
      <c r="AB209" s="66"/>
      <c r="AC209" s="83"/>
    </row>
    <row r="210" spans="1:68" ht="27" hidden="1" customHeight="1" x14ac:dyDescent="0.25">
      <c r="A210" s="63" t="s">
        <v>311</v>
      </c>
      <c r="B210" s="63" t="s">
        <v>312</v>
      </c>
      <c r="C210" s="36">
        <v>4301135854</v>
      </c>
      <c r="D210" s="357">
        <v>4620207491706</v>
      </c>
      <c r="E210" s="357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9"/>
      <c r="R210" s="359"/>
      <c r="S210" s="359"/>
      <c r="T210" s="360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314</v>
      </c>
      <c r="B211" s="63" t="s">
        <v>315</v>
      </c>
      <c r="C211" s="36">
        <v>4301135895</v>
      </c>
      <c r="D211" s="357">
        <v>4620207491522</v>
      </c>
      <c r="E211" s="357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4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9"/>
      <c r="R211" s="359"/>
      <c r="S211" s="359"/>
      <c r="T211" s="360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1"/>
      <c r="B212" s="371"/>
      <c r="C212" s="371"/>
      <c r="D212" s="371"/>
      <c r="E212" s="371"/>
      <c r="F212" s="371"/>
      <c r="G212" s="371"/>
      <c r="H212" s="371"/>
      <c r="I212" s="371"/>
      <c r="J212" s="371"/>
      <c r="K212" s="371"/>
      <c r="L212" s="371"/>
      <c r="M212" s="371"/>
      <c r="N212" s="371"/>
      <c r="O212" s="372"/>
      <c r="P212" s="368" t="s">
        <v>40</v>
      </c>
      <c r="Q212" s="369"/>
      <c r="R212" s="369"/>
      <c r="S212" s="369"/>
      <c r="T212" s="369"/>
      <c r="U212" s="369"/>
      <c r="V212" s="370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1"/>
      <c r="B213" s="371"/>
      <c r="C213" s="371"/>
      <c r="D213" s="371"/>
      <c r="E213" s="371"/>
      <c r="F213" s="371"/>
      <c r="G213" s="371"/>
      <c r="H213" s="371"/>
      <c r="I213" s="371"/>
      <c r="J213" s="371"/>
      <c r="K213" s="371"/>
      <c r="L213" s="371"/>
      <c r="M213" s="371"/>
      <c r="N213" s="371"/>
      <c r="O213" s="372"/>
      <c r="P213" s="368" t="s">
        <v>40</v>
      </c>
      <c r="Q213" s="369"/>
      <c r="R213" s="369"/>
      <c r="S213" s="369"/>
      <c r="T213" s="369"/>
      <c r="U213" s="369"/>
      <c r="V213" s="370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5" t="s">
        <v>317</v>
      </c>
      <c r="B214" s="355"/>
      <c r="C214" s="355"/>
      <c r="D214" s="355"/>
      <c r="E214" s="355"/>
      <c r="F214" s="355"/>
      <c r="G214" s="355"/>
      <c r="H214" s="355"/>
      <c r="I214" s="355"/>
      <c r="J214" s="355"/>
      <c r="K214" s="355"/>
      <c r="L214" s="355"/>
      <c r="M214" s="355"/>
      <c r="N214" s="355"/>
      <c r="O214" s="355"/>
      <c r="P214" s="355"/>
      <c r="Q214" s="355"/>
      <c r="R214" s="355"/>
      <c r="S214" s="355"/>
      <c r="T214" s="355"/>
      <c r="U214" s="355"/>
      <c r="V214" s="355"/>
      <c r="W214" s="355"/>
      <c r="X214" s="355"/>
      <c r="Y214" s="355"/>
      <c r="Z214" s="355"/>
      <c r="AA214" s="65"/>
      <c r="AB214" s="65"/>
      <c r="AC214" s="82"/>
    </row>
    <row r="215" spans="1:68" ht="14.25" hidden="1" customHeight="1" x14ac:dyDescent="0.25">
      <c r="A215" s="356" t="s">
        <v>80</v>
      </c>
      <c r="B215" s="356"/>
      <c r="C215" s="356"/>
      <c r="D215" s="356"/>
      <c r="E215" s="356"/>
      <c r="F215" s="356"/>
      <c r="G215" s="356"/>
      <c r="H215" s="356"/>
      <c r="I215" s="356"/>
      <c r="J215" s="356"/>
      <c r="K215" s="356"/>
      <c r="L215" s="356"/>
      <c r="M215" s="356"/>
      <c r="N215" s="356"/>
      <c r="O215" s="356"/>
      <c r="P215" s="356"/>
      <c r="Q215" s="356"/>
      <c r="R215" s="356"/>
      <c r="S215" s="356"/>
      <c r="T215" s="356"/>
      <c r="U215" s="356"/>
      <c r="V215" s="356"/>
      <c r="W215" s="356"/>
      <c r="X215" s="356"/>
      <c r="Y215" s="356"/>
      <c r="Z215" s="356"/>
      <c r="AA215" s="66"/>
      <c r="AB215" s="66"/>
      <c r="AC215" s="83"/>
    </row>
    <row r="216" spans="1:68" ht="27" hidden="1" customHeight="1" x14ac:dyDescent="0.25">
      <c r="A216" s="63" t="s">
        <v>318</v>
      </c>
      <c r="B216" s="63" t="s">
        <v>319</v>
      </c>
      <c r="C216" s="36">
        <v>4301071097</v>
      </c>
      <c r="D216" s="357">
        <v>4620207491096</v>
      </c>
      <c r="E216" s="357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44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9"/>
      <c r="R216" s="359"/>
      <c r="S216" s="359"/>
      <c r="T216" s="360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1"/>
      <c r="B217" s="371"/>
      <c r="C217" s="371"/>
      <c r="D217" s="371"/>
      <c r="E217" s="371"/>
      <c r="F217" s="371"/>
      <c r="G217" s="371"/>
      <c r="H217" s="371"/>
      <c r="I217" s="371"/>
      <c r="J217" s="371"/>
      <c r="K217" s="371"/>
      <c r="L217" s="371"/>
      <c r="M217" s="371"/>
      <c r="N217" s="371"/>
      <c r="O217" s="372"/>
      <c r="P217" s="368" t="s">
        <v>40</v>
      </c>
      <c r="Q217" s="369"/>
      <c r="R217" s="369"/>
      <c r="S217" s="369"/>
      <c r="T217" s="369"/>
      <c r="U217" s="369"/>
      <c r="V217" s="370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371"/>
      <c r="B218" s="371"/>
      <c r="C218" s="371"/>
      <c r="D218" s="371"/>
      <c r="E218" s="371"/>
      <c r="F218" s="371"/>
      <c r="G218" s="371"/>
      <c r="H218" s="371"/>
      <c r="I218" s="371"/>
      <c r="J218" s="371"/>
      <c r="K218" s="371"/>
      <c r="L218" s="371"/>
      <c r="M218" s="371"/>
      <c r="N218" s="371"/>
      <c r="O218" s="372"/>
      <c r="P218" s="368" t="s">
        <v>40</v>
      </c>
      <c r="Q218" s="369"/>
      <c r="R218" s="369"/>
      <c r="S218" s="369"/>
      <c r="T218" s="369"/>
      <c r="U218" s="369"/>
      <c r="V218" s="370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5" t="s">
        <v>321</v>
      </c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5"/>
      <c r="P219" s="355"/>
      <c r="Q219" s="355"/>
      <c r="R219" s="355"/>
      <c r="S219" s="355"/>
      <c r="T219" s="355"/>
      <c r="U219" s="355"/>
      <c r="V219" s="355"/>
      <c r="W219" s="355"/>
      <c r="X219" s="355"/>
      <c r="Y219" s="355"/>
      <c r="Z219" s="355"/>
      <c r="AA219" s="65"/>
      <c r="AB219" s="65"/>
      <c r="AC219" s="82"/>
    </row>
    <row r="220" spans="1:68" ht="14.25" hidden="1" customHeight="1" x14ac:dyDescent="0.25">
      <c r="A220" s="356" t="s">
        <v>149</v>
      </c>
      <c r="B220" s="356"/>
      <c r="C220" s="356"/>
      <c r="D220" s="356"/>
      <c r="E220" s="356"/>
      <c r="F220" s="356"/>
      <c r="G220" s="356"/>
      <c r="H220" s="356"/>
      <c r="I220" s="356"/>
      <c r="J220" s="356"/>
      <c r="K220" s="356"/>
      <c r="L220" s="356"/>
      <c r="M220" s="356"/>
      <c r="N220" s="356"/>
      <c r="O220" s="356"/>
      <c r="P220" s="356"/>
      <c r="Q220" s="356"/>
      <c r="R220" s="356"/>
      <c r="S220" s="356"/>
      <c r="T220" s="356"/>
      <c r="U220" s="356"/>
      <c r="V220" s="356"/>
      <c r="W220" s="356"/>
      <c r="X220" s="356"/>
      <c r="Y220" s="356"/>
      <c r="Z220" s="356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357">
        <v>4620207490501</v>
      </c>
      <c r="E221" s="357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9"/>
      <c r="R221" s="359"/>
      <c r="S221" s="359"/>
      <c r="T221" s="360"/>
      <c r="U221" s="39" t="s">
        <v>46</v>
      </c>
      <c r="V221" s="39" t="s">
        <v>46</v>
      </c>
      <c r="W221" s="40" t="s">
        <v>39</v>
      </c>
      <c r="X221" s="58">
        <v>126</v>
      </c>
      <c r="Y221" s="55">
        <f>IFERROR(IF(X221="","",X221),"")</f>
        <v>126</v>
      </c>
      <c r="Z221" s="41">
        <f>IFERROR(IF(X221="","",X221*0.01788),"")</f>
        <v>2.2528800000000002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391.05360000000002</v>
      </c>
      <c r="BN221" s="81">
        <f>IFERROR(Y221*I221,"0")</f>
        <v>391.05360000000002</v>
      </c>
      <c r="BO221" s="81">
        <f>IFERROR(X221/J221,"0")</f>
        <v>1.8</v>
      </c>
      <c r="BP221" s="81">
        <f>IFERROR(Y221/J221,"0")</f>
        <v>1.8</v>
      </c>
    </row>
    <row r="222" spans="1:68" x14ac:dyDescent="0.2">
      <c r="A222" s="371"/>
      <c r="B222" s="371"/>
      <c r="C222" s="371"/>
      <c r="D222" s="371"/>
      <c r="E222" s="371"/>
      <c r="F222" s="371"/>
      <c r="G222" s="371"/>
      <c r="H222" s="371"/>
      <c r="I222" s="371"/>
      <c r="J222" s="371"/>
      <c r="K222" s="371"/>
      <c r="L222" s="371"/>
      <c r="M222" s="371"/>
      <c r="N222" s="371"/>
      <c r="O222" s="372"/>
      <c r="P222" s="368" t="s">
        <v>40</v>
      </c>
      <c r="Q222" s="369"/>
      <c r="R222" s="369"/>
      <c r="S222" s="369"/>
      <c r="T222" s="369"/>
      <c r="U222" s="369"/>
      <c r="V222" s="370"/>
      <c r="W222" s="42" t="s">
        <v>39</v>
      </c>
      <c r="X222" s="43">
        <f>IFERROR(SUM(X221:X221),"0")</f>
        <v>126</v>
      </c>
      <c r="Y222" s="43">
        <f>IFERROR(SUM(Y221:Y221),"0")</f>
        <v>126</v>
      </c>
      <c r="Z222" s="43">
        <f>IFERROR(IF(Z221="",0,Z221),"0")</f>
        <v>2.2528800000000002</v>
      </c>
      <c r="AA222" s="67"/>
      <c r="AB222" s="67"/>
      <c r="AC222" s="67"/>
    </row>
    <row r="223" spans="1:68" x14ac:dyDescent="0.2">
      <c r="A223" s="371"/>
      <c r="B223" s="371"/>
      <c r="C223" s="371"/>
      <c r="D223" s="371"/>
      <c r="E223" s="371"/>
      <c r="F223" s="371"/>
      <c r="G223" s="371"/>
      <c r="H223" s="371"/>
      <c r="I223" s="371"/>
      <c r="J223" s="371"/>
      <c r="K223" s="371"/>
      <c r="L223" s="371"/>
      <c r="M223" s="371"/>
      <c r="N223" s="371"/>
      <c r="O223" s="372"/>
      <c r="P223" s="368" t="s">
        <v>40</v>
      </c>
      <c r="Q223" s="369"/>
      <c r="R223" s="369"/>
      <c r="S223" s="369"/>
      <c r="T223" s="369"/>
      <c r="U223" s="369"/>
      <c r="V223" s="370"/>
      <c r="W223" s="42" t="s">
        <v>0</v>
      </c>
      <c r="X223" s="43">
        <f>IFERROR(SUMPRODUCT(X221:X221*H221:H221),"0")</f>
        <v>302.39999999999998</v>
      </c>
      <c r="Y223" s="43">
        <f>IFERROR(SUMPRODUCT(Y221:Y221*H221:H221),"0")</f>
        <v>302.39999999999998</v>
      </c>
      <c r="Z223" s="42"/>
      <c r="AA223" s="67"/>
      <c r="AB223" s="67"/>
      <c r="AC223" s="67"/>
    </row>
    <row r="224" spans="1:68" ht="27.75" hidden="1" customHeight="1" x14ac:dyDescent="0.2">
      <c r="A224" s="354" t="s">
        <v>325</v>
      </c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  <c r="AA224" s="54"/>
      <c r="AB224" s="54"/>
      <c r="AC224" s="54"/>
    </row>
    <row r="225" spans="1:68" ht="16.5" hidden="1" customHeight="1" x14ac:dyDescent="0.25">
      <c r="A225" s="355" t="s">
        <v>326</v>
      </c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5"/>
      <c r="P225" s="355"/>
      <c r="Q225" s="355"/>
      <c r="R225" s="355"/>
      <c r="S225" s="355"/>
      <c r="T225" s="355"/>
      <c r="U225" s="355"/>
      <c r="V225" s="355"/>
      <c r="W225" s="355"/>
      <c r="X225" s="355"/>
      <c r="Y225" s="355"/>
      <c r="Z225" s="355"/>
      <c r="AA225" s="65"/>
      <c r="AB225" s="65"/>
      <c r="AC225" s="82"/>
    </row>
    <row r="226" spans="1:68" ht="14.25" hidden="1" customHeight="1" x14ac:dyDescent="0.25">
      <c r="A226" s="356" t="s">
        <v>80</v>
      </c>
      <c r="B226" s="356"/>
      <c r="C226" s="356"/>
      <c r="D226" s="356"/>
      <c r="E226" s="356"/>
      <c r="F226" s="356"/>
      <c r="G226" s="356"/>
      <c r="H226" s="356"/>
      <c r="I226" s="356"/>
      <c r="J226" s="356"/>
      <c r="K226" s="356"/>
      <c r="L226" s="356"/>
      <c r="M226" s="356"/>
      <c r="N226" s="356"/>
      <c r="O226" s="356"/>
      <c r="P226" s="356"/>
      <c r="Q226" s="356"/>
      <c r="R226" s="356"/>
      <c r="S226" s="356"/>
      <c r="T226" s="356"/>
      <c r="U226" s="356"/>
      <c r="V226" s="356"/>
      <c r="W226" s="356"/>
      <c r="X226" s="356"/>
      <c r="Y226" s="356"/>
      <c r="Z226" s="356"/>
      <c r="AA226" s="66"/>
      <c r="AB226" s="66"/>
      <c r="AC226" s="83"/>
    </row>
    <row r="227" spans="1:68" ht="27" hidden="1" customHeight="1" x14ac:dyDescent="0.25">
      <c r="A227" s="63" t="s">
        <v>327</v>
      </c>
      <c r="B227" s="63" t="s">
        <v>328</v>
      </c>
      <c r="C227" s="36">
        <v>4301071036</v>
      </c>
      <c r="D227" s="357">
        <v>4607111036162</v>
      </c>
      <c r="E227" s="357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44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9"/>
      <c r="R227" s="359"/>
      <c r="S227" s="359"/>
      <c r="T227" s="360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1"/>
      <c r="B228" s="371"/>
      <c r="C228" s="371"/>
      <c r="D228" s="371"/>
      <c r="E228" s="371"/>
      <c r="F228" s="371"/>
      <c r="G228" s="371"/>
      <c r="H228" s="371"/>
      <c r="I228" s="371"/>
      <c r="J228" s="371"/>
      <c r="K228" s="371"/>
      <c r="L228" s="371"/>
      <c r="M228" s="371"/>
      <c r="N228" s="371"/>
      <c r="O228" s="372"/>
      <c r="P228" s="368" t="s">
        <v>40</v>
      </c>
      <c r="Q228" s="369"/>
      <c r="R228" s="369"/>
      <c r="S228" s="369"/>
      <c r="T228" s="369"/>
      <c r="U228" s="369"/>
      <c r="V228" s="370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1"/>
      <c r="B229" s="371"/>
      <c r="C229" s="371"/>
      <c r="D229" s="371"/>
      <c r="E229" s="371"/>
      <c r="F229" s="371"/>
      <c r="G229" s="371"/>
      <c r="H229" s="371"/>
      <c r="I229" s="371"/>
      <c r="J229" s="371"/>
      <c r="K229" s="371"/>
      <c r="L229" s="371"/>
      <c r="M229" s="371"/>
      <c r="N229" s="371"/>
      <c r="O229" s="372"/>
      <c r="P229" s="368" t="s">
        <v>40</v>
      </c>
      <c r="Q229" s="369"/>
      <c r="R229" s="369"/>
      <c r="S229" s="369"/>
      <c r="T229" s="369"/>
      <c r="U229" s="369"/>
      <c r="V229" s="370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4" t="s">
        <v>330</v>
      </c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  <c r="AA230" s="54"/>
      <c r="AB230" s="54"/>
      <c r="AC230" s="54"/>
    </row>
    <row r="231" spans="1:68" ht="16.5" hidden="1" customHeight="1" x14ac:dyDescent="0.25">
      <c r="A231" s="355" t="s">
        <v>331</v>
      </c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5"/>
      <c r="P231" s="355"/>
      <c r="Q231" s="355"/>
      <c r="R231" s="355"/>
      <c r="S231" s="355"/>
      <c r="T231" s="355"/>
      <c r="U231" s="355"/>
      <c r="V231" s="355"/>
      <c r="W231" s="355"/>
      <c r="X231" s="355"/>
      <c r="Y231" s="355"/>
      <c r="Z231" s="355"/>
      <c r="AA231" s="65"/>
      <c r="AB231" s="65"/>
      <c r="AC231" s="82"/>
    </row>
    <row r="232" spans="1:68" ht="14.25" hidden="1" customHeight="1" x14ac:dyDescent="0.25">
      <c r="A232" s="356" t="s">
        <v>332</v>
      </c>
      <c r="B232" s="356"/>
      <c r="C232" s="356"/>
      <c r="D232" s="356"/>
      <c r="E232" s="356"/>
      <c r="F232" s="356"/>
      <c r="G232" s="356"/>
      <c r="H232" s="356"/>
      <c r="I232" s="356"/>
      <c r="J232" s="356"/>
      <c r="K232" s="356"/>
      <c r="L232" s="356"/>
      <c r="M232" s="356"/>
      <c r="N232" s="356"/>
      <c r="O232" s="356"/>
      <c r="P232" s="356"/>
      <c r="Q232" s="356"/>
      <c r="R232" s="356"/>
      <c r="S232" s="356"/>
      <c r="T232" s="356"/>
      <c r="U232" s="356"/>
      <c r="V232" s="356"/>
      <c r="W232" s="356"/>
      <c r="X232" s="356"/>
      <c r="Y232" s="356"/>
      <c r="Z232" s="356"/>
      <c r="AA232" s="66"/>
      <c r="AB232" s="66"/>
      <c r="AC232" s="83"/>
    </row>
    <row r="233" spans="1:68" ht="27" hidden="1" customHeight="1" x14ac:dyDescent="0.25">
      <c r="A233" s="63" t="s">
        <v>333</v>
      </c>
      <c r="B233" s="63" t="s">
        <v>334</v>
      </c>
      <c r="C233" s="36">
        <v>4301133004</v>
      </c>
      <c r="D233" s="357">
        <v>4607111039774</v>
      </c>
      <c r="E233" s="357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44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9"/>
      <c r="R233" s="359"/>
      <c r="S233" s="359"/>
      <c r="T233" s="360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1"/>
      <c r="B234" s="371"/>
      <c r="C234" s="371"/>
      <c r="D234" s="371"/>
      <c r="E234" s="371"/>
      <c r="F234" s="371"/>
      <c r="G234" s="371"/>
      <c r="H234" s="371"/>
      <c r="I234" s="371"/>
      <c r="J234" s="371"/>
      <c r="K234" s="371"/>
      <c r="L234" s="371"/>
      <c r="M234" s="371"/>
      <c r="N234" s="371"/>
      <c r="O234" s="372"/>
      <c r="P234" s="368" t="s">
        <v>40</v>
      </c>
      <c r="Q234" s="369"/>
      <c r="R234" s="369"/>
      <c r="S234" s="369"/>
      <c r="T234" s="369"/>
      <c r="U234" s="369"/>
      <c r="V234" s="370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1"/>
      <c r="B235" s="371"/>
      <c r="C235" s="371"/>
      <c r="D235" s="371"/>
      <c r="E235" s="371"/>
      <c r="F235" s="371"/>
      <c r="G235" s="371"/>
      <c r="H235" s="371"/>
      <c r="I235" s="371"/>
      <c r="J235" s="371"/>
      <c r="K235" s="371"/>
      <c r="L235" s="371"/>
      <c r="M235" s="371"/>
      <c r="N235" s="371"/>
      <c r="O235" s="372"/>
      <c r="P235" s="368" t="s">
        <v>40</v>
      </c>
      <c r="Q235" s="369"/>
      <c r="R235" s="369"/>
      <c r="S235" s="369"/>
      <c r="T235" s="369"/>
      <c r="U235" s="369"/>
      <c r="V235" s="370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6" t="s">
        <v>149</v>
      </c>
      <c r="B236" s="356"/>
      <c r="C236" s="356"/>
      <c r="D236" s="356"/>
      <c r="E236" s="356"/>
      <c r="F236" s="356"/>
      <c r="G236" s="356"/>
      <c r="H236" s="356"/>
      <c r="I236" s="356"/>
      <c r="J236" s="356"/>
      <c r="K236" s="356"/>
      <c r="L236" s="356"/>
      <c r="M236" s="356"/>
      <c r="N236" s="356"/>
      <c r="O236" s="356"/>
      <c r="P236" s="356"/>
      <c r="Q236" s="356"/>
      <c r="R236" s="356"/>
      <c r="S236" s="356"/>
      <c r="T236" s="356"/>
      <c r="U236" s="356"/>
      <c r="V236" s="356"/>
      <c r="W236" s="356"/>
      <c r="X236" s="356"/>
      <c r="Y236" s="356"/>
      <c r="Z236" s="356"/>
      <c r="AA236" s="66"/>
      <c r="AB236" s="66"/>
      <c r="AC236" s="83"/>
    </row>
    <row r="237" spans="1:68" ht="37.5" hidden="1" customHeight="1" x14ac:dyDescent="0.25">
      <c r="A237" s="63" t="s">
        <v>336</v>
      </c>
      <c r="B237" s="63" t="s">
        <v>337</v>
      </c>
      <c r="C237" s="36">
        <v>4301135400</v>
      </c>
      <c r="D237" s="357">
        <v>4607111039361</v>
      </c>
      <c r="E237" s="357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9"/>
      <c r="R237" s="359"/>
      <c r="S237" s="359"/>
      <c r="T237" s="360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1"/>
      <c r="B238" s="371"/>
      <c r="C238" s="371"/>
      <c r="D238" s="371"/>
      <c r="E238" s="371"/>
      <c r="F238" s="371"/>
      <c r="G238" s="371"/>
      <c r="H238" s="371"/>
      <c r="I238" s="371"/>
      <c r="J238" s="371"/>
      <c r="K238" s="371"/>
      <c r="L238" s="371"/>
      <c r="M238" s="371"/>
      <c r="N238" s="371"/>
      <c r="O238" s="372"/>
      <c r="P238" s="368" t="s">
        <v>40</v>
      </c>
      <c r="Q238" s="369"/>
      <c r="R238" s="369"/>
      <c r="S238" s="369"/>
      <c r="T238" s="369"/>
      <c r="U238" s="369"/>
      <c r="V238" s="370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1"/>
      <c r="B239" s="371"/>
      <c r="C239" s="371"/>
      <c r="D239" s="371"/>
      <c r="E239" s="371"/>
      <c r="F239" s="371"/>
      <c r="G239" s="371"/>
      <c r="H239" s="371"/>
      <c r="I239" s="371"/>
      <c r="J239" s="371"/>
      <c r="K239" s="371"/>
      <c r="L239" s="371"/>
      <c r="M239" s="371"/>
      <c r="N239" s="371"/>
      <c r="O239" s="372"/>
      <c r="P239" s="368" t="s">
        <v>40</v>
      </c>
      <c r="Q239" s="369"/>
      <c r="R239" s="369"/>
      <c r="S239" s="369"/>
      <c r="T239" s="369"/>
      <c r="U239" s="369"/>
      <c r="V239" s="370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4" t="s">
        <v>338</v>
      </c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  <c r="AA240" s="54"/>
      <c r="AB240" s="54"/>
      <c r="AC240" s="54"/>
    </row>
    <row r="241" spans="1:68" ht="16.5" hidden="1" customHeight="1" x14ac:dyDescent="0.25">
      <c r="A241" s="355" t="s">
        <v>338</v>
      </c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  <c r="W241" s="355"/>
      <c r="X241" s="355"/>
      <c r="Y241" s="355"/>
      <c r="Z241" s="355"/>
      <c r="AA241" s="65"/>
      <c r="AB241" s="65"/>
      <c r="AC241" s="82"/>
    </row>
    <row r="242" spans="1:68" ht="14.25" hidden="1" customHeight="1" x14ac:dyDescent="0.25">
      <c r="A242" s="356" t="s">
        <v>111</v>
      </c>
      <c r="B242" s="356"/>
      <c r="C242" s="356"/>
      <c r="D242" s="356"/>
      <c r="E242" s="356"/>
      <c r="F242" s="356"/>
      <c r="G242" s="356"/>
      <c r="H242" s="356"/>
      <c r="I242" s="356"/>
      <c r="J242" s="356"/>
      <c r="K242" s="356"/>
      <c r="L242" s="356"/>
      <c r="M242" s="356"/>
      <c r="N242" s="356"/>
      <c r="O242" s="356"/>
      <c r="P242" s="356"/>
      <c r="Q242" s="356"/>
      <c r="R242" s="356"/>
      <c r="S242" s="356"/>
      <c r="T242" s="356"/>
      <c r="U242" s="356"/>
      <c r="V242" s="356"/>
      <c r="W242" s="356"/>
      <c r="X242" s="356"/>
      <c r="Y242" s="356"/>
      <c r="Z242" s="356"/>
      <c r="AA242" s="66"/>
      <c r="AB242" s="66"/>
      <c r="AC242" s="83"/>
    </row>
    <row r="243" spans="1:68" ht="27" hidden="1" customHeight="1" x14ac:dyDescent="0.25">
      <c r="A243" s="63" t="s">
        <v>339</v>
      </c>
      <c r="B243" s="63" t="s">
        <v>340</v>
      </c>
      <c r="C243" s="36">
        <v>4301132228</v>
      </c>
      <c r="D243" s="357">
        <v>4640242181950</v>
      </c>
      <c r="E243" s="357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446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9"/>
      <c r="R243" s="359"/>
      <c r="S243" s="359"/>
      <c r="T243" s="360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1"/>
      <c r="B244" s="371"/>
      <c r="C244" s="371"/>
      <c r="D244" s="371"/>
      <c r="E244" s="371"/>
      <c r="F244" s="371"/>
      <c r="G244" s="371"/>
      <c r="H244" s="371"/>
      <c r="I244" s="371"/>
      <c r="J244" s="371"/>
      <c r="K244" s="371"/>
      <c r="L244" s="371"/>
      <c r="M244" s="371"/>
      <c r="N244" s="371"/>
      <c r="O244" s="372"/>
      <c r="P244" s="368" t="s">
        <v>40</v>
      </c>
      <c r="Q244" s="369"/>
      <c r="R244" s="369"/>
      <c r="S244" s="369"/>
      <c r="T244" s="369"/>
      <c r="U244" s="369"/>
      <c r="V244" s="370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1"/>
      <c r="B245" s="371"/>
      <c r="C245" s="371"/>
      <c r="D245" s="371"/>
      <c r="E245" s="371"/>
      <c r="F245" s="371"/>
      <c r="G245" s="371"/>
      <c r="H245" s="371"/>
      <c r="I245" s="371"/>
      <c r="J245" s="371"/>
      <c r="K245" s="371"/>
      <c r="L245" s="371"/>
      <c r="M245" s="371"/>
      <c r="N245" s="371"/>
      <c r="O245" s="372"/>
      <c r="P245" s="368" t="s">
        <v>40</v>
      </c>
      <c r="Q245" s="369"/>
      <c r="R245" s="369"/>
      <c r="S245" s="369"/>
      <c r="T245" s="369"/>
      <c r="U245" s="369"/>
      <c r="V245" s="370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54" t="s">
        <v>342</v>
      </c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  <c r="AA246" s="54"/>
      <c r="AB246" s="54"/>
      <c r="AC246" s="54"/>
    </row>
    <row r="247" spans="1:68" ht="16.5" hidden="1" customHeight="1" x14ac:dyDescent="0.25">
      <c r="A247" s="355" t="s">
        <v>342</v>
      </c>
      <c r="B247" s="355"/>
      <c r="C247" s="355"/>
      <c r="D247" s="355"/>
      <c r="E247" s="355"/>
      <c r="F247" s="355"/>
      <c r="G247" s="355"/>
      <c r="H247" s="355"/>
      <c r="I247" s="355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  <c r="T247" s="355"/>
      <c r="U247" s="355"/>
      <c r="V247" s="355"/>
      <c r="W247" s="355"/>
      <c r="X247" s="355"/>
      <c r="Y247" s="355"/>
      <c r="Z247" s="355"/>
      <c r="AA247" s="65"/>
      <c r="AB247" s="65"/>
      <c r="AC247" s="82"/>
    </row>
    <row r="248" spans="1:68" ht="14.25" hidden="1" customHeight="1" x14ac:dyDescent="0.25">
      <c r="A248" s="356" t="s">
        <v>80</v>
      </c>
      <c r="B248" s="356"/>
      <c r="C248" s="356"/>
      <c r="D248" s="356"/>
      <c r="E248" s="356"/>
      <c r="F248" s="356"/>
      <c r="G248" s="356"/>
      <c r="H248" s="356"/>
      <c r="I248" s="356"/>
      <c r="J248" s="356"/>
      <c r="K248" s="356"/>
      <c r="L248" s="356"/>
      <c r="M248" s="356"/>
      <c r="N248" s="356"/>
      <c r="O248" s="356"/>
      <c r="P248" s="356"/>
      <c r="Q248" s="356"/>
      <c r="R248" s="356"/>
      <c r="S248" s="356"/>
      <c r="T248" s="356"/>
      <c r="U248" s="356"/>
      <c r="V248" s="356"/>
      <c r="W248" s="356"/>
      <c r="X248" s="356"/>
      <c r="Y248" s="356"/>
      <c r="Z248" s="356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4301071014</v>
      </c>
      <c r="D249" s="357">
        <v>4640242181264</v>
      </c>
      <c r="E249" s="357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4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359"/>
      <c r="R249" s="359"/>
      <c r="S249" s="359"/>
      <c r="T249" s="360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hidden="1" customHeight="1" x14ac:dyDescent="0.25">
      <c r="A250" s="63" t="s">
        <v>346</v>
      </c>
      <c r="B250" s="63" t="s">
        <v>347</v>
      </c>
      <c r="C250" s="36">
        <v>4301071021</v>
      </c>
      <c r="D250" s="357">
        <v>4640242181325</v>
      </c>
      <c r="E250" s="357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359"/>
      <c r="R250" s="359"/>
      <c r="S250" s="359"/>
      <c r="T250" s="360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371"/>
      <c r="B251" s="371"/>
      <c r="C251" s="371"/>
      <c r="D251" s="371"/>
      <c r="E251" s="371"/>
      <c r="F251" s="371"/>
      <c r="G251" s="371"/>
      <c r="H251" s="371"/>
      <c r="I251" s="371"/>
      <c r="J251" s="371"/>
      <c r="K251" s="371"/>
      <c r="L251" s="371"/>
      <c r="M251" s="371"/>
      <c r="N251" s="371"/>
      <c r="O251" s="372"/>
      <c r="P251" s="368" t="s">
        <v>40</v>
      </c>
      <c r="Q251" s="369"/>
      <c r="R251" s="369"/>
      <c r="S251" s="369"/>
      <c r="T251" s="369"/>
      <c r="U251" s="369"/>
      <c r="V251" s="370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371"/>
      <c r="B252" s="371"/>
      <c r="C252" s="371"/>
      <c r="D252" s="371"/>
      <c r="E252" s="371"/>
      <c r="F252" s="371"/>
      <c r="G252" s="371"/>
      <c r="H252" s="371"/>
      <c r="I252" s="371"/>
      <c r="J252" s="371"/>
      <c r="K252" s="371"/>
      <c r="L252" s="371"/>
      <c r="M252" s="371"/>
      <c r="N252" s="371"/>
      <c r="O252" s="372"/>
      <c r="P252" s="368" t="s">
        <v>40</v>
      </c>
      <c r="Q252" s="369"/>
      <c r="R252" s="369"/>
      <c r="S252" s="369"/>
      <c r="T252" s="369"/>
      <c r="U252" s="369"/>
      <c r="V252" s="370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hidden="1" customHeight="1" x14ac:dyDescent="0.25">
      <c r="A253" s="356" t="s">
        <v>111</v>
      </c>
      <c r="B253" s="356"/>
      <c r="C253" s="356"/>
      <c r="D253" s="356"/>
      <c r="E253" s="356"/>
      <c r="F253" s="356"/>
      <c r="G253" s="356"/>
      <c r="H253" s="356"/>
      <c r="I253" s="356"/>
      <c r="J253" s="356"/>
      <c r="K253" s="356"/>
      <c r="L253" s="356"/>
      <c r="M253" s="356"/>
      <c r="N253" s="356"/>
      <c r="O253" s="356"/>
      <c r="P253" s="356"/>
      <c r="Q253" s="356"/>
      <c r="R253" s="356"/>
      <c r="S253" s="356"/>
      <c r="T253" s="356"/>
      <c r="U253" s="356"/>
      <c r="V253" s="356"/>
      <c r="W253" s="356"/>
      <c r="X253" s="356"/>
      <c r="Y253" s="356"/>
      <c r="Z253" s="356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357">
        <v>4640242180397</v>
      </c>
      <c r="E254" s="357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49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359"/>
      <c r="R254" s="359"/>
      <c r="S254" s="359"/>
      <c r="T254" s="360"/>
      <c r="U254" s="39" t="s">
        <v>46</v>
      </c>
      <c r="V254" s="39" t="s">
        <v>46</v>
      </c>
      <c r="W254" s="40" t="s">
        <v>39</v>
      </c>
      <c r="X254" s="58">
        <v>84</v>
      </c>
      <c r="Y254" s="55">
        <f>IFERROR(IF(X254="","",X254),"")</f>
        <v>84</v>
      </c>
      <c r="Z254" s="41">
        <f>IFERROR(IF(X254="","",X254*0.0155),"")</f>
        <v>1.302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525.84</v>
      </c>
      <c r="BN254" s="81">
        <f>IFERROR(Y254*I254,"0")</f>
        <v>525.84</v>
      </c>
      <c r="BO254" s="81">
        <f>IFERROR(X254/J254,"0")</f>
        <v>1</v>
      </c>
      <c r="BP254" s="81">
        <f>IFERROR(Y254/J254,"0")</f>
        <v>1</v>
      </c>
    </row>
    <row r="255" spans="1:68" x14ac:dyDescent="0.2">
      <c r="A255" s="371"/>
      <c r="B255" s="371"/>
      <c r="C255" s="371"/>
      <c r="D255" s="371"/>
      <c r="E255" s="371"/>
      <c r="F255" s="371"/>
      <c r="G255" s="371"/>
      <c r="H255" s="371"/>
      <c r="I255" s="371"/>
      <c r="J255" s="371"/>
      <c r="K255" s="371"/>
      <c r="L255" s="371"/>
      <c r="M255" s="371"/>
      <c r="N255" s="371"/>
      <c r="O255" s="372"/>
      <c r="P255" s="368" t="s">
        <v>40</v>
      </c>
      <c r="Q255" s="369"/>
      <c r="R255" s="369"/>
      <c r="S255" s="369"/>
      <c r="T255" s="369"/>
      <c r="U255" s="369"/>
      <c r="V255" s="370"/>
      <c r="W255" s="42" t="s">
        <v>39</v>
      </c>
      <c r="X255" s="43">
        <f>IFERROR(SUM(X254:X254),"0")</f>
        <v>84</v>
      </c>
      <c r="Y255" s="43">
        <f>IFERROR(SUM(Y254:Y254),"0")</f>
        <v>84</v>
      </c>
      <c r="Z255" s="43">
        <f>IFERROR(IF(Z254="",0,Z254),"0")</f>
        <v>1.302</v>
      </c>
      <c r="AA255" s="67"/>
      <c r="AB255" s="67"/>
      <c r="AC255" s="67"/>
    </row>
    <row r="256" spans="1:68" x14ac:dyDescent="0.2">
      <c r="A256" s="371"/>
      <c r="B256" s="371"/>
      <c r="C256" s="371"/>
      <c r="D256" s="371"/>
      <c r="E256" s="371"/>
      <c r="F256" s="371"/>
      <c r="G256" s="371"/>
      <c r="H256" s="371"/>
      <c r="I256" s="371"/>
      <c r="J256" s="371"/>
      <c r="K256" s="371"/>
      <c r="L256" s="371"/>
      <c r="M256" s="371"/>
      <c r="N256" s="371"/>
      <c r="O256" s="372"/>
      <c r="P256" s="368" t="s">
        <v>40</v>
      </c>
      <c r="Q256" s="369"/>
      <c r="R256" s="369"/>
      <c r="S256" s="369"/>
      <c r="T256" s="369"/>
      <c r="U256" s="369"/>
      <c r="V256" s="370"/>
      <c r="W256" s="42" t="s">
        <v>0</v>
      </c>
      <c r="X256" s="43">
        <f>IFERROR(SUMPRODUCT(X254:X254*H254:H254),"0")</f>
        <v>504</v>
      </c>
      <c r="Y256" s="43">
        <f>IFERROR(SUMPRODUCT(Y254:Y254*H254:H254),"0")</f>
        <v>504</v>
      </c>
      <c r="Z256" s="42"/>
      <c r="AA256" s="67"/>
      <c r="AB256" s="67"/>
      <c r="AC256" s="67"/>
    </row>
    <row r="257" spans="1:68" ht="14.25" hidden="1" customHeight="1" x14ac:dyDescent="0.25">
      <c r="A257" s="356" t="s">
        <v>143</v>
      </c>
      <c r="B257" s="356"/>
      <c r="C257" s="356"/>
      <c r="D257" s="356"/>
      <c r="E257" s="356"/>
      <c r="F257" s="356"/>
      <c r="G257" s="356"/>
      <c r="H257" s="356"/>
      <c r="I257" s="356"/>
      <c r="J257" s="356"/>
      <c r="K257" s="356"/>
      <c r="L257" s="356"/>
      <c r="M257" s="356"/>
      <c r="N257" s="356"/>
      <c r="O257" s="356"/>
      <c r="P257" s="356"/>
      <c r="Q257" s="356"/>
      <c r="R257" s="356"/>
      <c r="S257" s="356"/>
      <c r="T257" s="356"/>
      <c r="U257" s="356"/>
      <c r="V257" s="356"/>
      <c r="W257" s="356"/>
      <c r="X257" s="356"/>
      <c r="Y257" s="356"/>
      <c r="Z257" s="356"/>
      <c r="AA257" s="66"/>
      <c r="AB257" s="66"/>
      <c r="AC257" s="83"/>
    </row>
    <row r="258" spans="1:68" ht="27" hidden="1" customHeight="1" x14ac:dyDescent="0.25">
      <c r="A258" s="63" t="s">
        <v>351</v>
      </c>
      <c r="B258" s="63" t="s">
        <v>352</v>
      </c>
      <c r="C258" s="36">
        <v>4301136051</v>
      </c>
      <c r="D258" s="357">
        <v>4640242180304</v>
      </c>
      <c r="E258" s="357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4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359"/>
      <c r="R258" s="359"/>
      <c r="S258" s="359"/>
      <c r="T258" s="360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hidden="1" customHeight="1" x14ac:dyDescent="0.25">
      <c r="A259" s="63" t="s">
        <v>354</v>
      </c>
      <c r="B259" s="63" t="s">
        <v>355</v>
      </c>
      <c r="C259" s="36">
        <v>4301136053</v>
      </c>
      <c r="D259" s="357">
        <v>4640242180236</v>
      </c>
      <c r="E259" s="357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359"/>
      <c r="R259" s="359"/>
      <c r="S259" s="359"/>
      <c r="T259" s="360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356</v>
      </c>
      <c r="B260" s="63" t="s">
        <v>357</v>
      </c>
      <c r="C260" s="36">
        <v>4301136052</v>
      </c>
      <c r="D260" s="357">
        <v>4640242180410</v>
      </c>
      <c r="E260" s="357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45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359"/>
      <c r="R260" s="359"/>
      <c r="S260" s="359"/>
      <c r="T260" s="360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1"/>
      <c r="B261" s="371"/>
      <c r="C261" s="371"/>
      <c r="D261" s="371"/>
      <c r="E261" s="371"/>
      <c r="F261" s="371"/>
      <c r="G261" s="371"/>
      <c r="H261" s="371"/>
      <c r="I261" s="371"/>
      <c r="J261" s="371"/>
      <c r="K261" s="371"/>
      <c r="L261" s="371"/>
      <c r="M261" s="371"/>
      <c r="N261" s="371"/>
      <c r="O261" s="372"/>
      <c r="P261" s="368" t="s">
        <v>40</v>
      </c>
      <c r="Q261" s="369"/>
      <c r="R261" s="369"/>
      <c r="S261" s="369"/>
      <c r="T261" s="369"/>
      <c r="U261" s="369"/>
      <c r="V261" s="370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hidden="1" x14ac:dyDescent="0.2">
      <c r="A262" s="371"/>
      <c r="B262" s="371"/>
      <c r="C262" s="371"/>
      <c r="D262" s="371"/>
      <c r="E262" s="371"/>
      <c r="F262" s="371"/>
      <c r="G262" s="371"/>
      <c r="H262" s="371"/>
      <c r="I262" s="371"/>
      <c r="J262" s="371"/>
      <c r="K262" s="371"/>
      <c r="L262" s="371"/>
      <c r="M262" s="371"/>
      <c r="N262" s="371"/>
      <c r="O262" s="372"/>
      <c r="P262" s="368" t="s">
        <v>40</v>
      </c>
      <c r="Q262" s="369"/>
      <c r="R262" s="369"/>
      <c r="S262" s="369"/>
      <c r="T262" s="369"/>
      <c r="U262" s="369"/>
      <c r="V262" s="370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56" t="s">
        <v>149</v>
      </c>
      <c r="B263" s="356"/>
      <c r="C263" s="356"/>
      <c r="D263" s="356"/>
      <c r="E263" s="356"/>
      <c r="F263" s="356"/>
      <c r="G263" s="356"/>
      <c r="H263" s="356"/>
      <c r="I263" s="356"/>
      <c r="J263" s="356"/>
      <c r="K263" s="356"/>
      <c r="L263" s="356"/>
      <c r="M263" s="356"/>
      <c r="N263" s="356"/>
      <c r="O263" s="356"/>
      <c r="P263" s="356"/>
      <c r="Q263" s="356"/>
      <c r="R263" s="356"/>
      <c r="S263" s="356"/>
      <c r="T263" s="356"/>
      <c r="U263" s="356"/>
      <c r="V263" s="356"/>
      <c r="W263" s="356"/>
      <c r="X263" s="356"/>
      <c r="Y263" s="356"/>
      <c r="Z263" s="356"/>
      <c r="AA263" s="66"/>
      <c r="AB263" s="66"/>
      <c r="AC263" s="83"/>
    </row>
    <row r="264" spans="1:68" ht="37.5" hidden="1" customHeight="1" x14ac:dyDescent="0.25">
      <c r="A264" s="63" t="s">
        <v>358</v>
      </c>
      <c r="B264" s="63" t="s">
        <v>359</v>
      </c>
      <c r="C264" s="36">
        <v>4301135504</v>
      </c>
      <c r="D264" s="357">
        <v>4640242181554</v>
      </c>
      <c r="E264" s="357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45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359"/>
      <c r="R264" s="359"/>
      <c r="S264" s="359"/>
      <c r="T264" s="360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357">
        <v>4620207492093</v>
      </c>
      <c r="E265" s="357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454" t="s">
        <v>363</v>
      </c>
      <c r="Q265" s="359"/>
      <c r="R265" s="359"/>
      <c r="S265" s="359"/>
      <c r="T265" s="360"/>
      <c r="U265" s="39" t="s">
        <v>46</v>
      </c>
      <c r="V265" s="39" t="s">
        <v>46</v>
      </c>
      <c r="W265" s="40" t="s">
        <v>39</v>
      </c>
      <c r="X265" s="58">
        <v>126</v>
      </c>
      <c r="Y265" s="55">
        <f t="shared" si="18"/>
        <v>126</v>
      </c>
      <c r="Z265" s="41">
        <f>IFERROR(IF(X265="","",X265*0.00936),"")</f>
        <v>1.17936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490.392</v>
      </c>
      <c r="BN265" s="81">
        <f t="shared" si="20"/>
        <v>490.392</v>
      </c>
      <c r="BO265" s="81">
        <f t="shared" si="21"/>
        <v>1</v>
      </c>
      <c r="BP265" s="81">
        <f t="shared" si="22"/>
        <v>1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357">
        <v>4640242181424</v>
      </c>
      <c r="E266" s="357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45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359"/>
      <c r="R266" s="359"/>
      <c r="S266" s="359"/>
      <c r="T266" s="360"/>
      <c r="U266" s="39" t="s">
        <v>46</v>
      </c>
      <c r="V266" s="39" t="s">
        <v>46</v>
      </c>
      <c r="W266" s="40" t="s">
        <v>39</v>
      </c>
      <c r="X266" s="58">
        <v>180</v>
      </c>
      <c r="Y266" s="55">
        <f t="shared" si="18"/>
        <v>180</v>
      </c>
      <c r="Z266" s="41">
        <f>IFERROR(IF(X266="","",X266*0.0155),"")</f>
        <v>2.79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1032.3</v>
      </c>
      <c r="BN266" s="81">
        <f t="shared" si="20"/>
        <v>1032.3</v>
      </c>
      <c r="BO266" s="81">
        <f t="shared" si="21"/>
        <v>2.1428571428571428</v>
      </c>
      <c r="BP266" s="81">
        <f t="shared" si="22"/>
        <v>2.1428571428571428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357">
        <v>4640242181523</v>
      </c>
      <c r="E267" s="357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6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359"/>
      <c r="R267" s="359"/>
      <c r="S267" s="359"/>
      <c r="T267" s="360"/>
      <c r="U267" s="39" t="s">
        <v>46</v>
      </c>
      <c r="V267" s="39" t="s">
        <v>46</v>
      </c>
      <c r="W267" s="40" t="s">
        <v>39</v>
      </c>
      <c r="X267" s="58">
        <v>70</v>
      </c>
      <c r="Y267" s="55">
        <f t="shared" si="18"/>
        <v>70</v>
      </c>
      <c r="Z267" s="41">
        <f t="shared" ref="Z267:Z272" si="23">IFERROR(IF(X267="","",X267*0.00936),"")</f>
        <v>0.6552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223.44</v>
      </c>
      <c r="BN267" s="81">
        <f t="shared" si="20"/>
        <v>223.44</v>
      </c>
      <c r="BO267" s="81">
        <f t="shared" si="21"/>
        <v>0.55555555555555558</v>
      </c>
      <c r="BP267" s="81">
        <f t="shared" si="22"/>
        <v>0.55555555555555558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357">
        <v>4640242181486</v>
      </c>
      <c r="E268" s="357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7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359"/>
      <c r="R268" s="359"/>
      <c r="S268" s="359"/>
      <c r="T268" s="360"/>
      <c r="U268" s="39" t="s">
        <v>46</v>
      </c>
      <c r="V268" s="39" t="s">
        <v>46</v>
      </c>
      <c r="W268" s="40" t="s">
        <v>39</v>
      </c>
      <c r="X268" s="58">
        <v>182</v>
      </c>
      <c r="Y268" s="55">
        <f t="shared" si="18"/>
        <v>182</v>
      </c>
      <c r="Z268" s="41">
        <f t="shared" si="23"/>
        <v>1.7035200000000001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708.34399999999994</v>
      </c>
      <c r="BN268" s="81">
        <f t="shared" si="20"/>
        <v>708.34399999999994</v>
      </c>
      <c r="BO268" s="81">
        <f t="shared" si="21"/>
        <v>1.4444444444444444</v>
      </c>
      <c r="BP268" s="81">
        <f t="shared" si="22"/>
        <v>1.4444444444444444</v>
      </c>
    </row>
    <row r="269" spans="1:68" ht="37.5" hidden="1" customHeight="1" x14ac:dyDescent="0.25">
      <c r="A269" s="63" t="s">
        <v>372</v>
      </c>
      <c r="B269" s="63" t="s">
        <v>373</v>
      </c>
      <c r="C269" s="36">
        <v>4301135402</v>
      </c>
      <c r="D269" s="357">
        <v>4640242181493</v>
      </c>
      <c r="E269" s="357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359"/>
      <c r="R269" s="359"/>
      <c r="S269" s="359"/>
      <c r="T269" s="360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hidden="1" customHeight="1" x14ac:dyDescent="0.25">
      <c r="A270" s="63" t="s">
        <v>374</v>
      </c>
      <c r="B270" s="63" t="s">
        <v>375</v>
      </c>
      <c r="C270" s="36">
        <v>4301135403</v>
      </c>
      <c r="D270" s="357">
        <v>4640242181509</v>
      </c>
      <c r="E270" s="357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359"/>
      <c r="R270" s="359"/>
      <c r="S270" s="359"/>
      <c r="T270" s="360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376</v>
      </c>
      <c r="B271" s="63" t="s">
        <v>377</v>
      </c>
      <c r="C271" s="36">
        <v>4301135304</v>
      </c>
      <c r="D271" s="357">
        <v>4640242181240</v>
      </c>
      <c r="E271" s="357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359"/>
      <c r="R271" s="359"/>
      <c r="S271" s="359"/>
      <c r="T271" s="360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378</v>
      </c>
      <c r="B272" s="63" t="s">
        <v>379</v>
      </c>
      <c r="C272" s="36">
        <v>4301135610</v>
      </c>
      <c r="D272" s="357">
        <v>4640242181318</v>
      </c>
      <c r="E272" s="357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359"/>
      <c r="R272" s="359"/>
      <c r="S272" s="359"/>
      <c r="T272" s="360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380</v>
      </c>
      <c r="B273" s="63" t="s">
        <v>381</v>
      </c>
      <c r="C273" s="36">
        <v>4301135306</v>
      </c>
      <c r="D273" s="357">
        <v>4640242181387</v>
      </c>
      <c r="E273" s="357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359"/>
      <c r="R273" s="359"/>
      <c r="S273" s="359"/>
      <c r="T273" s="360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371"/>
      <c r="B274" s="371"/>
      <c r="C274" s="371"/>
      <c r="D274" s="371"/>
      <c r="E274" s="371"/>
      <c r="F274" s="371"/>
      <c r="G274" s="371"/>
      <c r="H274" s="371"/>
      <c r="I274" s="371"/>
      <c r="J274" s="371"/>
      <c r="K274" s="371"/>
      <c r="L274" s="371"/>
      <c r="M274" s="371"/>
      <c r="N274" s="371"/>
      <c r="O274" s="372"/>
      <c r="P274" s="368" t="s">
        <v>40</v>
      </c>
      <c r="Q274" s="369"/>
      <c r="R274" s="369"/>
      <c r="S274" s="369"/>
      <c r="T274" s="369"/>
      <c r="U274" s="369"/>
      <c r="V274" s="370"/>
      <c r="W274" s="42" t="s">
        <v>39</v>
      </c>
      <c r="X274" s="43">
        <f>IFERROR(SUM(X264:X273),"0")</f>
        <v>558</v>
      </c>
      <c r="Y274" s="43">
        <f>IFERROR(SUM(Y264:Y273),"0")</f>
        <v>558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6.3280799999999999</v>
      </c>
      <c r="AA274" s="67"/>
      <c r="AB274" s="67"/>
      <c r="AC274" s="67"/>
    </row>
    <row r="275" spans="1:68" x14ac:dyDescent="0.2">
      <c r="A275" s="371"/>
      <c r="B275" s="371"/>
      <c r="C275" s="371"/>
      <c r="D275" s="371"/>
      <c r="E275" s="371"/>
      <c r="F275" s="371"/>
      <c r="G275" s="371"/>
      <c r="H275" s="371"/>
      <c r="I275" s="371"/>
      <c r="J275" s="371"/>
      <c r="K275" s="371"/>
      <c r="L275" s="371"/>
      <c r="M275" s="371"/>
      <c r="N275" s="371"/>
      <c r="O275" s="372"/>
      <c r="P275" s="368" t="s">
        <v>40</v>
      </c>
      <c r="Q275" s="369"/>
      <c r="R275" s="369"/>
      <c r="S275" s="369"/>
      <c r="T275" s="369"/>
      <c r="U275" s="369"/>
      <c r="V275" s="370"/>
      <c r="W275" s="42" t="s">
        <v>0</v>
      </c>
      <c r="X275" s="43">
        <f>IFERROR(SUMPRODUCT(X264:X273*H264:H273),"0")</f>
        <v>2339.6</v>
      </c>
      <c r="Y275" s="43">
        <f>IFERROR(SUMPRODUCT(Y264:Y273*H264:H273),"0")</f>
        <v>2339.6</v>
      </c>
      <c r="Z275" s="42"/>
      <c r="AA275" s="67"/>
      <c r="AB275" s="67"/>
      <c r="AC275" s="67"/>
    </row>
    <row r="276" spans="1:68" ht="15" customHeight="1" x14ac:dyDescent="0.2">
      <c r="A276" s="371"/>
      <c r="B276" s="371"/>
      <c r="C276" s="371"/>
      <c r="D276" s="371"/>
      <c r="E276" s="371"/>
      <c r="F276" s="371"/>
      <c r="G276" s="371"/>
      <c r="H276" s="371"/>
      <c r="I276" s="371"/>
      <c r="J276" s="371"/>
      <c r="K276" s="371"/>
      <c r="L276" s="371"/>
      <c r="M276" s="371"/>
      <c r="N276" s="371"/>
      <c r="O276" s="466"/>
      <c r="P276" s="463" t="s">
        <v>33</v>
      </c>
      <c r="Q276" s="464"/>
      <c r="R276" s="464"/>
      <c r="S276" s="464"/>
      <c r="T276" s="464"/>
      <c r="U276" s="464"/>
      <c r="V276" s="465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8689.0400000000009</v>
      </c>
      <c r="Y276" s="43">
        <f>IFERROR(Y31+Y37+Y44+Y50+Y58+Y63+Y68+Y74+Y80+Y85+Y91+Y101+Y107+Y119+Y123+Y127+Y135+Y141+Y147+Y153+Y159+Y164+Y169+Y174+Y181+Y186+Y195+Y201+Y207+Y213+Y218+Y223+Y229+Y235+Y239+Y245+Y252+Y256+Y262+Y275,"0")</f>
        <v>8689.0400000000009</v>
      </c>
      <c r="Z276" s="42"/>
      <c r="AA276" s="67"/>
      <c r="AB276" s="67"/>
      <c r="AC276" s="67"/>
    </row>
    <row r="277" spans="1:68" x14ac:dyDescent="0.2">
      <c r="A277" s="371"/>
      <c r="B277" s="371"/>
      <c r="C277" s="371"/>
      <c r="D277" s="371"/>
      <c r="E277" s="371"/>
      <c r="F277" s="371"/>
      <c r="G277" s="371"/>
      <c r="H277" s="371"/>
      <c r="I277" s="371"/>
      <c r="J277" s="371"/>
      <c r="K277" s="371"/>
      <c r="L277" s="371"/>
      <c r="M277" s="371"/>
      <c r="N277" s="371"/>
      <c r="O277" s="466"/>
      <c r="P277" s="463" t="s">
        <v>34</v>
      </c>
      <c r="Q277" s="464"/>
      <c r="R277" s="464"/>
      <c r="S277" s="464"/>
      <c r="T277" s="464"/>
      <c r="U277" s="464"/>
      <c r="V277" s="465"/>
      <c r="W277" s="42" t="s">
        <v>0</v>
      </c>
      <c r="X277" s="43">
        <f>IFERROR(SUM(BM22:BM273),"0")</f>
        <v>10082.385600000001</v>
      </c>
      <c r="Y277" s="43">
        <f>IFERROR(SUM(BN22:BN273),"0")</f>
        <v>10082.385600000001</v>
      </c>
      <c r="Z277" s="42"/>
      <c r="AA277" s="67"/>
      <c r="AB277" s="67"/>
      <c r="AC277" s="67"/>
    </row>
    <row r="278" spans="1:68" x14ac:dyDescent="0.2">
      <c r="A278" s="371"/>
      <c r="B278" s="371"/>
      <c r="C278" s="371"/>
      <c r="D278" s="371"/>
      <c r="E278" s="371"/>
      <c r="F278" s="371"/>
      <c r="G278" s="371"/>
      <c r="H278" s="371"/>
      <c r="I278" s="371"/>
      <c r="J278" s="371"/>
      <c r="K278" s="371"/>
      <c r="L278" s="371"/>
      <c r="M278" s="371"/>
      <c r="N278" s="371"/>
      <c r="O278" s="466"/>
      <c r="P278" s="463" t="s">
        <v>35</v>
      </c>
      <c r="Q278" s="464"/>
      <c r="R278" s="464"/>
      <c r="S278" s="464"/>
      <c r="T278" s="464"/>
      <c r="U278" s="464"/>
      <c r="V278" s="465"/>
      <c r="W278" s="42" t="s">
        <v>20</v>
      </c>
      <c r="X278" s="44">
        <f>ROUNDUP(SUM(BO22:BO273),0)</f>
        <v>34</v>
      </c>
      <c r="Y278" s="44">
        <f>ROUNDUP(SUM(BP22:BP273),0)</f>
        <v>34</v>
      </c>
      <c r="Z278" s="42"/>
      <c r="AA278" s="67"/>
      <c r="AB278" s="67"/>
      <c r="AC278" s="67"/>
    </row>
    <row r="279" spans="1:68" x14ac:dyDescent="0.2">
      <c r="A279" s="371"/>
      <c r="B279" s="371"/>
      <c r="C279" s="371"/>
      <c r="D279" s="371"/>
      <c r="E279" s="371"/>
      <c r="F279" s="371"/>
      <c r="G279" s="371"/>
      <c r="H279" s="371"/>
      <c r="I279" s="371"/>
      <c r="J279" s="371"/>
      <c r="K279" s="371"/>
      <c r="L279" s="371"/>
      <c r="M279" s="371"/>
      <c r="N279" s="371"/>
      <c r="O279" s="466"/>
      <c r="P279" s="463" t="s">
        <v>36</v>
      </c>
      <c r="Q279" s="464"/>
      <c r="R279" s="464"/>
      <c r="S279" s="464"/>
      <c r="T279" s="464"/>
      <c r="U279" s="464"/>
      <c r="V279" s="465"/>
      <c r="W279" s="42" t="s">
        <v>0</v>
      </c>
      <c r="X279" s="43">
        <f>GrossWeightTotal+PalletQtyTotal*25</f>
        <v>10932.385600000001</v>
      </c>
      <c r="Y279" s="43">
        <f>GrossWeightTotalR+PalletQtyTotalR*25</f>
        <v>10932.385600000001</v>
      </c>
      <c r="Z279" s="42"/>
      <c r="AA279" s="67"/>
      <c r="AB279" s="67"/>
      <c r="AC279" s="67"/>
    </row>
    <row r="280" spans="1:68" x14ac:dyDescent="0.2">
      <c r="A280" s="371"/>
      <c r="B280" s="371"/>
      <c r="C280" s="371"/>
      <c r="D280" s="371"/>
      <c r="E280" s="371"/>
      <c r="F280" s="371"/>
      <c r="G280" s="371"/>
      <c r="H280" s="371"/>
      <c r="I280" s="371"/>
      <c r="J280" s="371"/>
      <c r="K280" s="371"/>
      <c r="L280" s="371"/>
      <c r="M280" s="371"/>
      <c r="N280" s="371"/>
      <c r="O280" s="466"/>
      <c r="P280" s="463" t="s">
        <v>37</v>
      </c>
      <c r="Q280" s="464"/>
      <c r="R280" s="464"/>
      <c r="S280" s="464"/>
      <c r="T280" s="464"/>
      <c r="U280" s="464"/>
      <c r="V280" s="465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3024</v>
      </c>
      <c r="Y280" s="43">
        <f>IFERROR(Y30+Y36+Y43+Y49+Y57+Y62+Y67+Y73+Y79+Y84+Y90+Y100+Y106+Y118+Y122+Y126+Y134+Y140+Y146+Y152+Y158+Y163+Y168+Y173+Y180+Y185+Y194+Y200+Y206+Y212+Y217+Y222+Y228+Y234+Y238+Y244+Y251+Y255+Y261+Y274,"0")</f>
        <v>3024</v>
      </c>
      <c r="Z280" s="42"/>
      <c r="AA280" s="67"/>
      <c r="AB280" s="67"/>
      <c r="AC280" s="67"/>
    </row>
    <row r="281" spans="1:68" ht="14.25" hidden="1" x14ac:dyDescent="0.2">
      <c r="A281" s="371"/>
      <c r="B281" s="371"/>
      <c r="C281" s="371"/>
      <c r="D281" s="371"/>
      <c r="E281" s="371"/>
      <c r="F281" s="371"/>
      <c r="G281" s="371"/>
      <c r="H281" s="371"/>
      <c r="I281" s="371"/>
      <c r="J281" s="371"/>
      <c r="K281" s="371"/>
      <c r="L281" s="371"/>
      <c r="M281" s="371"/>
      <c r="N281" s="371"/>
      <c r="O281" s="466"/>
      <c r="P281" s="463" t="s">
        <v>38</v>
      </c>
      <c r="Q281" s="464"/>
      <c r="R281" s="464"/>
      <c r="S281" s="464"/>
      <c r="T281" s="464"/>
      <c r="U281" s="464"/>
      <c r="V281" s="465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42.101219999999991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467" t="s">
        <v>79</v>
      </c>
      <c r="C283" s="467" t="s">
        <v>79</v>
      </c>
      <c r="D283" s="467" t="s">
        <v>45</v>
      </c>
      <c r="E283" s="467" t="s">
        <v>45</v>
      </c>
      <c r="F283" s="467" t="s">
        <v>45</v>
      </c>
      <c r="G283" s="467" t="s">
        <v>45</v>
      </c>
      <c r="H283" s="467" t="s">
        <v>45</v>
      </c>
      <c r="I283" s="467" t="s">
        <v>45</v>
      </c>
      <c r="J283" s="467" t="s">
        <v>45</v>
      </c>
      <c r="K283" s="467" t="s">
        <v>45</v>
      </c>
      <c r="L283" s="467" t="s">
        <v>45</v>
      </c>
      <c r="M283" s="467" t="s">
        <v>45</v>
      </c>
      <c r="N283" s="468"/>
      <c r="O283" s="467" t="s">
        <v>45</v>
      </c>
      <c r="P283" s="467" t="s">
        <v>45</v>
      </c>
      <c r="Q283" s="467" t="s">
        <v>45</v>
      </c>
      <c r="R283" s="467" t="s">
        <v>45</v>
      </c>
      <c r="S283" s="467" t="s">
        <v>45</v>
      </c>
      <c r="T283" s="467" t="s">
        <v>45</v>
      </c>
      <c r="U283" s="467" t="s">
        <v>45</v>
      </c>
      <c r="V283" s="467" t="s">
        <v>271</v>
      </c>
      <c r="W283" s="467" t="s">
        <v>271</v>
      </c>
      <c r="X283" s="88" t="s">
        <v>282</v>
      </c>
      <c r="Y283" s="467" t="s">
        <v>296</v>
      </c>
      <c r="Z283" s="467" t="s">
        <v>296</v>
      </c>
      <c r="AA283" s="467" t="s">
        <v>296</v>
      </c>
      <c r="AB283" s="467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469" t="s">
        <v>10</v>
      </c>
      <c r="B284" s="467" t="s">
        <v>79</v>
      </c>
      <c r="C284" s="467" t="s">
        <v>104</v>
      </c>
      <c r="D284" s="467" t="s">
        <v>110</v>
      </c>
      <c r="E284" s="467" t="s">
        <v>121</v>
      </c>
      <c r="F284" s="467" t="s">
        <v>128</v>
      </c>
      <c r="G284" s="467" t="s">
        <v>139</v>
      </c>
      <c r="H284" s="467" t="s">
        <v>157</v>
      </c>
      <c r="I284" s="467" t="s">
        <v>164</v>
      </c>
      <c r="J284" s="467" t="s">
        <v>168</v>
      </c>
      <c r="K284" s="467" t="s">
        <v>176</v>
      </c>
      <c r="L284" s="467" t="s">
        <v>191</v>
      </c>
      <c r="M284" s="467" t="s">
        <v>197</v>
      </c>
      <c r="N284" s="1"/>
      <c r="O284" s="467" t="s">
        <v>224</v>
      </c>
      <c r="P284" s="467" t="s">
        <v>242</v>
      </c>
      <c r="Q284" s="467" t="s">
        <v>248</v>
      </c>
      <c r="R284" s="467" t="s">
        <v>255</v>
      </c>
      <c r="S284" s="467" t="s">
        <v>260</v>
      </c>
      <c r="T284" s="467" t="s">
        <v>264</v>
      </c>
      <c r="U284" s="467" t="s">
        <v>267</v>
      </c>
      <c r="V284" s="467" t="s">
        <v>272</v>
      </c>
      <c r="W284" s="467" t="s">
        <v>279</v>
      </c>
      <c r="X284" s="467" t="s">
        <v>283</v>
      </c>
      <c r="Y284" s="467" t="s">
        <v>297</v>
      </c>
      <c r="Z284" s="467" t="s">
        <v>310</v>
      </c>
      <c r="AA284" s="467" t="s">
        <v>317</v>
      </c>
      <c r="AB284" s="467" t="s">
        <v>321</v>
      </c>
      <c r="AC284" s="467" t="s">
        <v>326</v>
      </c>
      <c r="AD284" s="467" t="s">
        <v>331</v>
      </c>
      <c r="AE284" s="467" t="s">
        <v>338</v>
      </c>
      <c r="AF284" s="467" t="s">
        <v>342</v>
      </c>
    </row>
    <row r="285" spans="1:68" ht="13.5" thickBot="1" x14ac:dyDescent="0.25">
      <c r="A285" s="470"/>
      <c r="B285" s="467"/>
      <c r="C285" s="467"/>
      <c r="D285" s="467"/>
      <c r="E285" s="467"/>
      <c r="F285" s="467"/>
      <c r="G285" s="467"/>
      <c r="H285" s="467"/>
      <c r="I285" s="467"/>
      <c r="J285" s="467"/>
      <c r="K285" s="467"/>
      <c r="L285" s="467"/>
      <c r="M285" s="467"/>
      <c r="N285" s="1"/>
      <c r="O285" s="467"/>
      <c r="P285" s="467"/>
      <c r="Q285" s="467"/>
      <c r="R285" s="467"/>
      <c r="S285" s="467"/>
      <c r="T285" s="467"/>
      <c r="U285" s="467"/>
      <c r="V285" s="467"/>
      <c r="W285" s="467"/>
      <c r="X285" s="467"/>
      <c r="Y285" s="467"/>
      <c r="Z285" s="467"/>
      <c r="AA285" s="467"/>
      <c r="AB285" s="467"/>
      <c r="AC285" s="467"/>
      <c r="AD285" s="467"/>
      <c r="AE285" s="467"/>
      <c r="AF285" s="467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273</v>
      </c>
      <c r="E286" s="52">
        <f>IFERROR(X47*H47,"0")+IFERROR(X48*H48,"0")</f>
        <v>0</v>
      </c>
      <c r="F286" s="52">
        <f>IFERROR(X53*H53,"0")+IFERROR(X54*H54,"0")+IFERROR(X55*H55,"0")+IFERROR(X56*H56,"0")</f>
        <v>237.60000000000002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100.8</v>
      </c>
      <c r="J286" s="52">
        <f>IFERROR(X88*H88,"0")+IFERROR(X89*H89,"0")</f>
        <v>453.6</v>
      </c>
      <c r="K286" s="52">
        <f>IFERROR(X94*H94,"0")+IFERROR(X95*H95,"0")+IFERROR(X96*H96,"0")+IFERROR(X97*H97,"0")+IFERROR(X98*H98,"0")+IFERROR(X99*H99,"0")</f>
        <v>797.99999999999989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584.6400000000001</v>
      </c>
      <c r="N286" s="1"/>
      <c r="O286" s="52">
        <f>IFERROR(X130*H130,"0")+IFERROR(X131*H131,"0")+IFERROR(X132*H132,"0")+IFERROR(X133*H133,"0")+IFERROR(X137*H137,"0")+IFERROR(X138*H138,"0")+IFERROR(X139*H139,"0")</f>
        <v>760.20000000000016</v>
      </c>
      <c r="P286" s="52">
        <f>IFERROR(X144*H144,"0")+IFERROR(X145*H145,"0")</f>
        <v>924</v>
      </c>
      <c r="Q286" s="52">
        <f>IFERROR(X150*H150,"0")+IFERROR(X151*H151,"0")</f>
        <v>252</v>
      </c>
      <c r="R286" s="52">
        <f>IFERROR(X156*H156,"0")+IFERROR(X157*H157,"0")</f>
        <v>201.6</v>
      </c>
      <c r="S286" s="52">
        <f>IFERROR(X162*H162,"0")</f>
        <v>84</v>
      </c>
      <c r="T286" s="52">
        <f>IFERROR(X167*H167,"0")</f>
        <v>151.20000000000002</v>
      </c>
      <c r="U286" s="52">
        <f>IFERROR(X172*H172,"0")</f>
        <v>164.64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557.76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302.39999999999998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2843.6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489.6</v>
      </c>
      <c r="B289" s="72">
        <f>SUMPRODUCT(--(BB:BB="ПГП"),--(W:W="кор"),H:H,Y:Y)+SUMPRODUCT(--(BB:BB="ПГП"),--(W:W="кг"),Y:Y)</f>
        <v>8199.44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 082,39"/>
        <filter val="10 932,39"/>
        <filter val="100,80"/>
        <filter val="12,00"/>
        <filter val="126,00"/>
        <filter val="14,00"/>
        <filter val="140,00"/>
        <filter val="151,20"/>
        <filter val="164,64"/>
        <filter val="168,00"/>
        <filter val="180,00"/>
        <filter val="182,00"/>
        <filter val="196,00"/>
        <filter val="2 339,60"/>
        <filter val="201,60"/>
        <filter val="210,00"/>
        <filter val="226,80"/>
        <filter val="237,60"/>
        <filter val="24,00"/>
        <filter val="252,00"/>
        <filter val="266,00"/>
        <filter val="273,00"/>
        <filter val="28,00"/>
        <filter val="3 024,00"/>
        <filter val="302,40"/>
        <filter val="308,00"/>
        <filter val="332,64"/>
        <filter val="34"/>
        <filter val="36,00"/>
        <filter val="392,00"/>
        <filter val="42,00"/>
        <filter val="453,60"/>
        <filter val="504,00"/>
        <filter val="533,40"/>
        <filter val="557,76"/>
        <filter val="558,00"/>
        <filter val="56,00"/>
        <filter val="70,00"/>
        <filter val="798,00"/>
        <filter val="8 689,04"/>
        <filter val="84,00"/>
        <filter val="924,00"/>
        <filter val="98,00"/>
      </filters>
    </filterColumn>
    <filterColumn colId="29" showButton="0"/>
    <filterColumn colId="30" showButton="0"/>
  </autoFilter>
  <dataConsolidate/>
  <mergeCells count="503"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10" priority="63" stopIfTrue="1">
      <formula>IF($V$5="самовывоз",1,0)</formula>
    </cfRule>
  </conditionalFormatting>
  <conditionalFormatting sqref="H9:I9">
    <cfRule type="expression" dxfId="9" priority="56" stopIfTrue="1">
      <formula>IF($V$5="самовывоз",1,0)</formula>
    </cfRule>
  </conditionalFormatting>
  <conditionalFormatting sqref="F9:G9">
    <cfRule type="expression" dxfId="8" priority="55" stopIfTrue="1">
      <formula>IF($V$5="самовывоз",1,0)</formula>
    </cfRule>
  </conditionalFormatting>
  <conditionalFormatting sqref="F10:G10">
    <cfRule type="expression" dxfId="7" priority="54" stopIfTrue="1">
      <formula>IF($V$5="самовывоз",1,0)</formula>
    </cfRule>
  </conditionalFormatting>
  <conditionalFormatting sqref="D9:E9">
    <cfRule type="expression" dxfId="6" priority="53" stopIfTrue="1">
      <formula>IF($V$5="самовывоз",1,0)</formula>
    </cfRule>
  </conditionalFormatting>
  <conditionalFormatting sqref="D10:E10">
    <cfRule type="expression" dxfId="5" priority="52" stopIfTrue="1">
      <formula>IF($V$5="самовывоз",1,0)</formula>
    </cfRule>
  </conditionalFormatting>
  <conditionalFormatting sqref="P8 P5:R6">
    <cfRule type="expression" dxfId="4" priority="51" stopIfTrue="1">
      <formula>IF($V$5="доставка",1,0)</formula>
    </cfRule>
  </conditionalFormatting>
  <conditionalFormatting sqref="X190">
    <cfRule type="duplicateValues" dxfId="3" priority="11"/>
  </conditionalFormatting>
  <conditionalFormatting sqref="X191">
    <cfRule type="duplicateValues" dxfId="2" priority="10"/>
  </conditionalFormatting>
  <conditionalFormatting sqref="X193">
    <cfRule type="duplicateValues" dxfId="1" priority="9"/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2026-09-04T13:56:28Z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