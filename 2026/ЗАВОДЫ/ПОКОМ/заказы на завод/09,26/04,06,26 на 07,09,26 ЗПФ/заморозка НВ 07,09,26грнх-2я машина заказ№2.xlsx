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6D227FB-1B9D-485D-A665-5BD1B8E3FC81}" xr6:coauthVersionLast="47" xr6:coauthVersionMax="47" xr10:uidLastSave="{00000000-0000-0000-0000-000000000000}"/>
  <bookViews>
    <workbookView xWindow="1455" yWindow="0" windowWidth="26775" windowHeight="1549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Y49" i="2" l="1"/>
  <c r="Z268" i="2"/>
  <c r="Z28" i="2"/>
  <c r="Z34" i="2"/>
  <c r="Z82" i="2"/>
  <c r="Y94" i="2"/>
  <c r="Z110" i="2"/>
  <c r="Z143" i="2"/>
  <c r="BN27" i="2"/>
  <c r="BP27" i="2"/>
  <c r="BN33" i="2"/>
  <c r="BP33" i="2"/>
  <c r="Y61" i="2"/>
  <c r="Y62" i="2"/>
  <c r="BP60" i="2"/>
  <c r="Y71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3" i="2" s="1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Z275" i="2" l="1"/>
  <c r="Y271" i="2"/>
  <c r="Y272" i="2"/>
  <c r="Y273" i="2" s="1"/>
  <c r="Y274" i="2"/>
  <c r="Y35" i="2" l="1"/>
  <c r="Y270" i="2" s="1"/>
  <c r="C283" i="2" l="1"/>
  <c r="A283" i="2"/>
  <c r="B283" i="2"/>
</calcChain>
</file>

<file path=xl/sharedStrings.xml><?xml version="1.0" encoding="utf-8"?>
<sst xmlns="http://schemas.openxmlformats.org/spreadsheetml/2006/main" count="1725" uniqueCount="412">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</sst>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2" t="s">
        <v>26</v>
      </c>
      <c r="E1" s="452"/>
      <c r="F1" s="452"/>
      <c r="G1" s="14" t="s">
        <v>70</v>
      </c>
      <c r="H1" s="452" t="s">
        <v>47</v>
      </c>
      <c r="I1" s="452"/>
      <c r="J1" s="452"/>
      <c r="K1" s="452"/>
      <c r="L1" s="452"/>
      <c r="M1" s="452"/>
      <c r="N1" s="452"/>
      <c r="O1" s="452"/>
      <c r="P1" s="452"/>
      <c r="Q1" s="452"/>
      <c r="R1" s="453" t="s">
        <v>71</v>
      </c>
      <c r="S1" s="454"/>
      <c r="T1" s="45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5"/>
      <c r="R2" s="455"/>
      <c r="S2" s="455"/>
      <c r="T2" s="455"/>
      <c r="U2" s="455"/>
      <c r="V2" s="455"/>
      <c r="W2" s="45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5"/>
      <c r="Q3" s="455"/>
      <c r="R3" s="455"/>
      <c r="S3" s="455"/>
      <c r="T3" s="455"/>
      <c r="U3" s="455"/>
      <c r="V3" s="455"/>
      <c r="W3" s="45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6"/>
      <c r="E5" s="456"/>
      <c r="F5" s="457" t="s">
        <v>14</v>
      </c>
      <c r="G5" s="457"/>
      <c r="H5" s="456" t="s">
        <v>411</v>
      </c>
      <c r="I5" s="456"/>
      <c r="J5" s="456"/>
      <c r="K5" s="456"/>
      <c r="L5" s="456"/>
      <c r="M5" s="456"/>
      <c r="N5" s="72"/>
      <c r="P5" s="26" t="s">
        <v>4</v>
      </c>
      <c r="Q5" s="458">
        <v>46272</v>
      </c>
      <c r="R5" s="458"/>
      <c r="T5" s="459" t="s">
        <v>3</v>
      </c>
      <c r="U5" s="460"/>
      <c r="V5" s="461" t="s">
        <v>379</v>
      </c>
      <c r="W5" s="462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 t="s">
        <v>389</v>
      </c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>Понедельник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 t="str">
        <f>IFERROR(VLOOKUP(DeliveryAddress,Table,3,0),1)</f>
        <v>4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>
        <v>0.41666666666666669</v>
      </c>
      <c r="R8" s="449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50" t="str">
        <f>IF(AND($A$9="Тип доверенности/получателя при получении в адресе перегруза:",$D$9="Разовая доверенность"),"Введите ФИО","")</f>
        <v/>
      </c>
      <c r="I9" s="450"/>
      <c r="J9" s="4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0"/>
      <c r="L9" s="450"/>
      <c r="M9" s="450"/>
      <c r="N9" s="70"/>
      <c r="P9" s="29" t="s">
        <v>15</v>
      </c>
      <c r="Q9" s="451">
        <v>46275</v>
      </c>
      <c r="R9" s="451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0.54166666666666663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hidden="1" customHeight="1" x14ac:dyDescent="0.2">
      <c r="A19" s="309" t="s">
        <v>79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hidden="1" customHeight="1" x14ac:dyDescent="0.25">
      <c r="A20" s="310" t="s">
        <v>79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hidden="1" customHeight="1" x14ac:dyDescent="0.25">
      <c r="A21" s="300" t="s">
        <v>80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4301071109</v>
      </c>
      <c r="D25" s="282">
        <v>4607111035929</v>
      </c>
      <c r="E25" s="282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4301071106</v>
      </c>
      <c r="D26" s="282">
        <v>4607111035882</v>
      </c>
      <c r="E26" s="282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97</v>
      </c>
      <c r="B27" s="60" t="s">
        <v>98</v>
      </c>
      <c r="C27" s="34">
        <v>4301071107</v>
      </c>
      <c r="D27" s="282">
        <v>4607111035905</v>
      </c>
      <c r="E27" s="282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idden="1" x14ac:dyDescent="0.2">
      <c r="A28" s="289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0"/>
      <c r="P28" s="286" t="s">
        <v>40</v>
      </c>
      <c r="Q28" s="287"/>
      <c r="R28" s="287"/>
      <c r="S28" s="287"/>
      <c r="T28" s="287"/>
      <c r="U28" s="287"/>
      <c r="V28" s="288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0"/>
      <c r="P29" s="286" t="s">
        <v>40</v>
      </c>
      <c r="Q29" s="287"/>
      <c r="R29" s="287"/>
      <c r="S29" s="287"/>
      <c r="T29" s="287"/>
      <c r="U29" s="287"/>
      <c r="V29" s="288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hidden="1" customHeight="1" x14ac:dyDescent="0.25">
      <c r="A30" s="310" t="s">
        <v>99</v>
      </c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62"/>
      <c r="AB30" s="62"/>
      <c r="AC30" s="62"/>
    </row>
    <row r="31" spans="1:68" ht="14.25" hidden="1" customHeight="1" x14ac:dyDescent="0.25">
      <c r="A31" s="300" t="s">
        <v>80</v>
      </c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63"/>
      <c r="AB31" s="63"/>
      <c r="AC31" s="63"/>
    </row>
    <row r="32" spans="1:68" ht="16.5" hidden="1" customHeight="1" x14ac:dyDescent="0.25">
      <c r="A32" s="60" t="s">
        <v>100</v>
      </c>
      <c r="B32" s="60" t="s">
        <v>101</v>
      </c>
      <c r="C32" s="34">
        <v>4301071099</v>
      </c>
      <c r="D32" s="282">
        <v>4607111039019</v>
      </c>
      <c r="E32" s="282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8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hidden="1" customHeight="1" x14ac:dyDescent="0.25">
      <c r="A33" s="60" t="s">
        <v>103</v>
      </c>
      <c r="B33" s="60" t="s">
        <v>104</v>
      </c>
      <c r="C33" s="34">
        <v>4301071100</v>
      </c>
      <c r="D33" s="282">
        <v>4607111038708</v>
      </c>
      <c r="E33" s="282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8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hidden="1" x14ac:dyDescent="0.2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0"/>
      <c r="P34" s="286" t="s">
        <v>40</v>
      </c>
      <c r="Q34" s="287"/>
      <c r="R34" s="287"/>
      <c r="S34" s="287"/>
      <c r="T34" s="287"/>
      <c r="U34" s="287"/>
      <c r="V34" s="288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0"/>
      <c r="P35" s="286" t="s">
        <v>40</v>
      </c>
      <c r="Q35" s="287"/>
      <c r="R35" s="287"/>
      <c r="S35" s="287"/>
      <c r="T35" s="287"/>
      <c r="U35" s="287"/>
      <c r="V35" s="288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hidden="1" customHeight="1" x14ac:dyDescent="0.2">
      <c r="A36" s="309" t="s">
        <v>45</v>
      </c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52"/>
      <c r="AB36" s="52"/>
      <c r="AC36" s="52"/>
    </row>
    <row r="37" spans="1:68" ht="16.5" hidden="1" customHeight="1" x14ac:dyDescent="0.25">
      <c r="A37" s="310" t="s">
        <v>105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2"/>
      <c r="AB37" s="62"/>
      <c r="AC37" s="62"/>
    </row>
    <row r="38" spans="1:68" ht="14.25" hidden="1" customHeight="1" x14ac:dyDescent="0.25">
      <c r="A38" s="300" t="s">
        <v>106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63"/>
      <c r="AB38" s="63"/>
      <c r="AC38" s="63"/>
    </row>
    <row r="39" spans="1:68" ht="27" hidden="1" customHeight="1" x14ac:dyDescent="0.25">
      <c r="A39" s="60" t="s">
        <v>107</v>
      </c>
      <c r="B39" s="60" t="s">
        <v>108</v>
      </c>
      <c r="C39" s="34">
        <v>4301132190</v>
      </c>
      <c r="D39" s="282">
        <v>4607111036537</v>
      </c>
      <c r="E39" s="282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8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4301132188</v>
      </c>
      <c r="D40" s="282">
        <v>4607111036605</v>
      </c>
      <c r="E40" s="282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8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hidden="1" x14ac:dyDescent="0.2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86" t="s">
        <v>40</v>
      </c>
      <c r="Q41" s="287"/>
      <c r="R41" s="287"/>
      <c r="S41" s="287"/>
      <c r="T41" s="287"/>
      <c r="U41" s="287"/>
      <c r="V41" s="288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hidden="1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0"/>
      <c r="P42" s="286" t="s">
        <v>40</v>
      </c>
      <c r="Q42" s="287"/>
      <c r="R42" s="287"/>
      <c r="S42" s="287"/>
      <c r="T42" s="287"/>
      <c r="U42" s="287"/>
      <c r="V42" s="288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hidden="1" customHeight="1" x14ac:dyDescent="0.25">
      <c r="A43" s="310" t="s">
        <v>116</v>
      </c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62"/>
      <c r="AB43" s="62"/>
      <c r="AC43" s="62"/>
    </row>
    <row r="44" spans="1:68" ht="14.25" hidden="1" customHeight="1" x14ac:dyDescent="0.25">
      <c r="A44" s="300" t="s">
        <v>80</v>
      </c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63"/>
      <c r="AB44" s="63"/>
      <c r="AC44" s="63"/>
    </row>
    <row r="45" spans="1:68" ht="27" hidden="1" customHeight="1" x14ac:dyDescent="0.25">
      <c r="A45" s="60" t="s">
        <v>117</v>
      </c>
      <c r="B45" s="60" t="s">
        <v>118</v>
      </c>
      <c r="C45" s="34">
        <v>4301071090</v>
      </c>
      <c r="D45" s="282">
        <v>4620207490075</v>
      </c>
      <c r="E45" s="282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8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hidden="1" customHeight="1" x14ac:dyDescent="0.25">
      <c r="A46" s="60" t="s">
        <v>120</v>
      </c>
      <c r="B46" s="60" t="s">
        <v>121</v>
      </c>
      <c r="C46" s="34">
        <v>4301071092</v>
      </c>
      <c r="D46" s="282">
        <v>4620207490174</v>
      </c>
      <c r="E46" s="282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8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hidden="1" customHeight="1" x14ac:dyDescent="0.25">
      <c r="A47" s="60" t="s">
        <v>123</v>
      </c>
      <c r="B47" s="60" t="s">
        <v>124</v>
      </c>
      <c r="C47" s="34">
        <v>4301071091</v>
      </c>
      <c r="D47" s="282">
        <v>4620207490044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idden="1" x14ac:dyDescent="0.2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0"/>
      <c r="P48" s="286" t="s">
        <v>40</v>
      </c>
      <c r="Q48" s="287"/>
      <c r="R48" s="287"/>
      <c r="S48" s="287"/>
      <c r="T48" s="287"/>
      <c r="U48" s="287"/>
      <c r="V48" s="288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hidden="1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6" t="s">
        <v>40</v>
      </c>
      <c r="Q49" s="287"/>
      <c r="R49" s="287"/>
      <c r="S49" s="287"/>
      <c r="T49" s="287"/>
      <c r="U49" s="287"/>
      <c r="V49" s="288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hidden="1" customHeight="1" x14ac:dyDescent="0.25">
      <c r="A50" s="310" t="s">
        <v>126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2"/>
      <c r="AB50" s="62"/>
      <c r="AC50" s="62"/>
    </row>
    <row r="51" spans="1:68" ht="14.25" hidden="1" customHeight="1" x14ac:dyDescent="0.25">
      <c r="A51" s="300" t="s">
        <v>80</v>
      </c>
      <c r="B51" s="300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63"/>
      <c r="AB51" s="63"/>
      <c r="AC51" s="63"/>
    </row>
    <row r="52" spans="1:68" ht="27" hidden="1" customHeight="1" x14ac:dyDescent="0.25">
      <c r="A52" s="60" t="s">
        <v>127</v>
      </c>
      <c r="B52" s="60" t="s">
        <v>128</v>
      </c>
      <c r="C52" s="34">
        <v>4301071044</v>
      </c>
      <c r="D52" s="282">
        <v>4607111039385</v>
      </c>
      <c r="E52" s="282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hidden="1" customHeight="1" x14ac:dyDescent="0.25">
      <c r="A53" s="60" t="s">
        <v>130</v>
      </c>
      <c r="B53" s="60" t="s">
        <v>131</v>
      </c>
      <c r="C53" s="34">
        <v>4301071031</v>
      </c>
      <c r="D53" s="282">
        <v>4607111038982</v>
      </c>
      <c r="E53" s="282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133</v>
      </c>
      <c r="B54" s="60" t="s">
        <v>134</v>
      </c>
      <c r="C54" s="34">
        <v>4301071046</v>
      </c>
      <c r="D54" s="282">
        <v>4607111039354</v>
      </c>
      <c r="E54" s="282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4301071047</v>
      </c>
      <c r="D55" s="282">
        <v>4607111039330</v>
      </c>
      <c r="E55" s="282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idden="1" x14ac:dyDescent="0.2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0"/>
      <c r="P56" s="286" t="s">
        <v>40</v>
      </c>
      <c r="Q56" s="287"/>
      <c r="R56" s="287"/>
      <c r="S56" s="287"/>
      <c r="T56" s="287"/>
      <c r="U56" s="287"/>
      <c r="V56" s="288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hidden="1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0"/>
      <c r="P57" s="286" t="s">
        <v>40</v>
      </c>
      <c r="Q57" s="287"/>
      <c r="R57" s="287"/>
      <c r="S57" s="287"/>
      <c r="T57" s="287"/>
      <c r="U57" s="287"/>
      <c r="V57" s="288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hidden="1" customHeight="1" x14ac:dyDescent="0.25">
      <c r="A58" s="310" t="s">
        <v>137</v>
      </c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62"/>
      <c r="AB58" s="62"/>
      <c r="AC58" s="62"/>
    </row>
    <row r="59" spans="1:68" ht="14.25" hidden="1" customHeight="1" x14ac:dyDescent="0.25">
      <c r="A59" s="300" t="s">
        <v>80</v>
      </c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63"/>
      <c r="AB59" s="63"/>
      <c r="AC59" s="63"/>
    </row>
    <row r="60" spans="1:68" ht="16.5" hidden="1" customHeight="1" x14ac:dyDescent="0.25">
      <c r="A60" s="60" t="s">
        <v>138</v>
      </c>
      <c r="B60" s="60" t="s">
        <v>139</v>
      </c>
      <c r="C60" s="34">
        <v>4301071073</v>
      </c>
      <c r="D60" s="282">
        <v>4620207490822</v>
      </c>
      <c r="E60" s="282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hidden="1" x14ac:dyDescent="0.2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0"/>
      <c r="P61" s="286" t="s">
        <v>40</v>
      </c>
      <c r="Q61" s="287"/>
      <c r="R61" s="287"/>
      <c r="S61" s="287"/>
      <c r="T61" s="287"/>
      <c r="U61" s="287"/>
      <c r="V61" s="288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0"/>
      <c r="P62" s="286" t="s">
        <v>40</v>
      </c>
      <c r="Q62" s="287"/>
      <c r="R62" s="287"/>
      <c r="S62" s="287"/>
      <c r="T62" s="287"/>
      <c r="U62" s="287"/>
      <c r="V62" s="288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hidden="1" customHeight="1" x14ac:dyDescent="0.25">
      <c r="A63" s="300" t="s">
        <v>106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63"/>
      <c r="AB63" s="63"/>
      <c r="AC63" s="63"/>
    </row>
    <row r="64" spans="1:68" ht="27" hidden="1" customHeight="1" x14ac:dyDescent="0.25">
      <c r="A64" s="60" t="s">
        <v>141</v>
      </c>
      <c r="B64" s="60" t="s">
        <v>142</v>
      </c>
      <c r="C64" s="34">
        <v>4301132194</v>
      </c>
      <c r="D64" s="282">
        <v>4607111039712</v>
      </c>
      <c r="E64" s="282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hidden="1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hidden="1" customHeight="1" x14ac:dyDescent="0.25">
      <c r="A67" s="300" t="s">
        <v>144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63"/>
      <c r="AB67" s="63"/>
      <c r="AC67" s="63"/>
    </row>
    <row r="68" spans="1:68" ht="16.5" hidden="1" customHeight="1" x14ac:dyDescent="0.25">
      <c r="A68" s="60" t="s">
        <v>145</v>
      </c>
      <c r="B68" s="60" t="s">
        <v>146</v>
      </c>
      <c r="C68" s="34">
        <v>4301136018</v>
      </c>
      <c r="D68" s="282">
        <v>4607111037008</v>
      </c>
      <c r="E68" s="282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hidden="1" customHeight="1" x14ac:dyDescent="0.25">
      <c r="A69" s="60" t="s">
        <v>148</v>
      </c>
      <c r="B69" s="60" t="s">
        <v>149</v>
      </c>
      <c r="C69" s="34">
        <v>4301136015</v>
      </c>
      <c r="D69" s="282">
        <v>4607111037398</v>
      </c>
      <c r="E69" s="282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idden="1" x14ac:dyDescent="0.2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0"/>
      <c r="P70" s="286" t="s">
        <v>40</v>
      </c>
      <c r="Q70" s="287"/>
      <c r="R70" s="287"/>
      <c r="S70" s="287"/>
      <c r="T70" s="287"/>
      <c r="U70" s="287"/>
      <c r="V70" s="288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hidden="1" customHeight="1" x14ac:dyDescent="0.25">
      <c r="A72" s="300" t="s">
        <v>150</v>
      </c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63"/>
      <c r="AB72" s="63"/>
      <c r="AC72" s="63"/>
    </row>
    <row r="73" spans="1:68" ht="27" hidden="1" customHeight="1" x14ac:dyDescent="0.25">
      <c r="A73" s="60" t="s">
        <v>151</v>
      </c>
      <c r="B73" s="60" t="s">
        <v>152</v>
      </c>
      <c r="C73" s="34">
        <v>4301135664</v>
      </c>
      <c r="D73" s="282">
        <v>4607111039705</v>
      </c>
      <c r="E73" s="282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hidden="1" customHeight="1" x14ac:dyDescent="0.25">
      <c r="A74" s="60" t="s">
        <v>153</v>
      </c>
      <c r="B74" s="60" t="s">
        <v>154</v>
      </c>
      <c r="C74" s="34">
        <v>4301135665</v>
      </c>
      <c r="D74" s="282">
        <v>4607111039729</v>
      </c>
      <c r="E74" s="282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hidden="1" customHeight="1" x14ac:dyDescent="0.25">
      <c r="A75" s="60" t="s">
        <v>156</v>
      </c>
      <c r="B75" s="60" t="s">
        <v>157</v>
      </c>
      <c r="C75" s="34">
        <v>4301135702</v>
      </c>
      <c r="D75" s="282">
        <v>4620207490228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6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idden="1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hidden="1" customHeight="1" x14ac:dyDescent="0.25">
      <c r="A78" s="310" t="s">
        <v>158</v>
      </c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62"/>
      <c r="AB78" s="62"/>
      <c r="AC78" s="62"/>
    </row>
    <row r="79" spans="1:68" ht="14.25" hidden="1" customHeight="1" x14ac:dyDescent="0.25">
      <c r="A79" s="300" t="s">
        <v>80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3"/>
      <c r="AB79" s="63"/>
      <c r="AC79" s="63"/>
    </row>
    <row r="80" spans="1:68" ht="27" hidden="1" customHeight="1" x14ac:dyDescent="0.25">
      <c r="A80" s="60" t="s">
        <v>159</v>
      </c>
      <c r="B80" s="60" t="s">
        <v>160</v>
      </c>
      <c r="C80" s="34">
        <v>4301070977</v>
      </c>
      <c r="D80" s="282">
        <v>4607111037411</v>
      </c>
      <c r="E80" s="282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hidden="1" customHeight="1" x14ac:dyDescent="0.25">
      <c r="A81" s="60" t="s">
        <v>163</v>
      </c>
      <c r="B81" s="60" t="s">
        <v>164</v>
      </c>
      <c r="C81" s="34">
        <v>4301070981</v>
      </c>
      <c r="D81" s="282">
        <v>4607111036728</v>
      </c>
      <c r="E81" s="282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6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hidden="1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hidden="1" customHeight="1" x14ac:dyDescent="0.25">
      <c r="A84" s="310" t="s">
        <v>165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2"/>
      <c r="AB84" s="62"/>
      <c r="AC84" s="62"/>
    </row>
    <row r="85" spans="1:68" ht="14.25" hidden="1" customHeight="1" x14ac:dyDescent="0.25">
      <c r="A85" s="300" t="s">
        <v>150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3"/>
      <c r="AB85" s="63"/>
      <c r="AC85" s="63"/>
    </row>
    <row r="86" spans="1:68" ht="27" hidden="1" customHeight="1" x14ac:dyDescent="0.25">
      <c r="A86" s="60" t="s">
        <v>166</v>
      </c>
      <c r="B86" s="60" t="s">
        <v>167</v>
      </c>
      <c r="C86" s="34">
        <v>4301135574</v>
      </c>
      <c r="D86" s="282">
        <v>4607111033659</v>
      </c>
      <c r="E86" s="282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6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hidden="1" x14ac:dyDescent="0.2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0"/>
      <c r="P87" s="286" t="s">
        <v>40</v>
      </c>
      <c r="Q87" s="287"/>
      <c r="R87" s="287"/>
      <c r="S87" s="287"/>
      <c r="T87" s="287"/>
      <c r="U87" s="287"/>
      <c r="V87" s="288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hidden="1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0"/>
      <c r="P88" s="286" t="s">
        <v>40</v>
      </c>
      <c r="Q88" s="287"/>
      <c r="R88" s="287"/>
      <c r="S88" s="287"/>
      <c r="T88" s="287"/>
      <c r="U88" s="287"/>
      <c r="V88" s="288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hidden="1" customHeight="1" x14ac:dyDescent="0.25">
      <c r="A89" s="310" t="s">
        <v>169</v>
      </c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62"/>
      <c r="AB89" s="62"/>
      <c r="AC89" s="62"/>
    </row>
    <row r="90" spans="1:68" ht="14.25" hidden="1" customHeight="1" x14ac:dyDescent="0.25">
      <c r="A90" s="300" t="s">
        <v>170</v>
      </c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282">
        <v>4607111034120</v>
      </c>
      <c r="E91" s="282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6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7" t="s">
        <v>46</v>
      </c>
      <c r="V91" s="37" t="s">
        <v>46</v>
      </c>
      <c r="W91" s="38" t="s">
        <v>39</v>
      </c>
      <c r="X91" s="56">
        <v>70</v>
      </c>
      <c r="Y91" s="53">
        <f>IFERROR(IF(X91="","",X91),"")</f>
        <v>70</v>
      </c>
      <c r="Z91" s="39">
        <f>IFERROR(IF(X91="","",X91*0.01788),"")</f>
        <v>1.2516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301.25200000000001</v>
      </c>
      <c r="BN91" s="78">
        <f>IFERROR(Y91*I91,"0")</f>
        <v>301.25200000000001</v>
      </c>
      <c r="BO91" s="78">
        <f>IFERROR(X91/J91,"0")</f>
        <v>1</v>
      </c>
      <c r="BP91" s="78">
        <f>IFERROR(Y91/J91,"0")</f>
        <v>1</v>
      </c>
    </row>
    <row r="92" spans="1:68" ht="27" hidden="1" customHeight="1" x14ac:dyDescent="0.25">
      <c r="A92" s="60" t="s">
        <v>174</v>
      </c>
      <c r="B92" s="60" t="s">
        <v>175</v>
      </c>
      <c r="C92" s="34">
        <v>4301131046</v>
      </c>
      <c r="D92" s="282">
        <v>4607111034137</v>
      </c>
      <c r="E92" s="282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6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0" t="s">
        <v>39</v>
      </c>
      <c r="X93" s="41">
        <f>IFERROR(SUM(X91:X92),"0")</f>
        <v>70</v>
      </c>
      <c r="Y93" s="41">
        <f>IFERROR(SUM(Y91:Y92),"0")</f>
        <v>70</v>
      </c>
      <c r="Z93" s="41">
        <f>IFERROR(IF(Z91="",0,Z91),"0")+IFERROR(IF(Z92="",0,Z92),"0")</f>
        <v>1.2516</v>
      </c>
      <c r="AA93" s="64"/>
      <c r="AB93" s="64"/>
      <c r="AC93" s="64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0"/>
      <c r="P94" s="286" t="s">
        <v>40</v>
      </c>
      <c r="Q94" s="287"/>
      <c r="R94" s="287"/>
      <c r="S94" s="287"/>
      <c r="T94" s="287"/>
      <c r="U94" s="287"/>
      <c r="V94" s="288"/>
      <c r="W94" s="40" t="s">
        <v>0</v>
      </c>
      <c r="X94" s="41">
        <f>IFERROR(SUMPRODUCT(X91:X92*H91:H92),"0")</f>
        <v>252</v>
      </c>
      <c r="Y94" s="41">
        <f>IFERROR(SUMPRODUCT(Y91:Y92*H91:H92),"0")</f>
        <v>252</v>
      </c>
      <c r="Z94" s="40"/>
      <c r="AA94" s="64"/>
      <c r="AB94" s="64"/>
      <c r="AC94" s="64"/>
    </row>
    <row r="95" spans="1:68" ht="16.5" hidden="1" customHeight="1" x14ac:dyDescent="0.25">
      <c r="A95" s="310" t="s">
        <v>177</v>
      </c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62"/>
      <c r="AB95" s="62"/>
      <c r="AC95" s="62"/>
    </row>
    <row r="96" spans="1:68" ht="14.25" hidden="1" customHeight="1" x14ac:dyDescent="0.25">
      <c r="A96" s="300" t="s">
        <v>150</v>
      </c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282">
        <v>4620207491027</v>
      </c>
      <c r="E97" s="282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7" t="s">
        <v>46</v>
      </c>
      <c r="V97" s="37" t="s">
        <v>46</v>
      </c>
      <c r="W97" s="38" t="s">
        <v>39</v>
      </c>
      <c r="X97" s="56">
        <v>140</v>
      </c>
      <c r="Y97" s="53">
        <f t="shared" ref="Y97:Y103" si="6">IFERROR(IF(X97="","",X97),"")</f>
        <v>140</v>
      </c>
      <c r="Z97" s="39">
        <f t="shared" ref="Z97:Z102" si="7">IFERROR(IF(X97="","",X97*0.01788),"")</f>
        <v>2.5032000000000001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501.70400000000001</v>
      </c>
      <c r="BN97" s="78">
        <f t="shared" ref="BN97:BN103" si="9">IFERROR(Y97*I97,"0")</f>
        <v>501.70400000000001</v>
      </c>
      <c r="BO97" s="78">
        <f t="shared" ref="BO97:BO103" si="10">IFERROR(X97/J97,"0")</f>
        <v>2</v>
      </c>
      <c r="BP97" s="78">
        <f t="shared" ref="BP97:BP103" si="11">IFERROR(Y97/J97,"0")</f>
        <v>2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282">
        <v>4620207491003</v>
      </c>
      <c r="E98" s="282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7" t="s">
        <v>46</v>
      </c>
      <c r="V98" s="37" t="s">
        <v>46</v>
      </c>
      <c r="W98" s="38" t="s">
        <v>39</v>
      </c>
      <c r="X98" s="56">
        <v>140</v>
      </c>
      <c r="Y98" s="53">
        <f t="shared" si="6"/>
        <v>140</v>
      </c>
      <c r="Z98" s="39">
        <f t="shared" si="7"/>
        <v>2.5032000000000001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501.70400000000001</v>
      </c>
      <c r="BN98" s="78">
        <f t="shared" si="9"/>
        <v>501.70400000000001</v>
      </c>
      <c r="BO98" s="78">
        <f t="shared" si="10"/>
        <v>2</v>
      </c>
      <c r="BP98" s="78">
        <f t="shared" si="11"/>
        <v>2</v>
      </c>
    </row>
    <row r="99" spans="1:68" ht="27" hidden="1" customHeight="1" x14ac:dyDescent="0.25">
      <c r="A99" s="60" t="s">
        <v>182</v>
      </c>
      <c r="B99" s="60" t="s">
        <v>183</v>
      </c>
      <c r="C99" s="34">
        <v>4301135768</v>
      </c>
      <c r="D99" s="282">
        <v>4620207491034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5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282">
        <v>4620207491010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5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210</v>
      </c>
      <c r="Y100" s="53">
        <f t="shared" si="6"/>
        <v>210</v>
      </c>
      <c r="Z100" s="39">
        <f t="shared" si="7"/>
        <v>3.7547999999999999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752.55600000000004</v>
      </c>
      <c r="BN100" s="78">
        <f t="shared" si="9"/>
        <v>752.55600000000004</v>
      </c>
      <c r="BO100" s="78">
        <f t="shared" si="10"/>
        <v>3</v>
      </c>
      <c r="BP100" s="78">
        <f t="shared" si="11"/>
        <v>3</v>
      </c>
    </row>
    <row r="101" spans="1:68" ht="27" hidden="1" customHeight="1" x14ac:dyDescent="0.25">
      <c r="A101" s="60" t="s">
        <v>187</v>
      </c>
      <c r="B101" s="60" t="s">
        <v>188</v>
      </c>
      <c r="C101" s="34">
        <v>4301135571</v>
      </c>
      <c r="D101" s="282">
        <v>4607111035028</v>
      </c>
      <c r="E101" s="282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6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189</v>
      </c>
      <c r="B102" s="60" t="s">
        <v>190</v>
      </c>
      <c r="C102" s="34">
        <v>4301135285</v>
      </c>
      <c r="D102" s="282">
        <v>4607111036407</v>
      </c>
      <c r="E102" s="282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282">
        <v>4620207491461</v>
      </c>
      <c r="E103" s="282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6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14</v>
      </c>
      <c r="Y103" s="53">
        <f t="shared" si="6"/>
        <v>14</v>
      </c>
      <c r="Z103" s="39">
        <f>IFERROR(IF(X103="","",X103*0.00941),"")</f>
        <v>0.13174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24.36</v>
      </c>
      <c r="BN103" s="78">
        <f t="shared" si="9"/>
        <v>24.36</v>
      </c>
      <c r="BO103" s="78">
        <f t="shared" si="10"/>
        <v>0.1</v>
      </c>
      <c r="BP103" s="78">
        <f t="shared" si="11"/>
        <v>0.1</v>
      </c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0"/>
      <c r="P104" s="286" t="s">
        <v>40</v>
      </c>
      <c r="Q104" s="287"/>
      <c r="R104" s="287"/>
      <c r="S104" s="287"/>
      <c r="T104" s="287"/>
      <c r="U104" s="287"/>
      <c r="V104" s="288"/>
      <c r="W104" s="40" t="s">
        <v>39</v>
      </c>
      <c r="X104" s="41">
        <f>IFERROR(SUM(X97:X103),"0")</f>
        <v>504</v>
      </c>
      <c r="Y104" s="41">
        <f>IFERROR(SUM(Y97:Y103),"0")</f>
        <v>504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8.8929400000000012</v>
      </c>
      <c r="AA104" s="64"/>
      <c r="AB104" s="64"/>
      <c r="AC104" s="64"/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0</v>
      </c>
      <c r="X105" s="41">
        <f>IFERROR(SUMPRODUCT(X97:X103*H97:H103),"0")</f>
        <v>1429.6799999999998</v>
      </c>
      <c r="Y105" s="41">
        <f>IFERROR(SUMPRODUCT(Y97:Y103*H97:H103),"0")</f>
        <v>1429.6799999999998</v>
      </c>
      <c r="Z105" s="40"/>
      <c r="AA105" s="64"/>
      <c r="AB105" s="64"/>
      <c r="AC105" s="64"/>
    </row>
    <row r="106" spans="1:68" ht="16.5" hidden="1" customHeight="1" x14ac:dyDescent="0.25">
      <c r="A106" s="310" t="s">
        <v>195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2"/>
      <c r="AB106" s="62"/>
      <c r="AC106" s="62"/>
    </row>
    <row r="107" spans="1:68" ht="14.25" hidden="1" customHeight="1" x14ac:dyDescent="0.25">
      <c r="A107" s="300" t="s">
        <v>144</v>
      </c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63"/>
      <c r="AB107" s="63"/>
      <c r="AC107" s="63"/>
    </row>
    <row r="108" spans="1:68" ht="27" hidden="1" customHeight="1" x14ac:dyDescent="0.25">
      <c r="A108" s="60" t="s">
        <v>196</v>
      </c>
      <c r="B108" s="60" t="s">
        <v>197</v>
      </c>
      <c r="C108" s="34">
        <v>4301136070</v>
      </c>
      <c r="D108" s="282">
        <v>4607025784012</v>
      </c>
      <c r="E108" s="282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5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4"/>
      <c r="R108" s="284"/>
      <c r="S108" s="284"/>
      <c r="T108" s="285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hidden="1" customHeight="1" x14ac:dyDescent="0.25">
      <c r="A109" s="60" t="s">
        <v>199</v>
      </c>
      <c r="B109" s="60" t="s">
        <v>200</v>
      </c>
      <c r="C109" s="34">
        <v>4301136079</v>
      </c>
      <c r="D109" s="282">
        <v>4607025784319</v>
      </c>
      <c r="E109" s="282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5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hidden="1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hidden="1" customHeight="1" x14ac:dyDescent="0.25">
      <c r="A112" s="310" t="s">
        <v>201</v>
      </c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62"/>
      <c r="AB112" s="62"/>
      <c r="AC112" s="62"/>
    </row>
    <row r="113" spans="1:68" ht="14.25" hidden="1" customHeight="1" x14ac:dyDescent="0.25">
      <c r="A113" s="300" t="s">
        <v>80</v>
      </c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63"/>
      <c r="AB113" s="63"/>
      <c r="AC113" s="63"/>
    </row>
    <row r="114" spans="1:68" ht="27" hidden="1" customHeight="1" x14ac:dyDescent="0.25">
      <c r="A114" s="60" t="s">
        <v>202</v>
      </c>
      <c r="B114" s="60" t="s">
        <v>203</v>
      </c>
      <c r="C114" s="34">
        <v>4301071074</v>
      </c>
      <c r="D114" s="282">
        <v>4620207491157</v>
      </c>
      <c r="E114" s="282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hidden="1" customHeight="1" x14ac:dyDescent="0.25">
      <c r="A115" s="60" t="s">
        <v>205</v>
      </c>
      <c r="B115" s="60" t="s">
        <v>206</v>
      </c>
      <c r="C115" s="34">
        <v>4301071121</v>
      </c>
      <c r="D115" s="282">
        <v>4620207491393</v>
      </c>
      <c r="E115" s="282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5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4301071051</v>
      </c>
      <c r="D116" s="282">
        <v>4607111039262</v>
      </c>
      <c r="E116" s="282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210</v>
      </c>
      <c r="B117" s="60" t="s">
        <v>211</v>
      </c>
      <c r="C117" s="34">
        <v>4301071038</v>
      </c>
      <c r="D117" s="282">
        <v>4607111039248</v>
      </c>
      <c r="E117" s="282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5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212</v>
      </c>
      <c r="B118" s="60" t="s">
        <v>213</v>
      </c>
      <c r="C118" s="34">
        <v>4301070979</v>
      </c>
      <c r="D118" s="282">
        <v>4607111037145</v>
      </c>
      <c r="E118" s="282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4301071049</v>
      </c>
      <c r="D119" s="282">
        <v>4607111039293</v>
      </c>
      <c r="E119" s="282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217</v>
      </c>
      <c r="B120" s="60" t="s">
        <v>218</v>
      </c>
      <c r="C120" s="34">
        <v>4301071039</v>
      </c>
      <c r="D120" s="282">
        <v>4607111039279</v>
      </c>
      <c r="E120" s="282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idden="1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0"/>
      <c r="P121" s="286" t="s">
        <v>40</v>
      </c>
      <c r="Q121" s="287"/>
      <c r="R121" s="287"/>
      <c r="S121" s="287"/>
      <c r="T121" s="287"/>
      <c r="U121" s="287"/>
      <c r="V121" s="288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hidden="1" customHeight="1" x14ac:dyDescent="0.25">
      <c r="A123" s="300" t="s">
        <v>150</v>
      </c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282">
        <v>4620207490983</v>
      </c>
      <c r="E124" s="282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3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7" t="s">
        <v>46</v>
      </c>
      <c r="V124" s="37" t="s">
        <v>46</v>
      </c>
      <c r="W124" s="38" t="s">
        <v>39</v>
      </c>
      <c r="X124" s="56">
        <v>14</v>
      </c>
      <c r="Y124" s="53">
        <f>IFERROR(IF(X124="","",X124),"")</f>
        <v>14</v>
      </c>
      <c r="Z124" s="39">
        <f>IFERROR(IF(X124="","",X124*0.01788),"")</f>
        <v>0.25031999999999999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46.810400000000001</v>
      </c>
      <c r="BN124" s="78">
        <f>IFERROR(Y124*I124,"0")</f>
        <v>46.810400000000001</v>
      </c>
      <c r="BO124" s="78">
        <f>IFERROR(X124/J124,"0")</f>
        <v>0.2</v>
      </c>
      <c r="BP124" s="78">
        <f>IFERROR(Y124/J124,"0")</f>
        <v>0.2</v>
      </c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0" t="s">
        <v>39</v>
      </c>
      <c r="X125" s="41">
        <f>IFERROR(SUM(X124:X124),"0")</f>
        <v>14</v>
      </c>
      <c r="Y125" s="41">
        <f>IFERROR(SUM(Y124:Y124),"0")</f>
        <v>14</v>
      </c>
      <c r="Z125" s="41">
        <f>IFERROR(IF(Z124="",0,Z124),"0")</f>
        <v>0.25031999999999999</v>
      </c>
      <c r="AA125" s="64"/>
      <c r="AB125" s="64"/>
      <c r="AC125" s="64"/>
    </row>
    <row r="126" spans="1:68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0</v>
      </c>
      <c r="X126" s="41">
        <f>IFERROR(SUMPRODUCT(X124:X124*H124:H124),"0")</f>
        <v>36.96</v>
      </c>
      <c r="Y126" s="41">
        <f>IFERROR(SUMPRODUCT(Y124:Y124*H124:H124),"0")</f>
        <v>36.96</v>
      </c>
      <c r="Z126" s="40"/>
      <c r="AA126" s="64"/>
      <c r="AB126" s="64"/>
      <c r="AC126" s="64"/>
    </row>
    <row r="127" spans="1:68" ht="14.25" hidden="1" customHeight="1" x14ac:dyDescent="0.25">
      <c r="A127" s="300" t="s">
        <v>222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3"/>
      <c r="AB127" s="63"/>
      <c r="AC127" s="63"/>
    </row>
    <row r="128" spans="1:68" ht="27" hidden="1" customHeight="1" x14ac:dyDescent="0.25">
      <c r="A128" s="60" t="s">
        <v>223</v>
      </c>
      <c r="B128" s="60" t="s">
        <v>224</v>
      </c>
      <c r="C128" s="34">
        <v>4301071094</v>
      </c>
      <c r="D128" s="282">
        <v>4620207491140</v>
      </c>
      <c r="E128" s="282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34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0"/>
      <c r="P129" s="286" t="s">
        <v>40</v>
      </c>
      <c r="Q129" s="287"/>
      <c r="R129" s="287"/>
      <c r="S129" s="287"/>
      <c r="T129" s="287"/>
      <c r="U129" s="287"/>
      <c r="V129" s="288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hidden="1" customHeight="1" x14ac:dyDescent="0.25">
      <c r="A131" s="310" t="s">
        <v>226</v>
      </c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62"/>
      <c r="AB131" s="62"/>
      <c r="AC131" s="62"/>
    </row>
    <row r="132" spans="1:68" ht="14.25" hidden="1" customHeight="1" x14ac:dyDescent="0.25">
      <c r="A132" s="300" t="s">
        <v>227</v>
      </c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63"/>
      <c r="AB132" s="63"/>
      <c r="AC132" s="63"/>
    </row>
    <row r="133" spans="1:68" ht="27" hidden="1" customHeight="1" x14ac:dyDescent="0.25">
      <c r="A133" s="60" t="s">
        <v>228</v>
      </c>
      <c r="B133" s="60" t="s">
        <v>229</v>
      </c>
      <c r="C133" s="34">
        <v>4301190117</v>
      </c>
      <c r="D133" s="282">
        <v>4620207491386</v>
      </c>
      <c r="E133" s="282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347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284"/>
      <c r="R133" s="284"/>
      <c r="S133" s="284"/>
      <c r="T133" s="285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hidden="1" customHeight="1" x14ac:dyDescent="0.25">
      <c r="A134" s="60" t="s">
        <v>231</v>
      </c>
      <c r="B134" s="60" t="s">
        <v>232</v>
      </c>
      <c r="C134" s="34">
        <v>4301190115</v>
      </c>
      <c r="D134" s="282">
        <v>4620207491362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344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hidden="1" customHeight="1" x14ac:dyDescent="0.25">
      <c r="A135" s="60" t="s">
        <v>233</v>
      </c>
      <c r="B135" s="60" t="s">
        <v>234</v>
      </c>
      <c r="C135" s="34">
        <v>4301190116</v>
      </c>
      <c r="D135" s="282">
        <v>4620207491379</v>
      </c>
      <c r="E135" s="282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284"/>
      <c r="R135" s="284"/>
      <c r="S135" s="284"/>
      <c r="T135" s="285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idden="1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hidden="1" customHeight="1" x14ac:dyDescent="0.25">
      <c r="A138" s="310" t="s">
        <v>235</v>
      </c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62"/>
      <c r="AB138" s="62"/>
      <c r="AC138" s="62"/>
    </row>
    <row r="139" spans="1:68" ht="14.25" hidden="1" customHeight="1" x14ac:dyDescent="0.25">
      <c r="A139" s="300" t="s">
        <v>150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282">
        <v>4620207491485</v>
      </c>
      <c r="E140" s="282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34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14</v>
      </c>
      <c r="Y140" s="53">
        <f>IFERROR(IF(X140="","",X140),"")</f>
        <v>14</v>
      </c>
      <c r="Z140" s="39">
        <f>IFERROR(IF(X140="","",X140*0.00941),"")</f>
        <v>0.13174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25.2</v>
      </c>
      <c r="BN140" s="78">
        <f>IFERROR(Y140*I140,"0")</f>
        <v>25.2</v>
      </c>
      <c r="BO140" s="78">
        <f>IFERROR(X140/J140,"0")</f>
        <v>0.1</v>
      </c>
      <c r="BP140" s="78">
        <f>IFERROR(Y140/J140,"0")</f>
        <v>0.1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282">
        <v>4607111034014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140</v>
      </c>
      <c r="Y141" s="53">
        <f>IFERROR(IF(X141="","",X141),"")</f>
        <v>140</v>
      </c>
      <c r="Z141" s="39">
        <f>IFERROR(IF(X141="","",X141*0.01788),"")</f>
        <v>2.5032000000000001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518.50400000000002</v>
      </c>
      <c r="BN141" s="78">
        <f>IFERROR(Y141*I141,"0")</f>
        <v>518.50400000000002</v>
      </c>
      <c r="BO141" s="78">
        <f>IFERROR(X141/J141,"0")</f>
        <v>2</v>
      </c>
      <c r="BP141" s="78">
        <f>IFERROR(Y141/J141,"0")</f>
        <v>2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282">
        <v>4607111033994</v>
      </c>
      <c r="E142" s="282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284"/>
      <c r="R142" s="284"/>
      <c r="S142" s="284"/>
      <c r="T142" s="285"/>
      <c r="U142" s="37" t="s">
        <v>46</v>
      </c>
      <c r="V142" s="37" t="s">
        <v>46</v>
      </c>
      <c r="W142" s="38" t="s">
        <v>39</v>
      </c>
      <c r="X142" s="56">
        <v>210</v>
      </c>
      <c r="Y142" s="53">
        <f>IFERROR(IF(X142="","",X142),"")</f>
        <v>210</v>
      </c>
      <c r="Z142" s="39">
        <f>IFERROR(IF(X142="","",X142*0.01788),"")</f>
        <v>3.7547999999999999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777.75599999999997</v>
      </c>
      <c r="BN142" s="78">
        <f>IFERROR(Y142*I142,"0")</f>
        <v>777.75599999999997</v>
      </c>
      <c r="BO142" s="78">
        <f>IFERROR(X142/J142,"0")</f>
        <v>3</v>
      </c>
      <c r="BP142" s="78">
        <f>IFERROR(Y142/J142,"0")</f>
        <v>3</v>
      </c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39</v>
      </c>
      <c r="X143" s="41">
        <f>IFERROR(SUM(X140:X142),"0")</f>
        <v>364</v>
      </c>
      <c r="Y143" s="41">
        <f>IFERROR(SUM(Y140:Y142),"0")</f>
        <v>364</v>
      </c>
      <c r="Z143" s="41">
        <f>IFERROR(IF(Z140="",0,Z140),"0")+IFERROR(IF(Z141="",0,Z141),"0")+IFERROR(IF(Z142="",0,Z142),"0")</f>
        <v>6.3897399999999998</v>
      </c>
      <c r="AA143" s="64"/>
      <c r="AB143" s="64"/>
      <c r="AC143" s="64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0"/>
      <c r="P144" s="286" t="s">
        <v>40</v>
      </c>
      <c r="Q144" s="287"/>
      <c r="R144" s="287"/>
      <c r="S144" s="287"/>
      <c r="T144" s="287"/>
      <c r="U144" s="287"/>
      <c r="V144" s="288"/>
      <c r="W144" s="40" t="s">
        <v>0</v>
      </c>
      <c r="X144" s="41">
        <f>IFERROR(SUMPRODUCT(X140:X142*H140:H142),"0")</f>
        <v>1069.32</v>
      </c>
      <c r="Y144" s="41">
        <f>IFERROR(SUMPRODUCT(Y140:Y142*H140:H142),"0")</f>
        <v>1069.32</v>
      </c>
      <c r="Z144" s="40"/>
      <c r="AA144" s="64"/>
      <c r="AB144" s="64"/>
      <c r="AC144" s="64"/>
    </row>
    <row r="145" spans="1:68" ht="16.5" hidden="1" customHeight="1" x14ac:dyDescent="0.25">
      <c r="A145" s="310" t="s">
        <v>243</v>
      </c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62"/>
      <c r="AB145" s="62"/>
      <c r="AC145" s="62"/>
    </row>
    <row r="146" spans="1:68" ht="14.25" hidden="1" customHeight="1" x14ac:dyDescent="0.25">
      <c r="A146" s="300" t="s">
        <v>150</v>
      </c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282">
        <v>4620207491492</v>
      </c>
      <c r="E147" s="282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338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14</v>
      </c>
      <c r="Y147" s="53">
        <f>IFERROR(IF(X147="","",X147),"")</f>
        <v>14</v>
      </c>
      <c r="Z147" s="39">
        <f>IFERROR(IF(X147="","",X147*0.00941),"")</f>
        <v>0.13174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25.2</v>
      </c>
      <c r="BN147" s="78">
        <f>IFERROR(Y147*I147,"0")</f>
        <v>25.2</v>
      </c>
      <c r="BO147" s="78">
        <f>IFERROR(X147/J147,"0")</f>
        <v>0.1</v>
      </c>
      <c r="BP147" s="78">
        <f>IFERROR(Y147/J147,"0")</f>
        <v>0.1</v>
      </c>
    </row>
    <row r="148" spans="1:68" ht="27" hidden="1" customHeight="1" x14ac:dyDescent="0.25">
      <c r="A148" s="60" t="s">
        <v>246</v>
      </c>
      <c r="B148" s="60" t="s">
        <v>247</v>
      </c>
      <c r="C148" s="34">
        <v>4301135824</v>
      </c>
      <c r="D148" s="282">
        <v>4607111039095</v>
      </c>
      <c r="E148" s="282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3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282">
        <v>4607111034199</v>
      </c>
      <c r="E149" s="282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284"/>
      <c r="R149" s="284"/>
      <c r="S149" s="284"/>
      <c r="T149" s="285"/>
      <c r="U149" s="37" t="s">
        <v>46</v>
      </c>
      <c r="V149" s="37" t="s">
        <v>46</v>
      </c>
      <c r="W149" s="38" t="s">
        <v>39</v>
      </c>
      <c r="X149" s="56">
        <v>70</v>
      </c>
      <c r="Y149" s="53">
        <f>IFERROR(IF(X149="","",X149),"")</f>
        <v>70</v>
      </c>
      <c r="Z149" s="39">
        <f>IFERROR(IF(X149="","",X149*0.01788),"")</f>
        <v>1.2516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259.25200000000001</v>
      </c>
      <c r="BN149" s="78">
        <f>IFERROR(Y149*I149,"0")</f>
        <v>259.25200000000001</v>
      </c>
      <c r="BO149" s="78">
        <f>IFERROR(X149/J149,"0")</f>
        <v>1</v>
      </c>
      <c r="BP149" s="78">
        <f>IFERROR(Y149/J149,"0")</f>
        <v>1</v>
      </c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39</v>
      </c>
      <c r="X150" s="41">
        <f>IFERROR(SUM(X147:X149),"0")</f>
        <v>84</v>
      </c>
      <c r="Y150" s="41">
        <f>IFERROR(SUM(Y147:Y149),"0")</f>
        <v>84</v>
      </c>
      <c r="Z150" s="41">
        <f>IFERROR(IF(Z147="",0,Z147),"0")+IFERROR(IF(Z148="",0,Z148),"0")+IFERROR(IF(Z149="",0,Z149),"0")</f>
        <v>1.38334</v>
      </c>
      <c r="AA150" s="64"/>
      <c r="AB150" s="64"/>
      <c r="AC150" s="64"/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0" t="s">
        <v>0</v>
      </c>
      <c r="X151" s="41">
        <f>IFERROR(SUMPRODUCT(X147:X149*H147:H149),"0")</f>
        <v>229.32</v>
      </c>
      <c r="Y151" s="41">
        <f>IFERROR(SUMPRODUCT(Y147:Y149*H147:H149),"0")</f>
        <v>229.32</v>
      </c>
      <c r="Z151" s="40"/>
      <c r="AA151" s="64"/>
      <c r="AB151" s="64"/>
      <c r="AC151" s="64"/>
    </row>
    <row r="152" spans="1:68" ht="16.5" hidden="1" customHeight="1" x14ac:dyDescent="0.25">
      <c r="A152" s="310" t="s">
        <v>252</v>
      </c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62"/>
      <c r="AB152" s="62"/>
      <c r="AC152" s="62"/>
    </row>
    <row r="153" spans="1:68" ht="14.25" hidden="1" customHeight="1" x14ac:dyDescent="0.25">
      <c r="A153" s="300" t="s">
        <v>150</v>
      </c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63"/>
      <c r="AB153" s="63"/>
      <c r="AC153" s="63"/>
    </row>
    <row r="154" spans="1:68" ht="27" hidden="1" customHeight="1" x14ac:dyDescent="0.25">
      <c r="A154" s="60" t="s">
        <v>253</v>
      </c>
      <c r="B154" s="60" t="s">
        <v>254</v>
      </c>
      <c r="C154" s="34">
        <v>4301135753</v>
      </c>
      <c r="D154" s="282">
        <v>4620207490914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3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hidden="1" customHeight="1" x14ac:dyDescent="0.25">
      <c r="A155" s="60" t="s">
        <v>255</v>
      </c>
      <c r="B155" s="60" t="s">
        <v>256</v>
      </c>
      <c r="C155" s="34">
        <v>4301135778</v>
      </c>
      <c r="D155" s="282">
        <v>4620207490853</v>
      </c>
      <c r="E155" s="282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3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284"/>
      <c r="R155" s="284"/>
      <c r="S155" s="284"/>
      <c r="T155" s="285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idden="1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hidden="1" customHeight="1" x14ac:dyDescent="0.25">
      <c r="A158" s="310" t="s">
        <v>257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62"/>
      <c r="AB158" s="62"/>
      <c r="AC158" s="62"/>
    </row>
    <row r="159" spans="1:68" ht="14.25" hidden="1" customHeight="1" x14ac:dyDescent="0.25">
      <c r="A159" s="300" t="s">
        <v>150</v>
      </c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282">
        <v>4607111035806</v>
      </c>
      <c r="E160" s="282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33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284"/>
      <c r="R160" s="284"/>
      <c r="S160" s="284"/>
      <c r="T160" s="285"/>
      <c r="U160" s="37" t="s">
        <v>46</v>
      </c>
      <c r="V160" s="37" t="s">
        <v>46</v>
      </c>
      <c r="W160" s="38" t="s">
        <v>39</v>
      </c>
      <c r="X160" s="56">
        <v>70</v>
      </c>
      <c r="Y160" s="53">
        <f>IFERROR(IF(X160="","",X160),"")</f>
        <v>70</v>
      </c>
      <c r="Z160" s="39">
        <f>IFERROR(IF(X160="","",X160*0.01788),"")</f>
        <v>1.2516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259.25200000000001</v>
      </c>
      <c r="BN160" s="78">
        <f>IFERROR(Y160*I160,"0")</f>
        <v>259.25200000000001</v>
      </c>
      <c r="BO160" s="78">
        <f>IFERROR(X160/J160,"0")</f>
        <v>1</v>
      </c>
      <c r="BP160" s="78">
        <f>IFERROR(Y160/J160,"0")</f>
        <v>1</v>
      </c>
    </row>
    <row r="161" spans="1:68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39</v>
      </c>
      <c r="X161" s="41">
        <f>IFERROR(SUM(X160:X160),"0")</f>
        <v>70</v>
      </c>
      <c r="Y161" s="41">
        <f>IFERROR(SUM(Y160:Y160),"0")</f>
        <v>70</v>
      </c>
      <c r="Z161" s="41">
        <f>IFERROR(IF(Z160="",0,Z160),"0")</f>
        <v>1.2516</v>
      </c>
      <c r="AA161" s="64"/>
      <c r="AB161" s="64"/>
      <c r="AC161" s="64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0"/>
      <c r="P162" s="286" t="s">
        <v>40</v>
      </c>
      <c r="Q162" s="287"/>
      <c r="R162" s="287"/>
      <c r="S162" s="287"/>
      <c r="T162" s="287"/>
      <c r="U162" s="287"/>
      <c r="V162" s="288"/>
      <c r="W162" s="40" t="s">
        <v>0</v>
      </c>
      <c r="X162" s="41">
        <f>IFERROR(SUMPRODUCT(X160:X160*H160:H160),"0")</f>
        <v>210</v>
      </c>
      <c r="Y162" s="41">
        <f>IFERROR(SUMPRODUCT(Y160:Y160*H160:H160),"0")</f>
        <v>210</v>
      </c>
      <c r="Z162" s="40"/>
      <c r="AA162" s="64"/>
      <c r="AB162" s="64"/>
      <c r="AC162" s="64"/>
    </row>
    <row r="163" spans="1:68" ht="16.5" hidden="1" customHeight="1" x14ac:dyDescent="0.25">
      <c r="A163" s="310" t="s">
        <v>261</v>
      </c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62"/>
      <c r="AB163" s="62"/>
      <c r="AC163" s="62"/>
    </row>
    <row r="164" spans="1:68" ht="14.25" hidden="1" customHeight="1" x14ac:dyDescent="0.25">
      <c r="A164" s="300" t="s">
        <v>150</v>
      </c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63"/>
      <c r="AB164" s="63"/>
      <c r="AC164" s="63"/>
    </row>
    <row r="165" spans="1:68" ht="16.5" hidden="1" customHeight="1" x14ac:dyDescent="0.25">
      <c r="A165" s="60" t="s">
        <v>262</v>
      </c>
      <c r="B165" s="60" t="s">
        <v>263</v>
      </c>
      <c r="C165" s="34">
        <v>4301135607</v>
      </c>
      <c r="D165" s="282">
        <v>4607111039613</v>
      </c>
      <c r="E165" s="282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33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284"/>
      <c r="R165" s="284"/>
      <c r="S165" s="284"/>
      <c r="T165" s="285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hidden="1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0"/>
      <c r="P167" s="286" t="s">
        <v>40</v>
      </c>
      <c r="Q167" s="287"/>
      <c r="R167" s="287"/>
      <c r="S167" s="287"/>
      <c r="T167" s="287"/>
      <c r="U167" s="287"/>
      <c r="V167" s="288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hidden="1" customHeight="1" x14ac:dyDescent="0.25">
      <c r="A168" s="310" t="s">
        <v>264</v>
      </c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62"/>
      <c r="AB168" s="62"/>
      <c r="AC168" s="62"/>
    </row>
    <row r="169" spans="1:68" ht="14.25" hidden="1" customHeight="1" x14ac:dyDescent="0.25">
      <c r="A169" s="300" t="s">
        <v>150</v>
      </c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63"/>
      <c r="AB169" s="63"/>
      <c r="AC169" s="63"/>
    </row>
    <row r="170" spans="1:68" ht="27" hidden="1" customHeight="1" x14ac:dyDescent="0.25">
      <c r="A170" s="60" t="s">
        <v>265</v>
      </c>
      <c r="B170" s="60" t="s">
        <v>266</v>
      </c>
      <c r="C170" s="34">
        <v>4301135591</v>
      </c>
      <c r="D170" s="282">
        <v>4607111036568</v>
      </c>
      <c r="E170" s="282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33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284"/>
      <c r="R170" s="284"/>
      <c r="S170" s="284"/>
      <c r="T170" s="285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hidden="1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hidden="1" customHeight="1" x14ac:dyDescent="0.2">
      <c r="A173" s="309" t="s">
        <v>268</v>
      </c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52"/>
      <c r="AB173" s="52"/>
      <c r="AC173" s="52"/>
    </row>
    <row r="174" spans="1:68" ht="16.5" hidden="1" customHeight="1" x14ac:dyDescent="0.25">
      <c r="A174" s="310" t="s">
        <v>269</v>
      </c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62"/>
      <c r="AB174" s="62"/>
      <c r="AC174" s="62"/>
    </row>
    <row r="175" spans="1:68" ht="14.25" hidden="1" customHeight="1" x14ac:dyDescent="0.25">
      <c r="A175" s="300" t="s">
        <v>80</v>
      </c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63"/>
      <c r="AB175" s="63"/>
      <c r="AC175" s="63"/>
    </row>
    <row r="176" spans="1:68" ht="16.5" hidden="1" customHeight="1" x14ac:dyDescent="0.25">
      <c r="A176" s="60" t="s">
        <v>270</v>
      </c>
      <c r="B176" s="60" t="s">
        <v>271</v>
      </c>
      <c r="C176" s="34">
        <v>4301071062</v>
      </c>
      <c r="D176" s="282">
        <v>4607111036384</v>
      </c>
      <c r="E176" s="282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284"/>
      <c r="R176" s="284"/>
      <c r="S176" s="284"/>
      <c r="T176" s="285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hidden="1" customHeight="1" x14ac:dyDescent="0.25">
      <c r="A177" s="60" t="s">
        <v>273</v>
      </c>
      <c r="B177" s="60" t="s">
        <v>274</v>
      </c>
      <c r="C177" s="34">
        <v>4301071050</v>
      </c>
      <c r="D177" s="282">
        <v>4607111036216</v>
      </c>
      <c r="E177" s="282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284"/>
      <c r="R177" s="284"/>
      <c r="S177" s="284"/>
      <c r="T177" s="285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idden="1" x14ac:dyDescent="0.2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90"/>
      <c r="P178" s="286" t="s">
        <v>40</v>
      </c>
      <c r="Q178" s="287"/>
      <c r="R178" s="287"/>
      <c r="S178" s="287"/>
      <c r="T178" s="287"/>
      <c r="U178" s="287"/>
      <c r="V178" s="288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hidden="1" x14ac:dyDescent="0.2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90"/>
      <c r="P179" s="286" t="s">
        <v>40</v>
      </c>
      <c r="Q179" s="287"/>
      <c r="R179" s="287"/>
      <c r="S179" s="287"/>
      <c r="T179" s="287"/>
      <c r="U179" s="287"/>
      <c r="V179" s="288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hidden="1" customHeight="1" x14ac:dyDescent="0.25">
      <c r="A180" s="300" t="s">
        <v>276</v>
      </c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63"/>
      <c r="AB180" s="63"/>
      <c r="AC180" s="63"/>
    </row>
    <row r="181" spans="1:68" ht="27" hidden="1" customHeight="1" x14ac:dyDescent="0.25">
      <c r="A181" s="60" t="s">
        <v>277</v>
      </c>
      <c r="B181" s="60" t="s">
        <v>278</v>
      </c>
      <c r="C181" s="34">
        <v>4301080153</v>
      </c>
      <c r="D181" s="282">
        <v>4607111036827</v>
      </c>
      <c r="E181" s="282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hidden="1" customHeight="1" x14ac:dyDescent="0.25">
      <c r="A182" s="60" t="s">
        <v>280</v>
      </c>
      <c r="B182" s="60" t="s">
        <v>281</v>
      </c>
      <c r="C182" s="34">
        <v>4301080154</v>
      </c>
      <c r="D182" s="282">
        <v>4607111036834</v>
      </c>
      <c r="E182" s="282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284"/>
      <c r="R182" s="284"/>
      <c r="S182" s="284"/>
      <c r="T182" s="285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idden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hidden="1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0"/>
      <c r="P184" s="286" t="s">
        <v>40</v>
      </c>
      <c r="Q184" s="287"/>
      <c r="R184" s="287"/>
      <c r="S184" s="287"/>
      <c r="T184" s="287"/>
      <c r="U184" s="287"/>
      <c r="V184" s="288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hidden="1" customHeight="1" x14ac:dyDescent="0.2">
      <c r="A185" s="309" t="s">
        <v>282</v>
      </c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52"/>
      <c r="AB185" s="52"/>
      <c r="AC185" s="52"/>
    </row>
    <row r="186" spans="1:68" ht="16.5" hidden="1" customHeight="1" x14ac:dyDescent="0.25">
      <c r="A186" s="310" t="s">
        <v>283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2"/>
      <c r="AB186" s="62"/>
      <c r="AC186" s="62"/>
    </row>
    <row r="187" spans="1:68" ht="14.25" hidden="1" customHeight="1" x14ac:dyDescent="0.25">
      <c r="A187" s="300" t="s">
        <v>106</v>
      </c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282">
        <v>4607111035691</v>
      </c>
      <c r="E188" s="282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3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284"/>
      <c r="R188" s="284"/>
      <c r="S188" s="284"/>
      <c r="T188" s="285"/>
      <c r="U188" s="37" t="s">
        <v>46</v>
      </c>
      <c r="V188" s="37" t="s">
        <v>46</v>
      </c>
      <c r="W188" s="38" t="s">
        <v>39</v>
      </c>
      <c r="X188" s="56">
        <v>70</v>
      </c>
      <c r="Y188" s="53">
        <f>IFERROR(IF(X188="","",X188),"")</f>
        <v>70</v>
      </c>
      <c r="Z188" s="39">
        <f>IFERROR(IF(X188="","",X188*0.01788),"")</f>
        <v>1.2516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237.16</v>
      </c>
      <c r="BN188" s="78">
        <f>IFERROR(Y188*I188,"0")</f>
        <v>237.16</v>
      </c>
      <c r="BO188" s="78">
        <f>IFERROR(X188/J188,"0")</f>
        <v>1</v>
      </c>
      <c r="BP188" s="78">
        <f>IFERROR(Y188/J188,"0")</f>
        <v>1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282">
        <v>4607111035721</v>
      </c>
      <c r="E189" s="282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32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284"/>
      <c r="R189" s="284"/>
      <c r="S189" s="284"/>
      <c r="T189" s="285"/>
      <c r="U189" s="37" t="s">
        <v>46</v>
      </c>
      <c r="V189" s="37" t="s">
        <v>46</v>
      </c>
      <c r="W189" s="38" t="s">
        <v>39</v>
      </c>
      <c r="X189" s="56">
        <v>70</v>
      </c>
      <c r="Y189" s="53">
        <f>IFERROR(IF(X189="","",X189),"")</f>
        <v>70</v>
      </c>
      <c r="Z189" s="39">
        <f>IFERROR(IF(X189="","",X189*0.01788),"")</f>
        <v>1.2516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237.16</v>
      </c>
      <c r="BN189" s="78">
        <f>IFERROR(Y189*I189,"0")</f>
        <v>237.16</v>
      </c>
      <c r="BO189" s="78">
        <f>IFERROR(X189/J189,"0")</f>
        <v>1</v>
      </c>
      <c r="BP189" s="78">
        <f>IFERROR(Y189/J189,"0")</f>
        <v>1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282">
        <v>4607111038487</v>
      </c>
      <c r="E190" s="282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32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284"/>
      <c r="R190" s="284"/>
      <c r="S190" s="284"/>
      <c r="T190" s="285"/>
      <c r="U190" s="37" t="s">
        <v>46</v>
      </c>
      <c r="V190" s="37" t="s">
        <v>46</v>
      </c>
      <c r="W190" s="38" t="s">
        <v>39</v>
      </c>
      <c r="X190" s="56">
        <v>70</v>
      </c>
      <c r="Y190" s="53">
        <f>IFERROR(IF(X190="","",X190),"")</f>
        <v>70</v>
      </c>
      <c r="Z190" s="39">
        <f>IFERROR(IF(X190="","",X190*0.01788),"")</f>
        <v>1.2516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261.52000000000004</v>
      </c>
      <c r="BN190" s="78">
        <f>IFERROR(Y190*I190,"0")</f>
        <v>261.52000000000004</v>
      </c>
      <c r="BO190" s="78">
        <f>IFERROR(X190/J190,"0")</f>
        <v>1</v>
      </c>
      <c r="BP190" s="78">
        <f>IFERROR(Y190/J190,"0")</f>
        <v>1</v>
      </c>
    </row>
    <row r="191" spans="1:68" ht="27" hidden="1" customHeight="1" x14ac:dyDescent="0.25">
      <c r="A191" s="60" t="s">
        <v>293</v>
      </c>
      <c r="B191" s="60" t="s">
        <v>294</v>
      </c>
      <c r="C191" s="34">
        <v>4301132243</v>
      </c>
      <c r="D191" s="282">
        <v>4620207491195</v>
      </c>
      <c r="E191" s="282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3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284"/>
      <c r="R191" s="284"/>
      <c r="S191" s="284"/>
      <c r="T191" s="285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0"/>
      <c r="P192" s="286" t="s">
        <v>40</v>
      </c>
      <c r="Q192" s="287"/>
      <c r="R192" s="287"/>
      <c r="S192" s="287"/>
      <c r="T192" s="287"/>
      <c r="U192" s="287"/>
      <c r="V192" s="288"/>
      <c r="W192" s="40" t="s">
        <v>39</v>
      </c>
      <c r="X192" s="41">
        <f>IFERROR(SUM(X188:X191),"0")</f>
        <v>210</v>
      </c>
      <c r="Y192" s="41">
        <f>IFERROR(SUM(Y188:Y191),"0")</f>
        <v>210</v>
      </c>
      <c r="Z192" s="41">
        <f>IFERROR(IF(Z188="",0,Z188),"0")+IFERROR(IF(Z189="",0,Z189),"0")+IFERROR(IF(Z190="",0,Z190),"0")+IFERROR(IF(Z191="",0,Z191),"0")</f>
        <v>3.7548000000000004</v>
      </c>
      <c r="AA192" s="64"/>
      <c r="AB192" s="64"/>
      <c r="AC192" s="64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0"/>
      <c r="P193" s="286" t="s">
        <v>40</v>
      </c>
      <c r="Q193" s="287"/>
      <c r="R193" s="287"/>
      <c r="S193" s="287"/>
      <c r="T193" s="287"/>
      <c r="U193" s="287"/>
      <c r="V193" s="288"/>
      <c r="W193" s="40" t="s">
        <v>0</v>
      </c>
      <c r="X193" s="41">
        <f>IFERROR(SUMPRODUCT(X188:X191*H188:H191),"0")</f>
        <v>630</v>
      </c>
      <c r="Y193" s="41">
        <f>IFERROR(SUMPRODUCT(Y188:Y191*H188:H191),"0")</f>
        <v>630</v>
      </c>
      <c r="Z193" s="40"/>
      <c r="AA193" s="64"/>
      <c r="AB193" s="64"/>
      <c r="AC193" s="64"/>
    </row>
    <row r="194" spans="1:68" ht="27.75" hidden="1" customHeight="1" x14ac:dyDescent="0.2">
      <c r="A194" s="309" t="s">
        <v>296</v>
      </c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52"/>
      <c r="AB194" s="52"/>
      <c r="AC194" s="52"/>
    </row>
    <row r="195" spans="1:68" ht="16.5" hidden="1" customHeight="1" x14ac:dyDescent="0.25">
      <c r="A195" s="310" t="s">
        <v>297</v>
      </c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62"/>
      <c r="AB195" s="62"/>
      <c r="AC195" s="62"/>
    </row>
    <row r="196" spans="1:68" ht="14.25" hidden="1" customHeight="1" x14ac:dyDescent="0.25">
      <c r="A196" s="300" t="s">
        <v>106</v>
      </c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63"/>
      <c r="AB196" s="63"/>
      <c r="AC196" s="63"/>
    </row>
    <row r="197" spans="1:68" ht="27" hidden="1" customHeight="1" x14ac:dyDescent="0.25">
      <c r="A197" s="60" t="s">
        <v>298</v>
      </c>
      <c r="B197" s="60" t="s">
        <v>299</v>
      </c>
      <c r="C197" s="34">
        <v>4301132227</v>
      </c>
      <c r="D197" s="282">
        <v>4620207491133</v>
      </c>
      <c r="E197" s="282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284"/>
      <c r="R197" s="284"/>
      <c r="S197" s="284"/>
      <c r="T197" s="285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idden="1" x14ac:dyDescent="0.2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90"/>
      <c r="P198" s="286" t="s">
        <v>40</v>
      </c>
      <c r="Q198" s="287"/>
      <c r="R198" s="287"/>
      <c r="S198" s="287"/>
      <c r="T198" s="287"/>
      <c r="U198" s="287"/>
      <c r="V198" s="288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90"/>
      <c r="P199" s="286" t="s">
        <v>40</v>
      </c>
      <c r="Q199" s="287"/>
      <c r="R199" s="287"/>
      <c r="S199" s="287"/>
      <c r="T199" s="287"/>
      <c r="U199" s="287"/>
      <c r="V199" s="288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hidden="1" customHeight="1" x14ac:dyDescent="0.25">
      <c r="A200" s="300" t="s">
        <v>150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hidden="1" customHeight="1" x14ac:dyDescent="0.25">
      <c r="A201" s="60" t="s">
        <v>301</v>
      </c>
      <c r="B201" s="60" t="s">
        <v>302</v>
      </c>
      <c r="C201" s="34">
        <v>4301135834</v>
      </c>
      <c r="D201" s="282">
        <v>4620207491188</v>
      </c>
      <c r="E201" s="282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32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hidden="1" customHeight="1" x14ac:dyDescent="0.25">
      <c r="A202" s="60" t="s">
        <v>304</v>
      </c>
      <c r="B202" s="60" t="s">
        <v>305</v>
      </c>
      <c r="C202" s="34">
        <v>4301135707</v>
      </c>
      <c r="D202" s="282">
        <v>4620207490198</v>
      </c>
      <c r="E202" s="282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3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284"/>
      <c r="R202" s="284"/>
      <c r="S202" s="284"/>
      <c r="T202" s="285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307</v>
      </c>
      <c r="B203" s="60" t="s">
        <v>308</v>
      </c>
      <c r="C203" s="34">
        <v>4301135829</v>
      </c>
      <c r="D203" s="282">
        <v>4620207490235</v>
      </c>
      <c r="E203" s="282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32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284"/>
      <c r="R203" s="284"/>
      <c r="S203" s="284"/>
      <c r="T203" s="285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310</v>
      </c>
      <c r="B204" s="60" t="s">
        <v>311</v>
      </c>
      <c r="C204" s="34">
        <v>4301135697</v>
      </c>
      <c r="D204" s="282">
        <v>4620207490259</v>
      </c>
      <c r="E204" s="282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31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4"/>
      <c r="R204" s="284"/>
      <c r="S204" s="284"/>
      <c r="T204" s="285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0"/>
      <c r="P205" s="286" t="s">
        <v>40</v>
      </c>
      <c r="Q205" s="287"/>
      <c r="R205" s="287"/>
      <c r="S205" s="287"/>
      <c r="T205" s="287"/>
      <c r="U205" s="287"/>
      <c r="V205" s="288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10" t="s">
        <v>312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2"/>
      <c r="AB207" s="62"/>
      <c r="AC207" s="62"/>
    </row>
    <row r="208" spans="1:68" ht="14.25" hidden="1" customHeight="1" x14ac:dyDescent="0.25">
      <c r="A208" s="300" t="s">
        <v>80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3"/>
      <c r="AB208" s="63"/>
      <c r="AC208" s="63"/>
    </row>
    <row r="209" spans="1:68" ht="27" hidden="1" customHeight="1" x14ac:dyDescent="0.25">
      <c r="A209" s="60" t="s">
        <v>313</v>
      </c>
      <c r="B209" s="60" t="s">
        <v>314</v>
      </c>
      <c r="C209" s="34">
        <v>4301071097</v>
      </c>
      <c r="D209" s="282">
        <v>4620207491096</v>
      </c>
      <c r="E209" s="282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3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284"/>
      <c r="R209" s="284"/>
      <c r="S209" s="284"/>
      <c r="T209" s="285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0"/>
      <c r="P211" s="286" t="s">
        <v>40</v>
      </c>
      <c r="Q211" s="287"/>
      <c r="R211" s="287"/>
      <c r="S211" s="287"/>
      <c r="T211" s="287"/>
      <c r="U211" s="287"/>
      <c r="V211" s="288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10" t="s">
        <v>316</v>
      </c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62"/>
      <c r="AB212" s="62"/>
      <c r="AC212" s="62"/>
    </row>
    <row r="213" spans="1:68" ht="14.25" hidden="1" customHeight="1" x14ac:dyDescent="0.25">
      <c r="A213" s="300" t="s">
        <v>150</v>
      </c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282">
        <v>4620207490549</v>
      </c>
      <c r="E214" s="282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4"/>
      <c r="R214" s="284"/>
      <c r="S214" s="284"/>
      <c r="T214" s="285"/>
      <c r="U214" s="37" t="s">
        <v>46</v>
      </c>
      <c r="V214" s="37" t="s">
        <v>46</v>
      </c>
      <c r="W214" s="38" t="s">
        <v>39</v>
      </c>
      <c r="X214" s="56">
        <v>14</v>
      </c>
      <c r="Y214" s="53">
        <f>IFERROR(IF(X214="","",X214),"")</f>
        <v>14</v>
      </c>
      <c r="Z214" s="39">
        <f>IFERROR(IF(X214="","",X214*0.01788),"")</f>
        <v>0.25031999999999999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43.450400000000002</v>
      </c>
      <c r="BN214" s="78">
        <f>IFERROR(Y214*I214,"0")</f>
        <v>43.450400000000002</v>
      </c>
      <c r="BO214" s="78">
        <f>IFERROR(X214/J214,"0")</f>
        <v>0.2</v>
      </c>
      <c r="BP214" s="78">
        <f>IFERROR(Y214/J214,"0")</f>
        <v>0.2</v>
      </c>
    </row>
    <row r="215" spans="1:68" ht="27" hidden="1" customHeight="1" x14ac:dyDescent="0.25">
      <c r="A215" s="60" t="s">
        <v>320</v>
      </c>
      <c r="B215" s="60" t="s">
        <v>321</v>
      </c>
      <c r="C215" s="34">
        <v>4301135694</v>
      </c>
      <c r="D215" s="282">
        <v>4620207490501</v>
      </c>
      <c r="E215" s="282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4"/>
      <c r="R215" s="284"/>
      <c r="S215" s="284"/>
      <c r="T215" s="285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90"/>
      <c r="P216" s="286" t="s">
        <v>40</v>
      </c>
      <c r="Q216" s="287"/>
      <c r="R216" s="287"/>
      <c r="S216" s="287"/>
      <c r="T216" s="287"/>
      <c r="U216" s="287"/>
      <c r="V216" s="288"/>
      <c r="W216" s="40" t="s">
        <v>39</v>
      </c>
      <c r="X216" s="41">
        <f>IFERROR(SUM(X214:X215),"0")</f>
        <v>14</v>
      </c>
      <c r="Y216" s="41">
        <f>IFERROR(SUM(Y214:Y215),"0")</f>
        <v>14</v>
      </c>
      <c r="Z216" s="41">
        <f>IFERROR(IF(Z214="",0,Z214),"0")+IFERROR(IF(Z215="",0,Z215),"0")</f>
        <v>0.25031999999999999</v>
      </c>
      <c r="AA216" s="64"/>
      <c r="AB216" s="64"/>
      <c r="AC216" s="64"/>
    </row>
    <row r="217" spans="1:68" x14ac:dyDescent="0.2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0"/>
      <c r="P217" s="286" t="s">
        <v>40</v>
      </c>
      <c r="Q217" s="287"/>
      <c r="R217" s="287"/>
      <c r="S217" s="287"/>
      <c r="T217" s="287"/>
      <c r="U217" s="287"/>
      <c r="V217" s="288"/>
      <c r="W217" s="40" t="s">
        <v>0</v>
      </c>
      <c r="X217" s="41">
        <f>IFERROR(SUMPRODUCT(X214:X215*H214:H215),"0")</f>
        <v>33.6</v>
      </c>
      <c r="Y217" s="41">
        <f>IFERROR(SUMPRODUCT(Y214:Y215*H214:H215),"0")</f>
        <v>33.6</v>
      </c>
      <c r="Z217" s="40"/>
      <c r="AA217" s="64"/>
      <c r="AB217" s="64"/>
      <c r="AC217" s="64"/>
    </row>
    <row r="218" spans="1:68" ht="27.75" hidden="1" customHeight="1" x14ac:dyDescent="0.2">
      <c r="A218" s="309" t="s">
        <v>322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52"/>
      <c r="AB218" s="52"/>
      <c r="AC218" s="52"/>
    </row>
    <row r="219" spans="1:68" ht="16.5" hidden="1" customHeight="1" x14ac:dyDescent="0.25">
      <c r="A219" s="310" t="s">
        <v>323</v>
      </c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62"/>
      <c r="AB219" s="62"/>
      <c r="AC219" s="62"/>
    </row>
    <row r="220" spans="1:68" ht="14.25" hidden="1" customHeight="1" x14ac:dyDescent="0.25">
      <c r="A220" s="300" t="s">
        <v>80</v>
      </c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63"/>
      <c r="AB220" s="63"/>
      <c r="AC220" s="63"/>
    </row>
    <row r="221" spans="1:68" ht="27" hidden="1" customHeight="1" x14ac:dyDescent="0.25">
      <c r="A221" s="60" t="s">
        <v>324</v>
      </c>
      <c r="B221" s="60" t="s">
        <v>325</v>
      </c>
      <c r="C221" s="34">
        <v>4301071036</v>
      </c>
      <c r="D221" s="282">
        <v>4607111036162</v>
      </c>
      <c r="E221" s="282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4"/>
      <c r="R221" s="284"/>
      <c r="S221" s="284"/>
      <c r="T221" s="285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90"/>
      <c r="P222" s="286" t="s">
        <v>40</v>
      </c>
      <c r="Q222" s="287"/>
      <c r="R222" s="287"/>
      <c r="S222" s="287"/>
      <c r="T222" s="287"/>
      <c r="U222" s="287"/>
      <c r="V222" s="28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0"/>
      <c r="P223" s="286" t="s">
        <v>40</v>
      </c>
      <c r="Q223" s="287"/>
      <c r="R223" s="287"/>
      <c r="S223" s="287"/>
      <c r="T223" s="287"/>
      <c r="U223" s="287"/>
      <c r="V223" s="28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09" t="s">
        <v>327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52"/>
      <c r="AB224" s="52"/>
      <c r="AC224" s="52"/>
    </row>
    <row r="225" spans="1:68" ht="16.5" hidden="1" customHeight="1" x14ac:dyDescent="0.25">
      <c r="A225" s="310" t="s">
        <v>328</v>
      </c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62"/>
      <c r="AB225" s="62"/>
      <c r="AC225" s="62"/>
    </row>
    <row r="226" spans="1:68" ht="14.25" hidden="1" customHeight="1" x14ac:dyDescent="0.25">
      <c r="A226" s="300" t="s">
        <v>80</v>
      </c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63"/>
      <c r="AB226" s="63"/>
      <c r="AC226" s="63"/>
    </row>
    <row r="227" spans="1:68" ht="27" hidden="1" customHeight="1" x14ac:dyDescent="0.25">
      <c r="A227" s="60" t="s">
        <v>329</v>
      </c>
      <c r="B227" s="60" t="s">
        <v>330</v>
      </c>
      <c r="C227" s="34">
        <v>4301071029</v>
      </c>
      <c r="D227" s="282">
        <v>4607111035899</v>
      </c>
      <c r="E227" s="282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4"/>
      <c r="R227" s="284"/>
      <c r="S227" s="284"/>
      <c r="T227" s="285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90"/>
      <c r="P228" s="286" t="s">
        <v>40</v>
      </c>
      <c r="Q228" s="287"/>
      <c r="R228" s="287"/>
      <c r="S228" s="287"/>
      <c r="T228" s="287"/>
      <c r="U228" s="287"/>
      <c r="V228" s="28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0"/>
      <c r="P229" s="286" t="s">
        <v>40</v>
      </c>
      <c r="Q229" s="287"/>
      <c r="R229" s="287"/>
      <c r="S229" s="287"/>
      <c r="T229" s="287"/>
      <c r="U229" s="287"/>
      <c r="V229" s="28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09" t="s">
        <v>331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52"/>
      <c r="AB230" s="52"/>
      <c r="AC230" s="52"/>
    </row>
    <row r="231" spans="1:68" ht="16.5" hidden="1" customHeight="1" x14ac:dyDescent="0.25">
      <c r="A231" s="310" t="s">
        <v>332</v>
      </c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62"/>
      <c r="AB231" s="62"/>
      <c r="AC231" s="62"/>
    </row>
    <row r="232" spans="1:68" ht="14.25" hidden="1" customHeight="1" x14ac:dyDescent="0.25">
      <c r="A232" s="300" t="s">
        <v>333</v>
      </c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63"/>
      <c r="AB232" s="63"/>
      <c r="AC232" s="63"/>
    </row>
    <row r="233" spans="1:68" ht="27" hidden="1" customHeight="1" x14ac:dyDescent="0.25">
      <c r="A233" s="60" t="s">
        <v>334</v>
      </c>
      <c r="B233" s="60" t="s">
        <v>335</v>
      </c>
      <c r="C233" s="34">
        <v>4301133004</v>
      </c>
      <c r="D233" s="282">
        <v>4607111039774</v>
      </c>
      <c r="E233" s="282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4"/>
      <c r="R233" s="284"/>
      <c r="S233" s="284"/>
      <c r="T233" s="285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0"/>
      <c r="P234" s="286" t="s">
        <v>40</v>
      </c>
      <c r="Q234" s="287"/>
      <c r="R234" s="287"/>
      <c r="S234" s="287"/>
      <c r="T234" s="287"/>
      <c r="U234" s="287"/>
      <c r="V234" s="28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0"/>
      <c r="P235" s="286" t="s">
        <v>40</v>
      </c>
      <c r="Q235" s="287"/>
      <c r="R235" s="287"/>
      <c r="S235" s="287"/>
      <c r="T235" s="287"/>
      <c r="U235" s="287"/>
      <c r="V235" s="28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00" t="s">
        <v>150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37.5" hidden="1" customHeight="1" x14ac:dyDescent="0.25">
      <c r="A237" s="60" t="s">
        <v>337</v>
      </c>
      <c r="B237" s="60" t="s">
        <v>338</v>
      </c>
      <c r="C237" s="34">
        <v>4301135400</v>
      </c>
      <c r="D237" s="282">
        <v>4607111039361</v>
      </c>
      <c r="E237" s="282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09" t="s">
        <v>339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52"/>
      <c r="AB240" s="52"/>
      <c r="AC240" s="52"/>
    </row>
    <row r="241" spans="1:68" ht="16.5" hidden="1" customHeight="1" x14ac:dyDescent="0.25">
      <c r="A241" s="310" t="s">
        <v>339</v>
      </c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62"/>
      <c r="AB241" s="62"/>
      <c r="AC241" s="62"/>
    </row>
    <row r="242" spans="1:68" ht="14.25" hidden="1" customHeight="1" x14ac:dyDescent="0.25">
      <c r="A242" s="300" t="s">
        <v>80</v>
      </c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63"/>
      <c r="AB242" s="63"/>
      <c r="AC242" s="63"/>
    </row>
    <row r="243" spans="1:68" ht="27" hidden="1" customHeight="1" x14ac:dyDescent="0.25">
      <c r="A243" s="60" t="s">
        <v>340</v>
      </c>
      <c r="B243" s="60" t="s">
        <v>341</v>
      </c>
      <c r="C243" s="34">
        <v>4301071014</v>
      </c>
      <c r="D243" s="282">
        <v>4640242181264</v>
      </c>
      <c r="E243" s="282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4"/>
      <c r="R243" s="284"/>
      <c r="S243" s="284"/>
      <c r="T243" s="285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hidden="1" customHeight="1" x14ac:dyDescent="0.25">
      <c r="A244" s="60" t="s">
        <v>343</v>
      </c>
      <c r="B244" s="60" t="s">
        <v>344</v>
      </c>
      <c r="C244" s="34">
        <v>4301071021</v>
      </c>
      <c r="D244" s="282">
        <v>4640242181325</v>
      </c>
      <c r="E244" s="282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4"/>
      <c r="R244" s="284"/>
      <c r="S244" s="284"/>
      <c r="T244" s="285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0"/>
      <c r="P245" s="286" t="s">
        <v>40</v>
      </c>
      <c r="Q245" s="287"/>
      <c r="R245" s="287"/>
      <c r="S245" s="287"/>
      <c r="T245" s="287"/>
      <c r="U245" s="287"/>
      <c r="V245" s="288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hidden="1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0"/>
      <c r="P246" s="286" t="s">
        <v>40</v>
      </c>
      <c r="Q246" s="287"/>
      <c r="R246" s="287"/>
      <c r="S246" s="287"/>
      <c r="T246" s="287"/>
      <c r="U246" s="287"/>
      <c r="V246" s="288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00" t="s">
        <v>106</v>
      </c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282">
        <v>4640242180397</v>
      </c>
      <c r="E248" s="282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168</v>
      </c>
      <c r="Y248" s="53">
        <f>IFERROR(IF(X248="","",X248),"")</f>
        <v>168</v>
      </c>
      <c r="Z248" s="39">
        <f>IFERROR(IF(X248="","",X248*0.0155),"")</f>
        <v>2.6040000000000001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1051.68</v>
      </c>
      <c r="BN248" s="78">
        <f>IFERROR(Y248*I248,"0")</f>
        <v>1051.68</v>
      </c>
      <c r="BO248" s="78">
        <f>IFERROR(X248/J248,"0")</f>
        <v>2</v>
      </c>
      <c r="BP248" s="78">
        <f>IFERROR(Y248/J248,"0")</f>
        <v>2</v>
      </c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IFERROR(SUM(X248:X248),"0")</f>
        <v>168</v>
      </c>
      <c r="Y249" s="41">
        <f>IFERROR(SUM(Y248:Y248),"0")</f>
        <v>168</v>
      </c>
      <c r="Z249" s="41">
        <f>IFERROR(IF(Z248="",0,Z248),"0")</f>
        <v>2.6040000000000001</v>
      </c>
      <c r="AA249" s="64"/>
      <c r="AB249" s="64"/>
      <c r="AC249" s="64"/>
    </row>
    <row r="250" spans="1:68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IFERROR(SUMPRODUCT(X248:X248*H248:H248),"0")</f>
        <v>1008</v>
      </c>
      <c r="Y250" s="41">
        <f>IFERROR(SUMPRODUCT(Y248:Y248*H248:H248),"0")</f>
        <v>1008</v>
      </c>
      <c r="Z250" s="40"/>
      <c r="AA250" s="64"/>
      <c r="AB250" s="64"/>
      <c r="AC250" s="64"/>
    </row>
    <row r="251" spans="1:68" ht="14.25" hidden="1" customHeight="1" x14ac:dyDescent="0.25">
      <c r="A251" s="300" t="s">
        <v>144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hidden="1" customHeight="1" x14ac:dyDescent="0.25">
      <c r="A252" s="60" t="s">
        <v>348</v>
      </c>
      <c r="B252" s="60" t="s">
        <v>349</v>
      </c>
      <c r="C252" s="34">
        <v>4301136051</v>
      </c>
      <c r="D252" s="282">
        <v>4640242180304</v>
      </c>
      <c r="E252" s="282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282">
        <v>4640242180236</v>
      </c>
      <c r="E253" s="282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7" t="s">
        <v>46</v>
      </c>
      <c r="V253" s="37" t="s">
        <v>46</v>
      </c>
      <c r="W253" s="38" t="s">
        <v>39</v>
      </c>
      <c r="X253" s="56">
        <v>168</v>
      </c>
      <c r="Y253" s="53">
        <f>IFERROR(IF(X253="","",X253),"")</f>
        <v>168</v>
      </c>
      <c r="Z253" s="39">
        <f>IFERROR(IF(X253="","",X253*0.0155),"")</f>
        <v>2.6040000000000001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879.48</v>
      </c>
      <c r="BN253" s="78">
        <f>IFERROR(Y253*I253,"0")</f>
        <v>879.48</v>
      </c>
      <c r="BO253" s="78">
        <f>IFERROR(X253/J253,"0")</f>
        <v>2</v>
      </c>
      <c r="BP253" s="78">
        <f>IFERROR(Y253/J253,"0")</f>
        <v>2</v>
      </c>
    </row>
    <row r="254" spans="1:68" ht="27" hidden="1" customHeight="1" x14ac:dyDescent="0.25">
      <c r="A254" s="60" t="s">
        <v>353</v>
      </c>
      <c r="B254" s="60" t="s">
        <v>354</v>
      </c>
      <c r="C254" s="34">
        <v>4301136052</v>
      </c>
      <c r="D254" s="282">
        <v>4640242180410</v>
      </c>
      <c r="E254" s="282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90"/>
      <c r="P255" s="286" t="s">
        <v>40</v>
      </c>
      <c r="Q255" s="287"/>
      <c r="R255" s="287"/>
      <c r="S255" s="287"/>
      <c r="T255" s="287"/>
      <c r="U255" s="287"/>
      <c r="V255" s="288"/>
      <c r="W255" s="40" t="s">
        <v>39</v>
      </c>
      <c r="X255" s="41">
        <f>IFERROR(SUM(X252:X254),"0")</f>
        <v>168</v>
      </c>
      <c r="Y255" s="41">
        <f>IFERROR(SUM(Y252:Y254),"0")</f>
        <v>168</v>
      </c>
      <c r="Z255" s="41">
        <f>IFERROR(IF(Z252="",0,Z252),"0")+IFERROR(IF(Z253="",0,Z253),"0")+IFERROR(IF(Z254="",0,Z254),"0")</f>
        <v>2.6040000000000001</v>
      </c>
      <c r="AA255" s="64"/>
      <c r="AB255" s="64"/>
      <c r="AC255" s="64"/>
    </row>
    <row r="256" spans="1:68" x14ac:dyDescent="0.2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90"/>
      <c r="P256" s="286" t="s">
        <v>40</v>
      </c>
      <c r="Q256" s="287"/>
      <c r="R256" s="287"/>
      <c r="S256" s="287"/>
      <c r="T256" s="287"/>
      <c r="U256" s="287"/>
      <c r="V256" s="288"/>
      <c r="W256" s="40" t="s">
        <v>0</v>
      </c>
      <c r="X256" s="41">
        <f>IFERROR(SUMPRODUCT(X252:X254*H252:H254),"0")</f>
        <v>840</v>
      </c>
      <c r="Y256" s="41">
        <f>IFERROR(SUMPRODUCT(Y252:Y254*H252:H254),"0")</f>
        <v>840</v>
      </c>
      <c r="Z256" s="40"/>
      <c r="AA256" s="64"/>
      <c r="AB256" s="64"/>
      <c r="AC256" s="64"/>
    </row>
    <row r="257" spans="1:68" ht="14.25" hidden="1" customHeight="1" x14ac:dyDescent="0.25">
      <c r="A257" s="300" t="s">
        <v>150</v>
      </c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63"/>
      <c r="AB257" s="63"/>
      <c r="AC257" s="63"/>
    </row>
    <row r="258" spans="1:68" ht="37.5" hidden="1" customHeight="1" x14ac:dyDescent="0.25">
      <c r="A258" s="60" t="s">
        <v>355</v>
      </c>
      <c r="B258" s="60" t="s">
        <v>356</v>
      </c>
      <c r="C258" s="34">
        <v>4301135504</v>
      </c>
      <c r="D258" s="282">
        <v>4640242181554</v>
      </c>
      <c r="E258" s="282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282">
        <v>4640242182087</v>
      </c>
      <c r="E259" s="282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284"/>
      <c r="R259" s="284"/>
      <c r="S259" s="284"/>
      <c r="T259" s="285"/>
      <c r="U259" s="37" t="s">
        <v>46</v>
      </c>
      <c r="V259" s="37" t="s">
        <v>46</v>
      </c>
      <c r="W259" s="38" t="s">
        <v>39</v>
      </c>
      <c r="X259" s="56">
        <v>252</v>
      </c>
      <c r="Y259" s="53">
        <f t="shared" si="18"/>
        <v>252</v>
      </c>
      <c r="Z259" s="39">
        <f>IFERROR(IF(X259="","",X259*0.0155),"")</f>
        <v>3.9060000000000001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1317.96</v>
      </c>
      <c r="BN259" s="78">
        <f t="shared" si="20"/>
        <v>1317.96</v>
      </c>
      <c r="BO259" s="78">
        <f t="shared" si="21"/>
        <v>3</v>
      </c>
      <c r="BP259" s="78">
        <f t="shared" si="22"/>
        <v>3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282">
        <v>4640242181424</v>
      </c>
      <c r="E260" s="282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7" t="s">
        <v>46</v>
      </c>
      <c r="V260" s="37" t="s">
        <v>46</v>
      </c>
      <c r="W260" s="38" t="s">
        <v>39</v>
      </c>
      <c r="X260" s="56">
        <v>168</v>
      </c>
      <c r="Y260" s="53">
        <f t="shared" si="18"/>
        <v>168</v>
      </c>
      <c r="Z260" s="39">
        <f>IFERROR(IF(X260="","",X260*0.0155),"")</f>
        <v>2.6040000000000001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963.48</v>
      </c>
      <c r="BN260" s="78">
        <f t="shared" si="20"/>
        <v>963.48</v>
      </c>
      <c r="BO260" s="78">
        <f t="shared" si="21"/>
        <v>2</v>
      </c>
      <c r="BP260" s="78">
        <f t="shared" si="22"/>
        <v>2</v>
      </c>
    </row>
    <row r="261" spans="1:68" ht="27" hidden="1" customHeight="1" x14ac:dyDescent="0.25">
      <c r="A261" s="60" t="s">
        <v>363</v>
      </c>
      <c r="B261" s="60" t="s">
        <v>364</v>
      </c>
      <c r="C261" s="34">
        <v>4301135405</v>
      </c>
      <c r="D261" s="282">
        <v>4640242181523</v>
      </c>
      <c r="E261" s="282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282">
        <v>4640242181486</v>
      </c>
      <c r="E262" s="282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504</v>
      </c>
      <c r="Y262" s="53">
        <f t="shared" si="18"/>
        <v>504</v>
      </c>
      <c r="Z262" s="39">
        <f t="shared" si="23"/>
        <v>4.7174399999999999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1961.568</v>
      </c>
      <c r="BN262" s="78">
        <f t="shared" si="20"/>
        <v>1961.568</v>
      </c>
      <c r="BO262" s="78">
        <f t="shared" si="21"/>
        <v>4</v>
      </c>
      <c r="BP262" s="78">
        <f t="shared" si="22"/>
        <v>4</v>
      </c>
    </row>
    <row r="263" spans="1:68" ht="37.5" hidden="1" customHeight="1" x14ac:dyDescent="0.25">
      <c r="A263" s="60" t="s">
        <v>367</v>
      </c>
      <c r="B263" s="60" t="s">
        <v>368</v>
      </c>
      <c r="C263" s="34">
        <v>4301135402</v>
      </c>
      <c r="D263" s="282">
        <v>4640242181493</v>
      </c>
      <c r="E263" s="282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hidden="1" customHeight="1" x14ac:dyDescent="0.25">
      <c r="A264" s="60" t="s">
        <v>369</v>
      </c>
      <c r="B264" s="60" t="s">
        <v>370</v>
      </c>
      <c r="C264" s="34">
        <v>4301135403</v>
      </c>
      <c r="D264" s="282">
        <v>4640242181509</v>
      </c>
      <c r="E264" s="282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hidden="1" customHeight="1" x14ac:dyDescent="0.25">
      <c r="A265" s="60" t="s">
        <v>371</v>
      </c>
      <c r="B265" s="60" t="s">
        <v>372</v>
      </c>
      <c r="C265" s="34">
        <v>4301135304</v>
      </c>
      <c r="D265" s="282">
        <v>4640242181240</v>
      </c>
      <c r="E265" s="282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hidden="1" customHeight="1" x14ac:dyDescent="0.25">
      <c r="A266" s="60" t="s">
        <v>373</v>
      </c>
      <c r="B266" s="60" t="s">
        <v>374</v>
      </c>
      <c r="C266" s="34">
        <v>4301135610</v>
      </c>
      <c r="D266" s="282">
        <v>4640242181318</v>
      </c>
      <c r="E266" s="282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hidden="1" customHeight="1" x14ac:dyDescent="0.25">
      <c r="A267" s="60" t="s">
        <v>375</v>
      </c>
      <c r="B267" s="60" t="s">
        <v>376</v>
      </c>
      <c r="C267" s="34">
        <v>4301135306</v>
      </c>
      <c r="D267" s="282">
        <v>4640242181387</v>
      </c>
      <c r="E267" s="282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0"/>
      <c r="P268" s="286" t="s">
        <v>40</v>
      </c>
      <c r="Q268" s="287"/>
      <c r="R268" s="287"/>
      <c r="S268" s="287"/>
      <c r="T268" s="287"/>
      <c r="U268" s="287"/>
      <c r="V268" s="288"/>
      <c r="W268" s="40" t="s">
        <v>39</v>
      </c>
      <c r="X268" s="41">
        <f>IFERROR(SUM(X258:X267),"0")</f>
        <v>924</v>
      </c>
      <c r="Y268" s="41">
        <f>IFERROR(SUM(Y258:Y267),"0")</f>
        <v>924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11.22744</v>
      </c>
      <c r="AA268" s="64"/>
      <c r="AB268" s="64"/>
      <c r="AC268" s="64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0"/>
      <c r="P269" s="286" t="s">
        <v>40</v>
      </c>
      <c r="Q269" s="287"/>
      <c r="R269" s="287"/>
      <c r="S269" s="287"/>
      <c r="T269" s="287"/>
      <c r="U269" s="287"/>
      <c r="V269" s="288"/>
      <c r="W269" s="40" t="s">
        <v>0</v>
      </c>
      <c r="X269" s="41">
        <f>IFERROR(SUMPRODUCT(X258:X267*H258:H267),"0")</f>
        <v>4048.8</v>
      </c>
      <c r="Y269" s="41">
        <f>IFERROR(SUMPRODUCT(Y258:Y267*H258:H267),"0")</f>
        <v>4048.8</v>
      </c>
      <c r="Z269" s="40"/>
      <c r="AA269" s="64"/>
      <c r="AB269" s="64"/>
      <c r="AC269" s="64"/>
    </row>
    <row r="270" spans="1:68" ht="15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94"/>
      <c r="P270" s="291" t="s">
        <v>33</v>
      </c>
      <c r="Q270" s="292"/>
      <c r="R270" s="292"/>
      <c r="S270" s="292"/>
      <c r="T270" s="292"/>
      <c r="U270" s="292"/>
      <c r="V270" s="293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9787.68</v>
      </c>
      <c r="Y270" s="41">
        <f>IFERROR(Y29+Y35+Y42+Y49+Y57+Y62+Y66+Y71+Y77+Y83+Y88+Y94+Y105+Y111+Y122+Y126+Y130+Y137+Y144+Y151+Y157+Y162+Y167+Y172+Y179+Y184+Y193+Y199+Y206+Y211+Y217+Y223+Y229+Y235+Y239+Y246+Y250+Y256+Y269,"0")</f>
        <v>9787.68</v>
      </c>
      <c r="Z270" s="40"/>
      <c r="AA270" s="64"/>
      <c r="AB270" s="64"/>
      <c r="AC270" s="64"/>
    </row>
    <row r="271" spans="1:68" x14ac:dyDescent="0.2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94"/>
      <c r="P271" s="291" t="s">
        <v>34</v>
      </c>
      <c r="Q271" s="292"/>
      <c r="R271" s="292"/>
      <c r="S271" s="292"/>
      <c r="T271" s="292"/>
      <c r="U271" s="292"/>
      <c r="V271" s="293"/>
      <c r="W271" s="40" t="s">
        <v>0</v>
      </c>
      <c r="X271" s="41">
        <f>IFERROR(SUM(BM22:BM267),"0")</f>
        <v>10947.0088</v>
      </c>
      <c r="Y271" s="41">
        <f>IFERROR(SUM(BN22:BN267),"0")</f>
        <v>10947.0088</v>
      </c>
      <c r="Z271" s="40"/>
      <c r="AA271" s="64"/>
      <c r="AB271" s="64"/>
      <c r="AC271" s="64"/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4"/>
      <c r="P272" s="291" t="s">
        <v>35</v>
      </c>
      <c r="Q272" s="292"/>
      <c r="R272" s="292"/>
      <c r="S272" s="292"/>
      <c r="T272" s="292"/>
      <c r="U272" s="292"/>
      <c r="V272" s="293"/>
      <c r="W272" s="40" t="s">
        <v>20</v>
      </c>
      <c r="X272" s="42">
        <f>ROUNDUP(SUM(BO22:BO267),0)</f>
        <v>32</v>
      </c>
      <c r="Y272" s="42">
        <f>ROUNDUP(SUM(BP22:BP267),0)</f>
        <v>32</v>
      </c>
      <c r="Z272" s="40"/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4"/>
      <c r="P273" s="291" t="s">
        <v>36</v>
      </c>
      <c r="Q273" s="292"/>
      <c r="R273" s="292"/>
      <c r="S273" s="292"/>
      <c r="T273" s="292"/>
      <c r="U273" s="292"/>
      <c r="V273" s="293"/>
      <c r="W273" s="40" t="s">
        <v>0</v>
      </c>
      <c r="X273" s="41">
        <f>GrossWeightTotal+PalletQtyTotal*25</f>
        <v>11747.0088</v>
      </c>
      <c r="Y273" s="41">
        <f>GrossWeightTotalR+PalletQtyTotalR*25</f>
        <v>11747.0088</v>
      </c>
      <c r="Z273" s="40"/>
      <c r="AA273" s="64"/>
      <c r="AB273" s="64"/>
      <c r="AC273" s="64"/>
    </row>
    <row r="274" spans="1:32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37</v>
      </c>
      <c r="Q274" s="292"/>
      <c r="R274" s="292"/>
      <c r="S274" s="292"/>
      <c r="T274" s="292"/>
      <c r="U274" s="292"/>
      <c r="V274" s="293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2590</v>
      </c>
      <c r="Y274" s="41">
        <f>IFERROR(Y28+Y34+Y41+Y48+Y56+Y61+Y65+Y70+Y76+Y82+Y87+Y93+Y104+Y110+Y121+Y125+Y129+Y136+Y143+Y150+Y156+Y161+Y166+Y171+Y178+Y183+Y192+Y198+Y205+Y210+Y216+Y222+Y228+Y234+Y238+Y245+Y249+Y255+Y268,"0")</f>
        <v>2590</v>
      </c>
      <c r="Z274" s="40"/>
      <c r="AA274" s="64"/>
      <c r="AB274" s="64"/>
      <c r="AC274" s="64"/>
    </row>
    <row r="275" spans="1:32" ht="14.25" hidden="1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38</v>
      </c>
      <c r="Q275" s="292"/>
      <c r="R275" s="292"/>
      <c r="S275" s="292"/>
      <c r="T275" s="292"/>
      <c r="U275" s="292"/>
      <c r="V275" s="293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39.860099999999996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278" t="s">
        <v>79</v>
      </c>
      <c r="C277" s="278" t="s">
        <v>79</v>
      </c>
      <c r="D277" s="278" t="s">
        <v>45</v>
      </c>
      <c r="E277" s="278" t="s">
        <v>45</v>
      </c>
      <c r="F277" s="278" t="s">
        <v>45</v>
      </c>
      <c r="G277" s="278" t="s">
        <v>45</v>
      </c>
      <c r="H277" s="278" t="s">
        <v>45</v>
      </c>
      <c r="I277" s="278" t="s">
        <v>45</v>
      </c>
      <c r="J277" s="278" t="s">
        <v>45</v>
      </c>
      <c r="K277" s="278" t="s">
        <v>45</v>
      </c>
      <c r="L277" s="278" t="s">
        <v>45</v>
      </c>
      <c r="M277" s="278" t="s">
        <v>45</v>
      </c>
      <c r="N277" s="279"/>
      <c r="O277" s="278" t="s">
        <v>45</v>
      </c>
      <c r="P277" s="278" t="s">
        <v>45</v>
      </c>
      <c r="Q277" s="278" t="s">
        <v>45</v>
      </c>
      <c r="R277" s="278" t="s">
        <v>45</v>
      </c>
      <c r="S277" s="278" t="s">
        <v>45</v>
      </c>
      <c r="T277" s="278" t="s">
        <v>45</v>
      </c>
      <c r="U277" s="278" t="s">
        <v>45</v>
      </c>
      <c r="V277" s="83" t="s">
        <v>268</v>
      </c>
      <c r="W277" s="83" t="s">
        <v>282</v>
      </c>
      <c r="X277" s="278" t="s">
        <v>296</v>
      </c>
      <c r="Y277" s="278" t="s">
        <v>296</v>
      </c>
      <c r="Z277" s="278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280" t="s">
        <v>10</v>
      </c>
      <c r="B278" s="278" t="s">
        <v>79</v>
      </c>
      <c r="C278" s="278" t="s">
        <v>99</v>
      </c>
      <c r="D278" s="278" t="s">
        <v>105</v>
      </c>
      <c r="E278" s="278" t="s">
        <v>116</v>
      </c>
      <c r="F278" s="278" t="s">
        <v>126</v>
      </c>
      <c r="G278" s="278" t="s">
        <v>137</v>
      </c>
      <c r="H278" s="278" t="s">
        <v>158</v>
      </c>
      <c r="I278" s="278" t="s">
        <v>165</v>
      </c>
      <c r="J278" s="278" t="s">
        <v>169</v>
      </c>
      <c r="K278" s="278" t="s">
        <v>177</v>
      </c>
      <c r="L278" s="278" t="s">
        <v>195</v>
      </c>
      <c r="M278" s="278" t="s">
        <v>201</v>
      </c>
      <c r="N278" s="1"/>
      <c r="O278" s="278" t="s">
        <v>226</v>
      </c>
      <c r="P278" s="278" t="s">
        <v>235</v>
      </c>
      <c r="Q278" s="278" t="s">
        <v>243</v>
      </c>
      <c r="R278" s="278" t="s">
        <v>252</v>
      </c>
      <c r="S278" s="278" t="s">
        <v>257</v>
      </c>
      <c r="T278" s="278" t="s">
        <v>261</v>
      </c>
      <c r="U278" s="278" t="s">
        <v>264</v>
      </c>
      <c r="V278" s="278" t="s">
        <v>269</v>
      </c>
      <c r="W278" s="278" t="s">
        <v>283</v>
      </c>
      <c r="X278" s="278" t="s">
        <v>297</v>
      </c>
      <c r="Y278" s="278" t="s">
        <v>312</v>
      </c>
      <c r="Z278" s="278" t="s">
        <v>316</v>
      </c>
      <c r="AA278" s="278" t="s">
        <v>323</v>
      </c>
      <c r="AB278" s="278" t="s">
        <v>328</v>
      </c>
      <c r="AC278" s="278" t="s">
        <v>332</v>
      </c>
      <c r="AD278" s="278" t="s">
        <v>339</v>
      </c>
      <c r="AF278" s="1"/>
    </row>
    <row r="279" spans="1:32" ht="13.5" thickBot="1" x14ac:dyDescent="0.25">
      <c r="A279" s="281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1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252</v>
      </c>
      <c r="K280" s="50">
        <f>IFERROR(X97*H97,"0")+IFERROR(X98*H98,"0")+IFERROR(X99*H99,"0")+IFERROR(X100*H100,"0")+IFERROR(X101*H101,"0")+IFERROR(X102*H102,"0")+IFERROR(X103*H103,"0")</f>
        <v>1429.6799999999998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36.96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1069.32</v>
      </c>
      <c r="Q280" s="50">
        <f>IFERROR(X147*H147,"0")+IFERROR(X148*H148,"0")+IFERROR(X149*H149,"0")</f>
        <v>229.32</v>
      </c>
      <c r="R280" s="50">
        <f>IFERROR(X154*H154,"0")+IFERROR(X155*H155,"0")</f>
        <v>0</v>
      </c>
      <c r="S280" s="50">
        <f>IFERROR(X160*H160,"0")</f>
        <v>210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630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33.6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5896.8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9787.68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69,32"/>
        <filter val="1 429,68"/>
        <filter val="10 947,01"/>
        <filter val="11 747,01"/>
        <filter val="14,00"/>
        <filter val="140,00"/>
        <filter val="168,00"/>
        <filter val="2 590,00"/>
        <filter val="210,00"/>
        <filter val="229,32"/>
        <filter val="252,00"/>
        <filter val="32"/>
        <filter val="33,60"/>
        <filter val="36,96"/>
        <filter val="364,00"/>
        <filter val="4 048,80"/>
        <filter val="504,00"/>
        <filter val="630,00"/>
        <filter val="70,00"/>
        <filter val="84,00"/>
        <filter val="840,00"/>
        <filter val="9 787,68"/>
        <filter val="924,00"/>
      </filters>
    </filterColumn>
    <filterColumn colId="29" showButton="0"/>
    <filterColumn colId="30" showButton="0"/>
  </autoFilter>
  <dataConsolidate/>
  <mergeCells count="49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2026-09-04T13:33:52Z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