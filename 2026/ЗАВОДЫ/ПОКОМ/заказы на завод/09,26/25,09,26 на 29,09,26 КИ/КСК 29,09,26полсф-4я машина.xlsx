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1C57589-689F-41D0-A28E-5228A77357C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BP545" i="2" s="1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Z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X509" i="2"/>
  <c r="X508" i="2"/>
  <c r="BO507" i="2"/>
  <c r="BM507" i="2"/>
  <c r="Y507" i="2"/>
  <c r="Z507" i="2" s="1"/>
  <c r="P507" i="2"/>
  <c r="BO506" i="2"/>
  <c r="BM506" i="2"/>
  <c r="Y506" i="2"/>
  <c r="BN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Z482" i="2" s="1"/>
  <c r="P482" i="2"/>
  <c r="BO481" i="2"/>
  <c r="BM481" i="2"/>
  <c r="Y481" i="2"/>
  <c r="Y483" i="2" s="1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BP465" i="2" s="1"/>
  <c r="P465" i="2"/>
  <c r="BO464" i="2"/>
  <c r="BM464" i="2"/>
  <c r="Y464" i="2"/>
  <c r="BP464" i="2" s="1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Z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Y441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Y422" i="2" s="1"/>
  <c r="P418" i="2"/>
  <c r="X415" i="2"/>
  <c r="X414" i="2"/>
  <c r="BO413" i="2"/>
  <c r="BM413" i="2"/>
  <c r="Y413" i="2"/>
  <c r="BN413" i="2" s="1"/>
  <c r="P413" i="2"/>
  <c r="BO412" i="2"/>
  <c r="BM412" i="2"/>
  <c r="Y412" i="2"/>
  <c r="Z412" i="2" s="1"/>
  <c r="P412" i="2"/>
  <c r="X409" i="2"/>
  <c r="X408" i="2"/>
  <c r="BO407" i="2"/>
  <c r="BM407" i="2"/>
  <c r="Y407" i="2"/>
  <c r="Z407" i="2" s="1"/>
  <c r="P407" i="2"/>
  <c r="BO406" i="2"/>
  <c r="BM406" i="2"/>
  <c r="Y406" i="2"/>
  <c r="BP406" i="2" s="1"/>
  <c r="P406" i="2"/>
  <c r="BO405" i="2"/>
  <c r="BM405" i="2"/>
  <c r="Y405" i="2"/>
  <c r="Y408" i="2" s="1"/>
  <c r="P405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BN394" i="2" s="1"/>
  <c r="P394" i="2"/>
  <c r="BO393" i="2"/>
  <c r="BM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BN370" i="2" s="1"/>
  <c r="P370" i="2"/>
  <c r="BO369" i="2"/>
  <c r="BM369" i="2"/>
  <c r="Y369" i="2"/>
  <c r="Z369" i="2" s="1"/>
  <c r="P369" i="2"/>
  <c r="X367" i="2"/>
  <c r="X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BO360" i="2"/>
  <c r="BM360" i="2"/>
  <c r="Y360" i="2"/>
  <c r="BN360" i="2" s="1"/>
  <c r="P360" i="2"/>
  <c r="BO359" i="2"/>
  <c r="BM359" i="2"/>
  <c r="Y359" i="2"/>
  <c r="Z359" i="2" s="1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Z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Y335" i="2" s="1"/>
  <c r="P331" i="2"/>
  <c r="X328" i="2"/>
  <c r="X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Z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X318" i="2"/>
  <c r="X317" i="2"/>
  <c r="BO316" i="2"/>
  <c r="BM316" i="2"/>
  <c r="Y316" i="2"/>
  <c r="Y318" i="2" s="1"/>
  <c r="P316" i="2"/>
  <c r="X314" i="2"/>
  <c r="X313" i="2"/>
  <c r="BO312" i="2"/>
  <c r="BM312" i="2"/>
  <c r="Y312" i="2"/>
  <c r="Y313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Y295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P261" i="2" s="1"/>
  <c r="P261" i="2"/>
  <c r="X259" i="2"/>
  <c r="X258" i="2"/>
  <c r="BO257" i="2"/>
  <c r="BM257" i="2"/>
  <c r="Y257" i="2"/>
  <c r="BN257" i="2" s="1"/>
  <c r="P257" i="2"/>
  <c r="BO256" i="2"/>
  <c r="BM256" i="2"/>
  <c r="Y256" i="2"/>
  <c r="BP256" i="2" s="1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Y249" i="2" s="1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X196" i="2"/>
  <c r="X195" i="2"/>
  <c r="BO194" i="2"/>
  <c r="BM194" i="2"/>
  <c r="Y194" i="2"/>
  <c r="Z194" i="2" s="1"/>
  <c r="Z195" i="2" s="1"/>
  <c r="P194" i="2"/>
  <c r="X192" i="2"/>
  <c r="X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Y192" i="2" s="1"/>
  <c r="P188" i="2"/>
  <c r="X186" i="2"/>
  <c r="X185" i="2"/>
  <c r="BO184" i="2"/>
  <c r="BM184" i="2"/>
  <c r="Y184" i="2"/>
  <c r="BN184" i="2" s="1"/>
  <c r="P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BP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N164" i="2" s="1"/>
  <c r="P164" i="2"/>
  <c r="BO163" i="2"/>
  <c r="BM163" i="2"/>
  <c r="Y163" i="2"/>
  <c r="Z163" i="2" s="1"/>
  <c r="P163" i="2"/>
  <c r="BO162" i="2"/>
  <c r="BM162" i="2"/>
  <c r="Y162" i="2"/>
  <c r="P162" i="2"/>
  <c r="X159" i="2"/>
  <c r="X158" i="2"/>
  <c r="BO157" i="2"/>
  <c r="BM157" i="2"/>
  <c r="Y157" i="2"/>
  <c r="Y158" i="2" s="1"/>
  <c r="P157" i="2"/>
  <c r="X155" i="2"/>
  <c r="X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P138" i="2" s="1"/>
  <c r="P138" i="2"/>
  <c r="BO137" i="2"/>
  <c r="BM137" i="2"/>
  <c r="Y137" i="2"/>
  <c r="BN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H564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N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Y125" i="2" s="1"/>
  <c r="P120" i="2"/>
  <c r="X118" i="2"/>
  <c r="X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P101" i="2"/>
  <c r="X98" i="2"/>
  <c r="X97" i="2"/>
  <c r="BO96" i="2"/>
  <c r="BM96" i="2"/>
  <c r="Y96" i="2"/>
  <c r="BN96" i="2" s="1"/>
  <c r="P96" i="2"/>
  <c r="BO95" i="2"/>
  <c r="BM95" i="2"/>
  <c r="Y95" i="2"/>
  <c r="Z95" i="2" s="1"/>
  <c r="P95" i="2"/>
  <c r="BO94" i="2"/>
  <c r="BM94" i="2"/>
  <c r="Y94" i="2"/>
  <c r="BP94" i="2" s="1"/>
  <c r="P94" i="2"/>
  <c r="BO93" i="2"/>
  <c r="BM93" i="2"/>
  <c r="Y93" i="2"/>
  <c r="BN93" i="2" s="1"/>
  <c r="P93" i="2"/>
  <c r="X91" i="2"/>
  <c r="X90" i="2"/>
  <c r="BO89" i="2"/>
  <c r="BM89" i="2"/>
  <c r="Y89" i="2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Y70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Y63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D564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BP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F9" i="2" s="1"/>
  <c r="D7" i="2"/>
  <c r="Q6" i="2"/>
  <c r="P2" i="2"/>
  <c r="Y348" i="2" l="1"/>
  <c r="S564" i="2"/>
  <c r="Y81" i="2"/>
  <c r="X564" i="2"/>
  <c r="Z564" i="2"/>
  <c r="Z184" i="2"/>
  <c r="Z38" i="2"/>
  <c r="Z293" i="2"/>
  <c r="Z333" i="2"/>
  <c r="Z388" i="2"/>
  <c r="BN388" i="2"/>
  <c r="Z115" i="2"/>
  <c r="BN115" i="2"/>
  <c r="Z256" i="2"/>
  <c r="BN256" i="2"/>
  <c r="Z473" i="2"/>
  <c r="BN473" i="2"/>
  <c r="Z94" i="2"/>
  <c r="BN94" i="2"/>
  <c r="G564" i="2"/>
  <c r="Z168" i="2"/>
  <c r="BN168" i="2"/>
  <c r="Y171" i="2"/>
  <c r="Z219" i="2"/>
  <c r="Z273" i="2"/>
  <c r="Z439" i="2"/>
  <c r="BP506" i="2"/>
  <c r="X556" i="2"/>
  <c r="X554" i="2"/>
  <c r="Z74" i="2"/>
  <c r="Z105" i="2"/>
  <c r="BN105" i="2"/>
  <c r="Y117" i="2"/>
  <c r="Z152" i="2"/>
  <c r="J564" i="2"/>
  <c r="Z178" i="2"/>
  <c r="BN178" i="2"/>
  <c r="Z200" i="2"/>
  <c r="Z201" i="2"/>
  <c r="BN201" i="2"/>
  <c r="Z228" i="2"/>
  <c r="Z286" i="2"/>
  <c r="BN286" i="2"/>
  <c r="Z304" i="2"/>
  <c r="Z322" i="2"/>
  <c r="Z354" i="2"/>
  <c r="Z363" i="2"/>
  <c r="BN363" i="2"/>
  <c r="BP394" i="2"/>
  <c r="Z455" i="2"/>
  <c r="BN455" i="2"/>
  <c r="Z456" i="2"/>
  <c r="BN456" i="2"/>
  <c r="Z487" i="2"/>
  <c r="Z488" i="2" s="1"/>
  <c r="Z545" i="2"/>
  <c r="W564" i="2"/>
  <c r="Z138" i="2"/>
  <c r="BN138" i="2"/>
  <c r="Z164" i="2"/>
  <c r="Z177" i="2"/>
  <c r="Z370" i="2"/>
  <c r="X555" i="2"/>
  <c r="X557" i="2" s="1"/>
  <c r="X558" i="2"/>
  <c r="Z28" i="2"/>
  <c r="Z59" i="2"/>
  <c r="Z78" i="2"/>
  <c r="Z81" i="2" s="1"/>
  <c r="BN78" i="2"/>
  <c r="BP78" i="2"/>
  <c r="Z103" i="2"/>
  <c r="Z113" i="2"/>
  <c r="Z123" i="2"/>
  <c r="Z188" i="2"/>
  <c r="BN188" i="2"/>
  <c r="BP188" i="2"/>
  <c r="Y208" i="2"/>
  <c r="Z215" i="2"/>
  <c r="BN215" i="2"/>
  <c r="BP223" i="2"/>
  <c r="Z239" i="2"/>
  <c r="Z262" i="2"/>
  <c r="Z271" i="2"/>
  <c r="Z282" i="2"/>
  <c r="Z288" i="2"/>
  <c r="BN288" i="2"/>
  <c r="Z300" i="2"/>
  <c r="BN300" i="2"/>
  <c r="Z302" i="2"/>
  <c r="Y328" i="2"/>
  <c r="Z326" i="2"/>
  <c r="BN326" i="2"/>
  <c r="Y457" i="2"/>
  <c r="Y458" i="2"/>
  <c r="Z476" i="2"/>
  <c r="BN476" i="2"/>
  <c r="Z533" i="2"/>
  <c r="Z534" i="2" s="1"/>
  <c r="Y534" i="2"/>
  <c r="BN27" i="2"/>
  <c r="BP27" i="2"/>
  <c r="BP28" i="2"/>
  <c r="BN29" i="2"/>
  <c r="Z30" i="2"/>
  <c r="BN30" i="2"/>
  <c r="Z31" i="2"/>
  <c r="BN31" i="2"/>
  <c r="Y32" i="2"/>
  <c r="Y33" i="2"/>
  <c r="Z40" i="2"/>
  <c r="BN47" i="2"/>
  <c r="BP47" i="2"/>
  <c r="BP48" i="2"/>
  <c r="Z56" i="2"/>
  <c r="Z57" i="2"/>
  <c r="BN57" i="2"/>
  <c r="BN58" i="2"/>
  <c r="BP58" i="2"/>
  <c r="BP59" i="2"/>
  <c r="Z66" i="2"/>
  <c r="Z67" i="2"/>
  <c r="BN67" i="2"/>
  <c r="BN68" i="2"/>
  <c r="BP68" i="2"/>
  <c r="BN73" i="2"/>
  <c r="BP73" i="2"/>
  <c r="BP74" i="2"/>
  <c r="F564" i="2"/>
  <c r="Y91" i="2"/>
  <c r="Y90" i="2"/>
  <c r="BN85" i="2"/>
  <c r="BP85" i="2"/>
  <c r="BN86" i="2"/>
  <c r="BP86" i="2"/>
  <c r="BN22" i="2"/>
  <c r="BP22" i="2"/>
  <c r="Y24" i="2"/>
  <c r="BN38" i="2"/>
  <c r="BN39" i="2"/>
  <c r="BP39" i="2"/>
  <c r="BP40" i="2"/>
  <c r="BN41" i="2"/>
  <c r="Z48" i="2"/>
  <c r="Z50" i="2"/>
  <c r="BN50" i="2"/>
  <c r="BP56" i="2"/>
  <c r="Z61" i="2"/>
  <c r="BN61" i="2"/>
  <c r="BP66" i="2"/>
  <c r="BN79" i="2"/>
  <c r="BP79" i="2"/>
  <c r="Z86" i="2"/>
  <c r="BP88" i="2"/>
  <c r="BN88" i="2"/>
  <c r="Z88" i="2"/>
  <c r="BP89" i="2"/>
  <c r="BN89" i="2"/>
  <c r="Z89" i="2"/>
  <c r="BN87" i="2"/>
  <c r="Z96" i="2"/>
  <c r="Z101" i="2"/>
  <c r="BN101" i="2"/>
  <c r="BP101" i="2"/>
  <c r="BN102" i="2"/>
  <c r="BP102" i="2"/>
  <c r="BP103" i="2"/>
  <c r="Z107" i="2"/>
  <c r="BN112" i="2"/>
  <c r="BP112" i="2"/>
  <c r="BP113" i="2"/>
  <c r="Z120" i="2"/>
  <c r="Z121" i="2"/>
  <c r="BN121" i="2"/>
  <c r="BN122" i="2"/>
  <c r="BP122" i="2"/>
  <c r="BP123" i="2"/>
  <c r="Y124" i="2"/>
  <c r="Z132" i="2"/>
  <c r="BN132" i="2"/>
  <c r="Z133" i="2"/>
  <c r="BN133" i="2"/>
  <c r="Y134" i="2"/>
  <c r="Y135" i="2"/>
  <c r="Z143" i="2"/>
  <c r="Y145" i="2"/>
  <c r="BN151" i="2"/>
  <c r="BP151" i="2"/>
  <c r="Z162" i="2"/>
  <c r="Z165" i="2" s="1"/>
  <c r="BN162" i="2"/>
  <c r="BP162" i="2"/>
  <c r="BN163" i="2"/>
  <c r="BP163" i="2"/>
  <c r="BP164" i="2"/>
  <c r="Y165" i="2"/>
  <c r="Y166" i="2"/>
  <c r="Z175" i="2"/>
  <c r="BP177" i="2"/>
  <c r="Z180" i="2"/>
  <c r="Z182" i="2"/>
  <c r="BN182" i="2"/>
  <c r="BN183" i="2"/>
  <c r="BP183" i="2"/>
  <c r="BP184" i="2"/>
  <c r="Z190" i="2"/>
  <c r="BN194" i="2"/>
  <c r="BP194" i="2"/>
  <c r="Y195" i="2"/>
  <c r="Y196" i="2"/>
  <c r="Z211" i="2"/>
  <c r="Z212" i="2" s="1"/>
  <c r="BN211" i="2"/>
  <c r="Y213" i="2"/>
  <c r="Y231" i="2"/>
  <c r="Z217" i="2"/>
  <c r="BN217" i="2"/>
  <c r="BN218" i="2"/>
  <c r="BP218" i="2"/>
  <c r="BP219" i="2"/>
  <c r="BN220" i="2"/>
  <c r="Z221" i="2"/>
  <c r="BN221" i="2"/>
  <c r="Z222" i="2"/>
  <c r="BN222" i="2"/>
  <c r="BN227" i="2"/>
  <c r="BP227" i="2"/>
  <c r="Z229" i="2"/>
  <c r="BN237" i="2"/>
  <c r="BP237" i="2"/>
  <c r="BP240" i="2"/>
  <c r="BN247" i="2"/>
  <c r="BP247" i="2"/>
  <c r="Y252" i="2"/>
  <c r="Y253" i="2"/>
  <c r="BN251" i="2"/>
  <c r="BN95" i="2"/>
  <c r="BP95" i="2"/>
  <c r="BP96" i="2"/>
  <c r="BN106" i="2"/>
  <c r="BP106" i="2"/>
  <c r="BP107" i="2"/>
  <c r="BN108" i="2"/>
  <c r="BN116" i="2"/>
  <c r="BP116" i="2"/>
  <c r="BP120" i="2"/>
  <c r="BN127" i="2"/>
  <c r="BP127" i="2"/>
  <c r="Y128" i="2"/>
  <c r="Y129" i="2"/>
  <c r="BP143" i="2"/>
  <c r="BN157" i="2"/>
  <c r="BP157" i="2"/>
  <c r="BN169" i="2"/>
  <c r="BP169" i="2"/>
  <c r="BN174" i="2"/>
  <c r="BP174" i="2"/>
  <c r="BN179" i="2"/>
  <c r="BP179" i="2"/>
  <c r="BP180" i="2"/>
  <c r="BN189" i="2"/>
  <c r="BP189" i="2"/>
  <c r="BP190" i="2"/>
  <c r="Y191" i="2"/>
  <c r="BN202" i="2"/>
  <c r="BP202" i="2"/>
  <c r="BN206" i="2"/>
  <c r="BP206" i="2"/>
  <c r="BN226" i="2"/>
  <c r="BP233" i="2"/>
  <c r="BN236" i="2"/>
  <c r="Z238" i="2"/>
  <c r="Z240" i="2"/>
  <c r="Z241" i="2"/>
  <c r="BN241" i="2"/>
  <c r="BN246" i="2"/>
  <c r="Z251" i="2"/>
  <c r="Z252" i="2" s="1"/>
  <c r="BN269" i="2"/>
  <c r="BN280" i="2"/>
  <c r="BP280" i="2"/>
  <c r="BP283" i="2"/>
  <c r="BN312" i="2"/>
  <c r="BP312" i="2"/>
  <c r="BP323" i="2"/>
  <c r="BN324" i="2"/>
  <c r="BP324" i="2"/>
  <c r="BN341" i="2"/>
  <c r="BP341" i="2"/>
  <c r="BN359" i="2"/>
  <c r="BP359" i="2"/>
  <c r="BP360" i="2"/>
  <c r="BN362" i="2"/>
  <c r="Y366" i="2"/>
  <c r="BN379" i="2"/>
  <c r="BP379" i="2"/>
  <c r="BP380" i="2"/>
  <c r="BN382" i="2"/>
  <c r="Y384" i="2"/>
  <c r="BN395" i="2"/>
  <c r="BP395" i="2"/>
  <c r="BN400" i="2"/>
  <c r="BP400" i="2"/>
  <c r="Y402" i="2"/>
  <c r="BN412" i="2"/>
  <c r="BP412" i="2"/>
  <c r="BP413" i="2"/>
  <c r="Y414" i="2"/>
  <c r="BP418" i="2"/>
  <c r="BN419" i="2"/>
  <c r="BP419" i="2"/>
  <c r="BN426" i="2"/>
  <c r="BP426" i="2"/>
  <c r="Z429" i="2"/>
  <c r="Z432" i="2"/>
  <c r="BN432" i="2"/>
  <c r="Z433" i="2"/>
  <c r="Z438" i="2"/>
  <c r="Z445" i="2"/>
  <c r="BN445" i="2"/>
  <c r="BN450" i="2"/>
  <c r="Y452" i="2"/>
  <c r="BP460" i="2"/>
  <c r="Y461" i="2"/>
  <c r="Z464" i="2"/>
  <c r="BN464" i="2"/>
  <c r="Y564" i="2"/>
  <c r="BN472" i="2"/>
  <c r="BP472" i="2"/>
  <c r="Y478" i="2"/>
  <c r="BN482" i="2"/>
  <c r="BP482" i="2"/>
  <c r="Z493" i="2"/>
  <c r="BN493" i="2"/>
  <c r="AA564" i="2"/>
  <c r="BN500" i="2"/>
  <c r="Z501" i="2"/>
  <c r="BN501" i="2"/>
  <c r="Z505" i="2"/>
  <c r="BN505" i="2"/>
  <c r="Z511" i="2"/>
  <c r="BN511" i="2"/>
  <c r="Z512" i="2"/>
  <c r="Y514" i="2"/>
  <c r="BN518" i="2"/>
  <c r="BP518" i="2"/>
  <c r="BN520" i="2"/>
  <c r="Z521" i="2"/>
  <c r="BN521" i="2"/>
  <c r="Z522" i="2"/>
  <c r="M564" i="2"/>
  <c r="Z261" i="2"/>
  <c r="Y275" i="2"/>
  <c r="BN270" i="2"/>
  <c r="BP270" i="2"/>
  <c r="Z272" i="2"/>
  <c r="BP273" i="2"/>
  <c r="BN279" i="2"/>
  <c r="Z281" i="2"/>
  <c r="Z283" i="2"/>
  <c r="Z284" i="2"/>
  <c r="BN284" i="2"/>
  <c r="BN285" i="2"/>
  <c r="BP285" i="2"/>
  <c r="Z287" i="2"/>
  <c r="Z292" i="2"/>
  <c r="BP293" i="2"/>
  <c r="BN301" i="2"/>
  <c r="BP301" i="2"/>
  <c r="Z303" i="2"/>
  <c r="BP304" i="2"/>
  <c r="Y309" i="2"/>
  <c r="Z316" i="2"/>
  <c r="Z317" i="2" s="1"/>
  <c r="Z321" i="2"/>
  <c r="Z323" i="2"/>
  <c r="Z325" i="2"/>
  <c r="BN325" i="2"/>
  <c r="Z332" i="2"/>
  <c r="Z340" i="2"/>
  <c r="BN340" i="2"/>
  <c r="Z346" i="2"/>
  <c r="BN346" i="2"/>
  <c r="BP346" i="2"/>
  <c r="Z352" i="2"/>
  <c r="BN352" i="2"/>
  <c r="BP352" i="2"/>
  <c r="BN353" i="2"/>
  <c r="BP353" i="2"/>
  <c r="BP354" i="2"/>
  <c r="Y355" i="2"/>
  <c r="Y356" i="2"/>
  <c r="Z360" i="2"/>
  <c r="BN369" i="2"/>
  <c r="BP369" i="2"/>
  <c r="BP370" i="2"/>
  <c r="BN372" i="2"/>
  <c r="Z373" i="2"/>
  <c r="BN373" i="2"/>
  <c r="Y376" i="2"/>
  <c r="Z380" i="2"/>
  <c r="Z386" i="2"/>
  <c r="BN386" i="2"/>
  <c r="Z387" i="2"/>
  <c r="BN387" i="2"/>
  <c r="Y389" i="2"/>
  <c r="Y390" i="2"/>
  <c r="Y397" i="2"/>
  <c r="Z393" i="2"/>
  <c r="Z399" i="2"/>
  <c r="BN399" i="2"/>
  <c r="Z405" i="2"/>
  <c r="BN405" i="2"/>
  <c r="BP405" i="2"/>
  <c r="Z413" i="2"/>
  <c r="Z414" i="2" s="1"/>
  <c r="Z420" i="2"/>
  <c r="BN420" i="2"/>
  <c r="Z428" i="2"/>
  <c r="BP430" i="2"/>
  <c r="BN431" i="2"/>
  <c r="BP431" i="2"/>
  <c r="BP433" i="2"/>
  <c r="Y467" i="2"/>
  <c r="BN475" i="2"/>
  <c r="BN481" i="2"/>
  <c r="BN507" i="2"/>
  <c r="BP507" i="2"/>
  <c r="BN517" i="2"/>
  <c r="F10" i="2"/>
  <c r="H9" i="2"/>
  <c r="J9" i="2"/>
  <c r="A10" i="2"/>
  <c r="BP211" i="2"/>
  <c r="BN229" i="2"/>
  <c r="BN239" i="2"/>
  <c r="Y242" i="2"/>
  <c r="BP251" i="2"/>
  <c r="BN262" i="2"/>
  <c r="BN272" i="2"/>
  <c r="BN282" i="2"/>
  <c r="BN292" i="2"/>
  <c r="BN303" i="2"/>
  <c r="BN321" i="2"/>
  <c r="BN332" i="2"/>
  <c r="Y344" i="2"/>
  <c r="BP362" i="2"/>
  <c r="BP372" i="2"/>
  <c r="BP382" i="2"/>
  <c r="BN392" i="2"/>
  <c r="Y403" i="2"/>
  <c r="BN428" i="2"/>
  <c r="BN438" i="2"/>
  <c r="BP450" i="2"/>
  <c r="Y462" i="2"/>
  <c r="BP475" i="2"/>
  <c r="BP500" i="2"/>
  <c r="Y509" i="2"/>
  <c r="BP520" i="2"/>
  <c r="Y547" i="2"/>
  <c r="K564" i="2"/>
  <c r="BN72" i="2"/>
  <c r="Z114" i="2"/>
  <c r="Y43" i="2"/>
  <c r="Z142" i="2"/>
  <c r="BN55" i="2"/>
  <c r="BN65" i="2"/>
  <c r="Y76" i="2"/>
  <c r="BP132" i="2"/>
  <c r="BN142" i="2"/>
  <c r="BN153" i="2"/>
  <c r="BN176" i="2"/>
  <c r="BP200" i="2"/>
  <c r="BN23" i="2"/>
  <c r="BP49" i="2"/>
  <c r="BP60" i="2"/>
  <c r="BN80" i="2"/>
  <c r="BP93" i="2"/>
  <c r="BP104" i="2"/>
  <c r="Z112" i="2"/>
  <c r="BP114" i="2"/>
  <c r="BP137" i="2"/>
  <c r="BN148" i="2"/>
  <c r="Y159" i="2"/>
  <c r="Z169" i="2"/>
  <c r="BP181" i="2"/>
  <c r="BN203" i="2"/>
  <c r="BP216" i="2"/>
  <c r="BN224" i="2"/>
  <c r="BN234" i="2"/>
  <c r="BP257" i="2"/>
  <c r="BN267" i="2"/>
  <c r="BN277" i="2"/>
  <c r="BP287" i="2"/>
  <c r="BN298" i="2"/>
  <c r="BN308" i="2"/>
  <c r="BN338" i="2"/>
  <c r="Y349" i="2"/>
  <c r="BN365" i="2"/>
  <c r="BN375" i="2"/>
  <c r="BN407" i="2"/>
  <c r="BN443" i="2"/>
  <c r="Y446" i="2"/>
  <c r="BN466" i="2"/>
  <c r="Y479" i="2"/>
  <c r="BN491" i="2"/>
  <c r="Y494" i="2"/>
  <c r="BN503" i="2"/>
  <c r="BN513" i="2"/>
  <c r="BN523" i="2"/>
  <c r="BN537" i="2"/>
  <c r="L564" i="2"/>
  <c r="BP37" i="2"/>
  <c r="Z47" i="2"/>
  <c r="BP55" i="2"/>
  <c r="BP65" i="2"/>
  <c r="Y118" i="2"/>
  <c r="BP142" i="2"/>
  <c r="BP153" i="2"/>
  <c r="BP176" i="2"/>
  <c r="BP292" i="2"/>
  <c r="Y314" i="2"/>
  <c r="BP321" i="2"/>
  <c r="Y383" i="2"/>
  <c r="BP392" i="2"/>
  <c r="Z426" i="2"/>
  <c r="Y451" i="2"/>
  <c r="Y484" i="2"/>
  <c r="Z506" i="2"/>
  <c r="Y531" i="2"/>
  <c r="Y543" i="2"/>
  <c r="Z49" i="2"/>
  <c r="Y75" i="2"/>
  <c r="BP23" i="2"/>
  <c r="BP80" i="2"/>
  <c r="BP148" i="2"/>
  <c r="BP203" i="2"/>
  <c r="BP224" i="2"/>
  <c r="BP234" i="2"/>
  <c r="Y243" i="2"/>
  <c r="Y258" i="2"/>
  <c r="BP267" i="2"/>
  <c r="BP277" i="2"/>
  <c r="BP298" i="2"/>
  <c r="BP308" i="2"/>
  <c r="Y327" i="2"/>
  <c r="BP338" i="2"/>
  <c r="BP365" i="2"/>
  <c r="BP375" i="2"/>
  <c r="BP407" i="2"/>
  <c r="Y434" i="2"/>
  <c r="BP443" i="2"/>
  <c r="BP466" i="2"/>
  <c r="BP491" i="2"/>
  <c r="BP503" i="2"/>
  <c r="BP513" i="2"/>
  <c r="BP523" i="2"/>
  <c r="BP537" i="2"/>
  <c r="Y548" i="2"/>
  <c r="O564" i="2"/>
  <c r="Z37" i="2"/>
  <c r="Z93" i="2"/>
  <c r="Z104" i="2"/>
  <c r="Z137" i="2"/>
  <c r="Z139" i="2" s="1"/>
  <c r="Z55" i="2"/>
  <c r="Z65" i="2"/>
  <c r="Y154" i="2"/>
  <c r="Y230" i="2"/>
  <c r="Y263" i="2"/>
  <c r="Y447" i="2"/>
  <c r="Z481" i="2"/>
  <c r="Z483" i="2" s="1"/>
  <c r="Y495" i="2"/>
  <c r="P564" i="2"/>
  <c r="Y524" i="2"/>
  <c r="Y538" i="2"/>
  <c r="Q564" i="2"/>
  <c r="Y97" i="2"/>
  <c r="Z149" i="2"/>
  <c r="Z225" i="2"/>
  <c r="Z235" i="2"/>
  <c r="Z245" i="2"/>
  <c r="Y259" i="2"/>
  <c r="Z268" i="2"/>
  <c r="Z278" i="2"/>
  <c r="Z299" i="2"/>
  <c r="Z339" i="2"/>
  <c r="Y435" i="2"/>
  <c r="Z444" i="2"/>
  <c r="Z492" i="2"/>
  <c r="Z504" i="2"/>
  <c r="Z551" i="2"/>
  <c r="Z552" i="2" s="1"/>
  <c r="R564" i="2"/>
  <c r="Y185" i="2"/>
  <c r="Z204" i="2"/>
  <c r="Z29" i="2"/>
  <c r="Z41" i="2"/>
  <c r="Y69" i="2"/>
  <c r="Z87" i="2"/>
  <c r="Z108" i="2"/>
  <c r="BN120" i="2"/>
  <c r="Y155" i="2"/>
  <c r="Y170" i="2"/>
  <c r="Z220" i="2"/>
  <c r="Y264" i="2"/>
  <c r="BN316" i="2"/>
  <c r="BN322" i="2"/>
  <c r="BN333" i="2"/>
  <c r="Z361" i="2"/>
  <c r="Z371" i="2"/>
  <c r="Z381" i="2"/>
  <c r="BN393" i="2"/>
  <c r="Y396" i="2"/>
  <c r="BN429" i="2"/>
  <c r="BN439" i="2"/>
  <c r="Z449" i="2"/>
  <c r="Z451" i="2" s="1"/>
  <c r="Z474" i="2"/>
  <c r="BN487" i="2"/>
  <c r="Z499" i="2"/>
  <c r="Z519" i="2"/>
  <c r="BN533" i="2"/>
  <c r="BN545" i="2"/>
  <c r="Y25" i="2"/>
  <c r="Y82" i="2"/>
  <c r="BN149" i="2"/>
  <c r="BN204" i="2"/>
  <c r="Y207" i="2"/>
  <c r="BN225" i="2"/>
  <c r="BN235" i="2"/>
  <c r="BN245" i="2"/>
  <c r="Y248" i="2"/>
  <c r="BN268" i="2"/>
  <c r="BN278" i="2"/>
  <c r="BN299" i="2"/>
  <c r="Y310" i="2"/>
  <c r="BN339" i="2"/>
  <c r="Y367" i="2"/>
  <c r="Y377" i="2"/>
  <c r="Y409" i="2"/>
  <c r="BN444" i="2"/>
  <c r="Y468" i="2"/>
  <c r="BP481" i="2"/>
  <c r="BN492" i="2"/>
  <c r="BN504" i="2"/>
  <c r="Y515" i="2"/>
  <c r="Y525" i="2"/>
  <c r="Y539" i="2"/>
  <c r="BN551" i="2"/>
  <c r="T564" i="2"/>
  <c r="BP316" i="2"/>
  <c r="Z331" i="2"/>
  <c r="Z342" i="2"/>
  <c r="BN361" i="2"/>
  <c r="BN371" i="2"/>
  <c r="BN381" i="2"/>
  <c r="Z401" i="2"/>
  <c r="Y415" i="2"/>
  <c r="Z427" i="2"/>
  <c r="Z437" i="2"/>
  <c r="BN449" i="2"/>
  <c r="Z460" i="2"/>
  <c r="Z461" i="2" s="1"/>
  <c r="BN474" i="2"/>
  <c r="BP487" i="2"/>
  <c r="BN499" i="2"/>
  <c r="BN519" i="2"/>
  <c r="BP533" i="2"/>
  <c r="B564" i="2"/>
  <c r="U564" i="2"/>
  <c r="Y186" i="2"/>
  <c r="Y139" i="2"/>
  <c r="Z157" i="2"/>
  <c r="Z158" i="2" s="1"/>
  <c r="Z223" i="2"/>
  <c r="Z233" i="2"/>
  <c r="BP245" i="2"/>
  <c r="Z266" i="2"/>
  <c r="Y289" i="2"/>
  <c r="Z347" i="2"/>
  <c r="Z364" i="2"/>
  <c r="Z374" i="2"/>
  <c r="Z406" i="2"/>
  <c r="Z465" i="2"/>
  <c r="Z477" i="2"/>
  <c r="Z502" i="2"/>
  <c r="BP551" i="2"/>
  <c r="C564" i="2"/>
  <c r="V564" i="2"/>
  <c r="Y98" i="2"/>
  <c r="Y51" i="2"/>
  <c r="Y62" i="2"/>
  <c r="Z85" i="2"/>
  <c r="BN152" i="2"/>
  <c r="BN175" i="2"/>
  <c r="BN228" i="2"/>
  <c r="BN238" i="2"/>
  <c r="BN261" i="2"/>
  <c r="BN271" i="2"/>
  <c r="Y274" i="2"/>
  <c r="BN281" i="2"/>
  <c r="Y294" i="2"/>
  <c r="BN302" i="2"/>
  <c r="Y305" i="2"/>
  <c r="Z312" i="2"/>
  <c r="Z313" i="2" s="1"/>
  <c r="Y317" i="2"/>
  <c r="BN331" i="2"/>
  <c r="Y334" i="2"/>
  <c r="BN342" i="2"/>
  <c r="BN401" i="2"/>
  <c r="BN427" i="2"/>
  <c r="BN437" i="2"/>
  <c r="Y440" i="2"/>
  <c r="Z472" i="2"/>
  <c r="Y488" i="2"/>
  <c r="BP499" i="2"/>
  <c r="Z517" i="2"/>
  <c r="Z529" i="2"/>
  <c r="Z530" i="2" s="1"/>
  <c r="Z541" i="2"/>
  <c r="Z542" i="2" s="1"/>
  <c r="BN266" i="2"/>
  <c r="BN347" i="2"/>
  <c r="BN364" i="2"/>
  <c r="BN374" i="2"/>
  <c r="Z394" i="2"/>
  <c r="BN406" i="2"/>
  <c r="Z418" i="2"/>
  <c r="Z430" i="2"/>
  <c r="BP455" i="2"/>
  <c r="BN465" i="2"/>
  <c r="BN477" i="2"/>
  <c r="BN502" i="2"/>
  <c r="BN512" i="2"/>
  <c r="BN522" i="2"/>
  <c r="Z546" i="2"/>
  <c r="Z547" i="2" s="1"/>
  <c r="Y552" i="2"/>
  <c r="E564" i="2"/>
  <c r="Y42" i="2"/>
  <c r="Y52" i="2"/>
  <c r="Z72" i="2"/>
  <c r="Z75" i="2" s="1"/>
  <c r="Y109" i="2"/>
  <c r="Y140" i="2"/>
  <c r="Z150" i="2"/>
  <c r="Z173" i="2"/>
  <c r="Z205" i="2"/>
  <c r="Z226" i="2"/>
  <c r="Z236" i="2"/>
  <c r="Z246" i="2"/>
  <c r="Z269" i="2"/>
  <c r="Z279" i="2"/>
  <c r="Y290" i="2"/>
  <c r="BP331" i="2"/>
  <c r="BP401" i="2"/>
  <c r="BP437" i="2"/>
  <c r="BN529" i="2"/>
  <c r="BN541" i="2"/>
  <c r="Y306" i="2"/>
  <c r="BN418" i="2"/>
  <c r="Y421" i="2"/>
  <c r="Y489" i="2"/>
  <c r="BN546" i="2"/>
  <c r="BN150" i="2"/>
  <c r="BN173" i="2"/>
  <c r="Z181" i="2"/>
  <c r="BN205" i="2"/>
  <c r="Z216" i="2"/>
  <c r="Z257" i="2"/>
  <c r="Y343" i="2"/>
  <c r="Y508" i="2"/>
  <c r="BP529" i="2"/>
  <c r="BP541" i="2"/>
  <c r="Y553" i="2"/>
  <c r="I564" i="2"/>
  <c r="AB564" i="2"/>
  <c r="Z60" i="2"/>
  <c r="Y110" i="2"/>
  <c r="Z421" i="2" l="1"/>
  <c r="Z467" i="2"/>
  <c r="Z348" i="2"/>
  <c r="Z446" i="2"/>
  <c r="Z355" i="2"/>
  <c r="Z294" i="2"/>
  <c r="Z524" i="2"/>
  <c r="Z191" i="2"/>
  <c r="Z258" i="2"/>
  <c r="Z396" i="2"/>
  <c r="Z478" i="2"/>
  <c r="Z440" i="2"/>
  <c r="Z334" i="2"/>
  <c r="Z383" i="2"/>
  <c r="Z69" i="2"/>
  <c r="Z97" i="2"/>
  <c r="Z117" i="2"/>
  <c r="Z327" i="2"/>
  <c r="Z124" i="2"/>
  <c r="Z170" i="2"/>
  <c r="Z305" i="2"/>
  <c r="Z457" i="2"/>
  <c r="Z207" i="2"/>
  <c r="Z154" i="2"/>
  <c r="Z514" i="2"/>
  <c r="Z90" i="2"/>
  <c r="Z408" i="2"/>
  <c r="Z366" i="2"/>
  <c r="Z402" i="2"/>
  <c r="Z32" i="2"/>
  <c r="Z494" i="2"/>
  <c r="Z144" i="2"/>
  <c r="Z263" i="2"/>
  <c r="Z274" i="2"/>
  <c r="Z242" i="2"/>
  <c r="Z343" i="2"/>
  <c r="Z289" i="2"/>
  <c r="Y556" i="2"/>
  <c r="Z51" i="2"/>
  <c r="Y555" i="2"/>
  <c r="Z389" i="2"/>
  <c r="Z134" i="2"/>
  <c r="Z376" i="2"/>
  <c r="Z248" i="2"/>
  <c r="Z62" i="2"/>
  <c r="Z109" i="2"/>
  <c r="Y558" i="2"/>
  <c r="Y557" i="2"/>
  <c r="Z434" i="2"/>
  <c r="Z42" i="2"/>
  <c r="Z230" i="2"/>
  <c r="Z508" i="2"/>
  <c r="Z185" i="2"/>
  <c r="Y554" i="2"/>
  <c r="Z559" i="2" l="1"/>
</calcChain>
</file>

<file path=xl/sharedStrings.xml><?xml version="1.0" encoding="utf-8"?>
<sst xmlns="http://schemas.openxmlformats.org/spreadsheetml/2006/main" count="4258" uniqueCount="895">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</sst>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 t="s">
        <v>894</v>
      </c>
      <c r="I5" s="1009"/>
      <c r="J5" s="1009"/>
      <c r="K5" s="1009"/>
      <c r="L5" s="1009"/>
      <c r="M5" s="1009"/>
      <c r="N5" s="72"/>
      <c r="P5" s="27" t="s">
        <v>4</v>
      </c>
      <c r="Q5" s="1011">
        <v>46294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876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Вторник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1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0.5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250</v>
      </c>
      <c r="Y47" s="55">
        <f>IFERROR(IF(X47="",0,CEILING((X47/$H47),1)*$H47),"")</f>
        <v>259.20000000000005</v>
      </c>
      <c r="Z47" s="41">
        <f>IFERROR(IF(Y47=0,"",ROUNDUP(Y47/H47,0)*0.01898),"")</f>
        <v>0.45552000000000004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259.4907407407407</v>
      </c>
      <c r="BN47" s="78">
        <f>IFERROR(Y47*I47/H47,"0")</f>
        <v>269.04000000000002</v>
      </c>
      <c r="BO47" s="78">
        <f>IFERROR(1/J47*(X47/H47),"0")</f>
        <v>0.36168981481481477</v>
      </c>
      <c r="BP47" s="78">
        <f>IFERROR(1/J47*(Y47/H47),"0")</f>
        <v>0.37500000000000006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23.148148148148145</v>
      </c>
      <c r="Y51" s="43">
        <f>IFERROR(Y47/H47,"0")+IFERROR(Y48/H48,"0")+IFERROR(Y49/H49,"0")+IFERROR(Y50/H50,"0")</f>
        <v>24.000000000000004</v>
      </c>
      <c r="Z51" s="43">
        <f>IFERROR(IF(Z47="",0,Z47),"0")+IFERROR(IF(Z48="",0,Z48),"0")+IFERROR(IF(Z49="",0,Z49),"0")+IFERROR(IF(Z50="",0,Z50),"0")</f>
        <v>0.45552000000000004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250</v>
      </c>
      <c r="Y52" s="43">
        <f>IFERROR(SUM(Y47:Y50),"0")</f>
        <v>259.20000000000005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100</v>
      </c>
      <c r="Y85" s="55">
        <f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103.79629629629629</v>
      </c>
      <c r="BN85" s="78">
        <f>IFERROR(Y85*I85/H85,"0")</f>
        <v>112.1</v>
      </c>
      <c r="BO85" s="78">
        <f>IFERROR(1/J85*(X85/H85),"0")</f>
        <v>0.14467592592592593</v>
      </c>
      <c r="BP85" s="78">
        <f>IFERROR(1/J85*(Y85/H85),"0")</f>
        <v>0.15625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45</v>
      </c>
      <c r="Y89" s="55">
        <f>IFERROR(IF(X89="",0,CEILING((X89/$H89),1)*$H89),"")</f>
        <v>45</v>
      </c>
      <c r="Z89" s="41">
        <f>IFERROR(IF(Y89=0,"",ROUNDUP(Y89/H89,0)*0.00902),"")</f>
        <v>9.0200000000000002E-2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46.900000000000006</v>
      </c>
      <c r="BN89" s="78">
        <f>IFERROR(Y89*I89/H89,"0")</f>
        <v>46.900000000000006</v>
      </c>
      <c r="BO89" s="78">
        <f>IFERROR(1/J89*(X89/H89),"0")</f>
        <v>7.575757575757576E-2</v>
      </c>
      <c r="BP89" s="78">
        <f>IFERROR(1/J89*(Y89/H89),"0")</f>
        <v>7.575757575757576E-2</v>
      </c>
    </row>
    <row r="90" spans="1:68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19.25925925925926</v>
      </c>
      <c r="Y90" s="43">
        <f>IFERROR(Y85/H85,"0")+IFERROR(Y86/H86,"0")+IFERROR(Y87/H87,"0")+IFERROR(Y88/H88,"0")+IFERROR(Y89/H89,"0")</f>
        <v>20</v>
      </c>
      <c r="Z90" s="43">
        <f>IFERROR(IF(Z85="",0,Z85),"0")+IFERROR(IF(Z86="",0,Z86),"0")+IFERROR(IF(Z87="",0,Z87),"0")+IFERROR(IF(Z88="",0,Z88),"0")+IFERROR(IF(Z89="",0,Z89),"0")</f>
        <v>0.28000000000000003</v>
      </c>
      <c r="AA90" s="67"/>
      <c r="AB90" s="67"/>
      <c r="AC90" s="67"/>
    </row>
    <row r="91" spans="1:68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145</v>
      </c>
      <c r="Y91" s="43">
        <f>IFERROR(SUM(Y85:Y89),"0")</f>
        <v>153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400</v>
      </c>
      <c r="Y93" s="55">
        <f>IFERROR(IF(X93="",0,CEILING((X93/$H93),1)*$H93),"")</f>
        <v>405</v>
      </c>
      <c r="Z93" s="41">
        <f>IFERROR(IF(Y93=0,"",ROUNDUP(Y93/H93,0)*0.01898),"")</f>
        <v>0.94900000000000007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424.39506172839509</v>
      </c>
      <c r="BN93" s="78">
        <f>IFERROR(Y93*I93/H93,"0")</f>
        <v>429.7</v>
      </c>
      <c r="BO93" s="78">
        <f>IFERROR(1/J93*(X93/H93),"0")</f>
        <v>0.77160493827160492</v>
      </c>
      <c r="BP93" s="78">
        <f>IFERROR(1/J93*(Y93/H93),"0")</f>
        <v>0.78125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49.382716049382715</v>
      </c>
      <c r="Y97" s="43">
        <f>IFERROR(Y93/H93,"0")+IFERROR(Y94/H94,"0")+IFERROR(Y95/H95,"0")+IFERROR(Y96/H96,"0")</f>
        <v>50</v>
      </c>
      <c r="Z97" s="43">
        <f>IFERROR(IF(Z93="",0,Z93),"0")+IFERROR(IF(Z94="",0,Z94),"0")+IFERROR(IF(Z95="",0,Z95),"0")+IFERROR(IF(Z96="",0,Z96),"0")</f>
        <v>0.94900000000000007</v>
      </c>
      <c r="AA97" s="67"/>
      <c r="AB97" s="67"/>
      <c r="AC97" s="67"/>
    </row>
    <row r="98" spans="1:68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400</v>
      </c>
      <c r="Y98" s="43">
        <f>IFERROR(SUM(Y93:Y96),"0")</f>
        <v>405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250</v>
      </c>
      <c r="Y101" s="55">
        <f t="shared" ref="Y101:Y108" si="5">IFERROR(IF(X101="",0,CEILING((X101/$H101),1)*$H101),"")</f>
        <v>259.20000000000005</v>
      </c>
      <c r="Z101" s="41">
        <f>IFERROR(IF(Y101=0,"",ROUNDUP(Y101/H101,0)*0.01898),"")</f>
        <v>0.45552000000000004</v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259.4907407407407</v>
      </c>
      <c r="BN101" s="78">
        <f t="shared" ref="BN101:BN108" si="7">IFERROR(Y101*I101/H101,"0")</f>
        <v>269.04000000000002</v>
      </c>
      <c r="BO101" s="78">
        <f t="shared" ref="BO101:BO108" si="8">IFERROR(1/J101*(X101/H101),"0")</f>
        <v>0.36168981481481477</v>
      </c>
      <c r="BP101" s="78">
        <f t="shared" ref="BP101:BP108" si="9">IFERROR(1/J101*(Y101/H101),"0")</f>
        <v>0.37500000000000006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90</v>
      </c>
      <c r="Y105" s="55">
        <f t="shared" si="5"/>
        <v>90</v>
      </c>
      <c r="Z105" s="41">
        <f>IFERROR(IF(Y105=0,"",ROUNDUP(Y105/H105,0)*0.00902),"")</f>
        <v>0.1804</v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93.800000000000011</v>
      </c>
      <c r="BN105" s="78">
        <f t="shared" si="7"/>
        <v>93.800000000000011</v>
      </c>
      <c r="BO105" s="78">
        <f t="shared" si="8"/>
        <v>0.15151515151515152</v>
      </c>
      <c r="BP105" s="78">
        <f t="shared" si="9"/>
        <v>0.15151515151515152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43.148148148148145</v>
      </c>
      <c r="Y109" s="43">
        <f>IFERROR(Y101/H101,"0")+IFERROR(Y102/H102,"0")+IFERROR(Y103/H103,"0")+IFERROR(Y104/H104,"0")+IFERROR(Y105/H105,"0")+IFERROR(Y106/H106,"0")+IFERROR(Y107/H107,"0")+IFERROR(Y108/H108,"0")</f>
        <v>44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0.63592000000000004</v>
      </c>
      <c r="AA109" s="67"/>
      <c r="AB109" s="67"/>
      <c r="AC109" s="67"/>
    </row>
    <row r="110" spans="1:68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340</v>
      </c>
      <c r="Y110" s="43">
        <f>IFERROR(SUM(Y101:Y108),"0")</f>
        <v>349.20000000000005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32</v>
      </c>
      <c r="Y116" s="55">
        <f>IFERROR(IF(X116="",0,CEILING((X116/$H116),1)*$H116),"")</f>
        <v>33.6</v>
      </c>
      <c r="Z116" s="41">
        <f>IFERROR(IF(Y116=0,"",ROUNDUP(Y116/H116,0)*0.00651),"")</f>
        <v>9.1139999999999999E-2</v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34.400000000000006</v>
      </c>
      <c r="BN116" s="78">
        <f>IFERROR(Y116*I116/H116,"0")</f>
        <v>36.120000000000005</v>
      </c>
      <c r="BO116" s="78">
        <f>IFERROR(1/J116*(X116/H116),"0")</f>
        <v>7.3260073260073263E-2</v>
      </c>
      <c r="BP116" s="78">
        <f>IFERROR(1/J116*(Y116/H116),"0")</f>
        <v>7.6923076923076941E-2</v>
      </c>
    </row>
    <row r="117" spans="1:68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13.333333333333334</v>
      </c>
      <c r="Y117" s="43">
        <f>IFERROR(Y112/H112,"0")+IFERROR(Y113/H113,"0")+IFERROR(Y114/H114,"0")+IFERROR(Y115/H115,"0")+IFERROR(Y116/H116,"0")</f>
        <v>14.000000000000002</v>
      </c>
      <c r="Z117" s="43">
        <f>IFERROR(IF(Z112="",0,Z112),"0")+IFERROR(IF(Z113="",0,Z113),"0")+IFERROR(IF(Z114="",0,Z114),"0")+IFERROR(IF(Z115="",0,Z115),"0")+IFERROR(IF(Z116="",0,Z116),"0")</f>
        <v>9.1139999999999999E-2</v>
      </c>
      <c r="AA117" s="67"/>
      <c r="AB117" s="67"/>
      <c r="AC117" s="67"/>
    </row>
    <row r="118" spans="1:68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32</v>
      </c>
      <c r="Y118" s="43">
        <f>IFERROR(SUM(Y112:Y116),"0")</f>
        <v>33.6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1800</v>
      </c>
      <c r="Y120" s="55">
        <f>IFERROR(IF(X120="",0,CEILING((X120/$H120),1)*$H120),"")</f>
        <v>1806.3</v>
      </c>
      <c r="Z120" s="41">
        <f>IFERROR(IF(Y120=0,"",ROUNDUP(Y120/H120,0)*0.01898),"")</f>
        <v>4.2325400000000002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1908.4444444444443</v>
      </c>
      <c r="BN120" s="78">
        <f>IFERROR(Y120*I120/H120,"0")</f>
        <v>1915.1239999999998</v>
      </c>
      <c r="BO120" s="78">
        <f>IFERROR(1/J120*(X120/H120),"0")</f>
        <v>3.4722222222222223</v>
      </c>
      <c r="BP120" s="78">
        <f>IFERROR(1/J120*(Y120/H120),"0")</f>
        <v>3.484375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222.22222222222223</v>
      </c>
      <c r="Y124" s="43">
        <f>IFERROR(Y120/H120,"0")+IFERROR(Y121/H121,"0")+IFERROR(Y122/H122,"0")+IFERROR(Y123/H123,"0")</f>
        <v>223</v>
      </c>
      <c r="Z124" s="43">
        <f>IFERROR(IF(Z120="",0,Z120),"0")+IFERROR(IF(Z121="",0,Z121),"0")+IFERROR(IF(Z122="",0,Z122),"0")+IFERROR(IF(Z123="",0,Z123),"0")</f>
        <v>4.2325400000000002</v>
      </c>
      <c r="AA124" s="67"/>
      <c r="AB124" s="67"/>
      <c r="AC124" s="67"/>
    </row>
    <row r="125" spans="1:68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1800</v>
      </c>
      <c r="Y125" s="43">
        <f>IFERROR(SUM(Y120:Y123),"0")</f>
        <v>1806.3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150</v>
      </c>
      <c r="Y173" s="55">
        <f t="shared" ref="Y173:Y184" si="16">IFERROR(IF(X173="",0,CEILING((X173/$H173),1)*$H173),"")</f>
        <v>150.5</v>
      </c>
      <c r="Z173" s="41">
        <f>IFERROR(IF(Y173=0,"",ROUNDUP(Y173/H173,0)*0.00902),"")</f>
        <v>0.38785999999999998</v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158.14285714285714</v>
      </c>
      <c r="BN173" s="78">
        <f t="shared" ref="BN173:BN184" si="18">IFERROR(Y173*I173/H173,"0")</f>
        <v>158.67000000000002</v>
      </c>
      <c r="BO173" s="78">
        <f t="shared" ref="BO173:BO184" si="19">IFERROR(1/J173*(X173/H173),"0")</f>
        <v>0.32467532467532467</v>
      </c>
      <c r="BP173" s="78">
        <f t="shared" ref="BP173:BP184" si="20">IFERROR(1/J173*(Y173/H173),"0")</f>
        <v>0.32575757575757575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42.857142857142854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43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0.38785999999999998</v>
      </c>
      <c r="AA185" s="67"/>
      <c r="AB185" s="67"/>
      <c r="AC185" s="67"/>
    </row>
    <row r="186" spans="1:68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150</v>
      </c>
      <c r="Y186" s="43">
        <f>IFERROR(SUM(Y173:Y184),"0")</f>
        <v>150.5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150</v>
      </c>
      <c r="Y215" s="55">
        <f t="shared" ref="Y215:Y229" si="27">IFERROR(IF(X215="",0,CEILING((X215/$H215),1)*$H215),"")</f>
        <v>151.20000000000002</v>
      </c>
      <c r="Z215" s="41">
        <f>IFERROR(IF(Y215=0,"",ROUNDUP(Y215/H215,0)*0.00902),"")</f>
        <v>0.32472000000000001</v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158.92857142857142</v>
      </c>
      <c r="BN215" s="78">
        <f t="shared" ref="BN215:BN229" si="29">IFERROR(Y215*I215/H215,"0")</f>
        <v>160.20000000000002</v>
      </c>
      <c r="BO215" s="78">
        <f t="shared" ref="BO215:BO229" si="30">IFERROR(1/J215*(X215/H215),"0")</f>
        <v>0.27056277056277056</v>
      </c>
      <c r="BP215" s="78">
        <f t="shared" ref="BP215:BP229" si="31">IFERROR(1/J215*(Y215/H215),"0")</f>
        <v>0.27272727272727271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35.714285714285715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36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0.32472000000000001</v>
      </c>
      <c r="AA230" s="67"/>
      <c r="AB230" s="67"/>
      <c r="AC230" s="67"/>
    </row>
    <row r="231" spans="1:68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150</v>
      </c>
      <c r="Y231" s="43">
        <f>IFERROR(SUM(Y215:Y229),"0")</f>
        <v>151.20000000000002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43</v>
      </c>
      <c r="Y257" s="55">
        <f>IFERROR(IF(X257="",0,CEILING((X257/$H257),1)*$H257),"")</f>
        <v>43.2</v>
      </c>
      <c r="Z257" s="41">
        <f>IFERROR(IF(Y257=0,"",ROUNDUP(Y257/H257,0)*0.00651),"")</f>
        <v>0.10416</v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45.86666666666666</v>
      </c>
      <c r="BN257" s="78">
        <f>IFERROR(Y257*I257/H257,"0")</f>
        <v>46.08</v>
      </c>
      <c r="BO257" s="78">
        <f>IFERROR(1/J257*(X257/H257),"0")</f>
        <v>8.7505087505087509E-2</v>
      </c>
      <c r="BP257" s="78">
        <f>IFERROR(1/J257*(Y257/H257),"0")</f>
        <v>8.7912087912087919E-2</v>
      </c>
    </row>
    <row r="258" spans="1:68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15.925925925925926</v>
      </c>
      <c r="Y258" s="43">
        <f>IFERROR(Y256/H256,"0")+IFERROR(Y257/H257,"0")</f>
        <v>16</v>
      </c>
      <c r="Z258" s="43">
        <f>IFERROR(IF(Z256="",0,Z256),"0")+IFERROR(IF(Z257="",0,Z257),"0")</f>
        <v>0.10416</v>
      </c>
      <c r="AA258" s="67"/>
      <c r="AB258" s="67"/>
      <c r="AC258" s="67"/>
    </row>
    <row r="259" spans="1:68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43</v>
      </c>
      <c r="Y259" s="43">
        <f>IFERROR(SUM(Y256:Y257),"0")</f>
        <v>43.2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200</v>
      </c>
      <c r="Y267" s="55">
        <f t="shared" si="38"/>
        <v>205.20000000000002</v>
      </c>
      <c r="Z267" s="41">
        <f>IFERROR(IF(Y267=0,"",ROUNDUP(Y267/H267,0)*0.00902),"")</f>
        <v>0.34276000000000001</v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207.03703703703701</v>
      </c>
      <c r="BN267" s="78">
        <f t="shared" si="40"/>
        <v>212.42</v>
      </c>
      <c r="BO267" s="78">
        <f t="shared" si="41"/>
        <v>0.28058361391694725</v>
      </c>
      <c r="BP267" s="78">
        <f t="shared" si="42"/>
        <v>0.2878787878787879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300</v>
      </c>
      <c r="Y268" s="55">
        <f t="shared" si="38"/>
        <v>302.40000000000003</v>
      </c>
      <c r="Z268" s="41">
        <f>IFERROR(IF(Y268=0,"",ROUNDUP(Y268/H268,0)*0.00902),"")</f>
        <v>0.50512000000000001</v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310.55555555555554</v>
      </c>
      <c r="BN268" s="78">
        <f t="shared" si="40"/>
        <v>313.04000000000002</v>
      </c>
      <c r="BO268" s="78">
        <f t="shared" si="41"/>
        <v>0.42087542087542085</v>
      </c>
      <c r="BP268" s="78">
        <f t="shared" si="42"/>
        <v>0.42424242424242425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250</v>
      </c>
      <c r="Y269" s="55">
        <f t="shared" si="38"/>
        <v>253.8</v>
      </c>
      <c r="Z269" s="41">
        <f>IFERROR(IF(Y269=0,"",ROUNDUP(Y269/H269,0)*0.00902),"")</f>
        <v>0.42393999999999998</v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258.7962962962963</v>
      </c>
      <c r="BN269" s="78">
        <f t="shared" si="40"/>
        <v>262.72999999999996</v>
      </c>
      <c r="BO269" s="78">
        <f t="shared" si="41"/>
        <v>0.35072951739618402</v>
      </c>
      <c r="BP269" s="78">
        <f t="shared" si="42"/>
        <v>0.35606060606060608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138.88888888888886</v>
      </c>
      <c r="Y274" s="43">
        <f>IFERROR(Y266/H266,"0")+IFERROR(Y267/H267,"0")+IFERROR(Y268/H268,"0")+IFERROR(Y269/H269,"0")+IFERROR(Y270/H270,"0")+IFERROR(Y271/H271,"0")+IFERROR(Y272/H272,"0")+IFERROR(Y273/H273,"0")</f>
        <v>141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1.27182</v>
      </c>
      <c r="AA274" s="67"/>
      <c r="AB274" s="67"/>
      <c r="AC274" s="67"/>
    </row>
    <row r="275" spans="1:68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750</v>
      </c>
      <c r="Y275" s="43">
        <f>IFERROR(SUM(Y266:Y273),"0")</f>
        <v>761.40000000000009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100</v>
      </c>
      <c r="Y369" s="55">
        <f t="shared" ref="Y369:Y375" si="63">IFERROR(IF(X369="",0,CEILING((X369/$H369),1)*$H369),"")</f>
        <v>100.80000000000001</v>
      </c>
      <c r="Z369" s="41">
        <f>IFERROR(IF(Y369=0,"",ROUNDUP(Y369/H369,0)*0.00902),"")</f>
        <v>0.21648000000000001</v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105.95238095238095</v>
      </c>
      <c r="BN369" s="78">
        <f t="shared" ref="BN369:BN375" si="65">IFERROR(Y369*I369/H369,"0")</f>
        <v>106.80000000000001</v>
      </c>
      <c r="BO369" s="78">
        <f t="shared" ref="BO369:BO375" si="66">IFERROR(1/J369*(X369/H369),"0")</f>
        <v>0.18037518037518038</v>
      </c>
      <c r="BP369" s="78">
        <f t="shared" ref="BP369:BP375" si="67">IFERROR(1/J369*(Y369/H369),"0")</f>
        <v>0.18181818181818182</v>
      </c>
    </row>
    <row r="370" spans="1:68" ht="27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100</v>
      </c>
      <c r="Y370" s="55">
        <f t="shared" si="63"/>
        <v>100.80000000000001</v>
      </c>
      <c r="Z370" s="41">
        <f>IFERROR(IF(Y370=0,"",ROUNDUP(Y370/H370,0)*0.00902),"")</f>
        <v>0.21648000000000001</v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105.95238095238095</v>
      </c>
      <c r="BN370" s="78">
        <f t="shared" si="65"/>
        <v>106.80000000000001</v>
      </c>
      <c r="BO370" s="78">
        <f t="shared" si="66"/>
        <v>0.18037518037518038</v>
      </c>
      <c r="BP370" s="78">
        <f t="shared" si="67"/>
        <v>0.18181818181818182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47.61904761904762</v>
      </c>
      <c r="Y376" s="43">
        <f>IFERROR(Y369/H369,"0")+IFERROR(Y370/H370,"0")+IFERROR(Y371/H371,"0")+IFERROR(Y372/H372,"0")+IFERROR(Y373/H373,"0")+IFERROR(Y374/H374,"0")+IFERROR(Y375/H375,"0")</f>
        <v>48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0.43296000000000001</v>
      </c>
      <c r="AA376" s="67"/>
      <c r="AB376" s="67"/>
      <c r="AC376" s="67"/>
    </row>
    <row r="377" spans="1:68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200</v>
      </c>
      <c r="Y377" s="43">
        <f>IFERROR(SUM(Y369:Y375),"0")</f>
        <v>201.60000000000002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17</v>
      </c>
      <c r="Y395" s="55">
        <f>IFERROR(IF(X395="",0,CEILING((X395/$H395),1)*$H395),"")</f>
        <v>17.849999999999998</v>
      </c>
      <c r="Z395" s="41">
        <f>IFERROR(IF(Y395=0,"",ROUNDUP(Y395/H395,0)*0.00651),"")</f>
        <v>4.5569999999999999E-2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19.200000000000003</v>
      </c>
      <c r="BN395" s="78">
        <f>IFERROR(Y395*I395/H395,"0")</f>
        <v>20.16</v>
      </c>
      <c r="BO395" s="78">
        <f>IFERROR(1/J395*(X395/H395),"0")</f>
        <v>3.6630036630036632E-2</v>
      </c>
      <c r="BP395" s="78">
        <f>IFERROR(1/J395*(Y395/H395),"0")</f>
        <v>3.8461538461538464E-2</v>
      </c>
    </row>
    <row r="396" spans="1:68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6.666666666666667</v>
      </c>
      <c r="Y396" s="43">
        <f>IFERROR(Y392/H392,"0")+IFERROR(Y393/H393,"0")+IFERROR(Y394/H394,"0")+IFERROR(Y395/H395,"0")</f>
        <v>7</v>
      </c>
      <c r="Z396" s="43">
        <f>IFERROR(IF(Z392="",0,Z392),"0")+IFERROR(IF(Z393="",0,Z393),"0")+IFERROR(IF(Z394="",0,Z394),"0")+IFERROR(IF(Z395="",0,Z395),"0")</f>
        <v>4.5569999999999999E-2</v>
      </c>
      <c r="AA396" s="67"/>
      <c r="AB396" s="67"/>
      <c r="AC396" s="67"/>
    </row>
    <row r="397" spans="1:68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17</v>
      </c>
      <c r="Y397" s="43">
        <f>IFERROR(SUM(Y392:Y395),"0")</f>
        <v>17.849999999999998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400</v>
      </c>
      <c r="Y426" s="55">
        <f t="shared" ref="Y426:Y433" si="68">IFERROR(IF(X426="",0,CEILING((X426/$H426),1)*$H426),"")</f>
        <v>405</v>
      </c>
      <c r="Z426" s="41">
        <f>IFERROR(IF(Y426=0,"",ROUNDUP(Y426/H426,0)*0.02175),"")</f>
        <v>0.58724999999999994</v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412.53333333333336</v>
      </c>
      <c r="BN426" s="78">
        <f t="shared" ref="BN426:BN433" si="70">IFERROR(Y426*I426/H426,"0")</f>
        <v>417.69</v>
      </c>
      <c r="BO426" s="78">
        <f t="shared" ref="BO426:BO433" si="71">IFERROR(1/J426*(X426/H426),"0")</f>
        <v>0.55555555555555558</v>
      </c>
      <c r="BP426" s="78">
        <f t="shared" ref="BP426:BP433" si="72">IFERROR(1/J426*(Y426/H426),"0")</f>
        <v>0.5625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2000</v>
      </c>
      <c r="Y427" s="55">
        <f t="shared" si="68"/>
        <v>2010</v>
      </c>
      <c r="Z427" s="41">
        <f>IFERROR(IF(Y427=0,"",ROUNDUP(Y427/H427,0)*0.02175),"")</f>
        <v>2.9144999999999999</v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2062.6666666666665</v>
      </c>
      <c r="BN427" s="78">
        <f t="shared" si="70"/>
        <v>2072.98</v>
      </c>
      <c r="BO427" s="78">
        <f t="shared" si="71"/>
        <v>2.7777777777777777</v>
      </c>
      <c r="BP427" s="78">
        <f t="shared" si="72"/>
        <v>2.7916666666666665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1500</v>
      </c>
      <c r="Y428" s="55">
        <f t="shared" si="68"/>
        <v>1500</v>
      </c>
      <c r="Z428" s="41">
        <f>IFERROR(IF(Y428=0,"",ROUNDUP(Y428/H428,0)*0.02175),"")</f>
        <v>2.1749999999999998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1547</v>
      </c>
      <c r="BN428" s="78">
        <f t="shared" si="70"/>
        <v>1547</v>
      </c>
      <c r="BO428" s="78">
        <f t="shared" si="71"/>
        <v>2.083333333333333</v>
      </c>
      <c r="BP428" s="78">
        <f t="shared" si="72"/>
        <v>2.083333333333333</v>
      </c>
    </row>
    <row r="429" spans="1:68" ht="27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2000</v>
      </c>
      <c r="Y429" s="55">
        <f t="shared" si="68"/>
        <v>2010</v>
      </c>
      <c r="Z429" s="41">
        <f>IFERROR(IF(Y429=0,"",ROUNDUP(Y429/H429,0)*0.02175),"")</f>
        <v>2.9144999999999999</v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2062.6666666666665</v>
      </c>
      <c r="BN429" s="78">
        <f t="shared" si="70"/>
        <v>2072.98</v>
      </c>
      <c r="BO429" s="78">
        <f t="shared" si="71"/>
        <v>2.7777777777777777</v>
      </c>
      <c r="BP429" s="78">
        <f t="shared" si="72"/>
        <v>2.7916666666666665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393.33333333333337</v>
      </c>
      <c r="Y434" s="43">
        <f>IFERROR(Y426/H426,"0")+IFERROR(Y427/H427,"0")+IFERROR(Y428/H428,"0")+IFERROR(Y429/H429,"0")+IFERROR(Y430/H430,"0")+IFERROR(Y431/H431,"0")+IFERROR(Y432/H432,"0")+IFERROR(Y433/H433,"0")</f>
        <v>395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8.5912500000000005</v>
      </c>
      <c r="AA434" s="67"/>
      <c r="AB434" s="67"/>
      <c r="AC434" s="67"/>
    </row>
    <row r="435" spans="1:68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5900</v>
      </c>
      <c r="Y435" s="43">
        <f>IFERROR(SUM(Y426:Y433),"0")</f>
        <v>5925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3000</v>
      </c>
      <c r="Y437" s="55">
        <f>IFERROR(IF(X437="",0,CEILING((X437/$H437),1)*$H437),"")</f>
        <v>3000</v>
      </c>
      <c r="Z437" s="41">
        <f>IFERROR(IF(Y437=0,"",ROUNDUP(Y437/H437,0)*0.02175),"")</f>
        <v>4.3499999999999996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3094</v>
      </c>
      <c r="BN437" s="78">
        <f>IFERROR(Y437*I437/H437,"0")</f>
        <v>3094</v>
      </c>
      <c r="BO437" s="78">
        <f>IFERROR(1/J437*(X437/H437),"0")</f>
        <v>4.1666666666666661</v>
      </c>
      <c r="BP437" s="78">
        <f>IFERROR(1/J437*(Y437/H437),"0")</f>
        <v>4.1666666666666661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200</v>
      </c>
      <c r="Y440" s="43">
        <f>IFERROR(Y437/H437,"0")+IFERROR(Y438/H438,"0")+IFERROR(Y439/H439,"0")</f>
        <v>200</v>
      </c>
      <c r="Z440" s="43">
        <f>IFERROR(IF(Z437="",0,Z437),"0")+IFERROR(IF(Z438="",0,Z438),"0")+IFERROR(IF(Z439="",0,Z439),"0")</f>
        <v>4.3499999999999996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3000</v>
      </c>
      <c r="Y441" s="43">
        <f>IFERROR(SUM(Y437:Y439),"0")</f>
        <v>3000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800</v>
      </c>
      <c r="Y444" s="55">
        <f>IFERROR(IF(X444="",0,CEILING((X444/$H444),1)*$H444),"")</f>
        <v>801</v>
      </c>
      <c r="Z444" s="41">
        <f>IFERROR(IF(Y444=0,"",ROUNDUP(Y444/H444,0)*0.01898),"")</f>
        <v>1.6892199999999999</v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843.91111111111104</v>
      </c>
      <c r="BN444" s="78">
        <f>IFERROR(Y444*I444/H444,"0")</f>
        <v>844.96599999999989</v>
      </c>
      <c r="BO444" s="78">
        <f>IFERROR(1/J444*(X444/H444),"0")</f>
        <v>1.3888888888888888</v>
      </c>
      <c r="BP444" s="78">
        <f>IFERROR(1/J444*(Y444/H444),"0")</f>
        <v>1.390625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88.888888888888886</v>
      </c>
      <c r="Y446" s="43">
        <f>IFERROR(Y443/H443,"0")+IFERROR(Y444/H444,"0")+IFERROR(Y445/H445,"0")</f>
        <v>89</v>
      </c>
      <c r="Z446" s="43">
        <f>IFERROR(IF(Z443="",0,Z443),"0")+IFERROR(IF(Z444="",0,Z444),"0")+IFERROR(IF(Z445="",0,Z445),"0")</f>
        <v>1.6892199999999999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800</v>
      </c>
      <c r="Y447" s="43">
        <f>IFERROR(SUM(Y443:Y445),"0")</f>
        <v>801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800</v>
      </c>
      <c r="Y464" s="55">
        <f>IFERROR(IF(X464="",0,CEILING((X464/$H464),1)*$H464),"")</f>
        <v>801</v>
      </c>
      <c r="Z464" s="41">
        <f>IFERROR(IF(Y464=0,"",ROUNDUP(Y464/H464,0)*0.01898),"")</f>
        <v>1.6892199999999999</v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843.91111111111104</v>
      </c>
      <c r="BN464" s="78">
        <f>IFERROR(Y464*I464/H464,"0")</f>
        <v>844.96599999999989</v>
      </c>
      <c r="BO464" s="78">
        <f>IFERROR(1/J464*(X464/H464),"0")</f>
        <v>1.3888888888888888</v>
      </c>
      <c r="BP464" s="78">
        <f>IFERROR(1/J464*(Y464/H464),"0")</f>
        <v>1.390625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88.888888888888886</v>
      </c>
      <c r="Y467" s="43">
        <f>IFERROR(Y464/H464,"0")+IFERROR(Y465/H465,"0")+IFERROR(Y466/H466,"0")</f>
        <v>89</v>
      </c>
      <c r="Z467" s="43">
        <f>IFERROR(IF(Z464="",0,Z464),"0")+IFERROR(IF(Z465="",0,Z465),"0")+IFERROR(IF(Z466="",0,Z466),"0")</f>
        <v>1.6892199999999999</v>
      </c>
      <c r="AA467" s="67"/>
      <c r="AB467" s="67"/>
      <c r="AC467" s="67"/>
    </row>
    <row r="468" spans="1:68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800</v>
      </c>
      <c r="Y468" s="43">
        <f>IFERROR(SUM(Y464:Y466),"0")</f>
        <v>801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650</v>
      </c>
      <c r="Y472" s="55">
        <f t="shared" ref="Y472:Y477" si="73">IFERROR(IF(X472="",0,CEILING((X472/$H472),1)*$H472),"")</f>
        <v>653.40000000000009</v>
      </c>
      <c r="Z472" s="41">
        <f>IFERROR(IF(Y472=0,"",ROUNDUP(Y472/H472,0)*0.00902),"")</f>
        <v>1.0914200000000001</v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672.87037037037032</v>
      </c>
      <c r="BN472" s="78">
        <f t="shared" ref="BN472:BN477" si="75">IFERROR(Y472*I472/H472,"0")</f>
        <v>676.39</v>
      </c>
      <c r="BO472" s="78">
        <f t="shared" ref="BO472:BO477" si="76">IFERROR(1/J472*(X472/H472),"0")</f>
        <v>0.91189674523007858</v>
      </c>
      <c r="BP472" s="78">
        <f t="shared" ref="BP472:BP477" si="77">IFERROR(1/J472*(Y472/H472),"0")</f>
        <v>0.91666666666666685</v>
      </c>
    </row>
    <row r="473" spans="1:68" ht="27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300</v>
      </c>
      <c r="Y473" s="55">
        <f t="shared" si="73"/>
        <v>302.40000000000003</v>
      </c>
      <c r="Z473" s="41">
        <f>IFERROR(IF(Y473=0,"",ROUNDUP(Y473/H473,0)*0.00902),"")</f>
        <v>0.50512000000000001</v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310.55555555555554</v>
      </c>
      <c r="BN473" s="78">
        <f t="shared" si="75"/>
        <v>313.04000000000002</v>
      </c>
      <c r="BO473" s="78">
        <f t="shared" si="76"/>
        <v>0.42087542087542085</v>
      </c>
      <c r="BP473" s="78">
        <f t="shared" si="77"/>
        <v>0.42424242424242425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175.92592592592592</v>
      </c>
      <c r="Y478" s="43">
        <f>IFERROR(Y472/H472,"0")+IFERROR(Y473/H473,"0")+IFERROR(Y474/H474,"0")+IFERROR(Y475/H475,"0")+IFERROR(Y476/H476,"0")+IFERROR(Y477/H477,"0")</f>
        <v>177</v>
      </c>
      <c r="Z478" s="43">
        <f>IFERROR(IF(Z472="",0,Z472),"0")+IFERROR(IF(Z473="",0,Z473),"0")+IFERROR(IF(Z474="",0,Z474),"0")+IFERROR(IF(Z475="",0,Z475),"0")+IFERROR(IF(Z476="",0,Z476),"0")+IFERROR(IF(Z477="",0,Z477),"0")</f>
        <v>1.5965400000000001</v>
      </c>
      <c r="AA478" s="67"/>
      <c r="AB478" s="67"/>
      <c r="AC478" s="67"/>
    </row>
    <row r="479" spans="1:68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950</v>
      </c>
      <c r="Y479" s="43">
        <f>IFERROR(SUM(Y472:Y477),"0")</f>
        <v>955.80000000000018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500</v>
      </c>
      <c r="Y491" s="55">
        <f>IFERROR(IF(X491="",0,CEILING((X491/$H491),1)*$H491),"")</f>
        <v>502.20000000000005</v>
      </c>
      <c r="Z491" s="41">
        <f>IFERROR(IF(Y491=0,"",ROUNDUP(Y491/H491,0)*0.00902),"")</f>
        <v>0.83886000000000005</v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517.59259259259261</v>
      </c>
      <c r="BN491" s="78">
        <f>IFERROR(Y491*I491/H491,"0")</f>
        <v>519.87</v>
      </c>
      <c r="BO491" s="78">
        <f>IFERROR(1/J491*(X491/H491),"0")</f>
        <v>0.70145903479236804</v>
      </c>
      <c r="BP491" s="78">
        <f>IFERROR(1/J491*(Y491/H491),"0")</f>
        <v>0.70454545454545459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92.592592592592581</v>
      </c>
      <c r="Y494" s="43">
        <f>IFERROR(Y491/H491,"0")+IFERROR(Y492/H492,"0")+IFERROR(Y493/H493,"0")</f>
        <v>93</v>
      </c>
      <c r="Z494" s="43">
        <f>IFERROR(IF(Z491="",0,Z491),"0")+IFERROR(IF(Z492="",0,Z492),"0")+IFERROR(IF(Z493="",0,Z493),"0")</f>
        <v>0.83886000000000005</v>
      </c>
      <c r="AA494" s="67"/>
      <c r="AB494" s="67"/>
      <c r="AC494" s="67"/>
    </row>
    <row r="495" spans="1:68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500</v>
      </c>
      <c r="Y495" s="43">
        <f>IFERROR(SUM(Y491:Y493),"0")</f>
        <v>502.20000000000005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50</v>
      </c>
      <c r="Y501" s="55">
        <f t="shared" si="78"/>
        <v>52.800000000000004</v>
      </c>
      <c r="Z501" s="41">
        <f t="shared" si="79"/>
        <v>0.1196</v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53.314393939393938</v>
      </c>
      <c r="BN501" s="78">
        <f t="shared" si="81"/>
        <v>56.3</v>
      </c>
      <c r="BO501" s="78">
        <f t="shared" si="82"/>
        <v>9.1054778554778545E-2</v>
      </c>
      <c r="BP501" s="78">
        <f t="shared" si="83"/>
        <v>9.6153846153846159E-2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300</v>
      </c>
      <c r="Y502" s="55">
        <f t="shared" si="78"/>
        <v>300.96000000000004</v>
      </c>
      <c r="Z502" s="41">
        <f t="shared" si="79"/>
        <v>0.68171999999999999</v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319.88636363636363</v>
      </c>
      <c r="BN502" s="78">
        <f t="shared" si="81"/>
        <v>320.91000000000003</v>
      </c>
      <c r="BO502" s="78">
        <f t="shared" si="82"/>
        <v>0.54632867132867136</v>
      </c>
      <c r="BP502" s="78">
        <f t="shared" si="83"/>
        <v>0.54807692307692313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550</v>
      </c>
      <c r="Y504" s="55">
        <f t="shared" si="78"/>
        <v>554.4</v>
      </c>
      <c r="Z504" s="41">
        <f t="shared" si="79"/>
        <v>1.2558</v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586.45833333333326</v>
      </c>
      <c r="BN504" s="78">
        <f t="shared" si="81"/>
        <v>591.15</v>
      </c>
      <c r="BO504" s="78">
        <f t="shared" si="82"/>
        <v>1.0016025641025641</v>
      </c>
      <c r="BP504" s="78">
        <f t="shared" si="83"/>
        <v>1.0096153846153846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170.45454545454544</v>
      </c>
      <c r="Y508" s="43">
        <f>IFERROR(Y499/H499,"0")+IFERROR(Y500/H500,"0")+IFERROR(Y501/H501,"0")+IFERROR(Y502/H502,"0")+IFERROR(Y503/H503,"0")+IFERROR(Y504/H504,"0")+IFERROR(Y505/H505,"0")+IFERROR(Y506/H506,"0")+IFERROR(Y507/H507,"0")</f>
        <v>172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2.0571200000000003</v>
      </c>
      <c r="AA508" s="67"/>
      <c r="AB508" s="67"/>
      <c r="AC508" s="67"/>
    </row>
    <row r="509" spans="1:68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900</v>
      </c>
      <c r="Y509" s="43">
        <f>IFERROR(SUM(Y499:Y507),"0")</f>
        <v>908.16000000000008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250</v>
      </c>
      <c r="Y517" s="55">
        <f t="shared" ref="Y517:Y523" si="84">IFERROR(IF(X517="",0,CEILING((X517/$H517),1)*$H517),"")</f>
        <v>253.44</v>
      </c>
      <c r="Z517" s="41">
        <f>IFERROR(IF(Y517=0,"",ROUNDUP(Y517/H517,0)*0.01196),"")</f>
        <v>0.57408000000000003</v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266.57196969696969</v>
      </c>
      <c r="BN517" s="78">
        <f t="shared" ref="BN517:BN523" si="86">IFERROR(Y517*I517/H517,"0")</f>
        <v>270.23999999999995</v>
      </c>
      <c r="BO517" s="78">
        <f t="shared" ref="BO517:BO523" si="87">IFERROR(1/J517*(X517/H517),"0")</f>
        <v>0.45527389277389274</v>
      </c>
      <c r="BP517" s="78">
        <f t="shared" ref="BP517:BP523" si="88">IFERROR(1/J517*(Y517/H517),"0")</f>
        <v>0.46153846153846156</v>
      </c>
    </row>
    <row r="518" spans="1:68" ht="27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250</v>
      </c>
      <c r="Y518" s="55">
        <f t="shared" si="84"/>
        <v>253.44</v>
      </c>
      <c r="Z518" s="41">
        <f>IFERROR(IF(Y518=0,"",ROUNDUP(Y518/H518,0)*0.01196),"")</f>
        <v>0.57408000000000003</v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266.57196969696969</v>
      </c>
      <c r="BN518" s="78">
        <f t="shared" si="86"/>
        <v>270.23999999999995</v>
      </c>
      <c r="BO518" s="78">
        <f t="shared" si="87"/>
        <v>0.45527389277389274</v>
      </c>
      <c r="BP518" s="78">
        <f t="shared" si="88"/>
        <v>0.46153846153846156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150</v>
      </c>
      <c r="Y519" s="55">
        <f t="shared" si="84"/>
        <v>153.12</v>
      </c>
      <c r="Z519" s="41">
        <f>IFERROR(IF(Y519=0,"",ROUNDUP(Y519/H519,0)*0.01196),"")</f>
        <v>0.34683999999999998</v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159.94318181818181</v>
      </c>
      <c r="BN519" s="78">
        <f t="shared" si="86"/>
        <v>163.26999999999998</v>
      </c>
      <c r="BO519" s="78">
        <f t="shared" si="87"/>
        <v>0.27316433566433568</v>
      </c>
      <c r="BP519" s="78">
        <f t="shared" si="88"/>
        <v>0.27884615384615385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123.10606060606059</v>
      </c>
      <c r="Y524" s="43">
        <f>IFERROR(Y517/H517,"0")+IFERROR(Y518/H518,"0")+IFERROR(Y519/H519,"0")+IFERROR(Y520/H520,"0")+IFERROR(Y521/H521,"0")+IFERROR(Y522/H522,"0")+IFERROR(Y523/H523,"0")</f>
        <v>125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1.4950000000000001</v>
      </c>
      <c r="AA524" s="67"/>
      <c r="AB524" s="67"/>
      <c r="AC524" s="67"/>
    </row>
    <row r="525" spans="1:68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650</v>
      </c>
      <c r="Y525" s="43">
        <f>IFERROR(SUM(Y517:Y523),"0")</f>
        <v>660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300</v>
      </c>
      <c r="Y537" s="55">
        <f>IFERROR(IF(X537="",0,CEILING((X537/$H537),1)*$H537),"")</f>
        <v>302.40000000000003</v>
      </c>
      <c r="Z537" s="41">
        <f>IFERROR(IF(Y537=0,"",ROUNDUP(Y537/H537,0)*0.00902),"")</f>
        <v>0.64944000000000002</v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317.85714285714283</v>
      </c>
      <c r="BN537" s="78">
        <f>IFERROR(Y537*I537/H537,"0")</f>
        <v>320.40000000000003</v>
      </c>
      <c r="BO537" s="78">
        <f>IFERROR(1/J537*(X537/H537),"0")</f>
        <v>0.54112554112554112</v>
      </c>
      <c r="BP537" s="78">
        <f>IFERROR(1/J537*(Y537/H537),"0")</f>
        <v>0.54545454545454541</v>
      </c>
    </row>
    <row r="538" spans="1:68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71.428571428571431</v>
      </c>
      <c r="Y538" s="43">
        <f>IFERROR(Y537/H537,"0")</f>
        <v>72</v>
      </c>
      <c r="Z538" s="43">
        <f>IFERROR(IF(Z537="",0,Z537),"0")</f>
        <v>0.64944000000000002</v>
      </c>
      <c r="AA538" s="67"/>
      <c r="AB538" s="67"/>
      <c r="AC538" s="67"/>
    </row>
    <row r="539" spans="1:68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300</v>
      </c>
      <c r="Y539" s="43">
        <f>IFERROR(SUM(Y537:Y537),"0")</f>
        <v>302.40000000000003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18077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18187.610000000004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18839.459792368114</v>
      </c>
      <c r="Y555" s="43">
        <f>IFERROR(SUM(BN22:BN551),"0")</f>
        <v>18955.116000000002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29</v>
      </c>
      <c r="Y556" s="44">
        <f>ROUNDUP(SUM(BP22:BP551),0)</f>
        <v>29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19564.459792368114</v>
      </c>
      <c r="Y557" s="43">
        <f>GrossWeightTotalR+PalletQtyTotalR*25</f>
        <v>19680.116000000002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2062.7845919512583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2078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32.167859999999997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259.20000000000005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558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2189.1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150.5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151.20000000000002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804.60000000000014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219.45000000000002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9726</v>
      </c>
      <c r="X564" s="52">
        <f>IFERROR(Y455*1,"0")+IFERROR(Y456*1,"0")+IFERROR(Y460*1,"0")+IFERROR(Y464*1,"0")+IFERROR(Y465*1,"0")+IFERROR(Y466*1,"0")</f>
        <v>801</v>
      </c>
      <c r="Y564" s="52">
        <f>IFERROR(Y472*1,"0")+IFERROR(Y473*1,"0")+IFERROR(Y474*1,"0")+IFERROR(Y475*1,"0")+IFERROR(Y476*1,"0")+IFERROR(Y477*1,"0")+IFERROR(Y481*1,"0")+IFERROR(Y482*1,"0")</f>
        <v>955.80000000000018</v>
      </c>
      <c r="Z564" s="52">
        <f>IFERROR(Y487*1,"0")+IFERROR(Y491*1,"0")+IFERROR(Y492*1,"0")+IFERROR(Y493*1,"0")</f>
        <v>502.20000000000005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1568.1600000000003</v>
      </c>
      <c r="AB564" s="52">
        <f>IFERROR(Y529*1,"0")+IFERROR(Y533*1,"0")+IFERROR(Y537*1,"0")+IFERROR(Y541*1,"0")+IFERROR(Y545*1,"0")+IFERROR(Y546*1,"0")</f>
        <v>302.40000000000003</v>
      </c>
      <c r="AC564" s="52">
        <f>IFERROR(Y551*1,"0")</f>
        <v>0</v>
      </c>
      <c r="AF564" s="1"/>
    </row>
  </sheetData>
  <sheetProtection algorithmName="SHA-512" hashValue="OmlElnnw0m9/HY342/WO5cSSZO7QseGpdAHOCEQQg406ybkPntoWeTQlPFuczvaEK6UiRD/wEUnE5fcGk4p8CA==" saltValue="tYGLF4J8OUBAp7sqzVFohw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800,00"/>
        <filter val="100,00"/>
        <filter val="123,11"/>
        <filter val="13,33"/>
        <filter val="138,89"/>
        <filter val="145,00"/>
        <filter val="15,93"/>
        <filter val="150,00"/>
        <filter val="17,00"/>
        <filter val="170,45"/>
        <filter val="175,93"/>
        <filter val="18 077,00"/>
        <filter val="18 839,46"/>
        <filter val="19 564,46"/>
        <filter val="19,26"/>
        <filter val="2 000,00"/>
        <filter val="2 062,78"/>
        <filter val="200,00"/>
        <filter val="222,22"/>
        <filter val="23,15"/>
        <filter val="250,00"/>
        <filter val="29"/>
        <filter val="3 000,00"/>
        <filter val="300,00"/>
        <filter val="32,00"/>
        <filter val="340,00"/>
        <filter val="35,71"/>
        <filter val="393,33"/>
        <filter val="400,00"/>
        <filter val="42,86"/>
        <filter val="43,00"/>
        <filter val="43,15"/>
        <filter val="45,00"/>
        <filter val="47,62"/>
        <filter val="49,38"/>
        <filter val="5 900,00"/>
        <filter val="50,00"/>
        <filter val="500,00"/>
        <filter val="550,00"/>
        <filter val="6,67"/>
        <filter val="650,00"/>
        <filter val="71,43"/>
        <filter val="750,00"/>
        <filter val="800,00"/>
        <filter val="88,89"/>
        <filter val="90,00"/>
        <filter val="900,00"/>
        <filter val="92,59"/>
        <filter val="950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a6YHv7L9xgMz6jvWQfWAo1Bq0yyiIVRDRcCwpKlSgbhtrJ2fxOkxJUfNR25taHTU0bNOM1PQVSOZa8U7vVOyrw==" saltValue="BWUtGcbXtLfnLHz5TugP9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2026-09-25T12:43:24Z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