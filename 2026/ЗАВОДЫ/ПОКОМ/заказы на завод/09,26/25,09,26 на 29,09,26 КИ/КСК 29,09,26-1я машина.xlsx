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6898536-DDD4-46B5-8123-A8BA5B8AA4B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Z524" i="2" s="1"/>
  <c r="P524" i="2"/>
  <c r="BO523" i="2"/>
  <c r="BM523" i="2"/>
  <c r="Y523" i="2"/>
  <c r="Z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BP504" i="2" s="1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P496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P477" i="2"/>
  <c r="X473" i="2"/>
  <c r="X472" i="2"/>
  <c r="BO471" i="2"/>
  <c r="BM471" i="2"/>
  <c r="Y471" i="2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Z436" i="2"/>
  <c r="Y436" i="2"/>
  <c r="BN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BN418" i="2" s="1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Z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N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X372" i="2"/>
  <c r="X371" i="2"/>
  <c r="BO370" i="2"/>
  <c r="BM370" i="2"/>
  <c r="Y370" i="2"/>
  <c r="Z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BN358" i="2" s="1"/>
  <c r="P358" i="2"/>
  <c r="BO357" i="2"/>
  <c r="BM357" i="2"/>
  <c r="Y357" i="2"/>
  <c r="P357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X349" i="2"/>
  <c r="X348" i="2"/>
  <c r="BO347" i="2"/>
  <c r="BM347" i="2"/>
  <c r="Z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M336" i="2"/>
  <c r="Y336" i="2"/>
  <c r="BP336" i="2" s="1"/>
  <c r="P336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BN326" i="2" s="1"/>
  <c r="P326" i="2"/>
  <c r="X323" i="2"/>
  <c r="X322" i="2"/>
  <c r="BO321" i="2"/>
  <c r="BM321" i="2"/>
  <c r="Y321" i="2"/>
  <c r="Y323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BN313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N303" i="2" s="1"/>
  <c r="P303" i="2"/>
  <c r="X300" i="2"/>
  <c r="X299" i="2"/>
  <c r="BO298" i="2"/>
  <c r="BM298" i="2"/>
  <c r="Y298" i="2"/>
  <c r="BP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P291" i="2"/>
  <c r="BO291" i="2"/>
  <c r="BM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N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BN266" i="2" s="1"/>
  <c r="P266" i="2"/>
  <c r="X264" i="2"/>
  <c r="X263" i="2"/>
  <c r="BO262" i="2"/>
  <c r="BM262" i="2"/>
  <c r="Y262" i="2"/>
  <c r="BN262" i="2" s="1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N252" i="2" s="1"/>
  <c r="P252" i="2"/>
  <c r="BO251" i="2"/>
  <c r="BM251" i="2"/>
  <c r="Y251" i="2"/>
  <c r="P251" i="2"/>
  <c r="BO250" i="2"/>
  <c r="BM250" i="2"/>
  <c r="Y250" i="2"/>
  <c r="Y254" i="2" s="1"/>
  <c r="P250" i="2"/>
  <c r="X248" i="2"/>
  <c r="X247" i="2"/>
  <c r="BO246" i="2"/>
  <c r="BM246" i="2"/>
  <c r="Z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N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P239" i="2"/>
  <c r="BO239" i="2"/>
  <c r="BM239" i="2"/>
  <c r="Y239" i="2"/>
  <c r="BN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BN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X218" i="2"/>
  <c r="X217" i="2"/>
  <c r="BO216" i="2"/>
  <c r="BM216" i="2"/>
  <c r="Y216" i="2"/>
  <c r="BP216" i="2" s="1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X201" i="2"/>
  <c r="X200" i="2"/>
  <c r="BO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P164" i="2"/>
  <c r="BO164" i="2"/>
  <c r="BM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P144" i="2"/>
  <c r="BO144" i="2"/>
  <c r="BM144" i="2"/>
  <c r="Y144" i="2"/>
  <c r="P144" i="2"/>
  <c r="BO143" i="2"/>
  <c r="BM143" i="2"/>
  <c r="Y143" i="2"/>
  <c r="Y145" i="2" s="1"/>
  <c r="P143" i="2"/>
  <c r="X141" i="2"/>
  <c r="X140" i="2"/>
  <c r="BO139" i="2"/>
  <c r="BM139" i="2"/>
  <c r="Y139" i="2"/>
  <c r="P139" i="2"/>
  <c r="BO138" i="2"/>
  <c r="BM138" i="2"/>
  <c r="Y138" i="2"/>
  <c r="BN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30" i="2" s="1"/>
  <c r="P128" i="2"/>
  <c r="X126" i="2"/>
  <c r="X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BP122" i="2" s="1"/>
  <c r="P122" i="2"/>
  <c r="BP121" i="2"/>
  <c r="BO121" i="2"/>
  <c r="BM121" i="2"/>
  <c r="Y121" i="2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X100" i="2"/>
  <c r="X99" i="2"/>
  <c r="BO98" i="2"/>
  <c r="BM98" i="2"/>
  <c r="Y98" i="2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P87" i="2"/>
  <c r="X84" i="2"/>
  <c r="X83" i="2"/>
  <c r="BO82" i="2"/>
  <c r="BM82" i="2"/>
  <c r="Z82" i="2"/>
  <c r="Y82" i="2"/>
  <c r="BN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X73" i="2"/>
  <c r="X72" i="2"/>
  <c r="BO71" i="2"/>
  <c r="BM71" i="2"/>
  <c r="Y71" i="2"/>
  <c r="BN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P61" i="2"/>
  <c r="BO60" i="2"/>
  <c r="BM60" i="2"/>
  <c r="Y60" i="2"/>
  <c r="BP60" i="2" s="1"/>
  <c r="P60" i="2"/>
  <c r="BO59" i="2"/>
  <c r="BM59" i="2"/>
  <c r="Z59" i="2"/>
  <c r="Y59" i="2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BP90" i="2" l="1"/>
  <c r="BN116" i="2"/>
  <c r="BN122" i="2"/>
  <c r="BN336" i="2"/>
  <c r="BN406" i="2"/>
  <c r="BN424" i="2"/>
  <c r="BN534" i="2"/>
  <c r="Z48" i="2"/>
  <c r="BN48" i="2"/>
  <c r="Z50" i="2"/>
  <c r="BN50" i="2"/>
  <c r="BP63" i="2"/>
  <c r="Z90" i="2"/>
  <c r="BP107" i="2"/>
  <c r="BN111" i="2"/>
  <c r="BP152" i="2"/>
  <c r="BN199" i="2"/>
  <c r="Y201" i="2"/>
  <c r="BN227" i="2"/>
  <c r="BP229" i="2"/>
  <c r="BN232" i="2"/>
  <c r="BP233" i="2"/>
  <c r="BP266" i="2"/>
  <c r="BP365" i="2"/>
  <c r="BN400" i="2"/>
  <c r="BN417" i="2"/>
  <c r="BP436" i="2"/>
  <c r="BN437" i="2"/>
  <c r="Z487" i="2"/>
  <c r="BP252" i="2"/>
  <c r="BN278" i="2"/>
  <c r="BP276" i="2"/>
  <c r="BN460" i="2"/>
  <c r="BN432" i="2"/>
  <c r="BP306" i="2"/>
  <c r="BP128" i="2"/>
  <c r="BN134" i="2"/>
  <c r="Y84" i="2"/>
  <c r="BP285" i="2"/>
  <c r="BN298" i="2"/>
  <c r="BN546" i="2"/>
  <c r="Z378" i="2"/>
  <c r="BP397" i="2"/>
  <c r="Z397" i="2"/>
  <c r="Z522" i="2"/>
  <c r="BN522" i="2"/>
  <c r="BP542" i="2"/>
  <c r="Z534" i="2"/>
  <c r="Z535" i="2" s="1"/>
  <c r="BP527" i="2"/>
  <c r="BN526" i="2"/>
  <c r="BN524" i="2"/>
  <c r="Z512" i="2"/>
  <c r="BP512" i="2"/>
  <c r="BN511" i="2"/>
  <c r="Z506" i="2"/>
  <c r="Z498" i="2"/>
  <c r="BN487" i="2"/>
  <c r="BP479" i="2"/>
  <c r="Y483" i="2"/>
  <c r="BP478" i="2"/>
  <c r="Z450" i="2"/>
  <c r="BP448" i="2"/>
  <c r="BN442" i="2"/>
  <c r="BN425" i="2"/>
  <c r="BP418" i="2"/>
  <c r="BP412" i="2"/>
  <c r="BN410" i="2"/>
  <c r="Y402" i="2"/>
  <c r="BN391" i="2"/>
  <c r="Z387" i="2"/>
  <c r="BP386" i="2"/>
  <c r="BP385" i="2"/>
  <c r="BN378" i="2"/>
  <c r="BP376" i="2"/>
  <c r="BN368" i="2"/>
  <c r="BN347" i="2"/>
  <c r="Z336" i="2"/>
  <c r="BP330" i="2"/>
  <c r="BP329" i="2"/>
  <c r="BN321" i="2"/>
  <c r="Z309" i="2"/>
  <c r="BN309" i="2"/>
  <c r="BP307" i="2"/>
  <c r="BN293" i="2"/>
  <c r="Z288" i="2"/>
  <c r="BN288" i="2"/>
  <c r="BP286" i="2"/>
  <c r="BP275" i="2"/>
  <c r="BP243" i="2"/>
  <c r="BN238" i="2"/>
  <c r="BN234" i="2"/>
  <c r="BN224" i="2"/>
  <c r="BN223" i="2"/>
  <c r="BN211" i="2"/>
  <c r="BP208" i="2"/>
  <c r="BN207" i="2"/>
  <c r="Z207" i="2"/>
  <c r="BN189" i="2"/>
  <c r="BP184" i="2"/>
  <c r="BN178" i="2"/>
  <c r="BN151" i="2"/>
  <c r="I569" i="2"/>
  <c r="Z134" i="2"/>
  <c r="Z111" i="2"/>
  <c r="BN106" i="2"/>
  <c r="Z105" i="2"/>
  <c r="BP105" i="2"/>
  <c r="BN103" i="2"/>
  <c r="BP96" i="2"/>
  <c r="Z89" i="2"/>
  <c r="BN80" i="2"/>
  <c r="BN68" i="2"/>
  <c r="Z68" i="2"/>
  <c r="BN57" i="2"/>
  <c r="BN39" i="2"/>
  <c r="Z38" i="2"/>
  <c r="BP38" i="2"/>
  <c r="X563" i="2"/>
  <c r="BN28" i="2"/>
  <c r="BP31" i="2"/>
  <c r="BP40" i="2"/>
  <c r="BN58" i="2"/>
  <c r="BP59" i="2"/>
  <c r="BN59" i="2"/>
  <c r="Y119" i="2"/>
  <c r="BN115" i="2"/>
  <c r="BP115" i="2"/>
  <c r="BP123" i="2"/>
  <c r="Z123" i="2"/>
  <c r="BP150" i="2"/>
  <c r="BP153" i="2"/>
  <c r="Z158" i="2"/>
  <c r="Z159" i="2" s="1"/>
  <c r="BN158" i="2"/>
  <c r="Y159" i="2"/>
  <c r="BN261" i="2"/>
  <c r="BP261" i="2"/>
  <c r="BN346" i="2"/>
  <c r="BP346" i="2"/>
  <c r="Z346" i="2"/>
  <c r="S569" i="2"/>
  <c r="BN357" i="2"/>
  <c r="Z357" i="2"/>
  <c r="Y360" i="2"/>
  <c r="BN366" i="2"/>
  <c r="BP366" i="2"/>
  <c r="BN375" i="2"/>
  <c r="BP375" i="2"/>
  <c r="BP469" i="2"/>
  <c r="BN469" i="2"/>
  <c r="Y472" i="2"/>
  <c r="Z469" i="2"/>
  <c r="Z471" i="2"/>
  <c r="BP471" i="2"/>
  <c r="BP481" i="2"/>
  <c r="BN481" i="2"/>
  <c r="Z481" i="2"/>
  <c r="Y520" i="2"/>
  <c r="BN516" i="2"/>
  <c r="Z516" i="2"/>
  <c r="Z518" i="2"/>
  <c r="BP518" i="2"/>
  <c r="D569" i="2"/>
  <c r="Y52" i="2"/>
  <c r="BP47" i="2"/>
  <c r="BP61" i="2"/>
  <c r="Z61" i="2"/>
  <c r="Z67" i="2"/>
  <c r="BN67" i="2"/>
  <c r="BP69" i="2"/>
  <c r="Z69" i="2"/>
  <c r="Y73" i="2"/>
  <c r="BP110" i="2"/>
  <c r="Z115" i="2"/>
  <c r="Z144" i="2"/>
  <c r="BN144" i="2"/>
  <c r="Z150" i="2"/>
  <c r="Z153" i="2"/>
  <c r="Y187" i="2"/>
  <c r="Y186" i="2"/>
  <c r="BP175" i="2"/>
  <c r="BN176" i="2"/>
  <c r="Z176" i="2"/>
  <c r="Z180" i="2"/>
  <c r="BP182" i="2"/>
  <c r="Z182" i="2"/>
  <c r="Y197" i="2"/>
  <c r="BP195" i="2"/>
  <c r="BP225" i="2"/>
  <c r="Z225" i="2"/>
  <c r="Y280" i="2"/>
  <c r="BN271" i="2"/>
  <c r="Z271" i="2"/>
  <c r="BN331" i="2"/>
  <c r="Z331" i="2"/>
  <c r="Z352" i="2"/>
  <c r="BN352" i="2"/>
  <c r="BN369" i="2"/>
  <c r="Z369" i="2"/>
  <c r="BN411" i="2"/>
  <c r="Z411" i="2"/>
  <c r="BN443" i="2"/>
  <c r="BP443" i="2"/>
  <c r="Z443" i="2"/>
  <c r="Y466" i="2"/>
  <c r="BN465" i="2"/>
  <c r="B569" i="2"/>
  <c r="X561" i="2"/>
  <c r="Y24" i="2"/>
  <c r="BP28" i="2"/>
  <c r="BN31" i="2"/>
  <c r="BN40" i="2"/>
  <c r="Y42" i="2"/>
  <c r="Z47" i="2"/>
  <c r="BP55" i="2"/>
  <c r="Z58" i="2"/>
  <c r="BP62" i="2"/>
  <c r="BN62" i="2"/>
  <c r="BP71" i="2"/>
  <c r="BN91" i="2"/>
  <c r="Z110" i="2"/>
  <c r="Z121" i="2"/>
  <c r="BN121" i="2"/>
  <c r="BN123" i="2"/>
  <c r="H569" i="2"/>
  <c r="BN133" i="2"/>
  <c r="Y135" i="2"/>
  <c r="BP133" i="2"/>
  <c r="BP170" i="2"/>
  <c r="BN170" i="2"/>
  <c r="BP183" i="2"/>
  <c r="BN183" i="2"/>
  <c r="BP228" i="2"/>
  <c r="BN228" i="2"/>
  <c r="Z228" i="2"/>
  <c r="Z242" i="2"/>
  <c r="BN242" i="2"/>
  <c r="BN433" i="2"/>
  <c r="BP433" i="2"/>
  <c r="Z433" i="2"/>
  <c r="BP477" i="2"/>
  <c r="BN477" i="2"/>
  <c r="Z477" i="2"/>
  <c r="BN510" i="2"/>
  <c r="Z510" i="2"/>
  <c r="J9" i="2"/>
  <c r="Z22" i="2"/>
  <c r="Z24" i="2" s="1"/>
  <c r="BP22" i="2"/>
  <c r="BN23" i="2"/>
  <c r="BN27" i="2"/>
  <c r="Z55" i="2"/>
  <c r="BN61" i="2"/>
  <c r="BN69" i="2"/>
  <c r="Z71" i="2"/>
  <c r="BN75" i="2"/>
  <c r="Z75" i="2"/>
  <c r="Z77" i="2" s="1"/>
  <c r="BP89" i="2"/>
  <c r="BN117" i="2"/>
  <c r="BP117" i="2"/>
  <c r="Y118" i="2"/>
  <c r="Z133" i="2"/>
  <c r="Z135" i="2" s="1"/>
  <c r="Y140" i="2"/>
  <c r="BN139" i="2"/>
  <c r="J569" i="2"/>
  <c r="BN163" i="2"/>
  <c r="Z170" i="2"/>
  <c r="BP179" i="2"/>
  <c r="Z179" i="2"/>
  <c r="BN182" i="2"/>
  <c r="Z183" i="2"/>
  <c r="BP190" i="2"/>
  <c r="Z190" i="2"/>
  <c r="BN206" i="2"/>
  <c r="BP206" i="2"/>
  <c r="Z206" i="2"/>
  <c r="BN220" i="2"/>
  <c r="BP220" i="2"/>
  <c r="Z277" i="2"/>
  <c r="BN277" i="2"/>
  <c r="BN292" i="2"/>
  <c r="Z292" i="2"/>
  <c r="R569" i="2"/>
  <c r="BN343" i="2"/>
  <c r="BP343" i="2"/>
  <c r="Z343" i="2"/>
  <c r="Y394" i="2"/>
  <c r="BN454" i="2"/>
  <c r="BP454" i="2"/>
  <c r="Z528" i="2"/>
  <c r="BP528" i="2"/>
  <c r="BP221" i="2"/>
  <c r="BP262" i="2"/>
  <c r="BP289" i="2"/>
  <c r="BP317" i="2"/>
  <c r="Y339" i="2"/>
  <c r="BP379" i="2"/>
  <c r="W569" i="2"/>
  <c r="Y462" i="2"/>
  <c r="BP507" i="2"/>
  <c r="BP523" i="2"/>
  <c r="Y141" i="2"/>
  <c r="Y156" i="2"/>
  <c r="BP211" i="2"/>
  <c r="Z221" i="2"/>
  <c r="Z224" i="2"/>
  <c r="Z227" i="2"/>
  <c r="Z238" i="2"/>
  <c r="Z262" i="2"/>
  <c r="Z278" i="2"/>
  <c r="Z289" i="2"/>
  <c r="Z298" i="2"/>
  <c r="Z321" i="2"/>
  <c r="Z322" i="2" s="1"/>
  <c r="BP358" i="2"/>
  <c r="Z367" i="2"/>
  <c r="Z379" i="2"/>
  <c r="BP406" i="2"/>
  <c r="Z417" i="2"/>
  <c r="Y427" i="2"/>
  <c r="Z425" i="2"/>
  <c r="BP432" i="2"/>
  <c r="BP442" i="2"/>
  <c r="Y452" i="2"/>
  <c r="BP470" i="2"/>
  <c r="BP482" i="2"/>
  <c r="Z569" i="2"/>
  <c r="Y493" i="2"/>
  <c r="BP498" i="2"/>
  <c r="AA569" i="2"/>
  <c r="BN506" i="2"/>
  <c r="Z507" i="2"/>
  <c r="BP508" i="2"/>
  <c r="BP517" i="2"/>
  <c r="Z526" i="2"/>
  <c r="Z546" i="2"/>
  <c r="Z547" i="2" s="1"/>
  <c r="Y65" i="2"/>
  <c r="BP57" i="2"/>
  <c r="Y83" i="2"/>
  <c r="BP82" i="2"/>
  <c r="Z122" i="2"/>
  <c r="Z138" i="2"/>
  <c r="BP138" i="2"/>
  <c r="BP178" i="2"/>
  <c r="Z189" i="2"/>
  <c r="BP199" i="2"/>
  <c r="BP223" i="2"/>
  <c r="BP232" i="2"/>
  <c r="BP246" i="2"/>
  <c r="BN317" i="2"/>
  <c r="Y349" i="2"/>
  <c r="Y353" i="2"/>
  <c r="Z358" i="2"/>
  <c r="Z360" i="2" s="1"/>
  <c r="Z368" i="2"/>
  <c r="Z377" i="2"/>
  <c r="Z391" i="2"/>
  <c r="Z400" i="2"/>
  <c r="Y407" i="2"/>
  <c r="BP404" i="2"/>
  <c r="BN405" i="2"/>
  <c r="Z410" i="2"/>
  <c r="Z413" i="2" s="1"/>
  <c r="Z424" i="2"/>
  <c r="BN431" i="2"/>
  <c r="Z437" i="2"/>
  <c r="Y446" i="2"/>
  <c r="Y445" i="2"/>
  <c r="BP450" i="2"/>
  <c r="X569" i="2"/>
  <c r="Z470" i="2"/>
  <c r="Z482" i="2"/>
  <c r="Z517" i="2"/>
  <c r="BN523" i="2"/>
  <c r="BP524" i="2"/>
  <c r="Y539" i="2"/>
  <c r="X560" i="2"/>
  <c r="BP98" i="2"/>
  <c r="BN98" i="2"/>
  <c r="Y100" i="2"/>
  <c r="Z98" i="2"/>
  <c r="BP109" i="2"/>
  <c r="BN109" i="2"/>
  <c r="Z109" i="2"/>
  <c r="BP88" i="2"/>
  <c r="BN88" i="2"/>
  <c r="Z88" i="2"/>
  <c r="Y92" i="2"/>
  <c r="Y99" i="2"/>
  <c r="BP210" i="2"/>
  <c r="BN210" i="2"/>
  <c r="Z210" i="2"/>
  <c r="BP30" i="2"/>
  <c r="BN30" i="2"/>
  <c r="Z30" i="2"/>
  <c r="G569" i="2"/>
  <c r="BP231" i="2"/>
  <c r="BN231" i="2"/>
  <c r="Z231" i="2"/>
  <c r="BP251" i="2"/>
  <c r="BN251" i="2"/>
  <c r="Z251" i="2"/>
  <c r="X559" i="2"/>
  <c r="BP166" i="2"/>
  <c r="BN166" i="2"/>
  <c r="Z166" i="2"/>
  <c r="Y168" i="2"/>
  <c r="F569" i="2"/>
  <c r="Y247" i="2"/>
  <c r="BP241" i="2"/>
  <c r="BN241" i="2"/>
  <c r="Z241" i="2"/>
  <c r="Y78" i="2"/>
  <c r="BP37" i="2"/>
  <c r="BP70" i="2"/>
  <c r="Y113" i="2"/>
  <c r="BP171" i="2"/>
  <c r="BP226" i="2"/>
  <c r="H9" i="2"/>
  <c r="BP23" i="2"/>
  <c r="BP80" i="2"/>
  <c r="BP91" i="2"/>
  <c r="Y125" i="2"/>
  <c r="Y146" i="2"/>
  <c r="BP158" i="2"/>
  <c r="Y172" i="2"/>
  <c r="Y192" i="2"/>
  <c r="Z199" i="2"/>
  <c r="Z200" i="2" s="1"/>
  <c r="Y217" i="2"/>
  <c r="BP234" i="2"/>
  <c r="BP244" i="2"/>
  <c r="Z252" i="2"/>
  <c r="Y257" i="2"/>
  <c r="BP267" i="2"/>
  <c r="Z275" i="2"/>
  <c r="BP277" i="2"/>
  <c r="Z285" i="2"/>
  <c r="BP287" i="2"/>
  <c r="BP297" i="2"/>
  <c r="Z306" i="2"/>
  <c r="BP308" i="2"/>
  <c r="Y319" i="2"/>
  <c r="Z329" i="2"/>
  <c r="BP331" i="2"/>
  <c r="Y354" i="2"/>
  <c r="Z365" i="2"/>
  <c r="BP367" i="2"/>
  <c r="Z375" i="2"/>
  <c r="BP377" i="2"/>
  <c r="Z385" i="2"/>
  <c r="BP387" i="2"/>
  <c r="Y408" i="2"/>
  <c r="Z418" i="2"/>
  <c r="Z419" i="2" s="1"/>
  <c r="BP455" i="2"/>
  <c r="Y467" i="2"/>
  <c r="Z478" i="2"/>
  <c r="BP480" i="2"/>
  <c r="BP505" i="2"/>
  <c r="Y514" i="2"/>
  <c r="BP525" i="2"/>
  <c r="Y552" i="2"/>
  <c r="K569" i="2"/>
  <c r="Y248" i="2"/>
  <c r="Y263" i="2"/>
  <c r="BP272" i="2"/>
  <c r="BP282" i="2"/>
  <c r="BN290" i="2"/>
  <c r="BP303" i="2"/>
  <c r="BP313" i="2"/>
  <c r="BP326" i="2"/>
  <c r="BP337" i="2"/>
  <c r="BN359" i="2"/>
  <c r="BN370" i="2"/>
  <c r="BN380" i="2"/>
  <c r="BP392" i="2"/>
  <c r="BN412" i="2"/>
  <c r="BP438" i="2"/>
  <c r="BN448" i="2"/>
  <c r="Y451" i="2"/>
  <c r="BP461" i="2"/>
  <c r="BN471" i="2"/>
  <c r="Y484" i="2"/>
  <c r="BN496" i="2"/>
  <c r="Y499" i="2"/>
  <c r="BN508" i="2"/>
  <c r="BN518" i="2"/>
  <c r="BN528" i="2"/>
  <c r="BN542" i="2"/>
  <c r="L569" i="2"/>
  <c r="Z56" i="2"/>
  <c r="Z143" i="2"/>
  <c r="Z145" i="2" s="1"/>
  <c r="Z154" i="2"/>
  <c r="Z177" i="2"/>
  <c r="Z222" i="2"/>
  <c r="Y235" i="2"/>
  <c r="Y268" i="2"/>
  <c r="Z293" i="2"/>
  <c r="Y332" i="2"/>
  <c r="Z351" i="2"/>
  <c r="Y388" i="2"/>
  <c r="Z405" i="2"/>
  <c r="Z407" i="2" s="1"/>
  <c r="Z431" i="2"/>
  <c r="Y456" i="2"/>
  <c r="Y489" i="2"/>
  <c r="Z511" i="2"/>
  <c r="Y536" i="2"/>
  <c r="Y548" i="2"/>
  <c r="M569" i="2"/>
  <c r="F10" i="2"/>
  <c r="Y126" i="2"/>
  <c r="Z149" i="2"/>
  <c r="BP151" i="2"/>
  <c r="Y173" i="2"/>
  <c r="Y193" i="2"/>
  <c r="Y218" i="2"/>
  <c r="Z245" i="2"/>
  <c r="Y258" i="2"/>
  <c r="BP290" i="2"/>
  <c r="Y314" i="2"/>
  <c r="BP359" i="2"/>
  <c r="BP370" i="2"/>
  <c r="BP380" i="2"/>
  <c r="Y439" i="2"/>
  <c r="Y553" i="2"/>
  <c r="O569" i="2"/>
  <c r="Y64" i="2"/>
  <c r="Z29" i="2"/>
  <c r="Z41" i="2"/>
  <c r="BN56" i="2"/>
  <c r="BN76" i="2"/>
  <c r="Z87" i="2"/>
  <c r="Z92" i="2" s="1"/>
  <c r="Z97" i="2"/>
  <c r="Z108" i="2"/>
  <c r="BN143" i="2"/>
  <c r="BN154" i="2"/>
  <c r="Z165" i="2"/>
  <c r="BN177" i="2"/>
  <c r="Z185" i="2"/>
  <c r="Z209" i="2"/>
  <c r="BN222" i="2"/>
  <c r="Z230" i="2"/>
  <c r="Z240" i="2"/>
  <c r="Z250" i="2"/>
  <c r="Y264" i="2"/>
  <c r="Z273" i="2"/>
  <c r="Z283" i="2"/>
  <c r="Z304" i="2"/>
  <c r="Z327" i="2"/>
  <c r="Z338" i="2"/>
  <c r="Z393" i="2"/>
  <c r="Z486" i="2"/>
  <c r="Z488" i="2" s="1"/>
  <c r="Y500" i="2"/>
  <c r="P569" i="2"/>
  <c r="A10" i="2"/>
  <c r="Y160" i="2"/>
  <c r="Y371" i="2"/>
  <c r="Y381" i="2"/>
  <c r="Y389" i="2"/>
  <c r="Z398" i="2"/>
  <c r="Y413" i="2"/>
  <c r="Z434" i="2"/>
  <c r="Z444" i="2"/>
  <c r="Y457" i="2"/>
  <c r="Z492" i="2"/>
  <c r="Z493" i="2" s="1"/>
  <c r="Y519" i="2"/>
  <c r="Y529" i="2"/>
  <c r="Z538" i="2"/>
  <c r="Z539" i="2" s="1"/>
  <c r="Y543" i="2"/>
  <c r="Z550" i="2"/>
  <c r="Q569" i="2"/>
  <c r="BN149" i="2"/>
  <c r="Y236" i="2"/>
  <c r="BN245" i="2"/>
  <c r="Y269" i="2"/>
  <c r="Y333" i="2"/>
  <c r="BN29" i="2"/>
  <c r="Y32" i="2"/>
  <c r="BN41" i="2"/>
  <c r="BP56" i="2"/>
  <c r="BP76" i="2"/>
  <c r="BN87" i="2"/>
  <c r="BN97" i="2"/>
  <c r="BN108" i="2"/>
  <c r="Z128" i="2"/>
  <c r="Z129" i="2" s="1"/>
  <c r="BP143" i="2"/>
  <c r="Z152" i="2"/>
  <c r="BP154" i="2"/>
  <c r="BN165" i="2"/>
  <c r="Z175" i="2"/>
  <c r="BN185" i="2"/>
  <c r="Z195" i="2"/>
  <c r="Z196" i="2" s="1"/>
  <c r="BN209" i="2"/>
  <c r="Y212" i="2"/>
  <c r="Z220" i="2"/>
  <c r="BN230" i="2"/>
  <c r="BN240" i="2"/>
  <c r="BN250" i="2"/>
  <c r="Y253" i="2"/>
  <c r="Z261" i="2"/>
  <c r="BN273" i="2"/>
  <c r="BN283" i="2"/>
  <c r="Z291" i="2"/>
  <c r="BN304" i="2"/>
  <c r="Y315" i="2"/>
  <c r="BN327" i="2"/>
  <c r="BN338" i="2"/>
  <c r="BP351" i="2"/>
  <c r="BN393" i="2"/>
  <c r="Y419" i="2"/>
  <c r="BP431" i="2"/>
  <c r="Y440" i="2"/>
  <c r="Z449" i="2"/>
  <c r="Z451" i="2" s="1"/>
  <c r="Y463" i="2"/>
  <c r="BN486" i="2"/>
  <c r="Z497" i="2"/>
  <c r="Z509" i="2"/>
  <c r="Z556" i="2"/>
  <c r="Z557" i="2" s="1"/>
  <c r="BN180" i="2"/>
  <c r="BN190" i="2"/>
  <c r="BN225" i="2"/>
  <c r="Z233" i="2"/>
  <c r="Z243" i="2"/>
  <c r="Z266" i="2"/>
  <c r="Z276" i="2"/>
  <c r="Z286" i="2"/>
  <c r="Z307" i="2"/>
  <c r="BP321" i="2"/>
  <c r="Z330" i="2"/>
  <c r="BN344" i="2"/>
  <c r="BP357" i="2"/>
  <c r="Z366" i="2"/>
  <c r="Z376" i="2"/>
  <c r="Z386" i="2"/>
  <c r="BN398" i="2"/>
  <c r="Y401" i="2"/>
  <c r="BN434" i="2"/>
  <c r="BN444" i="2"/>
  <c r="Z454" i="2"/>
  <c r="Z479" i="2"/>
  <c r="BN492" i="2"/>
  <c r="Z504" i="2"/>
  <c r="BP516" i="2"/>
  <c r="BN538" i="2"/>
  <c r="BN550" i="2"/>
  <c r="BN81" i="2"/>
  <c r="Y93" i="2"/>
  <c r="BP81" i="2"/>
  <c r="Z62" i="2"/>
  <c r="Y77" i="2"/>
  <c r="BP87" i="2"/>
  <c r="Z95" i="2"/>
  <c r="Z106" i="2"/>
  <c r="Z116" i="2"/>
  <c r="BN128" i="2"/>
  <c r="Z139" i="2"/>
  <c r="Y155" i="2"/>
  <c r="Z163" i="2"/>
  <c r="BN175" i="2"/>
  <c r="BN195" i="2"/>
  <c r="BP250" i="2"/>
  <c r="Y294" i="2"/>
  <c r="Y361" i="2"/>
  <c r="Y372" i="2"/>
  <c r="Y382" i="2"/>
  <c r="Y414" i="2"/>
  <c r="BN449" i="2"/>
  <c r="Y473" i="2"/>
  <c r="BP486" i="2"/>
  <c r="BN497" i="2"/>
  <c r="BN509" i="2"/>
  <c r="Y530" i="2"/>
  <c r="Y544" i="2"/>
  <c r="BN556" i="2"/>
  <c r="T569" i="2"/>
  <c r="Z81" i="2"/>
  <c r="Z83" i="2" s="1"/>
  <c r="Y25" i="2"/>
  <c r="Y51" i="2"/>
  <c r="Y72" i="2"/>
  <c r="BP149" i="2"/>
  <c r="Z27" i="2"/>
  <c r="Z39" i="2"/>
  <c r="Y33" i="2"/>
  <c r="BP103" i="2"/>
  <c r="Y213" i="2"/>
  <c r="Y279" i="2"/>
  <c r="Y299" i="2"/>
  <c r="Y310" i="2"/>
  <c r="Z317" i="2"/>
  <c r="Z318" i="2" s="1"/>
  <c r="Y322" i="2"/>
  <c r="BP344" i="2"/>
  <c r="BP398" i="2"/>
  <c r="Y420" i="2"/>
  <c r="BP444" i="2"/>
  <c r="Z465" i="2"/>
  <c r="Z466" i="2" s="1"/>
  <c r="BP492" i="2"/>
  <c r="BN504" i="2"/>
  <c r="BP538" i="2"/>
  <c r="U569" i="2"/>
  <c r="Z527" i="2"/>
  <c r="BP556" i="2"/>
  <c r="C569" i="2"/>
  <c r="V569" i="2"/>
  <c r="Z328" i="2"/>
  <c r="Z274" i="2"/>
  <c r="Z284" i="2"/>
  <c r="Y295" i="2"/>
  <c r="Z305" i="2"/>
  <c r="Z364" i="2"/>
  <c r="Z374" i="2"/>
  <c r="Z384" i="2"/>
  <c r="Z37" i="2"/>
  <c r="Z49" i="2"/>
  <c r="Z60" i="2"/>
  <c r="Z70" i="2"/>
  <c r="BP95" i="2"/>
  <c r="Z104" i="2"/>
  <c r="Z124" i="2"/>
  <c r="Z125" i="2" s="1"/>
  <c r="Y129" i="2"/>
  <c r="BP139" i="2"/>
  <c r="BP163" i="2"/>
  <c r="Z171" i="2"/>
  <c r="Z181" i="2"/>
  <c r="Z191" i="2"/>
  <c r="Z192" i="2" s="1"/>
  <c r="Y196" i="2"/>
  <c r="Z205" i="2"/>
  <c r="Z216" i="2"/>
  <c r="Z217" i="2" s="1"/>
  <c r="Z226" i="2"/>
  <c r="Z256" i="2"/>
  <c r="Z257" i="2" s="1"/>
  <c r="BP271" i="2"/>
  <c r="Y300" i="2"/>
  <c r="Y311" i="2"/>
  <c r="Z345" i="2"/>
  <c r="Z399" i="2"/>
  <c r="Z423" i="2"/>
  <c r="Z435" i="2"/>
  <c r="BP460" i="2"/>
  <c r="Z551" i="2"/>
  <c r="Y557" i="2"/>
  <c r="E569" i="2"/>
  <c r="Y43" i="2"/>
  <c r="BN274" i="2"/>
  <c r="BN284" i="2"/>
  <c r="BN305" i="2"/>
  <c r="BN328" i="2"/>
  <c r="Y340" i="2"/>
  <c r="BN364" i="2"/>
  <c r="BN374" i="2"/>
  <c r="BN384" i="2"/>
  <c r="Y395" i="2"/>
  <c r="Y569" i="2"/>
  <c r="Y112" i="2"/>
  <c r="BN49" i="2"/>
  <c r="BN60" i="2"/>
  <c r="BN181" i="2"/>
  <c r="BN191" i="2"/>
  <c r="BN205" i="2"/>
  <c r="BN216" i="2"/>
  <c r="Z244" i="2"/>
  <c r="BN256" i="2"/>
  <c r="Z267" i="2"/>
  <c r="Z287" i="2"/>
  <c r="Z297" i="2"/>
  <c r="Z308" i="2"/>
  <c r="BN345" i="2"/>
  <c r="Y348" i="2"/>
  <c r="BN399" i="2"/>
  <c r="BN423" i="2"/>
  <c r="Y426" i="2"/>
  <c r="BN435" i="2"/>
  <c r="Z455" i="2"/>
  <c r="Z480" i="2"/>
  <c r="Y494" i="2"/>
  <c r="Z505" i="2"/>
  <c r="Z525" i="2"/>
  <c r="BN551" i="2"/>
  <c r="BN104" i="2"/>
  <c r="BN124" i="2"/>
  <c r="Z63" i="2"/>
  <c r="Z96" i="2"/>
  <c r="Z107" i="2"/>
  <c r="Z117" i="2"/>
  <c r="Z164" i="2"/>
  <c r="Z184" i="2"/>
  <c r="Z208" i="2"/>
  <c r="Z229" i="2"/>
  <c r="Z239" i="2"/>
  <c r="Z272" i="2"/>
  <c r="Z282" i="2"/>
  <c r="Z303" i="2"/>
  <c r="Z313" i="2"/>
  <c r="Z314" i="2" s="1"/>
  <c r="Z326" i="2"/>
  <c r="Z337" i="2"/>
  <c r="Z392" i="2"/>
  <c r="Z394" i="2" s="1"/>
  <c r="BN404" i="2"/>
  <c r="Z438" i="2"/>
  <c r="Z461" i="2"/>
  <c r="Z462" i="2" s="1"/>
  <c r="Y513" i="2"/>
  <c r="BP534" i="2"/>
  <c r="BP546" i="2"/>
  <c r="Y558" i="2"/>
  <c r="BP423" i="2"/>
  <c r="BN480" i="2"/>
  <c r="AB569" i="2"/>
  <c r="Y167" i="2"/>
  <c r="Z51" i="2" l="1"/>
  <c r="Z371" i="2"/>
  <c r="Z172" i="2"/>
  <c r="Z445" i="2"/>
  <c r="Z529" i="2"/>
  <c r="Z499" i="2"/>
  <c r="Z472" i="2"/>
  <c r="Z426" i="2"/>
  <c r="Z388" i="2"/>
  <c r="Z381" i="2"/>
  <c r="Z353" i="2"/>
  <c r="Z348" i="2"/>
  <c r="Z299" i="2"/>
  <c r="Z263" i="2"/>
  <c r="Z253" i="2"/>
  <c r="Z247" i="2"/>
  <c r="Z140" i="2"/>
  <c r="Z72" i="2"/>
  <c r="Z42" i="2"/>
  <c r="X562" i="2"/>
  <c r="Y561" i="2"/>
  <c r="Z401" i="2"/>
  <c r="Z519" i="2"/>
  <c r="Z456" i="2"/>
  <c r="Z64" i="2"/>
  <c r="Z167" i="2"/>
  <c r="Z118" i="2"/>
  <c r="Y563" i="2"/>
  <c r="Z112" i="2"/>
  <c r="Y560" i="2"/>
  <c r="Z483" i="2"/>
  <c r="Y559" i="2"/>
  <c r="Z155" i="2"/>
  <c r="Z212" i="2"/>
  <c r="Z339" i="2"/>
  <c r="Z235" i="2"/>
  <c r="Z332" i="2"/>
  <c r="Z439" i="2"/>
  <c r="Z310" i="2"/>
  <c r="Z294" i="2"/>
  <c r="Z32" i="2"/>
  <c r="Z186" i="2"/>
  <c r="Z99" i="2"/>
  <c r="Z279" i="2"/>
  <c r="Z513" i="2"/>
  <c r="Z268" i="2"/>
  <c r="Z552" i="2"/>
  <c r="Y562" i="2" l="1"/>
  <c r="Z564" i="2"/>
</calcChain>
</file>

<file path=xl/sharedStrings.xml><?xml version="1.0" encoding="utf-8"?>
<sst xmlns="http://schemas.openxmlformats.org/spreadsheetml/2006/main" count="4287" uniqueCount="893">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</sst>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 t="s">
        <v>892</v>
      </c>
      <c r="I5" s="998"/>
      <c r="J5" s="998"/>
      <c r="K5" s="998"/>
      <c r="L5" s="998"/>
      <c r="M5" s="998"/>
      <c r="N5" s="72"/>
      <c r="P5" s="27" t="s">
        <v>4</v>
      </c>
      <c r="Q5" s="1000">
        <v>46294</v>
      </c>
      <c r="R5" s="1000"/>
      <c r="T5" s="1001" t="s">
        <v>3</v>
      </c>
      <c r="U5" s="1002"/>
      <c r="V5" s="1003" t="s">
        <v>873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 t="s">
        <v>874</v>
      </c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Вторник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 t="str">
        <f>IFERROR(VLOOKUP(DeliveryAddress,Table,3,0),1)</f>
        <v>1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4.1666666666666664E-2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48</v>
      </c>
      <c r="Y40" s="55">
        <f>IFERROR(IF(X40="",0,CEILING((X40/$H40),1)*$H40),"")</f>
        <v>48</v>
      </c>
      <c r="Z40" s="41">
        <f>IFERROR(IF(Y40=0,"",ROUNDUP(Y40/H40,0)*0.00651),"")</f>
        <v>0.16275000000000001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52.500000000000007</v>
      </c>
      <c r="BN40" s="78">
        <f>IFERROR(Y40*I40/H40,"0")</f>
        <v>52.500000000000007</v>
      </c>
      <c r="BO40" s="78">
        <f>IFERROR(1/J40*(X40/H40),"0")</f>
        <v>0.13736263736263737</v>
      </c>
      <c r="BP40" s="78">
        <f>IFERROR(1/J40*(Y40/H40),"0")</f>
        <v>0.13736263736263737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32</v>
      </c>
      <c r="Y41" s="55">
        <f>IFERROR(IF(X41="",0,CEILING((X41/$H41),1)*$H41),"")</f>
        <v>32.64</v>
      </c>
      <c r="Z41" s="41">
        <f>IFERROR(IF(Y41=0,"",ROUNDUP(Y41/H41,0)*0.00651),"")</f>
        <v>0.11067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35</v>
      </c>
      <c r="BN41" s="78">
        <f>IFERROR(Y41*I41/H41,"0")</f>
        <v>35.70000000000001</v>
      </c>
      <c r="BO41" s="78">
        <f>IFERROR(1/J41*(X41/H41),"0")</f>
        <v>9.1575091575091583E-2</v>
      </c>
      <c r="BP41" s="78">
        <f>IFERROR(1/J41*(Y41/H41),"0")</f>
        <v>9.3406593406593408E-2</v>
      </c>
    </row>
    <row r="42" spans="1:68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41.666666666666671</v>
      </c>
      <c r="Y42" s="43">
        <f>IFERROR(Y37/H37,"0")+IFERROR(Y38/H38,"0")+IFERROR(Y39/H39,"0")+IFERROR(Y40/H40,"0")+IFERROR(Y41/H41,"0")</f>
        <v>42</v>
      </c>
      <c r="Z42" s="43">
        <f>IFERROR(IF(Z37="",0,Z37),"0")+IFERROR(IF(Z38="",0,Z38),"0")+IFERROR(IF(Z39="",0,Z39),"0")+IFERROR(IF(Z40="",0,Z40),"0")+IFERROR(IF(Z41="",0,Z41),"0")</f>
        <v>0.27342</v>
      </c>
      <c r="AA42" s="67"/>
      <c r="AB42" s="67"/>
      <c r="AC42" s="67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80</v>
      </c>
      <c r="Y43" s="43">
        <f>IFERROR(SUM(Y37:Y41),"0")</f>
        <v>80.64</v>
      </c>
      <c r="Z43" s="42"/>
      <c r="AA43" s="67"/>
      <c r="AB43" s="67"/>
      <c r="AC43" s="67"/>
    </row>
    <row r="44" spans="1:68" ht="27.75" hidden="1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200</v>
      </c>
      <c r="Y47" s="55">
        <f>IFERROR(IF(X47="",0,CEILING((X47/$H47),1)*$H47),"")</f>
        <v>205.20000000000002</v>
      </c>
      <c r="Z47" s="41">
        <f>IFERROR(IF(Y47=0,"",ROUNDUP(Y47/H47,0)*0.01898),"")</f>
        <v>0.36062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207.59259259259258</v>
      </c>
      <c r="BN47" s="78">
        <f>IFERROR(Y47*I47/H47,"0")</f>
        <v>212.99</v>
      </c>
      <c r="BO47" s="78">
        <f>IFERROR(1/J47*(X47/H47),"0")</f>
        <v>0.28935185185185186</v>
      </c>
      <c r="BP47" s="78">
        <f>IFERROR(1/J47*(Y47/H47),"0")</f>
        <v>0.296875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120</v>
      </c>
      <c r="Y49" s="55">
        <f>IFERROR(IF(X49="",0,CEILING((X49/$H49),1)*$H49),"")</f>
        <v>120</v>
      </c>
      <c r="Z49" s="41">
        <f>IFERROR(IF(Y49=0,"",ROUNDUP(Y49/H49,0)*0.00902),"")</f>
        <v>0.27060000000000001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125.70000000000002</v>
      </c>
      <c r="BN49" s="78">
        <f>IFERROR(Y49*I49/H49,"0")</f>
        <v>125.70000000000002</v>
      </c>
      <c r="BO49" s="78">
        <f>IFERROR(1/J49*(X49/H49),"0")</f>
        <v>0.22727272727272729</v>
      </c>
      <c r="BP49" s="78">
        <f>IFERROR(1/J49*(Y49/H49),"0")</f>
        <v>0.22727272727272729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48.518518518518519</v>
      </c>
      <c r="Y51" s="43">
        <f>IFERROR(Y47/H47,"0")+IFERROR(Y48/H48,"0")+IFERROR(Y49/H49,"0")+IFERROR(Y50/H50,"0")</f>
        <v>49</v>
      </c>
      <c r="Z51" s="43">
        <f>IFERROR(IF(Z47="",0,Z47),"0")+IFERROR(IF(Z48="",0,Z48),"0")+IFERROR(IF(Z49="",0,Z49),"0")+IFERROR(IF(Z50="",0,Z50),"0")</f>
        <v>0.63122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320</v>
      </c>
      <c r="Y52" s="43">
        <f>IFERROR(SUM(Y47:Y50),"0")</f>
        <v>325.20000000000005</v>
      </c>
      <c r="Z52" s="42"/>
      <c r="AA52" s="67"/>
      <c r="AB52" s="67"/>
      <c r="AC52" s="67"/>
    </row>
    <row r="53" spans="1:68" ht="16.5" hidden="1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120</v>
      </c>
      <c r="Y56" s="55">
        <f t="shared" si="0"/>
        <v>129.60000000000002</v>
      </c>
      <c r="Z56" s="41">
        <f>IFERROR(IF(Y56=0,"",ROUNDUP(Y56/H56,0)*0.01898),"")</f>
        <v>0.22776000000000002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124.55555555555556</v>
      </c>
      <c r="BN56" s="78">
        <f t="shared" si="2"/>
        <v>134.52000000000001</v>
      </c>
      <c r="BO56" s="78">
        <f t="shared" si="3"/>
        <v>0.1736111111111111</v>
      </c>
      <c r="BP56" s="78">
        <f t="shared" si="4"/>
        <v>0.18750000000000003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6">
        <v>4680115881426</v>
      </c>
      <c r="E57" s="666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6">
        <v>4680115880283</v>
      </c>
      <c r="E58" s="666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6">
        <v>4680115881525</v>
      </c>
      <c r="E59" s="666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6">
        <v>4680115881525</v>
      </c>
      <c r="E60" s="666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6">
        <v>4680115885899</v>
      </c>
      <c r="E61" s="666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8"/>
      <c r="R61" s="668"/>
      <c r="S61" s="668"/>
      <c r="T61" s="669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66">
        <v>4680115881419</v>
      </c>
      <c r="E62" s="666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8"/>
      <c r="R62" s="668"/>
      <c r="S62" s="668"/>
      <c r="T62" s="669"/>
      <c r="U62" s="39" t="s">
        <v>46</v>
      </c>
      <c r="V62" s="39" t="s">
        <v>46</v>
      </c>
      <c r="W62" s="40" t="s">
        <v>0</v>
      </c>
      <c r="X62" s="58">
        <v>270</v>
      </c>
      <c r="Y62" s="55">
        <f t="shared" si="0"/>
        <v>270</v>
      </c>
      <c r="Z62" s="41">
        <f>IFERROR(IF(Y62=0,"",ROUNDUP(Y62/H62,0)*0.00902),"")</f>
        <v>0.54120000000000001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281.40000000000003</v>
      </c>
      <c r="BN62" s="78">
        <f t="shared" si="2"/>
        <v>281.40000000000003</v>
      </c>
      <c r="BO62" s="78">
        <f t="shared" si="3"/>
        <v>0.45454545454545459</v>
      </c>
      <c r="BP62" s="78">
        <f t="shared" si="4"/>
        <v>0.45454545454545459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6">
        <v>4680115881419</v>
      </c>
      <c r="E63" s="666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8"/>
      <c r="R63" s="668"/>
      <c r="S63" s="668"/>
      <c r="T63" s="669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71.111111111111114</v>
      </c>
      <c r="Y64" s="43">
        <f>IFERROR(Y55/H55,"0")+IFERROR(Y56/H56,"0")+IFERROR(Y57/H57,"0")+IFERROR(Y58/H58,"0")+IFERROR(Y59/H59,"0")+IFERROR(Y60/H60,"0")+IFERROR(Y61/H61,"0")+IFERROR(Y62/H62,"0")+IFERROR(Y63/H63,"0")</f>
        <v>72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0.76896000000000009</v>
      </c>
      <c r="AA64" s="67"/>
      <c r="AB64" s="67"/>
      <c r="AC64" s="67"/>
    </row>
    <row r="65" spans="1:68" x14ac:dyDescent="0.2">
      <c r="A65" s="656"/>
      <c r="B65" s="656"/>
      <c r="C65" s="656"/>
      <c r="D65" s="656"/>
      <c r="E65" s="656"/>
      <c r="F65" s="656"/>
      <c r="G65" s="656"/>
      <c r="H65" s="656"/>
      <c r="I65" s="656"/>
      <c r="J65" s="656"/>
      <c r="K65" s="656"/>
      <c r="L65" s="656"/>
      <c r="M65" s="656"/>
      <c r="N65" s="656"/>
      <c r="O65" s="657"/>
      <c r="P65" s="653" t="s">
        <v>40</v>
      </c>
      <c r="Q65" s="654"/>
      <c r="R65" s="654"/>
      <c r="S65" s="654"/>
      <c r="T65" s="654"/>
      <c r="U65" s="654"/>
      <c r="V65" s="655"/>
      <c r="W65" s="42" t="s">
        <v>0</v>
      </c>
      <c r="X65" s="43">
        <f>IFERROR(SUM(X55:X63),"0")</f>
        <v>390</v>
      </c>
      <c r="Y65" s="43">
        <f>IFERROR(SUM(Y55:Y63),"0")</f>
        <v>399.6</v>
      </c>
      <c r="Z65" s="42"/>
      <c r="AA65" s="67"/>
      <c r="AB65" s="67"/>
      <c r="AC65" s="67"/>
    </row>
    <row r="66" spans="1:68" ht="14.25" hidden="1" customHeight="1" x14ac:dyDescent="0.25">
      <c r="A66" s="665" t="s">
        <v>159</v>
      </c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6">
        <v>4680115881440</v>
      </c>
      <c r="E67" s="666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50</v>
      </c>
      <c r="Y67" s="55">
        <f>IFERROR(IF(X67="",0,CEILING((X67/$H67),1)*$H67),"")</f>
        <v>54</v>
      </c>
      <c r="Z67" s="41">
        <f>IFERROR(IF(Y67=0,"",ROUNDUP(Y67/H67,0)*0.01898),"")</f>
        <v>9.4899999999999998E-2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51.898148148148145</v>
      </c>
      <c r="BN67" s="78">
        <f>IFERROR(Y67*I67/H67,"0")</f>
        <v>56.05</v>
      </c>
      <c r="BO67" s="78">
        <f>IFERROR(1/J67*(X67/H67),"0")</f>
        <v>7.2337962962962965E-2</v>
      </c>
      <c r="BP67" s="78">
        <f>IFERROR(1/J67*(Y67/H67),"0")</f>
        <v>7.8125E-2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6">
        <v>4680115881440</v>
      </c>
      <c r="E68" s="666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8"/>
      <c r="R68" s="668"/>
      <c r="S68" s="668"/>
      <c r="T68" s="669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6">
        <v>4680115885950</v>
      </c>
      <c r="E69" s="666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8"/>
      <c r="R69" s="668"/>
      <c r="S69" s="668"/>
      <c r="T69" s="669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6">
        <v>4680115887688</v>
      </c>
      <c r="E70" s="666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8"/>
      <c r="R70" s="668"/>
      <c r="S70" s="668"/>
      <c r="T70" s="669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666">
        <v>4680115881433</v>
      </c>
      <c r="E71" s="666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135</v>
      </c>
      <c r="Y71" s="55">
        <f>IFERROR(IF(X71="",0,CEILING((X71/$H71),1)*$H71),"")</f>
        <v>135</v>
      </c>
      <c r="Z71" s="41">
        <f>IFERROR(IF(Y71=0,"",ROUNDUP(Y71/H71,0)*0.00651),"")</f>
        <v>0.32550000000000001</v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144</v>
      </c>
      <c r="BN71" s="78">
        <f>IFERROR(Y71*I71/H71,"0")</f>
        <v>144</v>
      </c>
      <c r="BO71" s="78">
        <f>IFERROR(1/J71*(X71/H71),"0")</f>
        <v>0.27472527472527475</v>
      </c>
      <c r="BP71" s="78">
        <f>IFERROR(1/J71*(Y71/H71),"0")</f>
        <v>0.27472527472527475</v>
      </c>
    </row>
    <row r="72" spans="1:68" x14ac:dyDescent="0.2">
      <c r="A72" s="656"/>
      <c r="B72" s="656"/>
      <c r="C72" s="656"/>
      <c r="D72" s="656"/>
      <c r="E72" s="656"/>
      <c r="F72" s="656"/>
      <c r="G72" s="656"/>
      <c r="H72" s="656"/>
      <c r="I72" s="656"/>
      <c r="J72" s="656"/>
      <c r="K72" s="656"/>
      <c r="L72" s="656"/>
      <c r="M72" s="656"/>
      <c r="N72" s="656"/>
      <c r="O72" s="657"/>
      <c r="P72" s="653" t="s">
        <v>40</v>
      </c>
      <c r="Q72" s="654"/>
      <c r="R72" s="654"/>
      <c r="S72" s="654"/>
      <c r="T72" s="654"/>
      <c r="U72" s="654"/>
      <c r="V72" s="655"/>
      <c r="W72" s="42" t="s">
        <v>39</v>
      </c>
      <c r="X72" s="43">
        <f>IFERROR(X67/H67,"0")+IFERROR(X68/H68,"0")+IFERROR(X69/H69,"0")+IFERROR(X70/H70,"0")+IFERROR(X71/H71,"0")</f>
        <v>54.629629629629633</v>
      </c>
      <c r="Y72" s="43">
        <f>IFERROR(Y67/H67,"0")+IFERROR(Y68/H68,"0")+IFERROR(Y69/H69,"0")+IFERROR(Y70/H70,"0")+IFERROR(Y71/H71,"0")</f>
        <v>55</v>
      </c>
      <c r="Z72" s="43">
        <f>IFERROR(IF(Z67="",0,Z67),"0")+IFERROR(IF(Z68="",0,Z68),"0")+IFERROR(IF(Z69="",0,Z69),"0")+IFERROR(IF(Z70="",0,Z70),"0")+IFERROR(IF(Z71="",0,Z71),"0")</f>
        <v>0.4204</v>
      </c>
      <c r="AA72" s="67"/>
      <c r="AB72" s="67"/>
      <c r="AC72" s="67"/>
    </row>
    <row r="73" spans="1:68" x14ac:dyDescent="0.2">
      <c r="A73" s="656"/>
      <c r="B73" s="656"/>
      <c r="C73" s="656"/>
      <c r="D73" s="656"/>
      <c r="E73" s="656"/>
      <c r="F73" s="656"/>
      <c r="G73" s="656"/>
      <c r="H73" s="656"/>
      <c r="I73" s="656"/>
      <c r="J73" s="656"/>
      <c r="K73" s="656"/>
      <c r="L73" s="656"/>
      <c r="M73" s="656"/>
      <c r="N73" s="656"/>
      <c r="O73" s="657"/>
      <c r="P73" s="653" t="s">
        <v>40</v>
      </c>
      <c r="Q73" s="654"/>
      <c r="R73" s="654"/>
      <c r="S73" s="654"/>
      <c r="T73" s="654"/>
      <c r="U73" s="654"/>
      <c r="V73" s="655"/>
      <c r="W73" s="42" t="s">
        <v>0</v>
      </c>
      <c r="X73" s="43">
        <f>IFERROR(SUM(X67:X71),"0")</f>
        <v>185</v>
      </c>
      <c r="Y73" s="43">
        <f>IFERROR(SUM(Y67:Y71),"0")</f>
        <v>189</v>
      </c>
      <c r="Z73" s="42"/>
      <c r="AA73" s="67"/>
      <c r="AB73" s="67"/>
      <c r="AC73" s="67"/>
    </row>
    <row r="74" spans="1:68" ht="14.25" hidden="1" customHeight="1" x14ac:dyDescent="0.25">
      <c r="A74" s="665" t="s">
        <v>86</v>
      </c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6">
        <v>4680115884311</v>
      </c>
      <c r="E75" s="666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8"/>
      <c r="R75" s="668"/>
      <c r="S75" s="668"/>
      <c r="T75" s="669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6">
        <v>4680115884403</v>
      </c>
      <c r="E76" s="666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8"/>
      <c r="R76" s="668"/>
      <c r="S76" s="668"/>
      <c r="T76" s="669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56"/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7"/>
      <c r="P77" s="653" t="s">
        <v>40</v>
      </c>
      <c r="Q77" s="654"/>
      <c r="R77" s="654"/>
      <c r="S77" s="654"/>
      <c r="T77" s="654"/>
      <c r="U77" s="654"/>
      <c r="V77" s="655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56"/>
      <c r="B78" s="656"/>
      <c r="C78" s="656"/>
      <c r="D78" s="656"/>
      <c r="E78" s="656"/>
      <c r="F78" s="656"/>
      <c r="G78" s="656"/>
      <c r="H78" s="656"/>
      <c r="I78" s="656"/>
      <c r="J78" s="656"/>
      <c r="K78" s="656"/>
      <c r="L78" s="656"/>
      <c r="M78" s="656"/>
      <c r="N78" s="656"/>
      <c r="O78" s="657"/>
      <c r="P78" s="653" t="s">
        <v>40</v>
      </c>
      <c r="Q78" s="654"/>
      <c r="R78" s="654"/>
      <c r="S78" s="654"/>
      <c r="T78" s="654"/>
      <c r="U78" s="654"/>
      <c r="V78" s="655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5" t="s">
        <v>178</v>
      </c>
      <c r="B79" s="665"/>
      <c r="C79" s="665"/>
      <c r="D79" s="665"/>
      <c r="E79" s="665"/>
      <c r="F79" s="665"/>
      <c r="G79" s="665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666">
        <v>4680115881532</v>
      </c>
      <c r="E80" s="666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20</v>
      </c>
      <c r="Y80" s="55">
        <f>IFERROR(IF(X80="",0,CEILING((X80/$H80),1)*$H80),"")</f>
        <v>23.4</v>
      </c>
      <c r="Z80" s="41">
        <f>IFERROR(IF(Y80=0,"",ROUNDUP(Y80/H80,0)*0.01898),"")</f>
        <v>5.6940000000000004E-2</v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21.051282051282055</v>
      </c>
      <c r="BN80" s="78">
        <f>IFERROR(Y80*I80/H80,"0")</f>
        <v>24.630000000000003</v>
      </c>
      <c r="BO80" s="78">
        <f>IFERROR(1/J80*(X80/H80),"0")</f>
        <v>4.0064102564102567E-2</v>
      </c>
      <c r="BP80" s="78">
        <f>IFERROR(1/J80*(Y80/H80),"0")</f>
        <v>4.6875E-2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6">
        <v>4680115881532</v>
      </c>
      <c r="E81" s="666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1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8"/>
      <c r="R81" s="668"/>
      <c r="S81" s="668"/>
      <c r="T81" s="669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6">
        <v>4680115881464</v>
      </c>
      <c r="E82" s="666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56"/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7"/>
      <c r="P83" s="653" t="s">
        <v>40</v>
      </c>
      <c r="Q83" s="654"/>
      <c r="R83" s="654"/>
      <c r="S83" s="654"/>
      <c r="T83" s="654"/>
      <c r="U83" s="654"/>
      <c r="V83" s="655"/>
      <c r="W83" s="42" t="s">
        <v>39</v>
      </c>
      <c r="X83" s="43">
        <f>IFERROR(X80/H80,"0")+IFERROR(X81/H81,"0")+IFERROR(X82/H82,"0")</f>
        <v>2.5641025641025643</v>
      </c>
      <c r="Y83" s="43">
        <f>IFERROR(Y80/H80,"0")+IFERROR(Y81/H81,"0")+IFERROR(Y82/H82,"0")</f>
        <v>3</v>
      </c>
      <c r="Z83" s="43">
        <f>IFERROR(IF(Z80="",0,Z80),"0")+IFERROR(IF(Z81="",0,Z81),"0")+IFERROR(IF(Z82="",0,Z82),"0")</f>
        <v>5.6940000000000004E-2</v>
      </c>
      <c r="AA83" s="67"/>
      <c r="AB83" s="67"/>
      <c r="AC83" s="67"/>
    </row>
    <row r="84" spans="1:68" x14ac:dyDescent="0.2">
      <c r="A84" s="656"/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7"/>
      <c r="P84" s="653" t="s">
        <v>40</v>
      </c>
      <c r="Q84" s="654"/>
      <c r="R84" s="654"/>
      <c r="S84" s="654"/>
      <c r="T84" s="654"/>
      <c r="U84" s="654"/>
      <c r="V84" s="655"/>
      <c r="W84" s="42" t="s">
        <v>0</v>
      </c>
      <c r="X84" s="43">
        <f>IFERROR(SUM(X80:X82),"0")</f>
        <v>20</v>
      </c>
      <c r="Y84" s="43">
        <f>IFERROR(SUM(Y80:Y82),"0")</f>
        <v>23.4</v>
      </c>
      <c r="Z84" s="42"/>
      <c r="AA84" s="67"/>
      <c r="AB84" s="67"/>
      <c r="AC84" s="67"/>
    </row>
    <row r="85" spans="1:68" ht="16.5" hidden="1" customHeight="1" x14ac:dyDescent="0.25">
      <c r="A85" s="672" t="s">
        <v>186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"/>
      <c r="AB85" s="65"/>
      <c r="AC85" s="79"/>
    </row>
    <row r="86" spans="1:68" ht="14.25" hidden="1" customHeight="1" x14ac:dyDescent="0.25">
      <c r="A86" s="665" t="s">
        <v>122</v>
      </c>
      <c r="B86" s="665"/>
      <c r="C86" s="665"/>
      <c r="D86" s="665"/>
      <c r="E86" s="66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6">
        <v>4680115881327</v>
      </c>
      <c r="E87" s="666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80</v>
      </c>
      <c r="Y87" s="55">
        <f>IFERROR(IF(X87="",0,CEILING((X87/$H87),1)*$H87),"")</f>
        <v>86.4</v>
      </c>
      <c r="Z87" s="41">
        <f>IFERROR(IF(Y87=0,"",ROUNDUP(Y87/H87,0)*0.01898),"")</f>
        <v>0.15184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83.037037037037038</v>
      </c>
      <c r="BN87" s="78">
        <f>IFERROR(Y87*I87/H87,"0")</f>
        <v>89.68</v>
      </c>
      <c r="BO87" s="78">
        <f>IFERROR(1/J87*(X87/H87),"0")</f>
        <v>0.11574074074074073</v>
      </c>
      <c r="BP87" s="78">
        <f>IFERROR(1/J87*(Y87/H87),"0")</f>
        <v>0.125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666">
        <v>4680115887732</v>
      </c>
      <c r="E88" s="666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9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666">
        <v>4680115881518</v>
      </c>
      <c r="E89" s="666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9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666">
        <v>4680115881518</v>
      </c>
      <c r="E90" s="666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1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8"/>
      <c r="R90" s="668"/>
      <c r="S90" s="668"/>
      <c r="T90" s="669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4301012250</v>
      </c>
      <c r="D91" s="666">
        <v>4680115881303</v>
      </c>
      <c r="E91" s="666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8"/>
      <c r="R91" s="668"/>
      <c r="S91" s="668"/>
      <c r="T91" s="669"/>
      <c r="U91" s="39" t="s">
        <v>46</v>
      </c>
      <c r="V91" s="39" t="s">
        <v>46</v>
      </c>
      <c r="W91" s="40" t="s">
        <v>0</v>
      </c>
      <c r="X91" s="58">
        <v>315</v>
      </c>
      <c r="Y91" s="55">
        <f>IFERROR(IF(X91="",0,CEILING((X91/$H91),1)*$H91),"")</f>
        <v>315</v>
      </c>
      <c r="Z91" s="41">
        <f>IFERROR(IF(Y91=0,"",ROUNDUP(Y91/H91,0)*0.00902),"")</f>
        <v>0.63139999999999996</v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328.3</v>
      </c>
      <c r="BN91" s="78">
        <f>IFERROR(Y91*I91/H91,"0")</f>
        <v>328.3</v>
      </c>
      <c r="BO91" s="78">
        <f>IFERROR(1/J91*(X91/H91),"0")</f>
        <v>0.53030303030303028</v>
      </c>
      <c r="BP91" s="78">
        <f>IFERROR(1/J91*(Y91/H91),"0")</f>
        <v>0.53030303030303028</v>
      </c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39</v>
      </c>
      <c r="X92" s="43">
        <f>IFERROR(X87/H87,"0")+IFERROR(X88/H88,"0")+IFERROR(X89/H89,"0")+IFERROR(X90/H90,"0")+IFERROR(X91/H91,"0")</f>
        <v>77.407407407407405</v>
      </c>
      <c r="Y92" s="43">
        <f>IFERROR(Y87/H87,"0")+IFERROR(Y88/H88,"0")+IFERROR(Y89/H89,"0")+IFERROR(Y90/H90,"0")+IFERROR(Y91/H91,"0")</f>
        <v>78</v>
      </c>
      <c r="Z92" s="43">
        <f>IFERROR(IF(Z87="",0,Z87),"0")+IFERROR(IF(Z88="",0,Z88),"0")+IFERROR(IF(Z89="",0,Z89),"0")+IFERROR(IF(Z90="",0,Z90),"0")+IFERROR(IF(Z91="",0,Z91),"0")</f>
        <v>0.78323999999999994</v>
      </c>
      <c r="AA92" s="67"/>
      <c r="AB92" s="67"/>
      <c r="AC92" s="67"/>
    </row>
    <row r="93" spans="1:68" x14ac:dyDescent="0.2">
      <c r="A93" s="656"/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7"/>
      <c r="P93" s="653" t="s">
        <v>40</v>
      </c>
      <c r="Q93" s="654"/>
      <c r="R93" s="654"/>
      <c r="S93" s="654"/>
      <c r="T93" s="654"/>
      <c r="U93" s="654"/>
      <c r="V93" s="655"/>
      <c r="W93" s="42" t="s">
        <v>0</v>
      </c>
      <c r="X93" s="43">
        <f>IFERROR(SUM(X87:X91),"0")</f>
        <v>395</v>
      </c>
      <c r="Y93" s="43">
        <f>IFERROR(SUM(Y87:Y91),"0")</f>
        <v>401.4</v>
      </c>
      <c r="Z93" s="42"/>
      <c r="AA93" s="67"/>
      <c r="AB93" s="67"/>
      <c r="AC93" s="67"/>
    </row>
    <row r="94" spans="1:68" ht="14.25" hidden="1" customHeight="1" x14ac:dyDescent="0.25">
      <c r="A94" s="665" t="s">
        <v>86</v>
      </c>
      <c r="B94" s="665"/>
      <c r="C94" s="665"/>
      <c r="D94" s="665"/>
      <c r="E94" s="665"/>
      <c r="F94" s="665"/>
      <c r="G94" s="665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"/>
      <c r="AB94" s="66"/>
      <c r="AC94" s="80"/>
    </row>
    <row r="95" spans="1:68" ht="27" customHeight="1" x14ac:dyDescent="0.25">
      <c r="A95" s="63" t="s">
        <v>198</v>
      </c>
      <c r="B95" s="63" t="s">
        <v>199</v>
      </c>
      <c r="C95" s="36">
        <v>4301052101</v>
      </c>
      <c r="D95" s="666">
        <v>4607091386967</v>
      </c>
      <c r="E95" s="666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100</v>
      </c>
      <c r="Y95" s="55">
        <f>IFERROR(IF(X95="",0,CEILING((X95/$H95),1)*$H95),"")</f>
        <v>105.3</v>
      </c>
      <c r="Z95" s="41">
        <f>IFERROR(IF(Y95=0,"",ROUNDUP(Y95/H95,0)*0.01898),"")</f>
        <v>0.24674000000000001</v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106.09876543209877</v>
      </c>
      <c r="BN95" s="78">
        <f>IFERROR(Y95*I95/H95,"0")</f>
        <v>111.72199999999999</v>
      </c>
      <c r="BO95" s="78">
        <f>IFERROR(1/J95*(X95/H95),"0")</f>
        <v>0.19290123456790123</v>
      </c>
      <c r="BP95" s="78">
        <f>IFERROR(1/J95*(Y95/H95),"0")</f>
        <v>0.203125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666">
        <v>4680115884953</v>
      </c>
      <c r="E96" s="666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450</v>
      </c>
      <c r="Y97" s="55">
        <f>IFERROR(IF(X97="",0,CEILING((X97/$H97),1)*$H97),"")</f>
        <v>450.90000000000003</v>
      </c>
      <c r="Z97" s="41">
        <f>IFERROR(IF(Y97=0,"",ROUNDUP(Y97/H97,0)*0.00651),"")</f>
        <v>1.08717</v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492</v>
      </c>
      <c r="BN97" s="78">
        <f>IFERROR(Y97*I97/H97,"0")</f>
        <v>492.98399999999998</v>
      </c>
      <c r="BO97" s="78">
        <f>IFERROR(1/J97*(X97/H97),"0")</f>
        <v>0.91575091575091572</v>
      </c>
      <c r="BP97" s="78">
        <f>IFERROR(1/J97*(Y97/H97),"0")</f>
        <v>0.91758241758241765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IFERROR(X95/H95,"0")+IFERROR(X96/H96,"0")+IFERROR(X97/H97,"0")+IFERROR(X98/H98,"0")</f>
        <v>179.01234567901233</v>
      </c>
      <c r="Y99" s="43">
        <f>IFERROR(Y95/H95,"0")+IFERROR(Y96/H96,"0")+IFERROR(Y97/H97,"0")+IFERROR(Y98/H98,"0")</f>
        <v>180</v>
      </c>
      <c r="Z99" s="43">
        <f>IFERROR(IF(Z95="",0,Z95),"0")+IFERROR(IF(Z96="",0,Z96),"0")+IFERROR(IF(Z97="",0,Z97),"0")+IFERROR(IF(Z98="",0,Z98),"0")</f>
        <v>1.3339099999999999</v>
      </c>
      <c r="AA99" s="67"/>
      <c r="AB99" s="67"/>
      <c r="AC99" s="67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IFERROR(SUM(X95:X98),"0")</f>
        <v>550</v>
      </c>
      <c r="Y100" s="43">
        <f>IFERROR(SUM(Y95:Y98),"0")</f>
        <v>556.20000000000005</v>
      </c>
      <c r="Z100" s="42"/>
      <c r="AA100" s="67"/>
      <c r="AB100" s="67"/>
      <c r="AC100" s="67"/>
    </row>
    <row r="101" spans="1:68" ht="16.5" hidden="1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666">
        <v>4680115882133</v>
      </c>
      <c r="E104" s="666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666">
        <v>4680115887718</v>
      </c>
      <c r="E105" s="666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66">
        <v>4680115880269</v>
      </c>
      <c r="E106" s="666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4301012254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270</v>
      </c>
      <c r="Y108" s="55">
        <f t="shared" si="5"/>
        <v>270</v>
      </c>
      <c r="Z108" s="41">
        <f>IFERROR(IF(Y108=0,"",ROUNDUP(Y108/H108,0)*0.00902),"")</f>
        <v>0.54120000000000001</v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281.40000000000003</v>
      </c>
      <c r="BN108" s="78">
        <f t="shared" si="7"/>
        <v>281.40000000000003</v>
      </c>
      <c r="BO108" s="78">
        <f t="shared" si="8"/>
        <v>0.45454545454545459</v>
      </c>
      <c r="BP108" s="78">
        <f t="shared" si="9"/>
        <v>0.45454545454545459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666">
        <v>4680115881457</v>
      </c>
      <c r="E109" s="666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0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666">
        <v>4680115889477</v>
      </c>
      <c r="E111" s="666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89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8"/>
      <c r="R111" s="668"/>
      <c r="S111" s="668"/>
      <c r="T111" s="669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60</v>
      </c>
      <c r="Y112" s="43">
        <f>IFERROR(Y103/H103,"0")+IFERROR(Y104/H104,"0")+IFERROR(Y105/H105,"0")+IFERROR(Y106/H106,"0")+IFERROR(Y107/H107,"0")+IFERROR(Y108/H108,"0")+IFERROR(Y109/H109,"0")+IFERROR(Y110/H110,"0")+IFERROR(Y111/H111,"0")</f>
        <v>60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0.54120000000000001</v>
      </c>
      <c r="AA112" s="67"/>
      <c r="AB112" s="67"/>
      <c r="AC112" s="67"/>
    </row>
    <row r="113" spans="1:68" x14ac:dyDescent="0.2">
      <c r="A113" s="656"/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7"/>
      <c r="P113" s="653" t="s">
        <v>40</v>
      </c>
      <c r="Q113" s="654"/>
      <c r="R113" s="654"/>
      <c r="S113" s="654"/>
      <c r="T113" s="654"/>
      <c r="U113" s="654"/>
      <c r="V113" s="655"/>
      <c r="W113" s="42" t="s">
        <v>0</v>
      </c>
      <c r="X113" s="43">
        <f>IFERROR(SUM(X103:X111),"0")</f>
        <v>270</v>
      </c>
      <c r="Y113" s="43">
        <f>IFERROR(SUM(Y103:Y111),"0")</f>
        <v>270</v>
      </c>
      <c r="Z113" s="42"/>
      <c r="AA113" s="67"/>
      <c r="AB113" s="67"/>
      <c r="AC113" s="67"/>
    </row>
    <row r="114" spans="1:68" ht="14.25" hidden="1" customHeight="1" x14ac:dyDescent="0.25">
      <c r="A114" s="665" t="s">
        <v>159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666">
        <v>4680115881488</v>
      </c>
      <c r="E115" s="666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89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666">
        <v>4680115882775</v>
      </c>
      <c r="E116" s="666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4301020392</v>
      </c>
      <c r="D117" s="666">
        <v>4680115880658</v>
      </c>
      <c r="E117" s="666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665" t="s">
        <v>86</v>
      </c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666">
        <v>4607091385168</v>
      </c>
      <c r="E121" s="666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8"/>
      <c r="R121" s="668"/>
      <c r="S121" s="668"/>
      <c r="T121" s="669"/>
      <c r="U121" s="39" t="s">
        <v>46</v>
      </c>
      <c r="V121" s="39" t="s">
        <v>46</v>
      </c>
      <c r="W121" s="40" t="s">
        <v>0</v>
      </c>
      <c r="X121" s="58">
        <v>500</v>
      </c>
      <c r="Y121" s="55">
        <f>IFERROR(IF(X121="",0,CEILING((X121/$H121),1)*$H121),"")</f>
        <v>502.2</v>
      </c>
      <c r="Z121" s="41">
        <f>IFERROR(IF(Y121=0,"",ROUNDUP(Y121/H121,0)*0.01898),"")</f>
        <v>1.17676</v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530.12345679012344</v>
      </c>
      <c r="BN121" s="78">
        <f>IFERROR(Y121*I121/H121,"0")</f>
        <v>532.4559999999999</v>
      </c>
      <c r="BO121" s="78">
        <f>IFERROR(1/J121*(X121/H121),"0")</f>
        <v>0.96450617283950624</v>
      </c>
      <c r="BP121" s="78">
        <f>IFERROR(1/J121*(Y121/H121),"0")</f>
        <v>0.96875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666">
        <v>4607091383256</v>
      </c>
      <c r="E122" s="666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241</v>
      </c>
      <c r="B123" s="63" t="s">
        <v>242</v>
      </c>
      <c r="C123" s="36">
        <v>4301052086</v>
      </c>
      <c r="D123" s="666">
        <v>4607091385748</v>
      </c>
      <c r="E123" s="666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630</v>
      </c>
      <c r="Y123" s="55">
        <f>IFERROR(IF(X123="",0,CEILING((X123/$H123),1)*$H123),"")</f>
        <v>631.80000000000007</v>
      </c>
      <c r="Z123" s="41">
        <f>IFERROR(IF(Y123=0,"",ROUNDUP(Y123/H123,0)*0.00651),"")</f>
        <v>1.5233400000000001</v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688.8</v>
      </c>
      <c r="BN123" s="78">
        <f>IFERROR(Y123*I123/H123,"0")</f>
        <v>690.76800000000003</v>
      </c>
      <c r="BO123" s="78">
        <f>IFERROR(1/J123*(X123/H123),"0")</f>
        <v>1.2820512820512819</v>
      </c>
      <c r="BP123" s="78">
        <f>IFERROR(1/J123*(Y123/H123),"0")</f>
        <v>1.2857142857142858</v>
      </c>
    </row>
    <row r="124" spans="1:68" ht="16.5" customHeight="1" x14ac:dyDescent="0.25">
      <c r="A124" s="63" t="s">
        <v>243</v>
      </c>
      <c r="B124" s="63" t="s">
        <v>244</v>
      </c>
      <c r="C124" s="36">
        <v>4301052085</v>
      </c>
      <c r="D124" s="666">
        <v>4680115884533</v>
      </c>
      <c r="E124" s="666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21</v>
      </c>
      <c r="Y124" s="55">
        <f>IFERROR(IF(X124="",0,CEILING((X124/$H124),1)*$H124),"")</f>
        <v>21.6</v>
      </c>
      <c r="Z124" s="41">
        <f>IFERROR(IF(Y124=0,"",ROUNDUP(Y124/H124,0)*0.00651),"")</f>
        <v>7.8119999999999995E-2</v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23.099999999999998</v>
      </c>
      <c r="BN124" s="78">
        <f>IFERROR(Y124*I124/H124,"0")</f>
        <v>23.76</v>
      </c>
      <c r="BO124" s="78">
        <f>IFERROR(1/J124*(X124/H124),"0")</f>
        <v>6.4102564102564111E-2</v>
      </c>
      <c r="BP124" s="78">
        <f>IFERROR(1/J124*(Y124/H124),"0")</f>
        <v>6.5934065934065936E-2</v>
      </c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2" t="s">
        <v>39</v>
      </c>
      <c r="X125" s="43">
        <f>IFERROR(X121/H121,"0")+IFERROR(X122/H122,"0")+IFERROR(X123/H123,"0")+IFERROR(X124/H124,"0")</f>
        <v>306.72839506172841</v>
      </c>
      <c r="Y125" s="43">
        <f>IFERROR(Y121/H121,"0")+IFERROR(Y122/H122,"0")+IFERROR(Y123/H123,"0")+IFERROR(Y124/H124,"0")</f>
        <v>308</v>
      </c>
      <c r="Z125" s="43">
        <f>IFERROR(IF(Z121="",0,Z121),"0")+IFERROR(IF(Z122="",0,Z122),"0")+IFERROR(IF(Z123="",0,Z123),"0")+IFERROR(IF(Z124="",0,Z124),"0")</f>
        <v>2.7782200000000001</v>
      </c>
      <c r="AA125" s="67"/>
      <c r="AB125" s="67"/>
      <c r="AC125" s="67"/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0</v>
      </c>
      <c r="X126" s="43">
        <f>IFERROR(SUM(X121:X124),"0")</f>
        <v>1151</v>
      </c>
      <c r="Y126" s="43">
        <f>IFERROR(SUM(Y121:Y124),"0")</f>
        <v>1155.5999999999999</v>
      </c>
      <c r="Z126" s="42"/>
      <c r="AA126" s="67"/>
      <c r="AB126" s="67"/>
      <c r="AC126" s="67"/>
    </row>
    <row r="127" spans="1:68" ht="14.25" hidden="1" customHeight="1" x14ac:dyDescent="0.25">
      <c r="A127" s="665" t="s">
        <v>178</v>
      </c>
      <c r="B127" s="665"/>
      <c r="C127" s="665"/>
      <c r="D127" s="665"/>
      <c r="E127" s="66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"/>
      <c r="AB127" s="66"/>
      <c r="AC127" s="80"/>
    </row>
    <row r="128" spans="1:68" ht="16.5" customHeight="1" x14ac:dyDescent="0.25">
      <c r="A128" s="63" t="s">
        <v>246</v>
      </c>
      <c r="B128" s="63" t="s">
        <v>247</v>
      </c>
      <c r="C128" s="36">
        <v>4301060525</v>
      </c>
      <c r="D128" s="666">
        <v>4680115880238</v>
      </c>
      <c r="E128" s="666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8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50</v>
      </c>
      <c r="Y128" s="55">
        <f>IFERROR(IF(X128="",0,CEILING((X128/$H128),1)*$H128),"")</f>
        <v>51.48</v>
      </c>
      <c r="Z128" s="41">
        <f>IFERROR(IF(Y128=0,"",ROUNDUP(Y128/H128,0)*0.00651),"")</f>
        <v>0.16925999999999999</v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56.515151515151516</v>
      </c>
      <c r="BN128" s="78">
        <f>IFERROR(Y128*I128/H128,"0")</f>
        <v>58.187999999999995</v>
      </c>
      <c r="BO128" s="78">
        <f>IFERROR(1/J128*(X128/H128),"0")</f>
        <v>0.13875013875013875</v>
      </c>
      <c r="BP128" s="78">
        <f>IFERROR(1/J128*(Y128/H128),"0")</f>
        <v>0.14285714285714288</v>
      </c>
    </row>
    <row r="129" spans="1:68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IFERROR(X128/H128,"0")</f>
        <v>25.252525252525253</v>
      </c>
      <c r="Y129" s="43">
        <f>IFERROR(Y128/H128,"0")</f>
        <v>26</v>
      </c>
      <c r="Z129" s="43">
        <f>IFERROR(IF(Z128="",0,Z128),"0")</f>
        <v>0.16925999999999999</v>
      </c>
      <c r="AA129" s="67"/>
      <c r="AB129" s="67"/>
      <c r="AC129" s="67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IFERROR(SUM(X128:X128),"0")</f>
        <v>50</v>
      </c>
      <c r="Y130" s="43">
        <f>IFERROR(SUM(Y128:Y128),"0")</f>
        <v>51.48</v>
      </c>
      <c r="Z130" s="42"/>
      <c r="AA130" s="67"/>
      <c r="AB130" s="67"/>
      <c r="AC130" s="67"/>
    </row>
    <row r="131" spans="1:68" ht="16.5" hidden="1" customHeight="1" x14ac:dyDescent="0.25">
      <c r="A131" s="672" t="s">
        <v>249</v>
      </c>
      <c r="B131" s="672"/>
      <c r="C131" s="672"/>
      <c r="D131" s="672"/>
      <c r="E131" s="672"/>
      <c r="F131" s="672"/>
      <c r="G131" s="672"/>
      <c r="H131" s="672"/>
      <c r="I131" s="672"/>
      <c r="J131" s="672"/>
      <c r="K131" s="672"/>
      <c r="L131" s="672"/>
      <c r="M131" s="672"/>
      <c r="N131" s="672"/>
      <c r="O131" s="672"/>
      <c r="P131" s="672"/>
      <c r="Q131" s="672"/>
      <c r="R131" s="672"/>
      <c r="S131" s="672"/>
      <c r="T131" s="672"/>
      <c r="U131" s="672"/>
      <c r="V131" s="672"/>
      <c r="W131" s="672"/>
      <c r="X131" s="672"/>
      <c r="Y131" s="672"/>
      <c r="Z131" s="672"/>
      <c r="AA131" s="65"/>
      <c r="AB131" s="65"/>
      <c r="AC131" s="79"/>
    </row>
    <row r="132" spans="1:68" ht="14.25" hidden="1" customHeight="1" x14ac:dyDescent="0.25">
      <c r="A132" s="665" t="s">
        <v>122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666">
        <v>4680115882577</v>
      </c>
      <c r="E133" s="666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250</v>
      </c>
      <c r="B134" s="63" t="s">
        <v>254</v>
      </c>
      <c r="C134" s="36">
        <v>4301011564</v>
      </c>
      <c r="D134" s="666">
        <v>4680115882577</v>
      </c>
      <c r="E134" s="666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8"/>
      <c r="R134" s="668"/>
      <c r="S134" s="668"/>
      <c r="T134" s="669"/>
      <c r="U134" s="39" t="s">
        <v>46</v>
      </c>
      <c r="V134" s="39" t="s">
        <v>46</v>
      </c>
      <c r="W134" s="40" t="s">
        <v>0</v>
      </c>
      <c r="X134" s="58">
        <v>68</v>
      </c>
      <c r="Y134" s="55">
        <f>IFERROR(IF(X134="",0,CEILING((X134/$H134),1)*$H134),"")</f>
        <v>70.400000000000006</v>
      </c>
      <c r="Z134" s="41">
        <f>IFERROR(IF(Y134=0,"",ROUNDUP(Y134/H134,0)*0.00651),"")</f>
        <v>0.14322000000000001</v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71.825000000000003</v>
      </c>
      <c r="BN134" s="78">
        <f>IFERROR(Y134*I134/H134,"0")</f>
        <v>74.36</v>
      </c>
      <c r="BO134" s="78">
        <f>IFERROR(1/J134*(X134/H134),"0")</f>
        <v>0.11675824175824177</v>
      </c>
      <c r="BP134" s="78">
        <f>IFERROR(1/J134*(Y134/H134),"0")</f>
        <v>0.12087912087912089</v>
      </c>
    </row>
    <row r="135" spans="1:68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39</v>
      </c>
      <c r="X135" s="43">
        <f>IFERROR(X133/H133,"0")+IFERROR(X134/H134,"0")</f>
        <v>21.25</v>
      </c>
      <c r="Y135" s="43">
        <f>IFERROR(Y133/H133,"0")+IFERROR(Y134/H134,"0")</f>
        <v>22</v>
      </c>
      <c r="Z135" s="43">
        <f>IFERROR(IF(Z133="",0,Z133),"0")+IFERROR(IF(Z134="",0,Z134),"0")</f>
        <v>0.14322000000000001</v>
      </c>
      <c r="AA135" s="67"/>
      <c r="AB135" s="67"/>
      <c r="AC135" s="67"/>
    </row>
    <row r="136" spans="1:68" x14ac:dyDescent="0.2">
      <c r="A136" s="656"/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7"/>
      <c r="P136" s="653" t="s">
        <v>40</v>
      </c>
      <c r="Q136" s="654"/>
      <c r="R136" s="654"/>
      <c r="S136" s="654"/>
      <c r="T136" s="654"/>
      <c r="U136" s="654"/>
      <c r="V136" s="655"/>
      <c r="W136" s="42" t="s">
        <v>0</v>
      </c>
      <c r="X136" s="43">
        <f>IFERROR(SUM(X133:X134),"0")</f>
        <v>68</v>
      </c>
      <c r="Y136" s="43">
        <f>IFERROR(SUM(Y133:Y134),"0")</f>
        <v>70.400000000000006</v>
      </c>
      <c r="Z136" s="42"/>
      <c r="AA136" s="67"/>
      <c r="AB136" s="67"/>
      <c r="AC136" s="67"/>
    </row>
    <row r="137" spans="1:68" ht="14.25" hidden="1" customHeight="1" x14ac:dyDescent="0.25">
      <c r="A137" s="665" t="s">
        <v>77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customHeight="1" x14ac:dyDescent="0.25">
      <c r="A138" s="63" t="s">
        <v>255</v>
      </c>
      <c r="B138" s="63" t="s">
        <v>256</v>
      </c>
      <c r="C138" s="36">
        <v>4301031234</v>
      </c>
      <c r="D138" s="666">
        <v>4680115883444</v>
      </c>
      <c r="E138" s="666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8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56</v>
      </c>
      <c r="Y138" s="55">
        <f>IFERROR(IF(X138="",0,CEILING((X138/$H138),1)*$H138),"")</f>
        <v>56</v>
      </c>
      <c r="Z138" s="41">
        <f>IFERROR(IF(Y138=0,"",ROUNDUP(Y138/H138,0)*0.00651),"")</f>
        <v>0.13020000000000001</v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61.36</v>
      </c>
      <c r="BN138" s="78">
        <f>IFERROR(Y138*I138/H138,"0")</f>
        <v>61.36</v>
      </c>
      <c r="BO138" s="78">
        <f>IFERROR(1/J138*(X138/H138),"0")</f>
        <v>0.1098901098901099</v>
      </c>
      <c r="BP138" s="78">
        <f>IFERROR(1/J138*(Y138/H138),"0")</f>
        <v>0.1098901098901099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666">
        <v>4680115883444</v>
      </c>
      <c r="E139" s="666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20</v>
      </c>
      <c r="Y140" s="43">
        <f>IFERROR(Y138/H138,"0")+IFERROR(Y139/H139,"0")</f>
        <v>20</v>
      </c>
      <c r="Z140" s="43">
        <f>IFERROR(IF(Z138="",0,Z138),"0")+IFERROR(IF(Z139="",0,Z139),"0")</f>
        <v>0.13020000000000001</v>
      </c>
      <c r="AA140" s="67"/>
      <c r="AB140" s="67"/>
      <c r="AC140" s="67"/>
    </row>
    <row r="141" spans="1:68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56</v>
      </c>
      <c r="Y141" s="43">
        <f>IFERROR(SUM(Y138:Y139),"0")</f>
        <v>56</v>
      </c>
      <c r="Z141" s="42"/>
      <c r="AA141" s="67"/>
      <c r="AB141" s="67"/>
      <c r="AC141" s="67"/>
    </row>
    <row r="142" spans="1:68" ht="14.25" hidden="1" customHeight="1" x14ac:dyDescent="0.25">
      <c r="A142" s="665" t="s">
        <v>86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16.5" customHeight="1" x14ac:dyDescent="0.25">
      <c r="A143" s="63" t="s">
        <v>259</v>
      </c>
      <c r="B143" s="63" t="s">
        <v>260</v>
      </c>
      <c r="C143" s="36">
        <v>4301051476</v>
      </c>
      <c r="D143" s="666">
        <v>4680115882584</v>
      </c>
      <c r="E143" s="666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8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56</v>
      </c>
      <c r="Y143" s="55">
        <f>IFERROR(IF(X143="",0,CEILING((X143/$H143),1)*$H143),"")</f>
        <v>58.080000000000005</v>
      </c>
      <c r="Z143" s="41">
        <f>IFERROR(IF(Y143=0,"",ROUNDUP(Y143/H143,0)*0.00651),"")</f>
        <v>0.14322000000000001</v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61.684848484848473</v>
      </c>
      <c r="BN143" s="78">
        <f>IFERROR(Y143*I143/H143,"0")</f>
        <v>63.976000000000006</v>
      </c>
      <c r="BO143" s="78">
        <f>IFERROR(1/J143*(X143/H143),"0")</f>
        <v>0.11655011655011656</v>
      </c>
      <c r="BP143" s="78">
        <f>IFERROR(1/J143*(Y143/H143),"0")</f>
        <v>0.12087912087912089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666">
        <v>4680115882584</v>
      </c>
      <c r="E144" s="666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21.212121212121211</v>
      </c>
      <c r="Y145" s="43">
        <f>IFERROR(Y143/H143,"0")+IFERROR(Y144/H144,"0")</f>
        <v>22</v>
      </c>
      <c r="Z145" s="43">
        <f>IFERROR(IF(Z143="",0,Z143),"0")+IFERROR(IF(Z144="",0,Z144),"0")</f>
        <v>0.14322000000000001</v>
      </c>
      <c r="AA145" s="67"/>
      <c r="AB145" s="67"/>
      <c r="AC145" s="67"/>
    </row>
    <row r="146" spans="1:68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56</v>
      </c>
      <c r="Y146" s="43">
        <f>IFERROR(SUM(Y143:Y144),"0")</f>
        <v>58.080000000000005</v>
      </c>
      <c r="Z146" s="42"/>
      <c r="AA146" s="67"/>
      <c r="AB146" s="67"/>
      <c r="AC146" s="67"/>
    </row>
    <row r="147" spans="1:68" ht="16.5" hidden="1" customHeight="1" x14ac:dyDescent="0.25">
      <c r="A147" s="672" t="s">
        <v>262</v>
      </c>
      <c r="B147" s="672"/>
      <c r="C147" s="672"/>
      <c r="D147" s="672"/>
      <c r="E147" s="672"/>
      <c r="F147" s="672"/>
      <c r="G147" s="672"/>
      <c r="H147" s="672"/>
      <c r="I147" s="672"/>
      <c r="J147" s="672"/>
      <c r="K147" s="672"/>
      <c r="L147" s="672"/>
      <c r="M147" s="672"/>
      <c r="N147" s="672"/>
      <c r="O147" s="672"/>
      <c r="P147" s="672"/>
      <c r="Q147" s="672"/>
      <c r="R147" s="672"/>
      <c r="S147" s="672"/>
      <c r="T147" s="672"/>
      <c r="U147" s="672"/>
      <c r="V147" s="672"/>
      <c r="W147" s="672"/>
      <c r="X147" s="672"/>
      <c r="Y147" s="672"/>
      <c r="Z147" s="672"/>
      <c r="AA147" s="65"/>
      <c r="AB147" s="65"/>
      <c r="AC147" s="79"/>
    </row>
    <row r="148" spans="1:68" ht="14.25" hidden="1" customHeight="1" x14ac:dyDescent="0.25">
      <c r="A148" s="665" t="s">
        <v>86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666">
        <v>4680115888203</v>
      </c>
      <c r="E149" s="666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666">
        <v>4680115888180</v>
      </c>
      <c r="E150" s="666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8"/>
      <c r="R150" s="668"/>
      <c r="S150" s="668"/>
      <c r="T150" s="669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666">
        <v>4680115888180</v>
      </c>
      <c r="E151" s="666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8"/>
      <c r="R151" s="668"/>
      <c r="S151" s="668"/>
      <c r="T151" s="669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666">
        <v>4680115888197</v>
      </c>
      <c r="E152" s="666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8"/>
      <c r="R152" s="668"/>
      <c r="S152" s="668"/>
      <c r="T152" s="669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666">
        <v>4680115888210</v>
      </c>
      <c r="E153" s="666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8"/>
      <c r="R153" s="668"/>
      <c r="S153" s="668"/>
      <c r="T153" s="669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666">
        <v>4680115888210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56"/>
      <c r="B156" s="656"/>
      <c r="C156" s="656"/>
      <c r="D156" s="656"/>
      <c r="E156" s="656"/>
      <c r="F156" s="656"/>
      <c r="G156" s="656"/>
      <c r="H156" s="656"/>
      <c r="I156" s="656"/>
      <c r="J156" s="656"/>
      <c r="K156" s="656"/>
      <c r="L156" s="656"/>
      <c r="M156" s="656"/>
      <c r="N156" s="656"/>
      <c r="O156" s="657"/>
      <c r="P156" s="653" t="s">
        <v>40</v>
      </c>
      <c r="Q156" s="654"/>
      <c r="R156" s="654"/>
      <c r="S156" s="654"/>
      <c r="T156" s="654"/>
      <c r="U156" s="654"/>
      <c r="V156" s="655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65" t="s">
        <v>277</v>
      </c>
      <c r="B157" s="665"/>
      <c r="C157" s="665"/>
      <c r="D157" s="665"/>
      <c r="E157" s="665"/>
      <c r="F157" s="665"/>
      <c r="G157" s="665"/>
      <c r="H157" s="665"/>
      <c r="I157" s="665"/>
      <c r="J157" s="665"/>
      <c r="K157" s="665"/>
      <c r="L157" s="665"/>
      <c r="M157" s="665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666">
        <v>4680115889132</v>
      </c>
      <c r="E158" s="666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7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56"/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7"/>
      <c r="P160" s="653" t="s">
        <v>40</v>
      </c>
      <c r="Q160" s="654"/>
      <c r="R160" s="654"/>
      <c r="S160" s="654"/>
      <c r="T160" s="654"/>
      <c r="U160" s="654"/>
      <c r="V160" s="65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72" t="s">
        <v>120</v>
      </c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72"/>
      <c r="P161" s="672"/>
      <c r="Q161" s="672"/>
      <c r="R161" s="672"/>
      <c r="S161" s="672"/>
      <c r="T161" s="672"/>
      <c r="U161" s="672"/>
      <c r="V161" s="672"/>
      <c r="W161" s="672"/>
      <c r="X161" s="672"/>
      <c r="Y161" s="672"/>
      <c r="Z161" s="672"/>
      <c r="AA161" s="65"/>
      <c r="AB161" s="65"/>
      <c r="AC161" s="79"/>
    </row>
    <row r="162" spans="1:68" ht="14.25" hidden="1" customHeight="1" x14ac:dyDescent="0.25">
      <c r="A162" s="665" t="s">
        <v>122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666">
        <v>4680115887374</v>
      </c>
      <c r="E163" s="666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8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8"/>
      <c r="R163" s="668"/>
      <c r="S163" s="668"/>
      <c r="T163" s="669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666">
        <v>4607091384604</v>
      </c>
      <c r="E164" s="666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666">
        <v>4607091384604</v>
      </c>
      <c r="E165" s="666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8"/>
      <c r="R165" s="668"/>
      <c r="S165" s="668"/>
      <c r="T165" s="669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666">
        <v>4680115888876</v>
      </c>
      <c r="E166" s="666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8"/>
      <c r="R166" s="668"/>
      <c r="S166" s="668"/>
      <c r="T166" s="669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5" t="s">
        <v>159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"/>
      <c r="AB169" s="66"/>
      <c r="AC169" s="80"/>
    </row>
    <row r="170" spans="1:68" ht="16.5" customHeight="1" x14ac:dyDescent="0.25">
      <c r="A170" s="63" t="s">
        <v>294</v>
      </c>
      <c r="B170" s="63" t="s">
        <v>295</v>
      </c>
      <c r="C170" s="36">
        <v>4301020410</v>
      </c>
      <c r="D170" s="666">
        <v>4680115887695</v>
      </c>
      <c r="E170" s="666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6</v>
      </c>
      <c r="Y170" s="55">
        <f>IFERROR(IF(X170="",0,CEILING((X170/$H170),1)*$H170),"")</f>
        <v>6.4799999999999995</v>
      </c>
      <c r="Z170" s="41">
        <f>IFERROR(IF(Y170=0,"",ROUNDUP(Y170/H170,0)*0.00556),"")</f>
        <v>5.0040000000000001E-2</v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7.083333333333333</v>
      </c>
      <c r="BN170" s="78">
        <f>IFERROR(Y170*I170/H170,"0")</f>
        <v>7.6499999999999995</v>
      </c>
      <c r="BO170" s="78">
        <f>IFERROR(1/J170*(X170/H170),"0")</f>
        <v>3.3068783068783067E-2</v>
      </c>
      <c r="BP170" s="78">
        <f>IFERROR(1/J170*(Y170/H170),"0")</f>
        <v>3.5714285714285712E-2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666">
        <v>4680115889491</v>
      </c>
      <c r="E171" s="666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IFERROR(X170/H170,"0")+IFERROR(X171/H171,"0")</f>
        <v>8.3333333333333339</v>
      </c>
      <c r="Y172" s="43">
        <f>IFERROR(Y170/H170,"0")+IFERROR(Y171/H171,"0")</f>
        <v>9</v>
      </c>
      <c r="Z172" s="43">
        <f>IFERROR(IF(Z170="",0,Z170),"0")+IFERROR(IF(Z171="",0,Z171),"0")</f>
        <v>5.0040000000000001E-2</v>
      </c>
      <c r="AA172" s="67"/>
      <c r="AB172" s="67"/>
      <c r="AC172" s="67"/>
    </row>
    <row r="173" spans="1:68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IFERROR(SUM(X170:X171),"0")</f>
        <v>6</v>
      </c>
      <c r="Y173" s="43">
        <f>IFERROR(SUM(Y170:Y171),"0")</f>
        <v>6.4799999999999995</v>
      </c>
      <c r="Z173" s="42"/>
      <c r="AA173" s="67"/>
      <c r="AB173" s="67"/>
      <c r="AC173" s="67"/>
    </row>
    <row r="174" spans="1:68" ht="14.25" hidden="1" customHeight="1" x14ac:dyDescent="0.25">
      <c r="A174" s="665" t="s">
        <v>77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27" customHeight="1" x14ac:dyDescent="0.25">
      <c r="A175" s="63" t="s">
        <v>300</v>
      </c>
      <c r="B175" s="63" t="s">
        <v>301</v>
      </c>
      <c r="C175" s="36">
        <v>4301031496</v>
      </c>
      <c r="D175" s="666">
        <v>4680115887428</v>
      </c>
      <c r="E175" s="666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7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400</v>
      </c>
      <c r="Y175" s="55">
        <f t="shared" ref="Y175:Y185" si="16">IFERROR(IF(X175="",0,CEILING((X175/$H175),1)*$H175),"")</f>
        <v>402.5</v>
      </c>
      <c r="Z175" s="41">
        <f>IFERROR(IF(Y175=0,"",ROUNDUP(Y175/H175,0)*0.00902),"")</f>
        <v>1.0373000000000001</v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421.71428571428572</v>
      </c>
      <c r="BN175" s="78">
        <f t="shared" ref="BN175:BN185" si="18">IFERROR(Y175*I175/H175,"0")</f>
        <v>424.34999999999997</v>
      </c>
      <c r="BO175" s="78">
        <f t="shared" ref="BO175:BO185" si="19">IFERROR(1/J175*(X175/H175),"0")</f>
        <v>0.8658008658008659</v>
      </c>
      <c r="BP175" s="78">
        <f t="shared" ref="BP175:BP185" si="20">IFERROR(1/J175*(Y175/H175),"0")</f>
        <v>0.87121212121212122</v>
      </c>
    </row>
    <row r="176" spans="1:68" ht="27" hidden="1" customHeight="1" x14ac:dyDescent="0.25">
      <c r="A176" s="63" t="s">
        <v>303</v>
      </c>
      <c r="B176" s="63" t="s">
        <v>304</v>
      </c>
      <c r="C176" s="36">
        <v>4301031509</v>
      </c>
      <c r="D176" s="666">
        <v>4680115889170</v>
      </c>
      <c r="E176" s="666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306</v>
      </c>
      <c r="B177" s="63" t="s">
        <v>307</v>
      </c>
      <c r="C177" s="36">
        <v>4301031522</v>
      </c>
      <c r="D177" s="666">
        <v>4680115887398</v>
      </c>
      <c r="E177" s="666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8"/>
      <c r="R177" s="668"/>
      <c r="S177" s="668"/>
      <c r="T177" s="669"/>
      <c r="U177" s="39" t="s">
        <v>46</v>
      </c>
      <c r="V177" s="39" t="s">
        <v>46</v>
      </c>
      <c r="W177" s="40" t="s">
        <v>0</v>
      </c>
      <c r="X177" s="58">
        <v>500</v>
      </c>
      <c r="Y177" s="55">
        <f t="shared" si="16"/>
        <v>500.5</v>
      </c>
      <c r="Z177" s="41">
        <f>IFERROR(IF(Y177=0,"",ROUNDUP(Y177/H177,0)*0.00902),"")</f>
        <v>1.28986</v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527.14285714285711</v>
      </c>
      <c r="BN177" s="78">
        <f t="shared" si="18"/>
        <v>527.66999999999996</v>
      </c>
      <c r="BO177" s="78">
        <f t="shared" si="19"/>
        <v>1.0822510822510822</v>
      </c>
      <c r="BP177" s="78">
        <f t="shared" si="20"/>
        <v>1.0833333333333333</v>
      </c>
    </row>
    <row r="178" spans="1:68" ht="27" customHeight="1" x14ac:dyDescent="0.25">
      <c r="A178" s="63" t="s">
        <v>309</v>
      </c>
      <c r="B178" s="63" t="s">
        <v>310</v>
      </c>
      <c r="C178" s="36">
        <v>4301031520</v>
      </c>
      <c r="D178" s="666">
        <v>4680115887336</v>
      </c>
      <c r="E178" s="666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8"/>
      <c r="R178" s="668"/>
      <c r="S178" s="668"/>
      <c r="T178" s="669"/>
      <c r="U178" s="39" t="s">
        <v>46</v>
      </c>
      <c r="V178" s="39" t="s">
        <v>46</v>
      </c>
      <c r="W178" s="40" t="s">
        <v>0</v>
      </c>
      <c r="X178" s="58">
        <v>250</v>
      </c>
      <c r="Y178" s="55">
        <f t="shared" si="16"/>
        <v>252</v>
      </c>
      <c r="Z178" s="41">
        <f>IFERROR(IF(Y178=0,"",ROUNDUP(Y178/H178,0)*0.00902),"")</f>
        <v>0.64944000000000002</v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263.57142857142856</v>
      </c>
      <c r="BN178" s="78">
        <f t="shared" si="18"/>
        <v>265.68</v>
      </c>
      <c r="BO178" s="78">
        <f t="shared" si="19"/>
        <v>0.54112554112554112</v>
      </c>
      <c r="BP178" s="78">
        <f t="shared" si="20"/>
        <v>0.54545454545454541</v>
      </c>
    </row>
    <row r="179" spans="1:68" ht="16.5" customHeight="1" x14ac:dyDescent="0.25">
      <c r="A179" s="63" t="s">
        <v>312</v>
      </c>
      <c r="B179" s="63" t="s">
        <v>313</v>
      </c>
      <c r="C179" s="36">
        <v>4301032049</v>
      </c>
      <c r="D179" s="666">
        <v>4680115887787</v>
      </c>
      <c r="E179" s="666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8"/>
      <c r="R179" s="668"/>
      <c r="S179" s="668"/>
      <c r="T179" s="669"/>
      <c r="U179" s="39" t="s">
        <v>46</v>
      </c>
      <c r="V179" s="39" t="s">
        <v>46</v>
      </c>
      <c r="W179" s="40" t="s">
        <v>0</v>
      </c>
      <c r="X179" s="58">
        <v>7</v>
      </c>
      <c r="Y179" s="55">
        <f t="shared" si="16"/>
        <v>7.2</v>
      </c>
      <c r="Z179" s="41">
        <f>IFERROR(IF(Y179=0,"",ROUNDUP(Y179/H179,0)*0.00417),"")</f>
        <v>3.3360000000000001E-2</v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8.6333333333333329</v>
      </c>
      <c r="BN179" s="78">
        <f t="shared" si="18"/>
        <v>8.8800000000000008</v>
      </c>
      <c r="BO179" s="78">
        <f t="shared" si="19"/>
        <v>2.3148148148148147E-2</v>
      </c>
      <c r="BP179" s="78">
        <f t="shared" si="20"/>
        <v>2.3809523809523808E-2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666">
        <v>4680115887787</v>
      </c>
      <c r="E180" s="666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316</v>
      </c>
      <c r="B181" s="63" t="s">
        <v>317</v>
      </c>
      <c r="C181" s="36">
        <v>4301031448</v>
      </c>
      <c r="D181" s="666">
        <v>4680115887503</v>
      </c>
      <c r="E181" s="666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224</v>
      </c>
      <c r="Y181" s="55">
        <f t="shared" si="16"/>
        <v>225.12</v>
      </c>
      <c r="Z181" s="41">
        <f>IFERROR(IF(Y181=0,"",ROUNDUP(Y181/H181,0)*0.00502),"")</f>
        <v>0.67268000000000006</v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237.33333333333337</v>
      </c>
      <c r="BN181" s="78">
        <f t="shared" si="18"/>
        <v>238.52000000000004</v>
      </c>
      <c r="BO181" s="78">
        <f t="shared" si="19"/>
        <v>0.56980056980056992</v>
      </c>
      <c r="BP181" s="78">
        <f t="shared" si="20"/>
        <v>0.57264957264957272</v>
      </c>
    </row>
    <row r="182" spans="1:68" ht="27" customHeight="1" x14ac:dyDescent="0.25">
      <c r="A182" s="63" t="s">
        <v>318</v>
      </c>
      <c r="B182" s="63" t="s">
        <v>319</v>
      </c>
      <c r="C182" s="36">
        <v>4301031389</v>
      </c>
      <c r="D182" s="666">
        <v>4680115887763</v>
      </c>
      <c r="E182" s="666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4</v>
      </c>
      <c r="Y182" s="55">
        <f t="shared" si="16"/>
        <v>4.5</v>
      </c>
      <c r="Z182" s="41">
        <f>IFERROR(IF(Y182=0,"",ROUNDUP(Y182/H182,0)*0.00417),"")</f>
        <v>2.085E-2</v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4.9333333333333336</v>
      </c>
      <c r="BN182" s="78">
        <f t="shared" si="18"/>
        <v>5.55</v>
      </c>
      <c r="BO182" s="78">
        <f t="shared" si="19"/>
        <v>1.3227513227513227E-2</v>
      </c>
      <c r="BP182" s="78">
        <f t="shared" si="20"/>
        <v>1.488095238095238E-2</v>
      </c>
    </row>
    <row r="183" spans="1:68" ht="27" customHeight="1" x14ac:dyDescent="0.25">
      <c r="A183" s="63" t="s">
        <v>321</v>
      </c>
      <c r="B183" s="63" t="s">
        <v>322</v>
      </c>
      <c r="C183" s="36">
        <v>4301031521</v>
      </c>
      <c r="D183" s="666">
        <v>4680115887480</v>
      </c>
      <c r="E183" s="666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7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252</v>
      </c>
      <c r="Y183" s="55">
        <f t="shared" si="16"/>
        <v>252</v>
      </c>
      <c r="Z183" s="41">
        <f>IFERROR(IF(Y183=0,"",ROUNDUP(Y183/H183,0)*0.00502),"")</f>
        <v>0.753</v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267</v>
      </c>
      <c r="BN183" s="78">
        <f t="shared" si="18"/>
        <v>267</v>
      </c>
      <c r="BO183" s="78">
        <f t="shared" si="19"/>
        <v>0.64102564102564108</v>
      </c>
      <c r="BP183" s="78">
        <f t="shared" si="20"/>
        <v>0.64102564102564108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666">
        <v>4680115888067</v>
      </c>
      <c r="E184" s="666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7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326</v>
      </c>
      <c r="B185" s="63" t="s">
        <v>327</v>
      </c>
      <c r="C185" s="36">
        <v>4301031519</v>
      </c>
      <c r="D185" s="666">
        <v>4680115887435</v>
      </c>
      <c r="E185" s="666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168</v>
      </c>
      <c r="Y185" s="55">
        <f t="shared" si="16"/>
        <v>168</v>
      </c>
      <c r="Z185" s="41">
        <f>IFERROR(IF(Y185=0,"",ROUNDUP(Y185/H185,0)*0.00502),"")</f>
        <v>0.502</v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178.00000000000003</v>
      </c>
      <c r="BN185" s="78">
        <f t="shared" si="18"/>
        <v>178.00000000000003</v>
      </c>
      <c r="BO185" s="78">
        <f t="shared" si="19"/>
        <v>0.42735042735042739</v>
      </c>
      <c r="BP185" s="78">
        <f t="shared" si="20"/>
        <v>0.42735042735042739</v>
      </c>
    </row>
    <row r="186" spans="1:68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724.12698412698421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727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4.9584900000000003</v>
      </c>
      <c r="AA186" s="67"/>
      <c r="AB186" s="67"/>
      <c r="AC186" s="67"/>
    </row>
    <row r="187" spans="1:68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IFERROR(SUM(X175:X185),"0")</f>
        <v>1805</v>
      </c>
      <c r="Y187" s="43">
        <f>IFERROR(SUM(Y175:Y185),"0")</f>
        <v>1811.8200000000002</v>
      </c>
      <c r="Z187" s="42"/>
      <c r="AA187" s="67"/>
      <c r="AB187" s="67"/>
      <c r="AC187" s="67"/>
    </row>
    <row r="188" spans="1:68" ht="14.25" hidden="1" customHeight="1" x14ac:dyDescent="0.25">
      <c r="A188" s="665" t="s">
        <v>86</v>
      </c>
      <c r="B188" s="665"/>
      <c r="C188" s="665"/>
      <c r="D188" s="665"/>
      <c r="E188" s="665"/>
      <c r="F188" s="665"/>
      <c r="G188" s="665"/>
      <c r="H188" s="665"/>
      <c r="I188" s="665"/>
      <c r="J188" s="665"/>
      <c r="K188" s="665"/>
      <c r="L188" s="665"/>
      <c r="M188" s="665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666">
        <v>4680115888395</v>
      </c>
      <c r="E189" s="666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6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666">
        <v>4680115888371</v>
      </c>
      <c r="E190" s="666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666">
        <v>4680115887459</v>
      </c>
      <c r="E191" s="666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277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666">
        <v>4680115889026</v>
      </c>
      <c r="E195" s="666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56"/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7"/>
      <c r="P197" s="653" t="s">
        <v>40</v>
      </c>
      <c r="Q197" s="654"/>
      <c r="R197" s="654"/>
      <c r="S197" s="654"/>
      <c r="T197" s="654"/>
      <c r="U197" s="654"/>
      <c r="V197" s="655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65" t="s">
        <v>341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666">
        <v>4680115889033</v>
      </c>
      <c r="E199" s="666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8"/>
      <c r="R199" s="668"/>
      <c r="S199" s="668"/>
      <c r="T199" s="669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56"/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7"/>
      <c r="P200" s="653" t="s">
        <v>40</v>
      </c>
      <c r="Q200" s="654"/>
      <c r="R200" s="654"/>
      <c r="S200" s="654"/>
      <c r="T200" s="654"/>
      <c r="U200" s="654"/>
      <c r="V200" s="655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56"/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7"/>
      <c r="P201" s="653" t="s">
        <v>40</v>
      </c>
      <c r="Q201" s="654"/>
      <c r="R201" s="654"/>
      <c r="S201" s="654"/>
      <c r="T201" s="654"/>
      <c r="U201" s="654"/>
      <c r="V201" s="655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83" t="s">
        <v>345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54"/>
      <c r="AB202" s="54"/>
      <c r="AC202" s="54"/>
    </row>
    <row r="203" spans="1:68" ht="16.5" hidden="1" customHeight="1" x14ac:dyDescent="0.25">
      <c r="A203" s="672" t="s">
        <v>346</v>
      </c>
      <c r="B203" s="672"/>
      <c r="C203" s="672"/>
      <c r="D203" s="672"/>
      <c r="E203" s="672"/>
      <c r="F203" s="672"/>
      <c r="G203" s="672"/>
      <c r="H203" s="672"/>
      <c r="I203" s="672"/>
      <c r="J203" s="672"/>
      <c r="K203" s="672"/>
      <c r="L203" s="672"/>
      <c r="M203" s="672"/>
      <c r="N203" s="672"/>
      <c r="O203" s="672"/>
      <c r="P203" s="672"/>
      <c r="Q203" s="672"/>
      <c r="R203" s="672"/>
      <c r="S203" s="672"/>
      <c r="T203" s="672"/>
      <c r="U203" s="672"/>
      <c r="V203" s="672"/>
      <c r="W203" s="672"/>
      <c r="X203" s="672"/>
      <c r="Y203" s="672"/>
      <c r="Z203" s="672"/>
      <c r="AA203" s="65"/>
      <c r="AB203" s="65"/>
      <c r="AC203" s="79"/>
    </row>
    <row r="204" spans="1:68" ht="14.25" hidden="1" customHeight="1" x14ac:dyDescent="0.25">
      <c r="A204" s="665" t="s">
        <v>122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666">
        <v>4607091383423</v>
      </c>
      <c r="E205" s="666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666">
        <v>4680115888760</v>
      </c>
      <c r="E206" s="666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8"/>
      <c r="R206" s="668"/>
      <c r="S206" s="668"/>
      <c r="T206" s="669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666">
        <v>4680115888807</v>
      </c>
      <c r="E207" s="666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8"/>
      <c r="R207" s="668"/>
      <c r="S207" s="668"/>
      <c r="T207" s="669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666">
        <v>4680115888852</v>
      </c>
      <c r="E208" s="666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8"/>
      <c r="R208" s="668"/>
      <c r="S208" s="668"/>
      <c r="T208" s="669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666">
        <v>4680115886957</v>
      </c>
      <c r="E209" s="666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8"/>
      <c r="R209" s="668"/>
      <c r="S209" s="668"/>
      <c r="T209" s="669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customHeight="1" x14ac:dyDescent="0.25">
      <c r="A210" s="63" t="s">
        <v>361</v>
      </c>
      <c r="B210" s="63" t="s">
        <v>362</v>
      </c>
      <c r="C210" s="36">
        <v>4301012098</v>
      </c>
      <c r="D210" s="666">
        <v>4680115885660</v>
      </c>
      <c r="E210" s="666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8"/>
      <c r="R210" s="668"/>
      <c r="S210" s="668"/>
      <c r="T210" s="669"/>
      <c r="U210" s="39" t="s">
        <v>46</v>
      </c>
      <c r="V210" s="39" t="s">
        <v>46</v>
      </c>
      <c r="W210" s="40" t="s">
        <v>0</v>
      </c>
      <c r="X210" s="58">
        <v>100</v>
      </c>
      <c r="Y210" s="55">
        <f t="shared" si="21"/>
        <v>108</v>
      </c>
      <c r="Z210" s="41">
        <f t="shared" si="22"/>
        <v>0.1898</v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103.79629629629629</v>
      </c>
      <c r="BN210" s="78">
        <f t="shared" si="24"/>
        <v>112.1</v>
      </c>
      <c r="BO210" s="78">
        <f t="shared" si="25"/>
        <v>0.14467592592592593</v>
      </c>
      <c r="BP210" s="78">
        <f t="shared" si="26"/>
        <v>0.15625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666">
        <v>4680115886773</v>
      </c>
      <c r="E211" s="666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39</v>
      </c>
      <c r="X212" s="43">
        <f>IFERROR(X205/H205,"0")+IFERROR(X206/H206,"0")+IFERROR(X207/H207,"0")+IFERROR(X208/H208,"0")+IFERROR(X209/H209,"0")+IFERROR(X210/H210,"0")+IFERROR(X211/H211,"0")</f>
        <v>9.2592592592592595</v>
      </c>
      <c r="Y212" s="43">
        <f>IFERROR(Y205/H205,"0")+IFERROR(Y206/H206,"0")+IFERROR(Y207/H207,"0")+IFERROR(Y208/H208,"0")+IFERROR(Y209/H209,"0")+IFERROR(Y210/H210,"0")+IFERROR(Y211/H211,"0")</f>
        <v>10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0.1898</v>
      </c>
      <c r="AA212" s="67"/>
      <c r="AB212" s="67"/>
      <c r="AC212" s="67"/>
    </row>
    <row r="213" spans="1:68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2" t="s">
        <v>0</v>
      </c>
      <c r="X213" s="43">
        <f>IFERROR(SUM(X205:X211),"0")</f>
        <v>100</v>
      </c>
      <c r="Y213" s="43">
        <f>IFERROR(SUM(Y205:Y211),"0")</f>
        <v>108</v>
      </c>
      <c r="Z213" s="42"/>
      <c r="AA213" s="67"/>
      <c r="AB213" s="67"/>
      <c r="AC213" s="67"/>
    </row>
    <row r="214" spans="1:68" ht="16.5" hidden="1" customHeight="1" x14ac:dyDescent="0.25">
      <c r="A214" s="672" t="s">
        <v>367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5"/>
      <c r="AB214" s="65"/>
      <c r="AC214" s="79"/>
    </row>
    <row r="215" spans="1:68" ht="14.25" hidden="1" customHeight="1" x14ac:dyDescent="0.25">
      <c r="A215" s="665" t="s">
        <v>159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666">
        <v>4680115886223</v>
      </c>
      <c r="E216" s="666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56"/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7"/>
      <c r="P217" s="653" t="s">
        <v>40</v>
      </c>
      <c r="Q217" s="654"/>
      <c r="R217" s="654"/>
      <c r="S217" s="654"/>
      <c r="T217" s="654"/>
      <c r="U217" s="654"/>
      <c r="V217" s="655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65" t="s">
        <v>77</v>
      </c>
      <c r="B219" s="665"/>
      <c r="C219" s="665"/>
      <c r="D219" s="665"/>
      <c r="E219" s="665"/>
      <c r="F219" s="665"/>
      <c r="G219" s="665"/>
      <c r="H219" s="665"/>
      <c r="I219" s="665"/>
      <c r="J219" s="665"/>
      <c r="K219" s="665"/>
      <c r="L219" s="665"/>
      <c r="M219" s="665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"/>
      <c r="AB219" s="66"/>
      <c r="AC219" s="80"/>
    </row>
    <row r="220" spans="1:68" ht="27" customHeight="1" x14ac:dyDescent="0.25">
      <c r="A220" s="63" t="s">
        <v>371</v>
      </c>
      <c r="B220" s="63" t="s">
        <v>372</v>
      </c>
      <c r="C220" s="36">
        <v>4301031191</v>
      </c>
      <c r="D220" s="666">
        <v>4680115880993</v>
      </c>
      <c r="E220" s="666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8"/>
      <c r="R220" s="668"/>
      <c r="S220" s="668"/>
      <c r="T220" s="669"/>
      <c r="U220" s="39" t="s">
        <v>46</v>
      </c>
      <c r="V220" s="39" t="s">
        <v>46</v>
      </c>
      <c r="W220" s="40" t="s">
        <v>0</v>
      </c>
      <c r="X220" s="58">
        <v>60</v>
      </c>
      <c r="Y220" s="55">
        <f t="shared" ref="Y220:Y234" si="27">IFERROR(IF(X220="",0,CEILING((X220/$H220),1)*$H220),"")</f>
        <v>63</v>
      </c>
      <c r="Z220" s="41">
        <f>IFERROR(IF(Y220=0,"",ROUNDUP(Y220/H220,0)*0.00902),"")</f>
        <v>0.1353</v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63.571428571428569</v>
      </c>
      <c r="BN220" s="78">
        <f t="shared" ref="BN220:BN234" si="29">IFERROR(Y220*I220/H220,"0")</f>
        <v>66.75</v>
      </c>
      <c r="BO220" s="78">
        <f t="shared" ref="BO220:BO234" si="30">IFERROR(1/J220*(X220/H220),"0")</f>
        <v>0.10822510822510822</v>
      </c>
      <c r="BP220" s="78">
        <f t="shared" ref="BP220:BP234" si="31">IFERROR(1/J220*(Y220/H220),"0")</f>
        <v>0.11363636363636365</v>
      </c>
    </row>
    <row r="221" spans="1:68" ht="27" customHeight="1" x14ac:dyDescent="0.25">
      <c r="A221" s="63" t="s">
        <v>374</v>
      </c>
      <c r="B221" s="63" t="s">
        <v>375</v>
      </c>
      <c r="C221" s="36">
        <v>4301031204</v>
      </c>
      <c r="D221" s="666">
        <v>4680115881761</v>
      </c>
      <c r="E221" s="666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8"/>
      <c r="R221" s="668"/>
      <c r="S221" s="668"/>
      <c r="T221" s="669"/>
      <c r="U221" s="39" t="s">
        <v>46</v>
      </c>
      <c r="V221" s="39" t="s">
        <v>46</v>
      </c>
      <c r="W221" s="40" t="s">
        <v>0</v>
      </c>
      <c r="X221" s="58">
        <v>30</v>
      </c>
      <c r="Y221" s="55">
        <f t="shared" si="27"/>
        <v>33.6</v>
      </c>
      <c r="Z221" s="41">
        <f>IFERROR(IF(Y221=0,"",ROUNDUP(Y221/H221,0)*0.00902),"")</f>
        <v>7.2160000000000002E-2</v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31.785714285714285</v>
      </c>
      <c r="BN221" s="78">
        <f t="shared" si="29"/>
        <v>35.6</v>
      </c>
      <c r="BO221" s="78">
        <f t="shared" si="30"/>
        <v>5.4112554112554112E-2</v>
      </c>
      <c r="BP221" s="78">
        <f t="shared" si="31"/>
        <v>6.0606060606060608E-2</v>
      </c>
    </row>
    <row r="222" spans="1:68" ht="27" customHeight="1" x14ac:dyDescent="0.25">
      <c r="A222" s="63" t="s">
        <v>377</v>
      </c>
      <c r="B222" s="63" t="s">
        <v>378</v>
      </c>
      <c r="C222" s="36">
        <v>4301031201</v>
      </c>
      <c r="D222" s="666">
        <v>4680115881563</v>
      </c>
      <c r="E222" s="666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30</v>
      </c>
      <c r="Y222" s="55">
        <f t="shared" si="27"/>
        <v>33.6</v>
      </c>
      <c r="Z222" s="41">
        <f>IFERROR(IF(Y222=0,"",ROUNDUP(Y222/H222,0)*0.00902),"")</f>
        <v>7.2160000000000002E-2</v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31.357142857142854</v>
      </c>
      <c r="BN222" s="78">
        <f t="shared" si="29"/>
        <v>35.119999999999997</v>
      </c>
      <c r="BO222" s="78">
        <f t="shared" si="30"/>
        <v>5.4112554112554112E-2</v>
      </c>
      <c r="BP222" s="78">
        <f t="shared" si="31"/>
        <v>6.0606060606060608E-2</v>
      </c>
    </row>
    <row r="223" spans="1:68" ht="37.5" customHeight="1" x14ac:dyDescent="0.25">
      <c r="A223" s="63" t="s">
        <v>380</v>
      </c>
      <c r="B223" s="63" t="s">
        <v>381</v>
      </c>
      <c r="C223" s="36">
        <v>4301031447</v>
      </c>
      <c r="D223" s="666">
        <v>4680115887565</v>
      </c>
      <c r="E223" s="666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8"/>
      <c r="R223" s="668"/>
      <c r="S223" s="668"/>
      <c r="T223" s="669"/>
      <c r="U223" s="39" t="s">
        <v>46</v>
      </c>
      <c r="V223" s="39" t="s">
        <v>46</v>
      </c>
      <c r="W223" s="40" t="s">
        <v>0</v>
      </c>
      <c r="X223" s="58">
        <v>12</v>
      </c>
      <c r="Y223" s="55">
        <f t="shared" si="27"/>
        <v>12</v>
      </c>
      <c r="Z223" s="41">
        <f>IFERROR(IF(Y223=0,"",ROUNDUP(Y223/H223,0)*0.00556),"")</f>
        <v>8.3400000000000002E-2</v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13.95</v>
      </c>
      <c r="BN223" s="78">
        <f t="shared" si="29"/>
        <v>13.95</v>
      </c>
      <c r="BO223" s="78">
        <f t="shared" si="30"/>
        <v>5.9523809523809521E-2</v>
      </c>
      <c r="BP223" s="78">
        <f t="shared" si="31"/>
        <v>5.9523809523809521E-2</v>
      </c>
    </row>
    <row r="224" spans="1:68" ht="27" customHeight="1" x14ac:dyDescent="0.25">
      <c r="A224" s="63" t="s">
        <v>383</v>
      </c>
      <c r="B224" s="63" t="s">
        <v>384</v>
      </c>
      <c r="C224" s="36">
        <v>4301031199</v>
      </c>
      <c r="D224" s="666">
        <v>4680115880986</v>
      </c>
      <c r="E224" s="666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8"/>
      <c r="R224" s="668"/>
      <c r="S224" s="668"/>
      <c r="T224" s="669"/>
      <c r="U224" s="39" t="s">
        <v>46</v>
      </c>
      <c r="V224" s="39" t="s">
        <v>46</v>
      </c>
      <c r="W224" s="40" t="s">
        <v>0</v>
      </c>
      <c r="X224" s="58">
        <v>105</v>
      </c>
      <c r="Y224" s="55">
        <f t="shared" si="27"/>
        <v>105</v>
      </c>
      <c r="Z224" s="41">
        <f t="shared" ref="Z224:Z229" si="32">IFERROR(IF(Y224=0,"",ROUNDUP(Y224/H224,0)*0.00502),"")</f>
        <v>0.251</v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111.5</v>
      </c>
      <c r="BN224" s="78">
        <f t="shared" si="29"/>
        <v>111.5</v>
      </c>
      <c r="BO224" s="78">
        <f t="shared" si="30"/>
        <v>0.21367521367521369</v>
      </c>
      <c r="BP224" s="78">
        <f t="shared" si="31"/>
        <v>0.21367521367521369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666">
        <v>4680115887213</v>
      </c>
      <c r="E225" s="666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8"/>
      <c r="R225" s="668"/>
      <c r="S225" s="668"/>
      <c r="T225" s="669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388</v>
      </c>
      <c r="B226" s="63" t="s">
        <v>389</v>
      </c>
      <c r="C226" s="36">
        <v>4301031205</v>
      </c>
      <c r="D226" s="666">
        <v>4680115881785</v>
      </c>
      <c r="E226" s="666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175</v>
      </c>
      <c r="Y226" s="55">
        <f t="shared" si="27"/>
        <v>176.4</v>
      </c>
      <c r="Z226" s="41">
        <f t="shared" si="32"/>
        <v>0.42168</v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185.83333333333331</v>
      </c>
      <c r="BN226" s="78">
        <f t="shared" si="29"/>
        <v>187.32</v>
      </c>
      <c r="BO226" s="78">
        <f t="shared" si="30"/>
        <v>0.35612535612535612</v>
      </c>
      <c r="BP226" s="78">
        <f t="shared" si="31"/>
        <v>0.35897435897435903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666">
        <v>4680115888432</v>
      </c>
      <c r="E227" s="666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666">
        <v>4680115888104</v>
      </c>
      <c r="E228" s="666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666">
        <v>4680115886537</v>
      </c>
      <c r="E229" s="666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399</v>
      </c>
      <c r="B230" s="63" t="s">
        <v>400</v>
      </c>
      <c r="C230" s="36">
        <v>4301031279</v>
      </c>
      <c r="D230" s="666">
        <v>4680115887596</v>
      </c>
      <c r="E230" s="666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3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8</v>
      </c>
      <c r="Y230" s="55">
        <f t="shared" si="27"/>
        <v>8</v>
      </c>
      <c r="Z230" s="41">
        <f>IFERROR(IF(Y230=0,"",ROUNDUP(Y230/H230,0)*0.00417),"")</f>
        <v>4.1700000000000001E-2</v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10.1</v>
      </c>
      <c r="BN230" s="78">
        <f t="shared" si="29"/>
        <v>10.1</v>
      </c>
      <c r="BO230" s="78">
        <f t="shared" si="30"/>
        <v>2.976190476190476E-2</v>
      </c>
      <c r="BP230" s="78">
        <f t="shared" si="31"/>
        <v>2.976190476190476E-2</v>
      </c>
    </row>
    <row r="231" spans="1:68" ht="37.5" customHeight="1" x14ac:dyDescent="0.25">
      <c r="A231" s="63" t="s">
        <v>402</v>
      </c>
      <c r="B231" s="63" t="s">
        <v>403</v>
      </c>
      <c r="C231" s="36">
        <v>4301031530</v>
      </c>
      <c r="D231" s="666">
        <v>4680115881679</v>
      </c>
      <c r="E231" s="666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280</v>
      </c>
      <c r="Y231" s="55">
        <f t="shared" si="27"/>
        <v>281.40000000000003</v>
      </c>
      <c r="Z231" s="41">
        <f>IFERROR(IF(Y231=0,"",ROUNDUP(Y231/H231,0)*0.00502),"")</f>
        <v>0.67268000000000006</v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293.33333333333331</v>
      </c>
      <c r="BN231" s="78">
        <f t="shared" si="29"/>
        <v>294.80000000000007</v>
      </c>
      <c r="BO231" s="78">
        <f t="shared" si="30"/>
        <v>0.56980056980056981</v>
      </c>
      <c r="BP231" s="78">
        <f t="shared" si="31"/>
        <v>0.57264957264957272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666">
        <v>4680115880191</v>
      </c>
      <c r="E232" s="666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666">
        <v>4680115880191</v>
      </c>
      <c r="E233" s="666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666">
        <v>4680115883963</v>
      </c>
      <c r="E234" s="666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320.23809523809518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324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1.7500800000000001</v>
      </c>
      <c r="AA235" s="67"/>
      <c r="AB235" s="67"/>
      <c r="AC235" s="67"/>
    </row>
    <row r="236" spans="1:68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IFERROR(SUM(X220:X234),"0")</f>
        <v>700</v>
      </c>
      <c r="Y236" s="43">
        <f>IFERROR(SUM(Y220:Y234),"0")</f>
        <v>713</v>
      </c>
      <c r="Z236" s="42"/>
      <c r="AA236" s="67"/>
      <c r="AB236" s="67"/>
      <c r="AC236" s="67"/>
    </row>
    <row r="237" spans="1:68" ht="14.25" hidden="1" customHeight="1" x14ac:dyDescent="0.25">
      <c r="A237" s="665" t="s">
        <v>86</v>
      </c>
      <c r="B237" s="665"/>
      <c r="C237" s="665"/>
      <c r="D237" s="665"/>
      <c r="E237" s="665"/>
      <c r="F237" s="665"/>
      <c r="G237" s="665"/>
      <c r="H237" s="665"/>
      <c r="I237" s="665"/>
      <c r="J237" s="665"/>
      <c r="K237" s="665"/>
      <c r="L237" s="665"/>
      <c r="M237" s="665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666">
        <v>4680115888692</v>
      </c>
      <c r="E238" s="666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666">
        <v>4680115888692</v>
      </c>
      <c r="E239" s="666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666">
        <v>4680115888722</v>
      </c>
      <c r="E240" s="666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8"/>
      <c r="R240" s="668"/>
      <c r="S240" s="668"/>
      <c r="T240" s="669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666">
        <v>4680115888722</v>
      </c>
      <c r="E241" s="666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3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8"/>
      <c r="R241" s="668"/>
      <c r="S241" s="668"/>
      <c r="T241" s="669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666">
        <v>4680115888951</v>
      </c>
      <c r="E242" s="666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8"/>
      <c r="R242" s="668"/>
      <c r="S242" s="668"/>
      <c r="T242" s="669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666">
        <v>4680115888951</v>
      </c>
      <c r="E243" s="666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666">
        <v>4680115888975</v>
      </c>
      <c r="E244" s="666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666">
        <v>4680115888982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666">
        <v>4680115888982</v>
      </c>
      <c r="E246" s="666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656"/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7"/>
      <c r="P247" s="653" t="s">
        <v>40</v>
      </c>
      <c r="Q247" s="654"/>
      <c r="R247" s="654"/>
      <c r="S247" s="654"/>
      <c r="T247" s="654"/>
      <c r="U247" s="654"/>
      <c r="V247" s="655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65" t="s">
        <v>277</v>
      </c>
      <c r="B249" s="665"/>
      <c r="C249" s="665"/>
      <c r="D249" s="665"/>
      <c r="E249" s="665"/>
      <c r="F249" s="665"/>
      <c r="G249" s="665"/>
      <c r="H249" s="665"/>
      <c r="I249" s="665"/>
      <c r="J249" s="665"/>
      <c r="K249" s="665"/>
      <c r="L249" s="665"/>
      <c r="M249" s="665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"/>
      <c r="AB249" s="66"/>
      <c r="AC249" s="80"/>
    </row>
    <row r="250" spans="1:68" ht="27" customHeight="1" x14ac:dyDescent="0.25">
      <c r="A250" s="63" t="s">
        <v>430</v>
      </c>
      <c r="B250" s="63" t="s">
        <v>431</v>
      </c>
      <c r="C250" s="36">
        <v>4301032053</v>
      </c>
      <c r="D250" s="666">
        <v>4680115886780</v>
      </c>
      <c r="E250" s="666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8"/>
      <c r="R250" s="668"/>
      <c r="S250" s="668"/>
      <c r="T250" s="669"/>
      <c r="U250" s="39" t="s">
        <v>46</v>
      </c>
      <c r="V250" s="39" t="s">
        <v>46</v>
      </c>
      <c r="W250" s="40" t="s">
        <v>0</v>
      </c>
      <c r="X250" s="58">
        <v>7</v>
      </c>
      <c r="Y250" s="55">
        <f>IFERROR(IF(X250="",0,CEILING((X250/$H250),1)*$H250),"")</f>
        <v>7.5600000000000005</v>
      </c>
      <c r="Z250" s="41">
        <f>IFERROR(IF(Y250=0,"",ROUNDUP(Y250/H250,0)*0.0059),"")</f>
        <v>3.5400000000000001E-2</v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8.0555555555555554</v>
      </c>
      <c r="BN250" s="78">
        <f>IFERROR(Y250*I250/H250,"0")</f>
        <v>8.6999999999999993</v>
      </c>
      <c r="BO250" s="78">
        <f>IFERROR(1/J250*(X250/H250),"0")</f>
        <v>2.5720164609053495E-2</v>
      </c>
      <c r="BP250" s="78">
        <f>IFERROR(1/J250*(Y250/H250),"0")</f>
        <v>2.7777777777777776E-2</v>
      </c>
    </row>
    <row r="251" spans="1:68" ht="27" customHeight="1" x14ac:dyDescent="0.25">
      <c r="A251" s="63" t="s">
        <v>433</v>
      </c>
      <c r="B251" s="63" t="s">
        <v>434</v>
      </c>
      <c r="C251" s="36">
        <v>4301032051</v>
      </c>
      <c r="D251" s="666">
        <v>4680115886742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2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11</v>
      </c>
      <c r="Y251" s="55">
        <f>IFERROR(IF(X251="",0,CEILING((X251/$H251),1)*$H251),"")</f>
        <v>11.34</v>
      </c>
      <c r="Z251" s="41">
        <f>IFERROR(IF(Y251=0,"",ROUNDUP(Y251/H251,0)*0.0059),"")</f>
        <v>5.3100000000000001E-2</v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12.658730158730158</v>
      </c>
      <c r="BN251" s="78">
        <f>IFERROR(Y251*I251/H251,"0")</f>
        <v>13.049999999999999</v>
      </c>
      <c r="BO251" s="78">
        <f>IFERROR(1/J251*(X251/H251),"0")</f>
        <v>4.0417401528512635E-2</v>
      </c>
      <c r="BP251" s="78">
        <f>IFERROR(1/J251*(Y251/H251),"0")</f>
        <v>4.1666666666666664E-2</v>
      </c>
    </row>
    <row r="252" spans="1:68" ht="27" customHeight="1" x14ac:dyDescent="0.25">
      <c r="A252" s="63" t="s">
        <v>436</v>
      </c>
      <c r="B252" s="63" t="s">
        <v>437</v>
      </c>
      <c r="C252" s="36">
        <v>4301032052</v>
      </c>
      <c r="D252" s="666">
        <v>4680115886766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14</v>
      </c>
      <c r="Y252" s="55">
        <f>IFERROR(IF(X252="",0,CEILING((X252/$H252),1)*$H252),"")</f>
        <v>15.120000000000001</v>
      </c>
      <c r="Z252" s="41">
        <f>IFERROR(IF(Y252=0,"",ROUNDUP(Y252/H252,0)*0.0059),"")</f>
        <v>7.0800000000000002E-2</v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16.111111111111111</v>
      </c>
      <c r="BN252" s="78">
        <f>IFERROR(Y252*I252/H252,"0")</f>
        <v>17.399999999999999</v>
      </c>
      <c r="BO252" s="78">
        <f>IFERROR(1/J252*(X252/H252),"0")</f>
        <v>5.1440329218106991E-2</v>
      </c>
      <c r="BP252" s="78">
        <f>IFERROR(1/J252*(Y252/H252),"0")</f>
        <v>5.5555555555555552E-2</v>
      </c>
    </row>
    <row r="253" spans="1:68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39</v>
      </c>
      <c r="X253" s="43">
        <f>IFERROR(X250/H250,"0")+IFERROR(X251/H251,"0")+IFERROR(X252/H252,"0")</f>
        <v>25.396825396825395</v>
      </c>
      <c r="Y253" s="43">
        <f>IFERROR(Y250/H250,"0")+IFERROR(Y251/H251,"0")+IFERROR(Y252/H252,"0")</f>
        <v>27</v>
      </c>
      <c r="Z253" s="43">
        <f>IFERROR(IF(Z250="",0,Z250),"0")+IFERROR(IF(Z251="",0,Z251),"0")+IFERROR(IF(Z252="",0,Z252),"0")</f>
        <v>0.1593</v>
      </c>
      <c r="AA253" s="67"/>
      <c r="AB253" s="67"/>
      <c r="AC253" s="67"/>
    </row>
    <row r="254" spans="1:68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0</v>
      </c>
      <c r="X254" s="43">
        <f>IFERROR(SUM(X250:X252),"0")</f>
        <v>32</v>
      </c>
      <c r="Y254" s="43">
        <f>IFERROR(SUM(Y250:Y252),"0")</f>
        <v>34.019999999999996</v>
      </c>
      <c r="Z254" s="42"/>
      <c r="AA254" s="67"/>
      <c r="AB254" s="67"/>
      <c r="AC254" s="67"/>
    </row>
    <row r="255" spans="1:68" ht="14.25" hidden="1" customHeight="1" x14ac:dyDescent="0.25">
      <c r="A255" s="665" t="s">
        <v>438</v>
      </c>
      <c r="B255" s="665"/>
      <c r="C255" s="665"/>
      <c r="D255" s="665"/>
      <c r="E255" s="665"/>
      <c r="F255" s="665"/>
      <c r="G255" s="665"/>
      <c r="H255" s="665"/>
      <c r="I255" s="665"/>
      <c r="J255" s="665"/>
      <c r="K255" s="665"/>
      <c r="L255" s="665"/>
      <c r="M255" s="665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"/>
      <c r="AB255" s="66"/>
      <c r="AC255" s="80"/>
    </row>
    <row r="256" spans="1:68" ht="27" customHeight="1" x14ac:dyDescent="0.25">
      <c r="A256" s="63" t="s">
        <v>439</v>
      </c>
      <c r="B256" s="63" t="s">
        <v>440</v>
      </c>
      <c r="C256" s="36">
        <v>4301170013</v>
      </c>
      <c r="D256" s="666">
        <v>4680115886797</v>
      </c>
      <c r="E256" s="666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8"/>
      <c r="R256" s="668"/>
      <c r="S256" s="668"/>
      <c r="T256" s="669"/>
      <c r="U256" s="39" t="s">
        <v>46</v>
      </c>
      <c r="V256" s="39" t="s">
        <v>46</v>
      </c>
      <c r="W256" s="40" t="s">
        <v>0</v>
      </c>
      <c r="X256" s="58">
        <v>4</v>
      </c>
      <c r="Y256" s="55">
        <f>IFERROR(IF(X256="",0,CEILING((X256/$H256),1)*$H256),"")</f>
        <v>5.04</v>
      </c>
      <c r="Z256" s="41">
        <f>IFERROR(IF(Y256=0,"",ROUNDUP(Y256/H256,0)*0.0059),"")</f>
        <v>2.3599999999999999E-2</v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4.6031746031746028</v>
      </c>
      <c r="BN256" s="78">
        <f>IFERROR(Y256*I256/H256,"0")</f>
        <v>5.8</v>
      </c>
      <c r="BO256" s="78">
        <f>IFERROR(1/J256*(X256/H256),"0")</f>
        <v>1.469723691945914E-2</v>
      </c>
      <c r="BP256" s="78">
        <f>IFERROR(1/J256*(Y256/H256),"0")</f>
        <v>1.8518518518518517E-2</v>
      </c>
    </row>
    <row r="257" spans="1:68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IFERROR(X256/H256,"0")</f>
        <v>3.1746031746031744</v>
      </c>
      <c r="Y257" s="43">
        <f>IFERROR(Y256/H256,"0")</f>
        <v>4</v>
      </c>
      <c r="Z257" s="43">
        <f>IFERROR(IF(Z256="",0,Z256),"0")</f>
        <v>2.3599999999999999E-2</v>
      </c>
      <c r="AA257" s="67"/>
      <c r="AB257" s="67"/>
      <c r="AC257" s="67"/>
    </row>
    <row r="258" spans="1:68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IFERROR(SUM(X256:X256),"0")</f>
        <v>4</v>
      </c>
      <c r="Y258" s="43">
        <f>IFERROR(SUM(Y256:Y256),"0")</f>
        <v>5.04</v>
      </c>
      <c r="Z258" s="42"/>
      <c r="AA258" s="67"/>
      <c r="AB258" s="67"/>
      <c r="AC258" s="67"/>
    </row>
    <row r="259" spans="1:68" ht="16.5" hidden="1" customHeight="1" x14ac:dyDescent="0.25">
      <c r="A259" s="672" t="s">
        <v>441</v>
      </c>
      <c r="B259" s="672"/>
      <c r="C259" s="672"/>
      <c r="D259" s="672"/>
      <c r="E259" s="672"/>
      <c r="F259" s="672"/>
      <c r="G259" s="672"/>
      <c r="H259" s="672"/>
      <c r="I259" s="672"/>
      <c r="J259" s="672"/>
      <c r="K259" s="672"/>
      <c r="L259" s="672"/>
      <c r="M259" s="672"/>
      <c r="N259" s="672"/>
      <c r="O259" s="672"/>
      <c r="P259" s="672"/>
      <c r="Q259" s="672"/>
      <c r="R259" s="672"/>
      <c r="S259" s="672"/>
      <c r="T259" s="672"/>
      <c r="U259" s="672"/>
      <c r="V259" s="672"/>
      <c r="W259" s="672"/>
      <c r="X259" s="672"/>
      <c r="Y259" s="672"/>
      <c r="Z259" s="672"/>
      <c r="AA259" s="65"/>
      <c r="AB259" s="65"/>
      <c r="AC259" s="79"/>
    </row>
    <row r="260" spans="1:68" ht="14.25" hidden="1" customHeight="1" x14ac:dyDescent="0.25">
      <c r="A260" s="665" t="s">
        <v>122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666">
        <v>4680115881402</v>
      </c>
      <c r="E261" s="66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8"/>
      <c r="R261" s="668"/>
      <c r="S261" s="668"/>
      <c r="T261" s="669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666">
        <v>4680115881396</v>
      </c>
      <c r="E262" s="666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65" t="s">
        <v>159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666">
        <v>4680115882935</v>
      </c>
      <c r="E266" s="666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8"/>
      <c r="R266" s="668"/>
      <c r="S266" s="668"/>
      <c r="T266" s="669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666">
        <v>4680115880764</v>
      </c>
      <c r="E267" s="666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65" t="s">
        <v>77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"/>
      <c r="AB270" s="66"/>
      <c r="AC270" s="80"/>
    </row>
    <row r="271" spans="1:68" ht="27" customHeight="1" x14ac:dyDescent="0.25">
      <c r="A271" s="63" t="s">
        <v>452</v>
      </c>
      <c r="B271" s="63" t="s">
        <v>453</v>
      </c>
      <c r="C271" s="36">
        <v>4301031224</v>
      </c>
      <c r="D271" s="666">
        <v>4680115882683</v>
      </c>
      <c r="E271" s="666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8"/>
      <c r="R271" s="668"/>
      <c r="S271" s="668"/>
      <c r="T271" s="669"/>
      <c r="U271" s="39" t="s">
        <v>46</v>
      </c>
      <c r="V271" s="39" t="s">
        <v>46</v>
      </c>
      <c r="W271" s="40" t="s">
        <v>0</v>
      </c>
      <c r="X271" s="58">
        <v>250</v>
      </c>
      <c r="Y271" s="55">
        <f t="shared" ref="Y271:Y278" si="38">IFERROR(IF(X271="",0,CEILING((X271/$H271),1)*$H271),"")</f>
        <v>253.8</v>
      </c>
      <c r="Z271" s="41">
        <f>IFERROR(IF(Y271=0,"",ROUNDUP(Y271/H271,0)*0.00902),"")</f>
        <v>0.42393999999999998</v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258.7962962962963</v>
      </c>
      <c r="BN271" s="78">
        <f t="shared" ref="BN271:BN278" si="40">IFERROR(Y271*I271/H271,"0")</f>
        <v>262.72999999999996</v>
      </c>
      <c r="BO271" s="78">
        <f t="shared" ref="BO271:BO278" si="41">IFERROR(1/J271*(X271/H271),"0")</f>
        <v>0.35072951739618402</v>
      </c>
      <c r="BP271" s="78">
        <f t="shared" ref="BP271:BP278" si="42">IFERROR(1/J271*(Y271/H271),"0")</f>
        <v>0.35606060606060608</v>
      </c>
    </row>
    <row r="272" spans="1:68" ht="27" customHeight="1" x14ac:dyDescent="0.25">
      <c r="A272" s="63" t="s">
        <v>455</v>
      </c>
      <c r="B272" s="63" t="s">
        <v>456</v>
      </c>
      <c r="C272" s="36">
        <v>4301031230</v>
      </c>
      <c r="D272" s="666">
        <v>4680115882690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50</v>
      </c>
      <c r="Y272" s="55">
        <f t="shared" si="38"/>
        <v>54</v>
      </c>
      <c r="Z272" s="41">
        <f>IFERROR(IF(Y272=0,"",ROUNDUP(Y272/H272,0)*0.00902),"")</f>
        <v>9.0200000000000002E-2</v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51.759259259259252</v>
      </c>
      <c r="BN272" s="78">
        <f t="shared" si="40"/>
        <v>55.9</v>
      </c>
      <c r="BO272" s="78">
        <f t="shared" si="41"/>
        <v>7.0145903479236812E-2</v>
      </c>
      <c r="BP272" s="78">
        <f t="shared" si="42"/>
        <v>7.575757575757576E-2</v>
      </c>
    </row>
    <row r="273" spans="1:68" ht="27" customHeight="1" x14ac:dyDescent="0.25">
      <c r="A273" s="63" t="s">
        <v>458</v>
      </c>
      <c r="B273" s="63" t="s">
        <v>459</v>
      </c>
      <c r="C273" s="36">
        <v>4301031220</v>
      </c>
      <c r="D273" s="666">
        <v>4680115882669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100</v>
      </c>
      <c r="Y273" s="55">
        <f t="shared" si="38"/>
        <v>102.60000000000001</v>
      </c>
      <c r="Z273" s="41">
        <f>IFERROR(IF(Y273=0,"",ROUNDUP(Y273/H273,0)*0.00902),"")</f>
        <v>0.17138</v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103.5185185185185</v>
      </c>
      <c r="BN273" s="78">
        <f t="shared" si="40"/>
        <v>106.21</v>
      </c>
      <c r="BO273" s="78">
        <f t="shared" si="41"/>
        <v>0.14029180695847362</v>
      </c>
      <c r="BP273" s="78">
        <f t="shared" si="42"/>
        <v>0.14393939393939395</v>
      </c>
    </row>
    <row r="274" spans="1:68" ht="27" customHeight="1" x14ac:dyDescent="0.25">
      <c r="A274" s="63" t="s">
        <v>461</v>
      </c>
      <c r="B274" s="63" t="s">
        <v>462</v>
      </c>
      <c r="C274" s="36">
        <v>4301031221</v>
      </c>
      <c r="D274" s="666">
        <v>4680115882676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50</v>
      </c>
      <c r="Y274" s="55">
        <f t="shared" si="38"/>
        <v>54</v>
      </c>
      <c r="Z274" s="41">
        <f>IFERROR(IF(Y274=0,"",ROUNDUP(Y274/H274,0)*0.00902),"")</f>
        <v>9.0200000000000002E-2</v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51.759259259259252</v>
      </c>
      <c r="BN274" s="78">
        <f t="shared" si="40"/>
        <v>55.9</v>
      </c>
      <c r="BO274" s="78">
        <f t="shared" si="41"/>
        <v>7.0145903479236812E-2</v>
      </c>
      <c r="BP274" s="78">
        <f t="shared" si="42"/>
        <v>7.575757575757576E-2</v>
      </c>
    </row>
    <row r="275" spans="1:68" ht="27" customHeight="1" x14ac:dyDescent="0.25">
      <c r="A275" s="63" t="s">
        <v>464</v>
      </c>
      <c r="B275" s="63" t="s">
        <v>465</v>
      </c>
      <c r="C275" s="36">
        <v>4301031223</v>
      </c>
      <c r="D275" s="666">
        <v>4680115884014</v>
      </c>
      <c r="E275" s="666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90</v>
      </c>
      <c r="Y275" s="55">
        <f t="shared" si="38"/>
        <v>90</v>
      </c>
      <c r="Z275" s="41">
        <f>IFERROR(IF(Y275=0,"",ROUNDUP(Y275/H275,0)*0.00502),"")</f>
        <v>0.251</v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96.499999999999986</v>
      </c>
      <c r="BN275" s="78">
        <f t="shared" si="40"/>
        <v>96.499999999999986</v>
      </c>
      <c r="BO275" s="78">
        <f t="shared" si="41"/>
        <v>0.21367521367521369</v>
      </c>
      <c r="BP275" s="78">
        <f t="shared" si="42"/>
        <v>0.21367521367521369</v>
      </c>
    </row>
    <row r="276" spans="1:68" ht="27" customHeight="1" x14ac:dyDescent="0.25">
      <c r="A276" s="63" t="s">
        <v>466</v>
      </c>
      <c r="B276" s="63" t="s">
        <v>467</v>
      </c>
      <c r="C276" s="36">
        <v>4301031222</v>
      </c>
      <c r="D276" s="666">
        <v>4680115884007</v>
      </c>
      <c r="E276" s="666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90</v>
      </c>
      <c r="Y276" s="55">
        <f t="shared" si="38"/>
        <v>90</v>
      </c>
      <c r="Z276" s="41">
        <f>IFERROR(IF(Y276=0,"",ROUNDUP(Y276/H276,0)*0.00502),"")</f>
        <v>0.251</v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95</v>
      </c>
      <c r="BN276" s="78">
        <f t="shared" si="40"/>
        <v>95</v>
      </c>
      <c r="BO276" s="78">
        <f t="shared" si="41"/>
        <v>0.21367521367521369</v>
      </c>
      <c r="BP276" s="78">
        <f t="shared" si="42"/>
        <v>0.21367521367521369</v>
      </c>
    </row>
    <row r="277" spans="1:68" ht="27" customHeight="1" x14ac:dyDescent="0.25">
      <c r="A277" s="63" t="s">
        <v>468</v>
      </c>
      <c r="B277" s="63" t="s">
        <v>469</v>
      </c>
      <c r="C277" s="36">
        <v>4301031229</v>
      </c>
      <c r="D277" s="666">
        <v>4680115884038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90</v>
      </c>
      <c r="Y277" s="55">
        <f t="shared" si="38"/>
        <v>90</v>
      </c>
      <c r="Z277" s="41">
        <f>IFERROR(IF(Y277=0,"",ROUNDUP(Y277/H277,0)*0.00502),"")</f>
        <v>0.251</v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95</v>
      </c>
      <c r="BN277" s="78">
        <f t="shared" si="40"/>
        <v>95</v>
      </c>
      <c r="BO277" s="78">
        <f t="shared" si="41"/>
        <v>0.21367521367521369</v>
      </c>
      <c r="BP277" s="78">
        <f t="shared" si="42"/>
        <v>0.21367521367521369</v>
      </c>
    </row>
    <row r="278" spans="1:68" ht="27" customHeight="1" x14ac:dyDescent="0.25">
      <c r="A278" s="63" t="s">
        <v>470</v>
      </c>
      <c r="B278" s="63" t="s">
        <v>471</v>
      </c>
      <c r="C278" s="36">
        <v>4301031225</v>
      </c>
      <c r="D278" s="666">
        <v>4680115884021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90</v>
      </c>
      <c r="Y278" s="55">
        <f t="shared" si="38"/>
        <v>90</v>
      </c>
      <c r="Z278" s="41">
        <f>IFERROR(IF(Y278=0,"",ROUNDUP(Y278/H278,0)*0.00502),"")</f>
        <v>0.251</v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95</v>
      </c>
      <c r="BN278" s="78">
        <f t="shared" si="40"/>
        <v>95</v>
      </c>
      <c r="BO278" s="78">
        <f t="shared" si="41"/>
        <v>0.21367521367521369</v>
      </c>
      <c r="BP278" s="78">
        <f t="shared" si="42"/>
        <v>0.21367521367521369</v>
      </c>
    </row>
    <row r="279" spans="1:68" x14ac:dyDescent="0.2">
      <c r="A279" s="656"/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7"/>
      <c r="P279" s="653" t="s">
        <v>40</v>
      </c>
      <c r="Q279" s="654"/>
      <c r="R279" s="654"/>
      <c r="S279" s="654"/>
      <c r="T279" s="654"/>
      <c r="U279" s="654"/>
      <c r="V279" s="655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283.33333333333337</v>
      </c>
      <c r="Y279" s="43">
        <f>IFERROR(Y271/H271,"0")+IFERROR(Y272/H272,"0")+IFERROR(Y273/H273,"0")+IFERROR(Y274/H274,"0")+IFERROR(Y275/H275,"0")+IFERROR(Y276/H276,"0")+IFERROR(Y277/H277,"0")+IFERROR(Y278/H278,"0")</f>
        <v>286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1.7797199999999997</v>
      </c>
      <c r="AA279" s="67"/>
      <c r="AB279" s="67"/>
      <c r="AC279" s="67"/>
    </row>
    <row r="280" spans="1:68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0</v>
      </c>
      <c r="X280" s="43">
        <f>IFERROR(SUM(X271:X278),"0")</f>
        <v>810</v>
      </c>
      <c r="Y280" s="43">
        <f>IFERROR(SUM(Y271:Y278),"0")</f>
        <v>824.40000000000009</v>
      </c>
      <c r="Z280" s="42"/>
      <c r="AA280" s="67"/>
      <c r="AB280" s="67"/>
      <c r="AC280" s="67"/>
    </row>
    <row r="281" spans="1:68" ht="14.25" hidden="1" customHeight="1" x14ac:dyDescent="0.25">
      <c r="A281" s="665" t="s">
        <v>86</v>
      </c>
      <c r="B281" s="665"/>
      <c r="C281" s="665"/>
      <c r="D281" s="665"/>
      <c r="E281" s="665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666">
        <v>4680115881594</v>
      </c>
      <c r="E282" s="666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8"/>
      <c r="R282" s="668"/>
      <c r="S282" s="668"/>
      <c r="T282" s="669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customHeight="1" x14ac:dyDescent="0.25">
      <c r="A283" s="63" t="s">
        <v>475</v>
      </c>
      <c r="B283" s="63" t="s">
        <v>476</v>
      </c>
      <c r="C283" s="36">
        <v>4301051411</v>
      </c>
      <c r="D283" s="666">
        <v>4680115881617</v>
      </c>
      <c r="E283" s="666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160</v>
      </c>
      <c r="Y283" s="55">
        <f t="shared" si="43"/>
        <v>162</v>
      </c>
      <c r="Z283" s="41">
        <f>IFERROR(IF(Y283=0,"",ROUNDUP(Y283/H283,0)*0.01898),"")</f>
        <v>0.37959999999999999</v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169.40246913580248</v>
      </c>
      <c r="BN283" s="78">
        <f t="shared" si="45"/>
        <v>171.52</v>
      </c>
      <c r="BO283" s="78">
        <f t="shared" si="46"/>
        <v>0.30864197530864201</v>
      </c>
      <c r="BP283" s="78">
        <f t="shared" si="47"/>
        <v>0.3125</v>
      </c>
    </row>
    <row r="284" spans="1:68" ht="27" customHeight="1" x14ac:dyDescent="0.25">
      <c r="A284" s="63" t="s">
        <v>478</v>
      </c>
      <c r="B284" s="63" t="s">
        <v>479</v>
      </c>
      <c r="C284" s="36">
        <v>4301051656</v>
      </c>
      <c r="D284" s="666">
        <v>4680115880573</v>
      </c>
      <c r="E284" s="666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50</v>
      </c>
      <c r="Y284" s="55">
        <f t="shared" si="43"/>
        <v>52.199999999999996</v>
      </c>
      <c r="Z284" s="41">
        <f>IFERROR(IF(Y284=0,"",ROUNDUP(Y284/H284,0)*0.01898),"")</f>
        <v>0.11388000000000001</v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52.839080459770123</v>
      </c>
      <c r="BN284" s="78">
        <f t="shared" si="45"/>
        <v>55.164000000000009</v>
      </c>
      <c r="BO284" s="78">
        <f t="shared" si="46"/>
        <v>8.9798850574712652E-2</v>
      </c>
      <c r="BP284" s="78">
        <f t="shared" si="47"/>
        <v>9.375E-2</v>
      </c>
    </row>
    <row r="285" spans="1:68" ht="27" customHeight="1" x14ac:dyDescent="0.25">
      <c r="A285" s="63" t="s">
        <v>481</v>
      </c>
      <c r="B285" s="63" t="s">
        <v>482</v>
      </c>
      <c r="C285" s="36">
        <v>4301051407</v>
      </c>
      <c r="D285" s="666">
        <v>4680115882195</v>
      </c>
      <c r="E285" s="666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360</v>
      </c>
      <c r="Y285" s="55">
        <f t="shared" si="43"/>
        <v>360</v>
      </c>
      <c r="Z285" s="41">
        <f>IFERROR(IF(Y285=0,"",ROUNDUP(Y285/H285,0)*0.00651),"")</f>
        <v>0.97650000000000003</v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400.5</v>
      </c>
      <c r="BN285" s="78">
        <f t="shared" si="45"/>
        <v>400.5</v>
      </c>
      <c r="BO285" s="78">
        <f t="shared" si="46"/>
        <v>0.82417582417582425</v>
      </c>
      <c r="BP285" s="78">
        <f t="shared" si="47"/>
        <v>0.82417582417582425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666">
        <v>4680115882607</v>
      </c>
      <c r="E286" s="666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1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customHeight="1" x14ac:dyDescent="0.25">
      <c r="A288" s="63" t="s">
        <v>488</v>
      </c>
      <c r="B288" s="63" t="s">
        <v>489</v>
      </c>
      <c r="C288" s="36">
        <v>4301051666</v>
      </c>
      <c r="D288" s="666">
        <v>4680115880092</v>
      </c>
      <c r="E288" s="666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280</v>
      </c>
      <c r="Y288" s="55">
        <f t="shared" si="43"/>
        <v>280.8</v>
      </c>
      <c r="Z288" s="41">
        <f>IFERROR(IF(Y288=0,"",ROUNDUP(Y288/H288,0)*0.00651),"")</f>
        <v>0.76167000000000007</v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309.40000000000003</v>
      </c>
      <c r="BN288" s="78">
        <f t="shared" si="45"/>
        <v>310.28400000000005</v>
      </c>
      <c r="BO288" s="78">
        <f t="shared" si="46"/>
        <v>0.64102564102564108</v>
      </c>
      <c r="BP288" s="78">
        <f t="shared" si="47"/>
        <v>0.64285714285714302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666">
        <v>4680115889064</v>
      </c>
      <c r="E289" s="666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4301051668</v>
      </c>
      <c r="D290" s="666">
        <v>4680115880221</v>
      </c>
      <c r="E290" s="666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customHeight="1" x14ac:dyDescent="0.25">
      <c r="A291" s="63" t="s">
        <v>494</v>
      </c>
      <c r="B291" s="63" t="s">
        <v>495</v>
      </c>
      <c r="C291" s="36">
        <v>4301051945</v>
      </c>
      <c r="D291" s="666">
        <v>4680115880504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100</v>
      </c>
      <c r="Y291" s="55">
        <f t="shared" si="43"/>
        <v>100.8</v>
      </c>
      <c r="Z291" s="41">
        <f>IFERROR(IF(Y291=0,"",ROUNDUP(Y291/H291,0)*0.00651),"")</f>
        <v>0.27342</v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110.5</v>
      </c>
      <c r="BN291" s="78">
        <f t="shared" si="45"/>
        <v>111.384</v>
      </c>
      <c r="BO291" s="78">
        <f t="shared" si="46"/>
        <v>0.22893772893772898</v>
      </c>
      <c r="BP291" s="78">
        <f t="shared" si="47"/>
        <v>0.23076923076923078</v>
      </c>
    </row>
    <row r="292" spans="1:68" ht="27" customHeight="1" x14ac:dyDescent="0.25">
      <c r="A292" s="63" t="s">
        <v>497</v>
      </c>
      <c r="B292" s="63" t="s">
        <v>498</v>
      </c>
      <c r="C292" s="36">
        <v>4301051410</v>
      </c>
      <c r="D292" s="666">
        <v>4680115882164</v>
      </c>
      <c r="E292" s="666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200</v>
      </c>
      <c r="Y292" s="55">
        <f t="shared" si="43"/>
        <v>201.6</v>
      </c>
      <c r="Z292" s="41">
        <f>IFERROR(IF(Y292=0,"",ROUNDUP(Y292/H292,0)*0.00651),"")</f>
        <v>0.54683999999999999</v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221.50000000000003</v>
      </c>
      <c r="BN292" s="78">
        <f t="shared" si="45"/>
        <v>223.27200000000002</v>
      </c>
      <c r="BO292" s="78">
        <f t="shared" si="46"/>
        <v>0.45787545787545797</v>
      </c>
      <c r="BP292" s="78">
        <f t="shared" si="47"/>
        <v>0.46153846153846156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666">
        <v>4680115888340</v>
      </c>
      <c r="E293" s="666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417.16687952320137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419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3.0519099999999999</v>
      </c>
      <c r="AA294" s="67"/>
      <c r="AB294" s="67"/>
      <c r="AC294" s="67"/>
    </row>
    <row r="295" spans="1:68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0</v>
      </c>
      <c r="X295" s="43">
        <f>IFERROR(SUM(X282:X293),"0")</f>
        <v>1150</v>
      </c>
      <c r="Y295" s="43">
        <f>IFERROR(SUM(Y282:Y293),"0")</f>
        <v>1157.3999999999999</v>
      </c>
      <c r="Z295" s="42"/>
      <c r="AA295" s="67"/>
      <c r="AB295" s="67"/>
      <c r="AC295" s="67"/>
    </row>
    <row r="296" spans="1:68" ht="14.25" hidden="1" customHeight="1" x14ac:dyDescent="0.25">
      <c r="A296" s="665" t="s">
        <v>178</v>
      </c>
      <c r="B296" s="665"/>
      <c r="C296" s="665"/>
      <c r="D296" s="665"/>
      <c r="E296" s="665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666">
        <v>4680115880818</v>
      </c>
      <c r="E297" s="666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8"/>
      <c r="R297" s="668"/>
      <c r="S297" s="668"/>
      <c r="T297" s="669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506</v>
      </c>
      <c r="B298" s="63" t="s">
        <v>507</v>
      </c>
      <c r="C298" s="36">
        <v>4301060389</v>
      </c>
      <c r="D298" s="666">
        <v>4680115880801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200</v>
      </c>
      <c r="Y298" s="55">
        <f>IFERROR(IF(X298="",0,CEILING((X298/$H298),1)*$H298),"")</f>
        <v>201.6</v>
      </c>
      <c r="Z298" s="41">
        <f>IFERROR(IF(Y298=0,"",ROUNDUP(Y298/H298,0)*0.00651),"")</f>
        <v>0.54683999999999999</v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221</v>
      </c>
      <c r="BN298" s="78">
        <f>IFERROR(Y298*I298/H298,"0")</f>
        <v>222.768</v>
      </c>
      <c r="BO298" s="78">
        <f>IFERROR(1/J298*(X298/H298),"0")</f>
        <v>0.45787545787545797</v>
      </c>
      <c r="BP298" s="78">
        <f>IFERROR(1/J298*(Y298/H298),"0")</f>
        <v>0.46153846153846156</v>
      </c>
    </row>
    <row r="299" spans="1:68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IFERROR(X297/H297,"0")+IFERROR(X298/H298,"0")</f>
        <v>83.333333333333343</v>
      </c>
      <c r="Y299" s="43">
        <f>IFERROR(Y297/H297,"0")+IFERROR(Y298/H298,"0")</f>
        <v>84</v>
      </c>
      <c r="Z299" s="43">
        <f>IFERROR(IF(Z297="",0,Z297),"0")+IFERROR(IF(Z298="",0,Z298),"0")</f>
        <v>0.54683999999999999</v>
      </c>
      <c r="AA299" s="67"/>
      <c r="AB299" s="67"/>
      <c r="AC299" s="67"/>
    </row>
    <row r="300" spans="1:68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IFERROR(SUM(X297:X298),"0")</f>
        <v>200</v>
      </c>
      <c r="Y300" s="43">
        <f>IFERROR(SUM(Y297:Y298),"0")</f>
        <v>201.6</v>
      </c>
      <c r="Z300" s="42"/>
      <c r="AA300" s="67"/>
      <c r="AB300" s="67"/>
      <c r="AC300" s="67"/>
    </row>
    <row r="301" spans="1:68" ht="16.5" hidden="1" customHeight="1" x14ac:dyDescent="0.25">
      <c r="A301" s="672" t="s">
        <v>509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5"/>
      <c r="AB301" s="65"/>
      <c r="AC301" s="79"/>
    </row>
    <row r="302" spans="1:68" ht="14.25" hidden="1" customHeight="1" x14ac:dyDescent="0.25">
      <c r="A302" s="665" t="s">
        <v>122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666">
        <v>4680115884137</v>
      </c>
      <c r="E303" s="666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8"/>
      <c r="R303" s="668"/>
      <c r="S303" s="668"/>
      <c r="T303" s="669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666">
        <v>4680115884236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666">
        <v>4680115884175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customHeight="1" x14ac:dyDescent="0.25">
      <c r="A306" s="63" t="s">
        <v>518</v>
      </c>
      <c r="B306" s="63" t="s">
        <v>519</v>
      </c>
      <c r="C306" s="36">
        <v>4301011824</v>
      </c>
      <c r="D306" s="666">
        <v>4680115884144</v>
      </c>
      <c r="E306" s="666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12</v>
      </c>
      <c r="Y306" s="55">
        <f t="shared" si="48"/>
        <v>12</v>
      </c>
      <c r="Z306" s="41">
        <f>IFERROR(IF(Y306=0,"",ROUNDUP(Y306/H306,0)*0.00902),"")</f>
        <v>2.7060000000000001E-2</v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12.57</v>
      </c>
      <c r="BN306" s="78">
        <f t="shared" si="50"/>
        <v>12.57</v>
      </c>
      <c r="BO306" s="78">
        <f t="shared" si="51"/>
        <v>2.2727272727272728E-2</v>
      </c>
      <c r="BP306" s="78">
        <f t="shared" si="52"/>
        <v>2.2727272727272728E-2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666">
        <v>4680115886551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666">
        <v>4680115887282</v>
      </c>
      <c r="E308" s="666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customHeight="1" x14ac:dyDescent="0.25">
      <c r="A309" s="63" t="s">
        <v>526</v>
      </c>
      <c r="B309" s="63" t="s">
        <v>527</v>
      </c>
      <c r="C309" s="36">
        <v>4301011722</v>
      </c>
      <c r="D309" s="666">
        <v>4680115884205</v>
      </c>
      <c r="E309" s="666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32</v>
      </c>
      <c r="Y309" s="55">
        <f t="shared" si="48"/>
        <v>32</v>
      </c>
      <c r="Z309" s="41">
        <f>IFERROR(IF(Y309=0,"",ROUNDUP(Y309/H309,0)*0.00902),"")</f>
        <v>7.2160000000000002E-2</v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33.520000000000003</v>
      </c>
      <c r="BN309" s="78">
        <f t="shared" si="50"/>
        <v>33.520000000000003</v>
      </c>
      <c r="BO309" s="78">
        <f t="shared" si="51"/>
        <v>6.0606060606060608E-2</v>
      </c>
      <c r="BP309" s="78">
        <f t="shared" si="52"/>
        <v>6.0606060606060608E-2</v>
      </c>
    </row>
    <row r="310" spans="1:68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2" t="s">
        <v>39</v>
      </c>
      <c r="X310" s="43">
        <f>IFERROR(X303/H303,"0")+IFERROR(X304/H304,"0")+IFERROR(X305/H305,"0")+IFERROR(X306/H306,"0")+IFERROR(X307/H307,"0")+IFERROR(X308/H308,"0")+IFERROR(X309/H309,"0")</f>
        <v>11</v>
      </c>
      <c r="Y310" s="43">
        <f>IFERROR(Y303/H303,"0")+IFERROR(Y304/H304,"0")+IFERROR(Y305/H305,"0")+IFERROR(Y306/H306,"0")+IFERROR(Y307/H307,"0")+IFERROR(Y308/H308,"0")+IFERROR(Y309/H309,"0")</f>
        <v>11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9.9220000000000003E-2</v>
      </c>
      <c r="AA310" s="67"/>
      <c r="AB310" s="67"/>
      <c r="AC310" s="67"/>
    </row>
    <row r="311" spans="1:68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0</v>
      </c>
      <c r="X311" s="43">
        <f>IFERROR(SUM(X303:X309),"0")</f>
        <v>44</v>
      </c>
      <c r="Y311" s="43">
        <f>IFERROR(SUM(Y303:Y309),"0")</f>
        <v>44</v>
      </c>
      <c r="Z311" s="42"/>
      <c r="AA311" s="67"/>
      <c r="AB311" s="67"/>
      <c r="AC311" s="67"/>
    </row>
    <row r="312" spans="1:68" ht="14.25" hidden="1" customHeight="1" x14ac:dyDescent="0.25">
      <c r="A312" s="665" t="s">
        <v>159</v>
      </c>
      <c r="B312" s="665"/>
      <c r="C312" s="665"/>
      <c r="D312" s="665"/>
      <c r="E312" s="665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"/>
      <c r="AB312" s="66"/>
      <c r="AC312" s="80"/>
    </row>
    <row r="313" spans="1:68" ht="27" customHeight="1" x14ac:dyDescent="0.25">
      <c r="A313" s="63" t="s">
        <v>528</v>
      </c>
      <c r="B313" s="63" t="s">
        <v>529</v>
      </c>
      <c r="C313" s="36">
        <v>4301020377</v>
      </c>
      <c r="D313" s="666">
        <v>4680115885981</v>
      </c>
      <c r="E313" s="666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8"/>
      <c r="R313" s="668"/>
      <c r="S313" s="668"/>
      <c r="T313" s="669"/>
      <c r="U313" s="39" t="s">
        <v>46</v>
      </c>
      <c r="V313" s="39" t="s">
        <v>46</v>
      </c>
      <c r="W313" s="40" t="s">
        <v>0</v>
      </c>
      <c r="X313" s="58">
        <v>26</v>
      </c>
      <c r="Y313" s="55">
        <f>IFERROR(IF(X313="",0,CEILING((X313/$H313),1)*$H313),"")</f>
        <v>27.72</v>
      </c>
      <c r="Z313" s="41">
        <f>IFERROR(IF(Y313=0,"",ROUNDUP(Y313/H313,0)*0.00502),"")</f>
        <v>7.0280000000000009E-2</v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27.313131313131311</v>
      </c>
      <c r="BN313" s="78">
        <f>IFERROR(Y313*I313/H313,"0")</f>
        <v>29.12</v>
      </c>
      <c r="BO313" s="78">
        <f>IFERROR(1/J313*(X313/H313),"0")</f>
        <v>5.6116722783389458E-2</v>
      </c>
      <c r="BP313" s="78">
        <f>IFERROR(1/J313*(Y313/H313),"0")</f>
        <v>5.9829059829059839E-2</v>
      </c>
    </row>
    <row r="314" spans="1:68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IFERROR(X313/H313,"0")</f>
        <v>13.131313131313131</v>
      </c>
      <c r="Y314" s="43">
        <f>IFERROR(Y313/H313,"0")</f>
        <v>14</v>
      </c>
      <c r="Z314" s="43">
        <f>IFERROR(IF(Z313="",0,Z313),"0")</f>
        <v>7.0280000000000009E-2</v>
      </c>
      <c r="AA314" s="67"/>
      <c r="AB314" s="67"/>
      <c r="AC314" s="67"/>
    </row>
    <row r="315" spans="1:68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IFERROR(SUM(X313:X313),"0")</f>
        <v>26</v>
      </c>
      <c r="Y315" s="43">
        <f>IFERROR(SUM(Y313:Y313),"0")</f>
        <v>27.72</v>
      </c>
      <c r="Z315" s="42"/>
      <c r="AA315" s="67"/>
      <c r="AB315" s="67"/>
      <c r="AC315" s="67"/>
    </row>
    <row r="316" spans="1:68" ht="14.25" hidden="1" customHeight="1" x14ac:dyDescent="0.25">
      <c r="A316" s="665" t="s">
        <v>531</v>
      </c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"/>
      <c r="AB316" s="66"/>
      <c r="AC316" s="80"/>
    </row>
    <row r="317" spans="1:68" ht="27" customHeight="1" x14ac:dyDescent="0.25">
      <c r="A317" s="63" t="s">
        <v>532</v>
      </c>
      <c r="B317" s="63" t="s">
        <v>533</v>
      </c>
      <c r="C317" s="36">
        <v>4301040362</v>
      </c>
      <c r="D317" s="666">
        <v>4680115886803</v>
      </c>
      <c r="E317" s="666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8"/>
      <c r="R317" s="668"/>
      <c r="S317" s="668"/>
      <c r="T317" s="669"/>
      <c r="U317" s="39" t="s">
        <v>46</v>
      </c>
      <c r="V317" s="39" t="s">
        <v>46</v>
      </c>
      <c r="W317" s="40" t="s">
        <v>0</v>
      </c>
      <c r="X317" s="58">
        <v>12</v>
      </c>
      <c r="Y317" s="55">
        <f>IFERROR(IF(X317="",0,CEILING((X317/$H317),1)*$H317),"")</f>
        <v>12.6</v>
      </c>
      <c r="Z317" s="41">
        <f>IFERROR(IF(Y317=0,"",ROUNDUP(Y317/H317,0)*0.0059),"")</f>
        <v>4.1299999999999996E-2</v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13.166666666666668</v>
      </c>
      <c r="BN317" s="78">
        <f>IFERROR(Y317*I317/H317,"0")</f>
        <v>13.825000000000001</v>
      </c>
      <c r="BO317" s="78">
        <f>IFERROR(1/J317*(X317/H317),"0")</f>
        <v>3.0864197530864192E-2</v>
      </c>
      <c r="BP317" s="78">
        <f>IFERROR(1/J317*(Y317/H317),"0")</f>
        <v>3.2407407407407406E-2</v>
      </c>
    </row>
    <row r="318" spans="1:68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2" t="s">
        <v>39</v>
      </c>
      <c r="X318" s="43">
        <f>IFERROR(X317/H317,"0")</f>
        <v>6.6666666666666661</v>
      </c>
      <c r="Y318" s="43">
        <f>IFERROR(Y317/H317,"0")</f>
        <v>7</v>
      </c>
      <c r="Z318" s="43">
        <f>IFERROR(IF(Z317="",0,Z317),"0")</f>
        <v>4.1299999999999996E-2</v>
      </c>
      <c r="AA318" s="67"/>
      <c r="AB318" s="67"/>
      <c r="AC318" s="67"/>
    </row>
    <row r="319" spans="1:68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0</v>
      </c>
      <c r="X319" s="43">
        <f>IFERROR(SUM(X317:X317),"0")</f>
        <v>12</v>
      </c>
      <c r="Y319" s="43">
        <f>IFERROR(SUM(Y317:Y317),"0")</f>
        <v>12.6</v>
      </c>
      <c r="Z319" s="42"/>
      <c r="AA319" s="67"/>
      <c r="AB319" s="67"/>
      <c r="AC319" s="67"/>
    </row>
    <row r="320" spans="1:68" ht="14.25" hidden="1" customHeight="1" x14ac:dyDescent="0.25">
      <c r="A320" s="665" t="s">
        <v>341</v>
      </c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"/>
      <c r="AB320" s="66"/>
      <c r="AC320" s="80"/>
    </row>
    <row r="321" spans="1:68" ht="27" customHeight="1" x14ac:dyDescent="0.25">
      <c r="A321" s="63" t="s">
        <v>535</v>
      </c>
      <c r="B321" s="63" t="s">
        <v>536</v>
      </c>
      <c r="C321" s="36">
        <v>4301041008</v>
      </c>
      <c r="D321" s="666">
        <v>4680115886681</v>
      </c>
      <c r="E321" s="666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8"/>
      <c r="R321" s="668"/>
      <c r="S321" s="668"/>
      <c r="T321" s="669"/>
      <c r="U321" s="39" t="s">
        <v>46</v>
      </c>
      <c r="V321" s="39" t="s">
        <v>46</v>
      </c>
      <c r="W321" s="40" t="s">
        <v>0</v>
      </c>
      <c r="X321" s="58">
        <v>12</v>
      </c>
      <c r="Y321" s="55">
        <f>IFERROR(IF(X321="",0,CEILING((X321/$H321),1)*$H321),"")</f>
        <v>12.6</v>
      </c>
      <c r="Z321" s="41">
        <f>IFERROR(IF(Y321=0,"",ROUNDUP(Y321/H321,0)*0.0059),"")</f>
        <v>4.1299999999999996E-2</v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13.166666666666668</v>
      </c>
      <c r="BN321" s="78">
        <f>IFERROR(Y321*I321/H321,"0")</f>
        <v>13.825000000000001</v>
      </c>
      <c r="BO321" s="78">
        <f>IFERROR(1/J321*(X321/H321),"0")</f>
        <v>3.0864197530864192E-2</v>
      </c>
      <c r="BP321" s="78">
        <f>IFERROR(1/J321*(Y321/H321),"0")</f>
        <v>3.2407407407407406E-2</v>
      </c>
    </row>
    <row r="322" spans="1:68" x14ac:dyDescent="0.2">
      <c r="A322" s="656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53" t="s">
        <v>40</v>
      </c>
      <c r="Q322" s="654"/>
      <c r="R322" s="654"/>
      <c r="S322" s="654"/>
      <c r="T322" s="654"/>
      <c r="U322" s="654"/>
      <c r="V322" s="655"/>
      <c r="W322" s="42" t="s">
        <v>39</v>
      </c>
      <c r="X322" s="43">
        <f>IFERROR(X321/H321,"0")</f>
        <v>6.6666666666666661</v>
      </c>
      <c r="Y322" s="43">
        <f>IFERROR(Y321/H321,"0")</f>
        <v>7</v>
      </c>
      <c r="Z322" s="43">
        <f>IFERROR(IF(Z321="",0,Z321),"0")</f>
        <v>4.1299999999999996E-2</v>
      </c>
      <c r="AA322" s="67"/>
      <c r="AB322" s="67"/>
      <c r="AC322" s="67"/>
    </row>
    <row r="323" spans="1:68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53" t="s">
        <v>40</v>
      </c>
      <c r="Q323" s="654"/>
      <c r="R323" s="654"/>
      <c r="S323" s="654"/>
      <c r="T323" s="654"/>
      <c r="U323" s="654"/>
      <c r="V323" s="655"/>
      <c r="W323" s="42" t="s">
        <v>0</v>
      </c>
      <c r="X323" s="43">
        <f>IFERROR(SUM(X321:X321),"0")</f>
        <v>12</v>
      </c>
      <c r="Y323" s="43">
        <f>IFERROR(SUM(Y321:Y321),"0")</f>
        <v>12.6</v>
      </c>
      <c r="Z323" s="42"/>
      <c r="AA323" s="67"/>
      <c r="AB323" s="67"/>
      <c r="AC323" s="67"/>
    </row>
    <row r="324" spans="1:68" ht="16.5" hidden="1" customHeight="1" x14ac:dyDescent="0.25">
      <c r="A324" s="672" t="s">
        <v>538</v>
      </c>
      <c r="B324" s="672"/>
      <c r="C324" s="672"/>
      <c r="D324" s="672"/>
      <c r="E324" s="672"/>
      <c r="F324" s="672"/>
      <c r="G324" s="672"/>
      <c r="H324" s="672"/>
      <c r="I324" s="672"/>
      <c r="J324" s="672"/>
      <c r="K324" s="672"/>
      <c r="L324" s="672"/>
      <c r="M324" s="672"/>
      <c r="N324" s="672"/>
      <c r="O324" s="672"/>
      <c r="P324" s="672"/>
      <c r="Q324" s="672"/>
      <c r="R324" s="672"/>
      <c r="S324" s="672"/>
      <c r="T324" s="672"/>
      <c r="U324" s="672"/>
      <c r="V324" s="672"/>
      <c r="W324" s="672"/>
      <c r="X324" s="672"/>
      <c r="Y324" s="672"/>
      <c r="Z324" s="672"/>
      <c r="AA324" s="65"/>
      <c r="AB324" s="65"/>
      <c r="AC324" s="79"/>
    </row>
    <row r="325" spans="1:68" ht="14.25" hidden="1" customHeight="1" x14ac:dyDescent="0.25">
      <c r="A325" s="665" t="s">
        <v>122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666">
        <v>4680115889637</v>
      </c>
      <c r="E326" s="666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8"/>
      <c r="R326" s="668"/>
      <c r="S326" s="668"/>
      <c r="T326" s="669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666">
        <v>4680115885837</v>
      </c>
      <c r="E327" s="666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8"/>
      <c r="R327" s="668"/>
      <c r="S327" s="668"/>
      <c r="T327" s="669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666">
        <v>4680115887237</v>
      </c>
      <c r="E328" s="666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8"/>
      <c r="R328" s="668"/>
      <c r="S328" s="668"/>
      <c r="T328" s="669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4301011850</v>
      </c>
      <c r="D329" s="666">
        <v>4680115885806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666">
        <v>4680115885844</v>
      </c>
      <c r="E330" s="666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666">
        <v>4680115885820</v>
      </c>
      <c r="E331" s="666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53" t="s">
        <v>40</v>
      </c>
      <c r="Q332" s="654"/>
      <c r="R332" s="654"/>
      <c r="S332" s="654"/>
      <c r="T332" s="654"/>
      <c r="U332" s="654"/>
      <c r="V332" s="655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672" t="s">
        <v>558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"/>
      <c r="AB334" s="65"/>
      <c r="AC334" s="79"/>
    </row>
    <row r="335" spans="1:68" ht="14.25" hidden="1" customHeight="1" x14ac:dyDescent="0.25">
      <c r="A335" s="665" t="s">
        <v>86</v>
      </c>
      <c r="B335" s="665"/>
      <c r="C335" s="665"/>
      <c r="D335" s="665"/>
      <c r="E335" s="665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666">
        <v>4680115886186</v>
      </c>
      <c r="E336" s="666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8"/>
      <c r="R336" s="668"/>
      <c r="S336" s="668"/>
      <c r="T336" s="669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562</v>
      </c>
      <c r="B337" s="63" t="s">
        <v>563</v>
      </c>
      <c r="C337" s="36">
        <v>4301051795</v>
      </c>
      <c r="D337" s="666">
        <v>4680115881228</v>
      </c>
      <c r="E337" s="666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8"/>
      <c r="R337" s="668"/>
      <c r="S337" s="668"/>
      <c r="T337" s="669"/>
      <c r="U337" s="39" t="s">
        <v>46</v>
      </c>
      <c r="V337" s="39" t="s">
        <v>46</v>
      </c>
      <c r="W337" s="40" t="s">
        <v>0</v>
      </c>
      <c r="X337" s="58">
        <v>100</v>
      </c>
      <c r="Y337" s="55">
        <f>IFERROR(IF(X337="",0,CEILING((X337/$H337),1)*$H337),"")</f>
        <v>100.8</v>
      </c>
      <c r="Z337" s="41">
        <f>IFERROR(IF(Y337=0,"",ROUNDUP(Y337/H337,0)*0.00651),"")</f>
        <v>0.27342</v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110.5</v>
      </c>
      <c r="BN337" s="78">
        <f>IFERROR(Y337*I337/H337,"0")</f>
        <v>111.384</v>
      </c>
      <c r="BO337" s="78">
        <f>IFERROR(1/J337*(X337/H337),"0")</f>
        <v>0.22893772893772898</v>
      </c>
      <c r="BP337" s="78">
        <f>IFERROR(1/J337*(Y337/H337),"0")</f>
        <v>0.23076923076923078</v>
      </c>
    </row>
    <row r="338" spans="1:68" ht="27" customHeight="1" x14ac:dyDescent="0.25">
      <c r="A338" s="63" t="s">
        <v>565</v>
      </c>
      <c r="B338" s="63" t="s">
        <v>566</v>
      </c>
      <c r="C338" s="36">
        <v>4301051388</v>
      </c>
      <c r="D338" s="666">
        <v>4680115881211</v>
      </c>
      <c r="E338" s="666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400</v>
      </c>
      <c r="Y338" s="55">
        <f>IFERROR(IF(X338="",0,CEILING((X338/$H338),1)*$H338),"")</f>
        <v>400.8</v>
      </c>
      <c r="Z338" s="41">
        <f>IFERROR(IF(Y338=0,"",ROUNDUP(Y338/H338,0)*0.00651),"")</f>
        <v>1.08717</v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430</v>
      </c>
      <c r="BN338" s="78">
        <f>IFERROR(Y338*I338/H338,"0")</f>
        <v>430.86000000000007</v>
      </c>
      <c r="BO338" s="78">
        <f>IFERROR(1/J338*(X338/H338),"0")</f>
        <v>0.91575091575091594</v>
      </c>
      <c r="BP338" s="78">
        <f>IFERROR(1/J338*(Y338/H338),"0")</f>
        <v>0.91758241758241765</v>
      </c>
    </row>
    <row r="339" spans="1:68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53" t="s">
        <v>40</v>
      </c>
      <c r="Q339" s="654"/>
      <c r="R339" s="654"/>
      <c r="S339" s="654"/>
      <c r="T339" s="654"/>
      <c r="U339" s="654"/>
      <c r="V339" s="655"/>
      <c r="W339" s="42" t="s">
        <v>39</v>
      </c>
      <c r="X339" s="43">
        <f>IFERROR(X336/H336,"0")+IFERROR(X337/H337,"0")+IFERROR(X338/H338,"0")</f>
        <v>208.33333333333337</v>
      </c>
      <c r="Y339" s="43">
        <f>IFERROR(Y336/H336,"0")+IFERROR(Y337/H337,"0")+IFERROR(Y338/H338,"0")</f>
        <v>209</v>
      </c>
      <c r="Z339" s="43">
        <f>IFERROR(IF(Z336="",0,Z336),"0")+IFERROR(IF(Z337="",0,Z337),"0")+IFERROR(IF(Z338="",0,Z338),"0")</f>
        <v>1.36059</v>
      </c>
      <c r="AA339" s="67"/>
      <c r="AB339" s="67"/>
      <c r="AC339" s="67"/>
    </row>
    <row r="340" spans="1:68" x14ac:dyDescent="0.2">
      <c r="A340" s="656"/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7"/>
      <c r="P340" s="653" t="s">
        <v>40</v>
      </c>
      <c r="Q340" s="654"/>
      <c r="R340" s="654"/>
      <c r="S340" s="654"/>
      <c r="T340" s="654"/>
      <c r="U340" s="654"/>
      <c r="V340" s="655"/>
      <c r="W340" s="42" t="s">
        <v>0</v>
      </c>
      <c r="X340" s="43">
        <f>IFERROR(SUM(X336:X338),"0")</f>
        <v>500</v>
      </c>
      <c r="Y340" s="43">
        <f>IFERROR(SUM(Y336:Y338),"0")</f>
        <v>501.6</v>
      </c>
      <c r="Z340" s="42"/>
      <c r="AA340" s="67"/>
      <c r="AB340" s="67"/>
      <c r="AC340" s="67"/>
    </row>
    <row r="341" spans="1:68" ht="16.5" hidden="1" customHeight="1" x14ac:dyDescent="0.25">
      <c r="A341" s="672" t="s">
        <v>567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5"/>
      <c r="AB341" s="65"/>
      <c r="AC341" s="79"/>
    </row>
    <row r="342" spans="1:68" ht="14.25" hidden="1" customHeight="1" x14ac:dyDescent="0.25">
      <c r="A342" s="665" t="s">
        <v>77</v>
      </c>
      <c r="B342" s="665"/>
      <c r="C342" s="665"/>
      <c r="D342" s="665"/>
      <c r="E342" s="665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666">
        <v>4680115888319</v>
      </c>
      <c r="E343" s="666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8"/>
      <c r="R343" s="668"/>
      <c r="S343" s="668"/>
      <c r="T343" s="669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666">
        <v>4680115884700</v>
      </c>
      <c r="E344" s="666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8"/>
      <c r="R344" s="668"/>
      <c r="S344" s="668"/>
      <c r="T344" s="669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666">
        <v>4680115880344</v>
      </c>
      <c r="E345" s="666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666">
        <v>4680115886919</v>
      </c>
      <c r="E346" s="666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666">
        <v>4680115883970</v>
      </c>
      <c r="E347" s="666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665" t="s">
        <v>86</v>
      </c>
      <c r="B350" s="665"/>
      <c r="C350" s="665"/>
      <c r="D350" s="665"/>
      <c r="E350" s="665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"/>
      <c r="AB350" s="66"/>
      <c r="AC350" s="80"/>
    </row>
    <row r="351" spans="1:68" ht="27" hidden="1" customHeight="1" x14ac:dyDescent="0.25">
      <c r="A351" s="63" t="s">
        <v>582</v>
      </c>
      <c r="B351" s="63" t="s">
        <v>583</v>
      </c>
      <c r="C351" s="36">
        <v>4301051782</v>
      </c>
      <c r="D351" s="666">
        <v>4680115884618</v>
      </c>
      <c r="E351" s="666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8"/>
      <c r="R351" s="668"/>
      <c r="S351" s="668"/>
      <c r="T351" s="669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666">
        <v>4680115887114</v>
      </c>
      <c r="E352" s="666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8"/>
      <c r="R352" s="668"/>
      <c r="S352" s="668"/>
      <c r="T352" s="669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hidden="1" x14ac:dyDescent="0.2">
      <c r="A354" s="656"/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7"/>
      <c r="P354" s="653" t="s">
        <v>40</v>
      </c>
      <c r="Q354" s="654"/>
      <c r="R354" s="654"/>
      <c r="S354" s="654"/>
      <c r="T354" s="654"/>
      <c r="U354" s="654"/>
      <c r="V354" s="655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hidden="1" customHeight="1" x14ac:dyDescent="0.25">
      <c r="A355" s="672" t="s">
        <v>588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"/>
      <c r="AB355" s="65"/>
      <c r="AC355" s="79"/>
    </row>
    <row r="356" spans="1:68" ht="14.25" hidden="1" customHeight="1" x14ac:dyDescent="0.25">
      <c r="A356" s="665" t="s">
        <v>122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"/>
      <c r="AB356" s="66"/>
      <c r="AC356" s="80"/>
    </row>
    <row r="357" spans="1:68" ht="27" customHeight="1" x14ac:dyDescent="0.25">
      <c r="A357" s="63" t="s">
        <v>589</v>
      </c>
      <c r="B357" s="63" t="s">
        <v>590</v>
      </c>
      <c r="C357" s="36">
        <v>4301012324</v>
      </c>
      <c r="D357" s="666">
        <v>4680115887947</v>
      </c>
      <c r="E357" s="666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8"/>
      <c r="R357" s="668"/>
      <c r="S357" s="668"/>
      <c r="T357" s="669"/>
      <c r="U357" s="39" t="s">
        <v>46</v>
      </c>
      <c r="V357" s="39" t="s">
        <v>46</v>
      </c>
      <c r="W357" s="40" t="s">
        <v>0</v>
      </c>
      <c r="X357" s="58">
        <v>350</v>
      </c>
      <c r="Y357" s="55">
        <f>IFERROR(IF(X357="",0,CEILING((X357/$H357),1)*$H357),"")</f>
        <v>351</v>
      </c>
      <c r="Z357" s="41">
        <f>IFERROR(IF(Y357=0,"",ROUNDUP(Y357/H357,0)*0.01898),"")</f>
        <v>0.85409999999999997</v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368.39743589743597</v>
      </c>
      <c r="BN357" s="78">
        <f>IFERROR(Y357*I357/H357,"0")</f>
        <v>369.45000000000005</v>
      </c>
      <c r="BO357" s="78">
        <f>IFERROR(1/J357*(X357/H357),"0")</f>
        <v>0.70112179487179493</v>
      </c>
      <c r="BP357" s="78">
        <f>IFERROR(1/J357*(Y357/H357),"0")</f>
        <v>0.703125</v>
      </c>
    </row>
    <row r="358" spans="1:68" ht="27" customHeight="1" x14ac:dyDescent="0.25">
      <c r="A358" s="63" t="s">
        <v>591</v>
      </c>
      <c r="B358" s="63" t="s">
        <v>592</v>
      </c>
      <c r="C358" s="36">
        <v>4301012325</v>
      </c>
      <c r="D358" s="666">
        <v>4680115887978</v>
      </c>
      <c r="E358" s="666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8"/>
      <c r="R358" s="668"/>
      <c r="S358" s="668"/>
      <c r="T358" s="669"/>
      <c r="U358" s="39" t="s">
        <v>46</v>
      </c>
      <c r="V358" s="39" t="s">
        <v>46</v>
      </c>
      <c r="W358" s="40" t="s">
        <v>0</v>
      </c>
      <c r="X358" s="58">
        <v>450</v>
      </c>
      <c r="Y358" s="55">
        <f>IFERROR(IF(X358="",0,CEILING((X358/$H358),1)*$H358),"")</f>
        <v>452.4</v>
      </c>
      <c r="Z358" s="41">
        <f>IFERROR(IF(Y358=0,"",ROUNDUP(Y358/H358,0)*0.01898),"")</f>
        <v>1.10084</v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473.65384615384625</v>
      </c>
      <c r="BN358" s="78">
        <f>IFERROR(Y358*I358/H358,"0")</f>
        <v>476.18</v>
      </c>
      <c r="BO358" s="78">
        <f>IFERROR(1/J358*(X358/H358),"0")</f>
        <v>0.90144230769230771</v>
      </c>
      <c r="BP358" s="78">
        <f>IFERROR(1/J358*(Y358/H358),"0")</f>
        <v>0.90625</v>
      </c>
    </row>
    <row r="359" spans="1:68" ht="27" customHeight="1" x14ac:dyDescent="0.25">
      <c r="A359" s="63" t="s">
        <v>594</v>
      </c>
      <c r="B359" s="63" t="s">
        <v>595</v>
      </c>
      <c r="C359" s="36">
        <v>4301012327</v>
      </c>
      <c r="D359" s="666">
        <v>4680115887992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200</v>
      </c>
      <c r="Y359" s="55">
        <f>IFERROR(IF(X359="",0,CEILING((X359/$H359),1)*$H359),"")</f>
        <v>202.79999999999998</v>
      </c>
      <c r="Z359" s="41">
        <f>IFERROR(IF(Y359=0,"",ROUNDUP(Y359/H359,0)*0.01898),"")</f>
        <v>0.49348000000000003</v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210.51282051282055</v>
      </c>
      <c r="BN359" s="78">
        <f>IFERROR(Y359*I359/H359,"0")</f>
        <v>213.46</v>
      </c>
      <c r="BO359" s="78">
        <f>IFERROR(1/J359*(X359/H359),"0")</f>
        <v>0.40064102564102566</v>
      </c>
      <c r="BP359" s="78">
        <f>IFERROR(1/J359*(Y359/H359),"0")</f>
        <v>0.40625</v>
      </c>
    </row>
    <row r="360" spans="1:68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53" t="s">
        <v>40</v>
      </c>
      <c r="Q360" s="654"/>
      <c r="R360" s="654"/>
      <c r="S360" s="654"/>
      <c r="T360" s="654"/>
      <c r="U360" s="654"/>
      <c r="V360" s="655"/>
      <c r="W360" s="42" t="s">
        <v>39</v>
      </c>
      <c r="X360" s="43">
        <f>IFERROR(X357/H357,"0")+IFERROR(X358/H358,"0")+IFERROR(X359/H359,"0")</f>
        <v>128.2051282051282</v>
      </c>
      <c r="Y360" s="43">
        <f>IFERROR(Y357/H357,"0")+IFERROR(Y358/H358,"0")+IFERROR(Y359/H359,"0")</f>
        <v>129</v>
      </c>
      <c r="Z360" s="43">
        <f>IFERROR(IF(Z357="",0,Z357),"0")+IFERROR(IF(Z358="",0,Z358),"0")+IFERROR(IF(Z359="",0,Z359),"0")</f>
        <v>2.44842</v>
      </c>
      <c r="AA360" s="67"/>
      <c r="AB360" s="67"/>
      <c r="AC360" s="67"/>
    </row>
    <row r="361" spans="1:68" x14ac:dyDescent="0.2">
      <c r="A361" s="656"/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7"/>
      <c r="P361" s="653" t="s">
        <v>40</v>
      </c>
      <c r="Q361" s="654"/>
      <c r="R361" s="654"/>
      <c r="S361" s="654"/>
      <c r="T361" s="654"/>
      <c r="U361" s="654"/>
      <c r="V361" s="655"/>
      <c r="W361" s="42" t="s">
        <v>0</v>
      </c>
      <c r="X361" s="43">
        <f>IFERROR(SUM(X357:X359),"0")</f>
        <v>1000</v>
      </c>
      <c r="Y361" s="43">
        <f>IFERROR(SUM(Y357:Y359),"0")</f>
        <v>1006.1999999999999</v>
      </c>
      <c r="Z361" s="42"/>
      <c r="AA361" s="67"/>
      <c r="AB361" s="67"/>
      <c r="AC361" s="67"/>
    </row>
    <row r="362" spans="1:68" ht="16.5" hidden="1" customHeight="1" x14ac:dyDescent="0.25">
      <c r="A362" s="672" t="s">
        <v>597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"/>
      <c r="AB362" s="65"/>
      <c r="AC362" s="79"/>
    </row>
    <row r="363" spans="1:68" ht="14.25" hidden="1" customHeight="1" x14ac:dyDescent="0.25">
      <c r="A363" s="665" t="s">
        <v>122</v>
      </c>
      <c r="B363" s="665"/>
      <c r="C363" s="665"/>
      <c r="D363" s="665"/>
      <c r="E363" s="66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666">
        <v>4680115889880</v>
      </c>
      <c r="E364" s="666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8"/>
      <c r="R364" s="668"/>
      <c r="S364" s="668"/>
      <c r="T364" s="669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customHeight="1" x14ac:dyDescent="0.25">
      <c r="A365" s="63" t="s">
        <v>600</v>
      </c>
      <c r="B365" s="63" t="s">
        <v>601</v>
      </c>
      <c r="C365" s="36">
        <v>4301012360</v>
      </c>
      <c r="D365" s="666">
        <v>4680115889293</v>
      </c>
      <c r="E365" s="666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8"/>
      <c r="R365" s="668"/>
      <c r="S365" s="668"/>
      <c r="T365" s="669"/>
      <c r="U365" s="39" t="s">
        <v>46</v>
      </c>
      <c r="V365" s="39" t="s">
        <v>46</v>
      </c>
      <c r="W365" s="40" t="s">
        <v>0</v>
      </c>
      <c r="X365" s="58">
        <v>20</v>
      </c>
      <c r="Y365" s="55">
        <f t="shared" si="58"/>
        <v>21.6</v>
      </c>
      <c r="Z365" s="41">
        <f>IFERROR(IF(Y365=0,"",ROUNDUP(Y365/H365,0)*0.01898),"")</f>
        <v>3.7960000000000001E-2</v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20.75925925925926</v>
      </c>
      <c r="BN365" s="78">
        <f t="shared" si="60"/>
        <v>22.42</v>
      </c>
      <c r="BO365" s="78">
        <f t="shared" si="61"/>
        <v>2.8935185185185182E-2</v>
      </c>
      <c r="BP365" s="78">
        <f t="shared" si="62"/>
        <v>3.125E-2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IFERROR(X364/H364,"0")+IFERROR(X365/H365,"0")+IFERROR(X366/H366,"0")+IFERROR(X367/H367,"0")+IFERROR(X368/H368,"0")+IFERROR(X369/H369,"0")+IFERROR(X370/H370,"0")</f>
        <v>1.8518518518518516</v>
      </c>
      <c r="Y371" s="43">
        <f>IFERROR(Y364/H364,"0")+IFERROR(Y365/H365,"0")+IFERROR(Y366/H366,"0")+IFERROR(Y367/H367,"0")+IFERROR(Y368/H368,"0")+IFERROR(Y369/H369,"0")+IFERROR(Y370/H370,"0")</f>
        <v>2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3.7960000000000001E-2</v>
      </c>
      <c r="AA371" s="67"/>
      <c r="AB371" s="67"/>
      <c r="AC371" s="67"/>
    </row>
    <row r="372" spans="1:68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IFERROR(SUM(X364:X370),"0")</f>
        <v>20</v>
      </c>
      <c r="Y372" s="43">
        <f>IFERROR(SUM(Y364:Y370),"0")</f>
        <v>21.6</v>
      </c>
      <c r="Z372" s="42"/>
      <c r="AA372" s="67"/>
      <c r="AB372" s="67"/>
      <c r="AC372" s="67"/>
    </row>
    <row r="373" spans="1:68" ht="14.25" hidden="1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hidden="1" customHeight="1" x14ac:dyDescent="0.25">
      <c r="A374" s="63" t="s">
        <v>617</v>
      </c>
      <c r="B374" s="63" t="s">
        <v>618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63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0</v>
      </c>
      <c r="BN374" s="78">
        <f t="shared" ref="BN374:BN380" si="65">IFERROR(Y374*I374/H374,"0")</f>
        <v>0</v>
      </c>
      <c r="BO374" s="78">
        <f t="shared" ref="BO374:BO380" si="66">IFERROR(1/J374*(X374/H374),"0")</f>
        <v>0</v>
      </c>
      <c r="BP374" s="78">
        <f t="shared" ref="BP374:BP380" si="67">IFERROR(1/J374*(Y374/H374),"0")</f>
        <v>0</v>
      </c>
    </row>
    <row r="375" spans="1:68" ht="27" hidden="1" customHeight="1" x14ac:dyDescent="0.25">
      <c r="A375" s="63" t="s">
        <v>620</v>
      </c>
      <c r="B375" s="63" t="s">
        <v>621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628</v>
      </c>
      <c r="B378" s="63" t="s">
        <v>629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280</v>
      </c>
      <c r="Y378" s="55">
        <f t="shared" si="63"/>
        <v>281.40000000000003</v>
      </c>
      <c r="Z378" s="41">
        <f>IFERROR(IF(Y378=0,"",ROUNDUP(Y378/H378,0)*0.00502),"")</f>
        <v>0.67268000000000006</v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293.33333333333331</v>
      </c>
      <c r="BN378" s="78">
        <f t="shared" si="65"/>
        <v>294.80000000000007</v>
      </c>
      <c r="BO378" s="78">
        <f t="shared" si="66"/>
        <v>0.56980056980056981</v>
      </c>
      <c r="BP378" s="78">
        <f t="shared" si="67"/>
        <v>0.57264957264957272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customHeight="1" x14ac:dyDescent="0.25">
      <c r="A380" s="63" t="s">
        <v>633</v>
      </c>
      <c r="B380" s="63" t="s">
        <v>634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45</v>
      </c>
      <c r="Y380" s="55">
        <f t="shared" si="63"/>
        <v>45</v>
      </c>
      <c r="Z380" s="41">
        <f>IFERROR(IF(Y380=0,"",ROUNDUP(Y380/H380,0)*0.00651),"")</f>
        <v>0.16275000000000001</v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50.7</v>
      </c>
      <c r="BN380" s="78">
        <f t="shared" si="65"/>
        <v>50.7</v>
      </c>
      <c r="BO380" s="78">
        <f t="shared" si="66"/>
        <v>0.13736263736263737</v>
      </c>
      <c r="BP380" s="78">
        <f t="shared" si="67"/>
        <v>0.13736263736263737</v>
      </c>
    </row>
    <row r="381" spans="1:68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158.33333333333331</v>
      </c>
      <c r="Y381" s="43">
        <f>IFERROR(Y374/H374,"0")+IFERROR(Y375/H375,"0")+IFERROR(Y376/H376,"0")+IFERROR(Y377/H377,"0")+IFERROR(Y378/H378,"0")+IFERROR(Y379/H379,"0")+IFERROR(Y380/H380,"0")</f>
        <v>159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0.83543000000000012</v>
      </c>
      <c r="AA381" s="67"/>
      <c r="AB381" s="67"/>
      <c r="AC381" s="67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325</v>
      </c>
      <c r="Y382" s="43">
        <f>IFERROR(SUM(Y374:Y380),"0")</f>
        <v>326.40000000000003</v>
      </c>
      <c r="Z382" s="42"/>
      <c r="AA382" s="67"/>
      <c r="AB382" s="67"/>
      <c r="AC382" s="67"/>
    </row>
    <row r="383" spans="1:68" ht="14.25" hidden="1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hidden="1" customHeight="1" x14ac:dyDescent="0.25">
      <c r="A384" s="63" t="s">
        <v>636</v>
      </c>
      <c r="B384" s="63" t="s">
        <v>637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65" t="s">
        <v>178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customHeight="1" x14ac:dyDescent="0.25">
      <c r="A391" s="63" t="s">
        <v>647</v>
      </c>
      <c r="B391" s="63" t="s">
        <v>648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280</v>
      </c>
      <c r="Y391" s="55">
        <f>IFERROR(IF(X391="",0,CEILING((X391/$H391),1)*$H391),"")</f>
        <v>285.60000000000002</v>
      </c>
      <c r="Z391" s="41">
        <f>IFERROR(IF(Y391=0,"",ROUNDUP(Y391/H391,0)*0.01898),"")</f>
        <v>0.64532</v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296.4666666666667</v>
      </c>
      <c r="BN391" s="78">
        <f>IFERROR(Y391*I391/H391,"0")</f>
        <v>302.39600000000002</v>
      </c>
      <c r="BO391" s="78">
        <f>IFERROR(1/J391*(X391/H391),"0")</f>
        <v>0.52083333333333326</v>
      </c>
      <c r="BP391" s="78">
        <f>IFERROR(1/J391*(Y391/H391),"0")</f>
        <v>0.53125</v>
      </c>
    </row>
    <row r="392" spans="1:68" ht="27" customHeight="1" x14ac:dyDescent="0.25">
      <c r="A392" s="63" t="s">
        <v>650</v>
      </c>
      <c r="B392" s="63" t="s">
        <v>651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300</v>
      </c>
      <c r="Y392" s="55">
        <f>IFERROR(IF(X392="",0,CEILING((X392/$H392),1)*$H392),"")</f>
        <v>304.2</v>
      </c>
      <c r="Z392" s="41">
        <f>IFERROR(IF(Y392=0,"",ROUNDUP(Y392/H392,0)*0.01898),"")</f>
        <v>0.74021999999999999</v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319.00000000000006</v>
      </c>
      <c r="BN392" s="78">
        <f>IFERROR(Y392*I392/H392,"0")</f>
        <v>323.46600000000001</v>
      </c>
      <c r="BO392" s="78">
        <f>IFERROR(1/J392*(X392/H392),"0")</f>
        <v>0.60096153846153844</v>
      </c>
      <c r="BP392" s="78">
        <f>IFERROR(1/J392*(Y392/H392),"0")</f>
        <v>0.609375</v>
      </c>
    </row>
    <row r="393" spans="1:68" ht="27" customHeight="1" x14ac:dyDescent="0.25">
      <c r="A393" s="63" t="s">
        <v>653</v>
      </c>
      <c r="B393" s="63" t="s">
        <v>654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70</v>
      </c>
      <c r="Y393" s="55">
        <f>IFERROR(IF(X393="",0,CEILING((X393/$H393),1)*$H393),"")</f>
        <v>75.600000000000009</v>
      </c>
      <c r="Z393" s="41">
        <f>IFERROR(IF(Y393=0,"",ROUNDUP(Y393/H393,0)*0.01898),"")</f>
        <v>0.17082</v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74.116666666666674</v>
      </c>
      <c r="BN393" s="78">
        <f>IFERROR(Y393*I393/H393,"0")</f>
        <v>80.046000000000006</v>
      </c>
      <c r="BO393" s="78">
        <f>IFERROR(1/J393*(X393/H393),"0")</f>
        <v>0.13020833333333331</v>
      </c>
      <c r="BP393" s="78">
        <f>IFERROR(1/J393*(Y393/H393),"0")</f>
        <v>0.140625</v>
      </c>
    </row>
    <row r="394" spans="1:68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80.128205128205124</v>
      </c>
      <c r="Y394" s="43">
        <f>IFERROR(Y391/H391,"0")+IFERROR(Y392/H392,"0")+IFERROR(Y393/H393,"0")</f>
        <v>82</v>
      </c>
      <c r="Z394" s="43">
        <f>IFERROR(IF(Z391="",0,Z391),"0")+IFERROR(IF(Z392="",0,Z392),"0")+IFERROR(IF(Z393="",0,Z393),"0")</f>
        <v>1.55636</v>
      </c>
      <c r="AA394" s="67"/>
      <c r="AB394" s="67"/>
      <c r="AC394" s="67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650</v>
      </c>
      <c r="Y395" s="43">
        <f>IFERROR(SUM(Y391:Y393),"0")</f>
        <v>665.4</v>
      </c>
      <c r="Z395" s="42"/>
      <c r="AA395" s="67"/>
      <c r="AB395" s="67"/>
      <c r="AC395" s="67"/>
    </row>
    <row r="396" spans="1:68" ht="14.25" hidden="1" customHeight="1" x14ac:dyDescent="0.25">
      <c r="A396" s="665" t="s">
        <v>277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customHeight="1" x14ac:dyDescent="0.25">
      <c r="A397" s="63" t="s">
        <v>656</v>
      </c>
      <c r="B397" s="63" t="s">
        <v>657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30</v>
      </c>
      <c r="Y397" s="55">
        <f>IFERROR(IF(X397="",0,CEILING((X397/$H397),1)*$H397),"")</f>
        <v>30.4</v>
      </c>
      <c r="Z397" s="41">
        <f>IFERROR(IF(Y397=0,"",ROUNDUP(Y397/H397,0)*0.00902),"")</f>
        <v>9.0200000000000002E-2</v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32.664473684210527</v>
      </c>
      <c r="BN397" s="78">
        <f>IFERROR(Y397*I397/H397,"0")</f>
        <v>33.1</v>
      </c>
      <c r="BO397" s="78">
        <f>IFERROR(1/J397*(X397/H397),"0")</f>
        <v>7.4760765550239236E-2</v>
      </c>
      <c r="BP397" s="78">
        <f>IFERROR(1/J397*(Y397/H397),"0")</f>
        <v>7.575757575757576E-2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9.8684210526315788</v>
      </c>
      <c r="Y401" s="43">
        <f>IFERROR(Y397/H397,"0")+IFERROR(Y398/H398,"0")+IFERROR(Y399/H399,"0")+IFERROR(Y400/H400,"0")</f>
        <v>10</v>
      </c>
      <c r="Z401" s="43">
        <f>IFERROR(IF(Z397="",0,Z397),"0")+IFERROR(IF(Z398="",0,Z398),"0")+IFERROR(IF(Z399="",0,Z399),"0")+IFERROR(IF(Z400="",0,Z400),"0")</f>
        <v>9.0200000000000002E-2</v>
      </c>
      <c r="AA401" s="67"/>
      <c r="AB401" s="67"/>
      <c r="AC401" s="67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30</v>
      </c>
      <c r="Y402" s="43">
        <f>IFERROR(SUM(Y397:Y400),"0")</f>
        <v>30.4</v>
      </c>
      <c r="Z402" s="42"/>
      <c r="AA402" s="67"/>
      <c r="AB402" s="67"/>
      <c r="AC402" s="67"/>
    </row>
    <row r="403" spans="1:68" ht="14.25" hidden="1" customHeight="1" x14ac:dyDescent="0.25">
      <c r="A403" s="665" t="s">
        <v>665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672</v>
      </c>
      <c r="B406" s="63" t="s">
        <v>673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665" t="s">
        <v>674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690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hidden="1" customHeight="1" x14ac:dyDescent="0.25">
      <c r="A423" s="63" t="s">
        <v>691</v>
      </c>
      <c r="B423" s="63" t="s">
        <v>692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694</v>
      </c>
      <c r="B424" s="63" t="s">
        <v>695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697</v>
      </c>
      <c r="B425" s="63" t="s">
        <v>698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350</v>
      </c>
      <c r="Y425" s="55">
        <f>IFERROR(IF(X425="",0,CEILING((X425/$H425),1)*$H425),"")</f>
        <v>350.7</v>
      </c>
      <c r="Z425" s="41">
        <f>IFERROR(IF(Y425=0,"",ROUNDUP(Y425/H425,0)*0.00651),"")</f>
        <v>1.08717</v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390</v>
      </c>
      <c r="BN425" s="78">
        <f>IFERROR(Y425*I425/H425,"0")</f>
        <v>390.78</v>
      </c>
      <c r="BO425" s="78">
        <f>IFERROR(1/J425*(X425/H425),"0")</f>
        <v>0.91575091575091572</v>
      </c>
      <c r="BP425" s="78">
        <f>IFERROR(1/J425*(Y425/H425),"0")</f>
        <v>0.91758241758241765</v>
      </c>
    </row>
    <row r="426" spans="1:68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166.66666666666666</v>
      </c>
      <c r="Y426" s="43">
        <f>IFERROR(Y423/H423,"0")+IFERROR(Y424/H424,"0")+IFERROR(Y425/H425,"0")</f>
        <v>167</v>
      </c>
      <c r="Z426" s="43">
        <f>IFERROR(IF(Z423="",0,Z423),"0")+IFERROR(IF(Z424="",0,Z424),"0")+IFERROR(IF(Z425="",0,Z425),"0")</f>
        <v>1.08717</v>
      </c>
      <c r="AA426" s="67"/>
      <c r="AB426" s="67"/>
      <c r="AC426" s="67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350</v>
      </c>
      <c r="Y427" s="43">
        <f>IFERROR(SUM(Y423:Y425),"0")</f>
        <v>350.7</v>
      </c>
      <c r="Z427" s="42"/>
      <c r="AA427" s="67"/>
      <c r="AB427" s="67"/>
      <c r="AC427" s="67"/>
    </row>
    <row r="428" spans="1:68" ht="27.75" hidden="1" customHeight="1" x14ac:dyDescent="0.2">
      <c r="A428" s="683" t="s">
        <v>700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701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customHeight="1" x14ac:dyDescent="0.25">
      <c r="A431" s="63" t="s">
        <v>702</v>
      </c>
      <c r="B431" s="63" t="s">
        <v>703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250</v>
      </c>
      <c r="Y431" s="55">
        <f t="shared" ref="Y431:Y438" si="68">IFERROR(IF(X431="",0,CEILING((X431/$H431),1)*$H431),"")</f>
        <v>255</v>
      </c>
      <c r="Z431" s="41">
        <f>IFERROR(IF(Y431=0,"",ROUNDUP(Y431/H431,0)*0.02175),"")</f>
        <v>0.36974999999999997</v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257.83333333333331</v>
      </c>
      <c r="BN431" s="78">
        <f t="shared" ref="BN431:BN438" si="70">IFERROR(Y431*I431/H431,"0")</f>
        <v>262.99</v>
      </c>
      <c r="BO431" s="78">
        <f t="shared" ref="BO431:BO438" si="71">IFERROR(1/J431*(X431/H431),"0")</f>
        <v>0.34722222222222221</v>
      </c>
      <c r="BP431" s="78">
        <f t="shared" ref="BP431:BP438" si="72">IFERROR(1/J431*(Y431/H431),"0")</f>
        <v>0.35416666666666663</v>
      </c>
    </row>
    <row r="432" spans="1:68" ht="37.5" customHeight="1" x14ac:dyDescent="0.25">
      <c r="A432" s="63" t="s">
        <v>705</v>
      </c>
      <c r="B432" s="63" t="s">
        <v>706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800</v>
      </c>
      <c r="Y432" s="55">
        <f t="shared" si="68"/>
        <v>810</v>
      </c>
      <c r="Z432" s="41">
        <f>IFERROR(IF(Y432=0,"",ROUNDUP(Y432/H432,0)*0.02175),"")</f>
        <v>1.1744999999999999</v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825.06666666666672</v>
      </c>
      <c r="BN432" s="78">
        <f t="shared" si="70"/>
        <v>835.38</v>
      </c>
      <c r="BO432" s="78">
        <f t="shared" si="71"/>
        <v>1.1111111111111112</v>
      </c>
      <c r="BP432" s="78">
        <f t="shared" si="72"/>
        <v>1.125</v>
      </c>
    </row>
    <row r="433" spans="1:68" ht="27" customHeight="1" x14ac:dyDescent="0.25">
      <c r="A433" s="63" t="s">
        <v>708</v>
      </c>
      <c r="B433" s="63" t="s">
        <v>709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600</v>
      </c>
      <c r="Y433" s="55">
        <f t="shared" si="68"/>
        <v>600</v>
      </c>
      <c r="Z433" s="41">
        <f>IFERROR(IF(Y433=0,"",ROUNDUP(Y433/H433,0)*0.02175),"")</f>
        <v>0.86999999999999988</v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618.79999999999995</v>
      </c>
      <c r="BN433" s="78">
        <f t="shared" si="70"/>
        <v>618.79999999999995</v>
      </c>
      <c r="BO433" s="78">
        <f t="shared" si="71"/>
        <v>0.83333333333333326</v>
      </c>
      <c r="BP433" s="78">
        <f t="shared" si="72"/>
        <v>0.83333333333333326</v>
      </c>
    </row>
    <row r="434" spans="1:68" ht="27" customHeight="1" x14ac:dyDescent="0.25">
      <c r="A434" s="63" t="s">
        <v>711</v>
      </c>
      <c r="B434" s="63" t="s">
        <v>712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600</v>
      </c>
      <c r="Y434" s="55">
        <f t="shared" si="68"/>
        <v>600</v>
      </c>
      <c r="Z434" s="41">
        <f>IFERROR(IF(Y434=0,"",ROUNDUP(Y434/H434,0)*0.02175),"")</f>
        <v>0.86999999999999988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618.79999999999995</v>
      </c>
      <c r="BN434" s="78">
        <f t="shared" si="70"/>
        <v>618.79999999999995</v>
      </c>
      <c r="BO434" s="78">
        <f t="shared" si="71"/>
        <v>0.83333333333333326</v>
      </c>
      <c r="BP434" s="78">
        <f t="shared" si="72"/>
        <v>0.83333333333333326</v>
      </c>
    </row>
    <row r="435" spans="1:68" ht="27" customHeight="1" x14ac:dyDescent="0.25">
      <c r="A435" s="63" t="s">
        <v>714</v>
      </c>
      <c r="B435" s="63" t="s">
        <v>715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400</v>
      </c>
      <c r="Y435" s="55">
        <f t="shared" si="68"/>
        <v>405</v>
      </c>
      <c r="Z435" s="41">
        <f>IFERROR(IF(Y435=0,"",ROUNDUP(Y435/H435,0)*0.02175),"")</f>
        <v>0.58724999999999994</v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412.53333333333336</v>
      </c>
      <c r="BN435" s="78">
        <f t="shared" si="70"/>
        <v>417.69</v>
      </c>
      <c r="BO435" s="78">
        <f t="shared" si="71"/>
        <v>0.55555555555555558</v>
      </c>
      <c r="BP435" s="78">
        <f t="shared" si="72"/>
        <v>0.5625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hidden="1" customHeight="1" x14ac:dyDescent="0.25">
      <c r="A438" s="63" t="s">
        <v>723</v>
      </c>
      <c r="B438" s="63" t="s">
        <v>724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176.66666666666666</v>
      </c>
      <c r="Y439" s="43">
        <f>IFERROR(Y431/H431,"0")+IFERROR(Y432/H432,"0")+IFERROR(Y433/H433,"0")+IFERROR(Y434/H434,"0")+IFERROR(Y435/H435,"0")+IFERROR(Y436/H436,"0")+IFERROR(Y437/H437,"0")+IFERROR(Y438/H438,"0")</f>
        <v>178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3.8715000000000002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2650</v>
      </c>
      <c r="Y440" s="43">
        <f>IFERROR(SUM(Y431:Y438),"0")</f>
        <v>2670</v>
      </c>
      <c r="Z440" s="42"/>
      <c r="AA440" s="67"/>
      <c r="AB440" s="67"/>
      <c r="AC440" s="67"/>
    </row>
    <row r="441" spans="1:68" ht="14.25" hidden="1" customHeight="1" x14ac:dyDescent="0.25">
      <c r="A441" s="665" t="s">
        <v>159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customHeight="1" x14ac:dyDescent="0.25">
      <c r="A442" s="63" t="s">
        <v>726</v>
      </c>
      <c r="B442" s="63" t="s">
        <v>727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1000</v>
      </c>
      <c r="Y442" s="55">
        <f>IFERROR(IF(X442="",0,CEILING((X442/$H442),1)*$H442),"")</f>
        <v>1005</v>
      </c>
      <c r="Z442" s="41">
        <f>IFERROR(IF(Y442=0,"",ROUNDUP(Y442/H442,0)*0.02175),"")</f>
        <v>1.4572499999999999</v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1031.3333333333333</v>
      </c>
      <c r="BN442" s="78">
        <f>IFERROR(Y442*I442/H442,"0")</f>
        <v>1036.49</v>
      </c>
      <c r="BO442" s="78">
        <f>IFERROR(1/J442*(X442/H442),"0")</f>
        <v>1.3888888888888888</v>
      </c>
      <c r="BP442" s="78">
        <f>IFERROR(1/J442*(Y442/H442),"0")</f>
        <v>1.3958333333333333</v>
      </c>
    </row>
    <row r="443" spans="1:68" ht="27" customHeight="1" x14ac:dyDescent="0.25">
      <c r="A443" s="63" t="s">
        <v>729</v>
      </c>
      <c r="B443" s="63" t="s">
        <v>730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220</v>
      </c>
      <c r="Y443" s="55">
        <f>IFERROR(IF(X443="",0,CEILING((X443/$H443),1)*$H443),"")</f>
        <v>225</v>
      </c>
      <c r="Z443" s="41">
        <f>IFERROR(IF(Y443=0,"",ROUNDUP(Y443/H443,0)*0.02175),"")</f>
        <v>0.32624999999999998</v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226.89333333333335</v>
      </c>
      <c r="BN443" s="78">
        <f>IFERROR(Y443*I443/H443,"0")</f>
        <v>232.05</v>
      </c>
      <c r="BO443" s="78">
        <f>IFERROR(1/J443*(X443/H443),"0")</f>
        <v>0.30555555555555552</v>
      </c>
      <c r="BP443" s="78">
        <f>IFERROR(1/J443*(Y443/H443),"0")</f>
        <v>0.3125</v>
      </c>
    </row>
    <row r="444" spans="1:68" ht="27" hidden="1" customHeight="1" x14ac:dyDescent="0.25">
      <c r="A444" s="63" t="s">
        <v>732</v>
      </c>
      <c r="B444" s="63" t="s">
        <v>733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81.333333333333343</v>
      </c>
      <c r="Y445" s="43">
        <f>IFERROR(Y442/H442,"0")+IFERROR(Y443/H443,"0")+IFERROR(Y444/H444,"0")</f>
        <v>82</v>
      </c>
      <c r="Z445" s="43">
        <f>IFERROR(IF(Z442="",0,Z442),"0")+IFERROR(IF(Z443="",0,Z443),"0")+IFERROR(IF(Z444="",0,Z444),"0")</f>
        <v>1.7834999999999999</v>
      </c>
      <c r="AA445" s="67"/>
      <c r="AB445" s="67"/>
      <c r="AC445" s="67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1220</v>
      </c>
      <c r="Y446" s="43">
        <f>IFERROR(SUM(Y442:Y444),"0")</f>
        <v>1230</v>
      </c>
      <c r="Z446" s="42"/>
      <c r="AA446" s="67"/>
      <c r="AB446" s="67"/>
      <c r="AC446" s="67"/>
    </row>
    <row r="447" spans="1:68" ht="14.25" hidden="1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hidden="1" customHeight="1" x14ac:dyDescent="0.25">
      <c r="A448" s="63" t="s">
        <v>735</v>
      </c>
      <c r="B448" s="63" t="s">
        <v>736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738</v>
      </c>
      <c r="B449" s="63" t="s">
        <v>739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30</v>
      </c>
      <c r="Y449" s="55">
        <f>IFERROR(IF(X449="",0,CEILING((X449/$H449),1)*$H449),"")</f>
        <v>36</v>
      </c>
      <c r="Z449" s="41">
        <f>IFERROR(IF(Y449=0,"",ROUNDUP(Y449/H449,0)*0.01898),"")</f>
        <v>7.5920000000000001E-2</v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31.646666666666665</v>
      </c>
      <c r="BN449" s="78">
        <f>IFERROR(Y449*I449/H449,"0")</f>
        <v>37.975999999999999</v>
      </c>
      <c r="BO449" s="78">
        <f>IFERROR(1/J449*(X449/H449),"0")</f>
        <v>5.2083333333333336E-2</v>
      </c>
      <c r="BP449" s="78">
        <f>IFERROR(1/J449*(Y449/H449),"0")</f>
        <v>6.25E-2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3.3333333333333335</v>
      </c>
      <c r="Y451" s="43">
        <f>IFERROR(Y448/H448,"0")+IFERROR(Y449/H449,"0")+IFERROR(Y450/H450,"0")</f>
        <v>4</v>
      </c>
      <c r="Z451" s="43">
        <f>IFERROR(IF(Z448="",0,Z448),"0")+IFERROR(IF(Z449="",0,Z449),"0")+IFERROR(IF(Z450="",0,Z450),"0")</f>
        <v>7.5920000000000001E-2</v>
      </c>
      <c r="AA451" s="67"/>
      <c r="AB451" s="67"/>
      <c r="AC451" s="67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30</v>
      </c>
      <c r="Y452" s="43">
        <f>IFERROR(SUM(Y448:Y450),"0")</f>
        <v>36</v>
      </c>
      <c r="Z452" s="42"/>
      <c r="AA452" s="67"/>
      <c r="AB452" s="67"/>
      <c r="AC452" s="67"/>
    </row>
    <row r="453" spans="1:68" ht="14.25" hidden="1" customHeight="1" x14ac:dyDescent="0.25">
      <c r="A453" s="665" t="s">
        <v>178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747</v>
      </c>
      <c r="B455" s="63" t="s">
        <v>748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672" t="s">
        <v>750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customHeight="1" x14ac:dyDescent="0.25">
      <c r="A460" s="63" t="s">
        <v>751</v>
      </c>
      <c r="B460" s="63" t="s">
        <v>752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30</v>
      </c>
      <c r="Y460" s="55">
        <f>IFERROR(IF(X460="",0,CEILING((X460/$H460),1)*$H460),"")</f>
        <v>36</v>
      </c>
      <c r="Z460" s="41">
        <f>IFERROR(IF(Y460=0,"",ROUNDUP(Y460/H460,0)*0.01898),"")</f>
        <v>5.6940000000000004E-2</v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31.025000000000002</v>
      </c>
      <c r="BN460" s="78">
        <f>IFERROR(Y460*I460/H460,"0")</f>
        <v>37.229999999999997</v>
      </c>
      <c r="BO460" s="78">
        <f>IFERROR(1/J460*(X460/H460),"0")</f>
        <v>3.90625E-2</v>
      </c>
      <c r="BP460" s="78">
        <f>IFERROR(1/J460*(Y460/H460),"0")</f>
        <v>4.6875E-2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2.5</v>
      </c>
      <c r="Y462" s="43">
        <f>IFERROR(Y460/H460,"0")+IFERROR(Y461/H461,"0")</f>
        <v>3</v>
      </c>
      <c r="Z462" s="43">
        <f>IFERROR(IF(Z460="",0,Z460),"0")+IFERROR(IF(Z461="",0,Z461),"0")</f>
        <v>5.6940000000000004E-2</v>
      </c>
      <c r="AA462" s="67"/>
      <c r="AB462" s="67"/>
      <c r="AC462" s="67"/>
    </row>
    <row r="463" spans="1:68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30</v>
      </c>
      <c r="Y463" s="43">
        <f>IFERROR(SUM(Y460:Y461),"0")</f>
        <v>36</v>
      </c>
      <c r="Z463" s="42"/>
      <c r="AA463" s="67"/>
      <c r="AB463" s="67"/>
      <c r="AC463" s="67"/>
    </row>
    <row r="464" spans="1:68" ht="14.25" hidden="1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hidden="1" customHeight="1" x14ac:dyDescent="0.25">
      <c r="A469" s="63" t="s">
        <v>759</v>
      </c>
      <c r="B469" s="63" t="s">
        <v>760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683" t="s">
        <v>766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767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hidden="1" customHeight="1" x14ac:dyDescent="0.25">
      <c r="A477" s="63" t="s">
        <v>768</v>
      </c>
      <c r="B477" s="63" t="s">
        <v>769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73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0</v>
      </c>
      <c r="BN477" s="78">
        <f t="shared" ref="BN477:BN482" si="75">IFERROR(Y477*I477/H477,"0")</f>
        <v>0</v>
      </c>
      <c r="BO477" s="78">
        <f t="shared" ref="BO477:BO482" si="76">IFERROR(1/J477*(X477/H477),"0")</f>
        <v>0</v>
      </c>
      <c r="BP477" s="78">
        <f t="shared" ref="BP477:BP482" si="77">IFERROR(1/J477*(Y477/H477),"0")</f>
        <v>0</v>
      </c>
    </row>
    <row r="478" spans="1:68" ht="27" hidden="1" customHeight="1" x14ac:dyDescent="0.25">
      <c r="A478" s="63" t="s">
        <v>771</v>
      </c>
      <c r="B478" s="63" t="s">
        <v>772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hidden="1" customHeight="1" x14ac:dyDescent="0.25">
      <c r="A482" s="63" t="s">
        <v>782</v>
      </c>
      <c r="B482" s="63" t="s">
        <v>783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790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159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hidden="1" customHeight="1" x14ac:dyDescent="0.25">
      <c r="A496" s="63" t="s">
        <v>794</v>
      </c>
      <c r="B496" s="63" t="s">
        <v>795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83" t="s">
        <v>802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802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customHeight="1" x14ac:dyDescent="0.25">
      <c r="A504" s="63" t="s">
        <v>803</v>
      </c>
      <c r="B504" s="63" t="s">
        <v>804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30</v>
      </c>
      <c r="Y504" s="55">
        <f t="shared" ref="Y504:Y512" si="78">IFERROR(IF(X504="",0,CEILING((X504/$H504),1)*$H504),"")</f>
        <v>31.68</v>
      </c>
      <c r="Z504" s="41">
        <f t="shared" ref="Z504:Z509" si="79">IFERROR(IF(Y504=0,"",ROUNDUP(Y504/H504,0)*0.01196),"")</f>
        <v>7.1760000000000004E-2</v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31.988636363636363</v>
      </c>
      <c r="BN504" s="78">
        <f t="shared" ref="BN504:BN512" si="81">IFERROR(Y504*I504/H504,"0")</f>
        <v>33.779999999999994</v>
      </c>
      <c r="BO504" s="78">
        <f t="shared" ref="BO504:BO512" si="82">IFERROR(1/J504*(X504/H504),"0")</f>
        <v>5.4632867132867136E-2</v>
      </c>
      <c r="BP504" s="78">
        <f t="shared" ref="BP504:BP512" si="83">IFERROR(1/J504*(Y504/H504),"0")</f>
        <v>5.7692307692307696E-2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40</v>
      </c>
      <c r="Y507" s="55">
        <f t="shared" si="78"/>
        <v>42.24</v>
      </c>
      <c r="Z507" s="41">
        <f t="shared" si="79"/>
        <v>9.5680000000000001E-2</v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42.651515151515149</v>
      </c>
      <c r="BN507" s="78">
        <f t="shared" si="81"/>
        <v>45.04</v>
      </c>
      <c r="BO507" s="78">
        <f t="shared" si="82"/>
        <v>7.2843822843822847E-2</v>
      </c>
      <c r="BP507" s="78">
        <f t="shared" si="83"/>
        <v>7.6923076923076927E-2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220</v>
      </c>
      <c r="Y509" s="55">
        <f t="shared" si="78"/>
        <v>221.76000000000002</v>
      </c>
      <c r="Z509" s="41">
        <f t="shared" si="79"/>
        <v>0.50231999999999999</v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234.58333333333331</v>
      </c>
      <c r="BN509" s="78">
        <f t="shared" si="81"/>
        <v>236.46</v>
      </c>
      <c r="BO509" s="78">
        <f t="shared" si="82"/>
        <v>0.40064102564102566</v>
      </c>
      <c r="BP509" s="78">
        <f t="shared" si="83"/>
        <v>0.40384615384615385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customHeight="1" x14ac:dyDescent="0.25">
      <c r="A511" s="63" t="s">
        <v>822</v>
      </c>
      <c r="B511" s="63" t="s">
        <v>823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60</v>
      </c>
      <c r="Y511" s="55">
        <f t="shared" si="78"/>
        <v>62.4</v>
      </c>
      <c r="Z511" s="41">
        <f>IFERROR(IF(Y511=0,"",ROUNDUP(Y511/H511,0)*0.00902),"")</f>
        <v>0.11726</v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86.375000000000014</v>
      </c>
      <c r="BN511" s="78">
        <f t="shared" si="81"/>
        <v>89.830000000000013</v>
      </c>
      <c r="BO511" s="78">
        <f t="shared" si="82"/>
        <v>9.4696969696969696E-2</v>
      </c>
      <c r="BP511" s="78">
        <f t="shared" si="83"/>
        <v>9.8484848484848481E-2</v>
      </c>
    </row>
    <row r="512" spans="1:68" ht="27" customHeight="1" x14ac:dyDescent="0.25">
      <c r="A512" s="63" t="s">
        <v>824</v>
      </c>
      <c r="B512" s="63" t="s">
        <v>825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210</v>
      </c>
      <c r="Y512" s="55">
        <f t="shared" si="78"/>
        <v>211.2</v>
      </c>
      <c r="Z512" s="41">
        <f>IFERROR(IF(Y512=0,"",ROUNDUP(Y512/H512,0)*0.00902),"")</f>
        <v>0.39688000000000001</v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302.31250000000006</v>
      </c>
      <c r="BN512" s="78">
        <f t="shared" si="81"/>
        <v>304.04000000000002</v>
      </c>
      <c r="BO512" s="78">
        <f t="shared" si="82"/>
        <v>0.33143939393939392</v>
      </c>
      <c r="BP512" s="78">
        <f t="shared" si="83"/>
        <v>0.33333333333333337</v>
      </c>
    </row>
    <row r="513" spans="1:68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111.17424242424242</v>
      </c>
      <c r="Y513" s="43">
        <f>IFERROR(Y504/H504,"0")+IFERROR(Y505/H505,"0")+IFERROR(Y506/H506,"0")+IFERROR(Y507/H507,"0")+IFERROR(Y508/H508,"0")+IFERROR(Y509/H509,"0")+IFERROR(Y510/H510,"0")+IFERROR(Y511/H511,"0")+IFERROR(Y512/H512,"0")</f>
        <v>113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1.1839</v>
      </c>
      <c r="AA513" s="67"/>
      <c r="AB513" s="67"/>
      <c r="AC513" s="67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560</v>
      </c>
      <c r="Y514" s="43">
        <f>IFERROR(SUM(Y504:Y512),"0")</f>
        <v>569.28</v>
      </c>
      <c r="Z514" s="42"/>
      <c r="AA514" s="67"/>
      <c r="AB514" s="67"/>
      <c r="AC514" s="67"/>
    </row>
    <row r="515" spans="1:68" ht="14.25" hidden="1" customHeight="1" x14ac:dyDescent="0.25">
      <c r="A515" s="665" t="s">
        <v>159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200</v>
      </c>
      <c r="Y516" s="55">
        <f>IFERROR(IF(X516="",0,CEILING((X516/$H516),1)*$H516),"")</f>
        <v>200.64000000000001</v>
      </c>
      <c r="Z516" s="41">
        <f>IFERROR(IF(Y516=0,"",ROUNDUP(Y516/H516,0)*0.01196),"")</f>
        <v>0.45448</v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213.25757575757575</v>
      </c>
      <c r="BN516" s="78">
        <f>IFERROR(Y516*I516/H516,"0")</f>
        <v>213.94</v>
      </c>
      <c r="BO516" s="78">
        <f>IFERROR(1/J516*(X516/H516),"0")</f>
        <v>0.36421911421911418</v>
      </c>
      <c r="BP516" s="78">
        <f>IFERROR(1/J516*(Y516/H516),"0")</f>
        <v>0.36538461538461542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customHeight="1" x14ac:dyDescent="0.25">
      <c r="A518" s="63" t="s">
        <v>831</v>
      </c>
      <c r="B518" s="63" t="s">
        <v>832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90</v>
      </c>
      <c r="Y518" s="55">
        <f>IFERROR(IF(X518="",0,CEILING((X518/$H518),1)*$H518),"")</f>
        <v>91.2</v>
      </c>
      <c r="Z518" s="41">
        <f>IFERROR(IF(Y518=0,"",ROUNDUP(Y518/H518,0)*0.00902),"")</f>
        <v>0.17138</v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129.5625</v>
      </c>
      <c r="BN518" s="78">
        <f>IFERROR(Y518*I518/H518,"0")</f>
        <v>131.29000000000002</v>
      </c>
      <c r="BO518" s="78">
        <f>IFERROR(1/J518*(X518/H518),"0")</f>
        <v>0.14204545454545456</v>
      </c>
      <c r="BP518" s="78">
        <f>IFERROR(1/J518*(Y518/H518),"0")</f>
        <v>0.14393939393939395</v>
      </c>
    </row>
    <row r="519" spans="1:68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56.628787878787875</v>
      </c>
      <c r="Y519" s="43">
        <f>IFERROR(Y516/H516,"0")+IFERROR(Y517/H517,"0")+IFERROR(Y518/H518,"0")</f>
        <v>57</v>
      </c>
      <c r="Z519" s="43">
        <f>IFERROR(IF(Z516="",0,Z516),"0")+IFERROR(IF(Z517="",0,Z517),"0")+IFERROR(IF(Z518="",0,Z518),"0")</f>
        <v>0.62585999999999997</v>
      </c>
      <c r="AA519" s="67"/>
      <c r="AB519" s="67"/>
      <c r="AC519" s="67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290</v>
      </c>
      <c r="Y520" s="43">
        <f>IFERROR(SUM(Y516:Y518),"0")</f>
        <v>291.84000000000003</v>
      </c>
      <c r="Z520" s="42"/>
      <c r="AA520" s="67"/>
      <c r="AB520" s="67"/>
      <c r="AC520" s="67"/>
    </row>
    <row r="521" spans="1:68" ht="14.25" hidden="1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customHeight="1" x14ac:dyDescent="0.25">
      <c r="A522" s="63" t="s">
        <v>833</v>
      </c>
      <c r="B522" s="63" t="s">
        <v>834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20</v>
      </c>
      <c r="Y522" s="55">
        <f t="shared" ref="Y522:Y528" si="84">IFERROR(IF(X522="",0,CEILING((X522/$H522),1)*$H522),"")</f>
        <v>21.12</v>
      </c>
      <c r="Z522" s="41">
        <f>IFERROR(IF(Y522=0,"",ROUNDUP(Y522/H522,0)*0.01196),"")</f>
        <v>4.7840000000000001E-2</v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21.325757575757574</v>
      </c>
      <c r="BN522" s="78">
        <f t="shared" ref="BN522:BN528" si="86">IFERROR(Y522*I522/H522,"0")</f>
        <v>22.52</v>
      </c>
      <c r="BO522" s="78">
        <f t="shared" ref="BO522:BO528" si="87">IFERROR(1/J522*(X522/H522),"0")</f>
        <v>3.6421911421911424E-2</v>
      </c>
      <c r="BP522" s="78">
        <f t="shared" ref="BP522:BP528" si="88">IFERROR(1/J522*(Y522/H522),"0")</f>
        <v>3.8461538461538464E-2</v>
      </c>
    </row>
    <row r="523" spans="1:68" ht="27" customHeight="1" x14ac:dyDescent="0.25">
      <c r="A523" s="63" t="s">
        <v>836</v>
      </c>
      <c r="B523" s="63" t="s">
        <v>837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20</v>
      </c>
      <c r="Y523" s="55">
        <f t="shared" si="84"/>
        <v>21.12</v>
      </c>
      <c r="Z523" s="41">
        <f>IFERROR(IF(Y523=0,"",ROUNDUP(Y523/H523,0)*0.01196),"")</f>
        <v>4.7840000000000001E-2</v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21.325757575757574</v>
      </c>
      <c r="BN523" s="78">
        <f t="shared" si="86"/>
        <v>22.52</v>
      </c>
      <c r="BO523" s="78">
        <f t="shared" si="87"/>
        <v>3.6421911421911424E-2</v>
      </c>
      <c r="BP523" s="78">
        <f t="shared" si="88"/>
        <v>3.8461538461538464E-2</v>
      </c>
    </row>
    <row r="524" spans="1:68" ht="27" customHeight="1" x14ac:dyDescent="0.25">
      <c r="A524" s="63" t="s">
        <v>839</v>
      </c>
      <c r="B524" s="63" t="s">
        <v>840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120</v>
      </c>
      <c r="Y524" s="55">
        <f t="shared" si="84"/>
        <v>121.44000000000001</v>
      </c>
      <c r="Z524" s="41">
        <f>IFERROR(IF(Y524=0,"",ROUNDUP(Y524/H524,0)*0.01196),"")</f>
        <v>0.27507999999999999</v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127.95454545454545</v>
      </c>
      <c r="BN524" s="78">
        <f t="shared" si="86"/>
        <v>129.49</v>
      </c>
      <c r="BO524" s="78">
        <f t="shared" si="87"/>
        <v>0.21853146853146854</v>
      </c>
      <c r="BP524" s="78">
        <f t="shared" si="88"/>
        <v>0.22115384615384617</v>
      </c>
    </row>
    <row r="525" spans="1:68" ht="27" customHeight="1" x14ac:dyDescent="0.25">
      <c r="A525" s="63" t="s">
        <v>842</v>
      </c>
      <c r="B525" s="63" t="s">
        <v>843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60</v>
      </c>
      <c r="Y525" s="55">
        <f t="shared" si="84"/>
        <v>62.4</v>
      </c>
      <c r="Z525" s="41">
        <f>IFERROR(IF(Y525=0,"",ROUNDUP(Y525/H525,0)*0.00902),"")</f>
        <v>0.11726</v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86.375000000000014</v>
      </c>
      <c r="BN525" s="78">
        <f t="shared" si="86"/>
        <v>89.830000000000013</v>
      </c>
      <c r="BO525" s="78">
        <f t="shared" si="87"/>
        <v>9.4696969696969696E-2</v>
      </c>
      <c r="BP525" s="78">
        <f t="shared" si="88"/>
        <v>9.8484848484848481E-2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customHeight="1" x14ac:dyDescent="0.25">
      <c r="A527" s="63" t="s">
        <v>844</v>
      </c>
      <c r="B527" s="63" t="s">
        <v>846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12</v>
      </c>
      <c r="Y527" s="55">
        <f t="shared" si="84"/>
        <v>14.399999999999999</v>
      </c>
      <c r="Z527" s="41">
        <f>IFERROR(IF(Y527=0,"",ROUNDUP(Y527/H527,0)*0.00902),"")</f>
        <v>2.7060000000000001E-2</v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16.675000000000001</v>
      </c>
      <c r="BN527" s="78">
        <f t="shared" si="86"/>
        <v>20.009999999999998</v>
      </c>
      <c r="BO527" s="78">
        <f t="shared" si="87"/>
        <v>1.893939393939394E-2</v>
      </c>
      <c r="BP527" s="78">
        <f t="shared" si="88"/>
        <v>2.2727272727272728E-2</v>
      </c>
    </row>
    <row r="528" spans="1:68" ht="27" customHeight="1" x14ac:dyDescent="0.25">
      <c r="A528" s="63" t="s">
        <v>847</v>
      </c>
      <c r="B528" s="63" t="s">
        <v>848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120</v>
      </c>
      <c r="Y528" s="55">
        <f t="shared" si="84"/>
        <v>120</v>
      </c>
      <c r="Z528" s="41">
        <f>IFERROR(IF(Y528=0,"",ROUNDUP(Y528/H528,0)*0.00902),"")</f>
        <v>0.22550000000000001</v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166.75</v>
      </c>
      <c r="BN528" s="78">
        <f t="shared" si="86"/>
        <v>166.75</v>
      </c>
      <c r="BO528" s="78">
        <f t="shared" si="87"/>
        <v>0.18939393939393939</v>
      </c>
      <c r="BP528" s="78">
        <f t="shared" si="88"/>
        <v>0.18939393939393939</v>
      </c>
    </row>
    <row r="529" spans="1:68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70.303030303030297</v>
      </c>
      <c r="Y529" s="43">
        <f>IFERROR(Y522/H522,"0")+IFERROR(Y523/H523,"0")+IFERROR(Y524/H524,"0")+IFERROR(Y525/H525,"0")+IFERROR(Y526/H526,"0")+IFERROR(Y527/H527,"0")+IFERROR(Y528/H528,"0")</f>
        <v>72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0.74058000000000002</v>
      </c>
      <c r="AA529" s="67"/>
      <c r="AB529" s="67"/>
      <c r="AC529" s="67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352</v>
      </c>
      <c r="Y530" s="43">
        <f>IFERROR(SUM(Y522:Y528),"0")</f>
        <v>360.48</v>
      </c>
      <c r="Z530" s="42"/>
      <c r="AA530" s="67"/>
      <c r="AB530" s="67"/>
      <c r="AC530" s="67"/>
    </row>
    <row r="531" spans="1:68" ht="27.75" hidden="1" customHeight="1" x14ac:dyDescent="0.2">
      <c r="A531" s="683" t="s">
        <v>849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849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hidden="1" customHeight="1" x14ac:dyDescent="0.25">
      <c r="A534" s="63" t="s">
        <v>850</v>
      </c>
      <c r="B534" s="63" t="s">
        <v>851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5" t="s">
        <v>159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666">
        <v>4680115889781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hidden="1" customHeight="1" x14ac:dyDescent="0.25">
      <c r="A542" s="63" t="s">
        <v>855</v>
      </c>
      <c r="B542" s="63" t="s">
        <v>856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customHeight="1" x14ac:dyDescent="0.25">
      <c r="A546" s="63" t="s">
        <v>858</v>
      </c>
      <c r="B546" s="63" t="s">
        <v>859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1050</v>
      </c>
      <c r="Y546" s="55">
        <f>IFERROR(IF(X546="",0,CEILING((X546/$H546),1)*$H546),"")</f>
        <v>1053</v>
      </c>
      <c r="Z546" s="41">
        <f>IFERROR(IF(Y546=0,"",ROUNDUP(Y546/H546,0)*0.01898),"")</f>
        <v>2.2206600000000001</v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1107.6333333333332</v>
      </c>
      <c r="BN546" s="78">
        <f>IFERROR(Y546*I546/H546,"0")</f>
        <v>1110.7979999999998</v>
      </c>
      <c r="BO546" s="78">
        <f>IFERROR(1/J546*(X546/H546),"0")</f>
        <v>1.8229166666666667</v>
      </c>
      <c r="BP546" s="78">
        <f>IFERROR(1/J546*(Y546/H546),"0")</f>
        <v>1.828125</v>
      </c>
    </row>
    <row r="547" spans="1:68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116.66666666666667</v>
      </c>
      <c r="Y547" s="43">
        <f>IFERROR(Y546/H546,"0")</f>
        <v>117</v>
      </c>
      <c r="Z547" s="43">
        <f>IFERROR(IF(Z546="",0,Z546),"0")</f>
        <v>2.2206600000000001</v>
      </c>
      <c r="AA547" s="67"/>
      <c r="AB547" s="67"/>
      <c r="AC547" s="67"/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1050</v>
      </c>
      <c r="Y548" s="43">
        <f>IFERROR(SUM(Y546:Y546),"0")</f>
        <v>1053</v>
      </c>
      <c r="Z548" s="42"/>
      <c r="AA548" s="67"/>
      <c r="AB548" s="67"/>
      <c r="AC548" s="67"/>
    </row>
    <row r="549" spans="1:68" ht="14.25" hidden="1" customHeight="1" x14ac:dyDescent="0.25">
      <c r="A549" s="665" t="s">
        <v>178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867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159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666">
        <v>4680115889798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17549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17744.580000000002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18775.027533436289</v>
      </c>
      <c r="Y560" s="43">
        <f>IFERROR(SUM(BN22:BN556),"0")</f>
        <v>18984.67200000001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33</v>
      </c>
      <c r="Y561" s="44">
        <f>ROUNDUP(SUM(BP22:BP556),0)</f>
        <v>34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19600.027533436289</v>
      </c>
      <c r="Y562" s="43">
        <f>GrossWeightTotalR+PalletQtyTotalR*25</f>
        <v>19834.67200000001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4213.1731164636494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4250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38.91028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345</v>
      </c>
      <c r="L566" s="652" t="s">
        <v>345</v>
      </c>
      <c r="M566" s="652" t="s">
        <v>345</v>
      </c>
      <c r="N566" s="662"/>
      <c r="O566" s="652" t="s">
        <v>345</v>
      </c>
      <c r="P566" s="652" t="s">
        <v>345</v>
      </c>
      <c r="Q566" s="652" t="s">
        <v>345</v>
      </c>
      <c r="R566" s="652" t="s">
        <v>345</v>
      </c>
      <c r="S566" s="652" t="s">
        <v>345</v>
      </c>
      <c r="T566" s="652" t="s">
        <v>345</v>
      </c>
      <c r="U566" s="652" t="s">
        <v>345</v>
      </c>
      <c r="V566" s="652" t="s">
        <v>345</v>
      </c>
      <c r="W566" s="652" t="s">
        <v>700</v>
      </c>
      <c r="X566" s="652" t="s">
        <v>700</v>
      </c>
      <c r="Y566" s="652" t="s">
        <v>766</v>
      </c>
      <c r="Z566" s="652" t="s">
        <v>766</v>
      </c>
      <c r="AA566" s="85" t="s">
        <v>802</v>
      </c>
      <c r="AB566" s="652" t="s">
        <v>849</v>
      </c>
      <c r="AC566" s="652" t="s">
        <v>849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186</v>
      </c>
      <c r="G567" s="652" t="s">
        <v>209</v>
      </c>
      <c r="H567" s="652" t="s">
        <v>249</v>
      </c>
      <c r="I567" s="652" t="s">
        <v>262</v>
      </c>
      <c r="J567" s="652" t="s">
        <v>120</v>
      </c>
      <c r="K567" s="652" t="s">
        <v>346</v>
      </c>
      <c r="L567" s="652" t="s">
        <v>367</v>
      </c>
      <c r="M567" s="652" t="s">
        <v>441</v>
      </c>
      <c r="N567" s="1"/>
      <c r="O567" s="652" t="s">
        <v>509</v>
      </c>
      <c r="P567" s="652" t="s">
        <v>538</v>
      </c>
      <c r="Q567" s="652" t="s">
        <v>558</v>
      </c>
      <c r="R567" s="652" t="s">
        <v>567</v>
      </c>
      <c r="S567" s="652" t="s">
        <v>588</v>
      </c>
      <c r="T567" s="652" t="s">
        <v>597</v>
      </c>
      <c r="U567" s="652" t="s">
        <v>683</v>
      </c>
      <c r="V567" s="652" t="s">
        <v>690</v>
      </c>
      <c r="W567" s="652" t="s">
        <v>701</v>
      </c>
      <c r="X567" s="652" t="s">
        <v>750</v>
      </c>
      <c r="Y567" s="652" t="s">
        <v>767</v>
      </c>
      <c r="Z567" s="652" t="s">
        <v>790</v>
      </c>
      <c r="AA567" s="652" t="s">
        <v>802</v>
      </c>
      <c r="AB567" s="652" t="s">
        <v>849</v>
      </c>
      <c r="AC567" s="652" t="s">
        <v>867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80.64</v>
      </c>
      <c r="D569" s="52">
        <f>IFERROR(Y47*1,"0")+IFERROR(Y48*1,"0")+IFERROR(Y49*1,"0")+IFERROR(Y50*1,"0")</f>
        <v>325.20000000000005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612</v>
      </c>
      <c r="F569" s="52">
        <f>IFERROR(Y87*1,"0")+IFERROR(Y88*1,"0")+IFERROR(Y89*1,"0")+IFERROR(Y90*1,"0")+IFERROR(Y91*1,"0")+IFERROR(Y95*1,"0")+IFERROR(Y96*1,"0")+IFERROR(Y97*1,"0")+IFERROR(Y98*1,"0")</f>
        <v>957.6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1477.08</v>
      </c>
      <c r="H569" s="52">
        <f>IFERROR(Y133*1,"0")+IFERROR(Y134*1,"0")+IFERROR(Y138*1,"0")+IFERROR(Y139*1,"0")+IFERROR(Y143*1,"0")+IFERROR(Y144*1,"0")</f>
        <v>184.48000000000002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1818.3000000000002</v>
      </c>
      <c r="K569" s="52">
        <f>IFERROR(Y205*1,"0")+IFERROR(Y206*1,"0")+IFERROR(Y207*1,"0")+IFERROR(Y208*1,"0")+IFERROR(Y209*1,"0")+IFERROR(Y210*1,"0")+IFERROR(Y211*1,"0")</f>
        <v>108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752.06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2183.4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96.919999999999987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501.6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1006.1999999999999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1043.8000000000002</v>
      </c>
      <c r="U569" s="52">
        <f>IFERROR(Y417*1,"0")+IFERROR(Y418*1,"0")</f>
        <v>0</v>
      </c>
      <c r="V569" s="52">
        <f>IFERROR(Y423*1,"0")+IFERROR(Y424*1,"0")+IFERROR(Y425*1,"0")</f>
        <v>350.7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3936</v>
      </c>
      <c r="X569" s="52">
        <f>IFERROR(Y460*1,"0")+IFERROR(Y461*1,"0")+IFERROR(Y465*1,"0")+IFERROR(Y469*1,"0")+IFERROR(Y470*1,"0")+IFERROR(Y471*1,"0")</f>
        <v>36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1221.6000000000001</v>
      </c>
      <c r="AB569" s="52">
        <f>IFERROR(Y534*1,"0")+IFERROR(Y538*1,"0")+IFERROR(Y542*1,"0")+IFERROR(Y546*1,"0")+IFERROR(Y550*1,"0")+IFERROR(Y551*1,"0")</f>
        <v>1053</v>
      </c>
      <c r="AC569" s="52">
        <f>IFERROR(Y556*1,"0")</f>
        <v>0</v>
      </c>
      <c r="AF569" s="1"/>
    </row>
  </sheetData>
  <sheetProtection algorithmName="SHA-512" hashValue="3QKH/sBY8NNmPjmzKcq4eNHTWkOzAp+It7IYiXZcJMAAeU2U5qMOXxQsEKK3wW7Vv+zC9zWY1LDRVeb+zI+WfQ==" saltValue="Jjxic9A2r6MQm3WOaqSse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150,00"/>
        <filter val="1 151,00"/>
        <filter val="1 220,00"/>
        <filter val="1 805,00"/>
        <filter val="1,85"/>
        <filter val="100,00"/>
        <filter val="105,00"/>
        <filter val="11,00"/>
        <filter val="111,17"/>
        <filter val="116,67"/>
        <filter val="12,00"/>
        <filter val="120,00"/>
        <filter val="128,21"/>
        <filter val="13,13"/>
        <filter val="135,00"/>
        <filter val="14,00"/>
        <filter val="158,33"/>
        <filter val="160,00"/>
        <filter val="166,67"/>
        <filter val="168,00"/>
        <filter val="17 549,00"/>
        <filter val="175,00"/>
        <filter val="176,67"/>
        <filter val="179,01"/>
        <filter val="18 775,03"/>
        <filter val="185,00"/>
        <filter val="19 600,03"/>
        <filter val="2 650,00"/>
        <filter val="2,50"/>
        <filter val="2,56"/>
        <filter val="20,00"/>
        <filter val="200,00"/>
        <filter val="208,33"/>
        <filter val="21,00"/>
        <filter val="21,21"/>
        <filter val="21,25"/>
        <filter val="210,00"/>
        <filter val="220,00"/>
        <filter val="224,00"/>
        <filter val="25,25"/>
        <filter val="25,40"/>
        <filter val="250,00"/>
        <filter val="252,00"/>
        <filter val="26,00"/>
        <filter val="270,00"/>
        <filter val="280,00"/>
        <filter val="283,33"/>
        <filter val="290,00"/>
        <filter val="3,17"/>
        <filter val="3,33"/>
        <filter val="30,00"/>
        <filter val="300,00"/>
        <filter val="306,73"/>
        <filter val="315,00"/>
        <filter val="32,00"/>
        <filter val="320,00"/>
        <filter val="320,24"/>
        <filter val="325,00"/>
        <filter val="33"/>
        <filter val="350,00"/>
        <filter val="352,00"/>
        <filter val="360,00"/>
        <filter val="390,00"/>
        <filter val="395,00"/>
        <filter val="4 213,17"/>
        <filter val="4,00"/>
        <filter val="40,00"/>
        <filter val="400,00"/>
        <filter val="41,67"/>
        <filter val="417,17"/>
        <filter val="44,00"/>
        <filter val="45,00"/>
        <filter val="450,00"/>
        <filter val="48,00"/>
        <filter val="48,52"/>
        <filter val="50,00"/>
        <filter val="500,00"/>
        <filter val="54,63"/>
        <filter val="550,00"/>
        <filter val="56,00"/>
        <filter val="56,63"/>
        <filter val="560,00"/>
        <filter val="6,00"/>
        <filter val="6,67"/>
        <filter val="60,00"/>
        <filter val="600,00"/>
        <filter val="630,00"/>
        <filter val="650,00"/>
        <filter val="68,00"/>
        <filter val="7,00"/>
        <filter val="70,00"/>
        <filter val="70,30"/>
        <filter val="700,00"/>
        <filter val="71,11"/>
        <filter val="724,13"/>
        <filter val="77,41"/>
        <filter val="8,00"/>
        <filter val="8,33"/>
        <filter val="80,00"/>
        <filter val="80,13"/>
        <filter val="800,00"/>
        <filter val="81,33"/>
        <filter val="810,00"/>
        <filter val="83,33"/>
        <filter val="9,26"/>
        <filter val="9,87"/>
        <filter val="90,0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9" spans="2:8" x14ac:dyDescent="0.2">
      <c r="B9" s="53" t="s">
        <v>880</v>
      </c>
      <c r="C9" s="53" t="s">
        <v>875</v>
      </c>
      <c r="D9" s="53" t="s">
        <v>46</v>
      </c>
      <c r="E9" s="53" t="s">
        <v>46</v>
      </c>
    </row>
    <row r="11" spans="2:8" x14ac:dyDescent="0.2">
      <c r="B11" s="53" t="s">
        <v>880</v>
      </c>
      <c r="C11" s="53" t="s">
        <v>878</v>
      </c>
      <c r="D11" s="53" t="s">
        <v>46</v>
      </c>
      <c r="E11" s="53" t="s">
        <v>46</v>
      </c>
    </row>
    <row r="13" spans="2:8" x14ac:dyDescent="0.2">
      <c r="B13" s="53" t="s">
        <v>881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</sheetData>
  <sheetProtection algorithmName="SHA-512" hashValue="JCzn1MkBdaQ4B9Rs6Q0SF77h6/Ym/6eNybDux8B/kAAzAtxxSkT9f80ON8T9QXBP3yRLHKjOF2a4HhKNOhbAeQ==" saltValue="TmSVFg03Mu6e/InbyBDCi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