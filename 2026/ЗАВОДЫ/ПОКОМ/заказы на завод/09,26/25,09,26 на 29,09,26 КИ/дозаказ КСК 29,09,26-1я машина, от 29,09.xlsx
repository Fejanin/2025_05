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3A40EF-12BA-4449-973F-FB772708542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P275" i="2"/>
  <c r="BN277" i="2"/>
  <c r="BN393" i="2"/>
  <c r="BN60" i="2"/>
  <c r="BP385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553" i="2"/>
  <c r="Z414" i="2"/>
  <c r="Z325" i="2"/>
  <c r="Z177" i="2"/>
  <c r="Z51" i="2"/>
  <c r="Z134" i="2"/>
  <c r="Z90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<sst xmlns="http://schemas.openxmlformats.org/spreadsheetml/2006/main" count="4310" uniqueCount="900">
  <si>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</si>
  <si>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</si>
  <si>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</si>
  <si>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</si>
  <si>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</si>
  <si>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</si>
  <si>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</si>
  <si>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</si>
  <si>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</si>
  <si>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</si>
  <si>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</si>
  <si>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</si>
  <si>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</si>
  <si>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</si>
  <si>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</si>
  <si>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</si>
  <si>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</si>
  <si>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</si>
  <si>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</si>
  <si>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</si>
  <si>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</si>
  <si>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</si>
  <si>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</si>
  <si>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</si>
  <si>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</si>
  <si>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</si>
  <si>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</si>
  <si>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</si>
  <si>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</si>
  <si>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</si>
  <si>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</si>
  <si>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</si>
  <si>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</si>
  <si>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</si>
  <si>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</si>
  <si>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</si>
  <si>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</si>
  <si>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</si>
  <si>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</si>
  <si>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</si>
  <si>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</si>
  <si>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</si>
  <si>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</si>
  <si>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</si>
  <si>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</si>
  <si>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</si>
  <si>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</si>
  <si>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</si>
  <si>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</si>
  <si>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</si>
  <si>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</si>
  <si>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</si>
  <si>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</si>
  <si>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</si>
  <si>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</si>
  <si>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</si>
  <si>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</si>
  <si>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</si>
  <si>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</si>
  <si>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</si>
  <si>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</si>
  <si>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</si>
  <si>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</si>
  <si>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</si>
  <si>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</si>
  <si>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</si>
  <si>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</si>
  <si>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</si>
  <si>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</si>
  <si>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</si>
  <si>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</si>
  <si>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</si>
  <si>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</si>
  <si>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</si>
  <si>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</si>
  <si>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</si>
  <si>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</si>
  <si>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</si>
  <si>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</si>
  <si>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</si>
  <si>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</si>
  <si>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</si>
  <si>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</si>
  <si>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</si>
  <si>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</si>
  <si>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</si>
  <si>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</si>
  <si>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</si>
  <si>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</si>
  <si>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</si>
  <si>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</si>
  <si>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</si>
  <si>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</si>
  <si>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</si>
  <si>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</si>
  <si>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</si>
  <si>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</si>
  <si>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</si>
  <si>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</si>
  <si>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</si>
  <si>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</si>
  <si>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</si>
  <si>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</si>
  <si>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</si>
  <si>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</si>
  <si>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</si>
  <si>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</si>
  <si>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</si>
  <si>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</si>
  <si>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</si>
  <si>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</si>
  <si>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</si>
  <si>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</si>
  <si>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</si>
  <si>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</si>
  <si>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</si>
  <si>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</si>
  <si>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</si>
  <si>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</si>
  <si>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</si>
  <si>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</si>
  <si>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</si>
  <si>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</si>
  <si>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</si>
  <si>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</si>
  <si>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</si>
  <si>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</si>
  <si>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</si>
  <si>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</si>
  <si>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</si>
  <si>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</si>
  <si>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</si>
  <si>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</si>
  <si>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</si>
  <si>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</si>
  <si>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</si>
  <si>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</si>
  <si>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</si>
  <si>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</si>
  <si>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</si>
  <si>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</si>
  <si>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</si>
  <si>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</si>
  <si>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</si>
  <si>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</si>
  <si>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</si>
  <si>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</si>
  <si>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</si>
  <si>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</si>
  <si>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</si>
  <si>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</si>
  <si>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</si>
  <si>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</si>
  <si>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</si>
  <si>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</si>
  <si>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</si>
  <si>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</si>
  <si>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</si>
  <si>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</si>
  <si>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</si>
  <si>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</si>
  <si>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</si>
  <si>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</si>
  <si>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</si>
  <si>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</si>
  <si>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</si>
  <si>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</si>
  <si>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</si>
  <si>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</si>
  <si>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</si>
  <si>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</si>
  <si>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</si>
  <si>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</si>
  <si>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</si>
  <si>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</si>
  <si>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</si>
  <si>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</si>
  <si>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</si>
  <si>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</si>
  <si>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</si>
  <si>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</si>
  <si>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</si>
  <si>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</si>
  <si>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</si>
  <si>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</si>
  <si>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</si>
  <si>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</si>
  <si>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</si>
  <si>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</si>
  <si>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</si>
  <si>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</si>
  <si>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</si>
  <si>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</si>
  <si>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</si>
  <si>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</si>
  <si>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</si>
  <si>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</si>
  <si>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</si>
  <si>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</si>
  <si>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</si>
  <si>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</si>
  <si>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</si>
  <si>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</si>
  <si>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</si>
  <si>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</si>
  <si>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</si>
  <si>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</si>
  <si>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</si>
  <si>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</si>
  <si>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</si>
  <si>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</si>
  <si>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</si>
  <si>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</si>
  <si>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</si>
  <si>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</si>
  <si>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</si>
  <si>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</si>
  <si>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</si>
  <si>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</si>
  <si>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</si>
  <si>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</si>
  <si>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</si>
  <si>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</si>
  <si>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</si>
  <si>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</si>
  <si>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</si>
  <si>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</si>
  <si>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</si>
  <si>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</si>
  <si>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</si>
  <si>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</si>
  <si>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</si>
  <si>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</si>
  <si>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</si>
  <si>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</si>
  <si>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</si>
  <si>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</si>
  <si>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</si>
  <si>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</si>
  <si>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</si>
  <si>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</si>
  <si>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</si>
  <si>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</si>
  <si>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</si>
  <si>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</si>
  <si>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</si>
  <si>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</si>
  <si>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</si>
  <si>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</si>
  <si>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</si>
  <si>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</si>
  <si>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</si>
  <si>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</si>
  <si>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</si>
  <si>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</si>
  <si>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</si>
  <si>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</si>
  <si>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</si>
  <si>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</si>
  <si>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</si>
  <si>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</si>
  <si>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</si>
  <si>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</si>
  <si>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</si>
  <si>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</si>
  <si>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</si>
  <si>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</si>
  <si>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</si>
  <si>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</si>
  <si>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</si>
  <si>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</si>
  <si>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</si>
  <si>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</si>
  <si>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</si>
  <si>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</si>
  <si>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</si>
  <si>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</si>
  <si>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</si>
  <si>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</si>
  <si>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</si>
  <si>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</si>
  <si>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</si>
  <si>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</si>
  <si>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</si>
  <si>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</si>
  <si>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</si>
  <si>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</si>
  <si>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</si>
  <si>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</si>
  <si>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</si>
  <si>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</si>
  <si>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</si>
  <si>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</si>
  <si>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</si>
  <si>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</si>
  <si>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</si>
  <si>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</si>
  <si>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</si>
  <si>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</si>
  <si>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</si>
  <si>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</si>
  <si>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</si>
  <si>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</si>
  <si>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</si>
  <si>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</si>
  <si>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</si>
  <si>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</si>
  <si>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</si>
  <si>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</si>
  <si>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</si>
  <si>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</si>
  <si>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</si>
  <si>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</si>
  <si>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</si>
  <si>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</si>
  <si>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</si>
  <si>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</si>
  <si>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</si>
  <si>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</si>
  <si>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</si>
  <si>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</si>
  <si>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</si>
  <si>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</si>
  <si>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</si>
  <si>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</si>
  <si>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</si>
  <si>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</si>
  <si>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</si>
  <si>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</si>
  <si>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</si>
  <si>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</si>
  <si>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</si>
  <si>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</si>
  <si>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</si>
  <si>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</si>
  <si>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</si>
  <si>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</si>
  <si>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</si>
  <si>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</si>
  <si>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</si>
  <si>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</si>
  <si>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</si>
  <si>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</si>
  <si>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</si>
  <si>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</si>
  <si>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</si>
  <si>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</si>
  <si>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</si>
  <si>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</si>
  <si>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</si>
  <si>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</si>
  <si>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</si>
  <si>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</si>
  <si>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</si>
  <si>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</si>
  <si>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</si>
  <si>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</si>
  <si>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</si>
  <si>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</si>
  <si>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</si>
  <si>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</si>
  <si>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</si>
  <si>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</si>
  <si>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</si>
  <si>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</si>
  <si>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</si>
  <si>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</si>
  <si>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</si>
  <si>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</si>
  <si>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</si>
  <si>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</si>
  <si>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</si>
  <si>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</si>
  <si>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</si>
  <si>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</si>
  <si>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</si>
  <si>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</si>
  <si>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</si>
  <si>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</si>
  <si>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</si>
  <si>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</si>
  <si>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</si>
  <si>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</si>
  <si>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</si>
  <si>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</si>
  <si>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</si>
  <si>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</si>
  <si>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</si>
  <si>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</si>
  <si>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</si>
  <si>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</si>
  <si>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</si>
  <si>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</si>
  <si>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</si>
  <si>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</si>
  <si>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</si>
  <si>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</si>
  <si>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</si>
  <si>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</si>
  <si>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</si>
  <si>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</si>
  <si>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</si>
  <si>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</si>
  <si>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</si>
  <si>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</si>
  <si>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</si>
  <si>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</si>
  <si>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</si>
  <si>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</si>
  <si>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</si>
  <si>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</si>
  <si>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</si>
  <si>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</si>
  <si>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</si>
  <si>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</si>
  <si>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</si>
  <si>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</si>
  <si>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</si>
  <si>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</si>
  <si>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</si>
  <si>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</si>
  <si>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</si>
  <si>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</si>
  <si>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</si>
  <si>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</si>
  <si>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</si>
  <si>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</si>
  <si>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</si>
  <si>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</si>
  <si>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</si>
  <si>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</si>
  <si>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</si>
  <si>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</si>
  <si>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</si>
  <si>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</si>
  <si>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</si>
  <si>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</si>
  <si>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</si>
  <si>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</si>
  <si>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</si>
  <si>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</si>
  <si>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</si>
  <si>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</si>
  <si>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</si>
  <si>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</si>
  <si>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</si>
  <si>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</si>
  <si>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</si>
  <si>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</si>
  <si>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</si>
  <si>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</si>
  <si>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</si>
  <si>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</si>
  <si>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</si>
  <si>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</si>
  <si>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</si>
  <si>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</si>
  <si>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</si>
  <si>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</si>
  <si>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</si>
  <si>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</si>
  <si>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</si>
  <si>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</si>
  <si>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</si>
  <si>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</si>
  <si>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</si>
  <si>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</si>
  <si>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</si>
  <si>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</si>
  <si>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</si>
  <si>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</si>
  <si>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</si>
  <si>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</si>
  <si>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</si>
  <si>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</si>
  <si>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</si>
  <si>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</si>
  <si>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</si>
  <si>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</si>
  <si>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</si>
  <si>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</si>
  <si>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</si>
  <si>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</si>
  <si>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</si>
  <si>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</si>
  <si>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</si>
  <si>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</si>
  <si>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</si>
  <si>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</si>
  <si>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</si>
  <si>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</si>
  <si>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</si>
  <si>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</si>
  <si>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</si>
  <si>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</si>
  <si>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</si>
  <si>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</si>
  <si>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</si>
  <si>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</si>
  <si>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</si>
  <si>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</si>
  <si>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</si>
  <si>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</si>
  <si>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</si>
  <si>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</si>
  <si>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</si>
  <si>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</si>
  <si>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</si>
  <si>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</si>
  <si>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</si>
  <si>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</si>
  <si>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</si>
  <si>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</si>
  <si>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</si>
  <si>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</si>
  <si>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</si>
  <si>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</si>
  <si>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</si>
  <si>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</si>
  <si>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</si>
  <si>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</si>
  <si>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</si>
  <si>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</si>
  <si>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</si>
  <si>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</si>
  <si>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</si>
  <si>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</si>
  <si>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</si>
  <si>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</si>
  <si>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</si>
  <si>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</si>
  <si>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</si>
  <si>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</si>
  <si>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</si>
  <si>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</si>
  <si>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</si>
  <si>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</si>
  <si>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</si>
  <si>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</si>
  <si>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</si>
  <si>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</si>
  <si>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</si>
  <si>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</si>
  <si>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</si>
  <si>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</si>
  <si>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</si>
  <si>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</si>
  <si>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</si>
  <si>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</si>
  <si>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</si>
  <si>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</si>
  <si>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</si>
  <si>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</si>
  <si>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</si>
  <si>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</si>
  <si>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</si>
  <si>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</si>
  <si>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</si>
  <si>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</si>
  <si>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</si>
  <si>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</si>
  <si>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</si>
  <si>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</si>
  <si>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</si>
  <si>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</si>
  <si>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</si>
  <si>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</si>
  <si>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</si>
  <si>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</si>
  <si>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</si>
  <si>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</si>
  <si>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</si>
  <si>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</si>
  <si>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</si>
  <si>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</si>
  <si>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</si>
  <si>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</si>
  <si>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</si>
  <si>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</si>
  <si>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</si>
  <si>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</si>
  <si>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</si>
  <si>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</si>
  <si>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</si>
  <si>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</si>
  <si>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</si>
  <si>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</si>
  <si>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</si>
  <si>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</si>
  <si>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</si>
  <si>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</si>
  <si>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</si>
  <si>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</si>
  <si>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</si>
  <si>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</si>
  <si>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</si>
  <si>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</si>
  <si>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</si>
  <si>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</si>
  <si>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</si>
  <si>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</si>
  <si>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</si>
  <si>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</si>
  <si>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</si>
  <si>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</si>
  <si>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</si>
  <si>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</si>
  <si>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</si>
  <si>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</si>
  <si>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</si>
  <si>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</si>
  <si>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</si>
  <si>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</si>
  <si>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</si>
  <si>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</si>
  <si>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</si>
  <si>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</si>
  <si>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</si>
  <si>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</si>
  <si>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</si>
  <si>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</si>
  <si>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</si>
  <si>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</si>
  <si>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</si>
  <si>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</si>
  <si>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</si>
  <si>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</si>
  <si>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</si>
  <si>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</si>
  <si>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</si>
  <si>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</si>
  <si>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</si>
  <si>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</si>
  <si>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</si>
  <si>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</si>
  <si>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</si>
  <si>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</si>
  <si>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</si>
  <si>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</si>
  <si>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</si>
  <si>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</si>
  <si>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</si>
  <si>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</si>
  <si>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</si>
  <si>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</si>
  <si>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</si>
  <si>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</si>
  <si>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</si>
  <si>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</si>
  <si>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</si>
  <si>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</si>
  <si>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</si>
  <si>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</si>
  <si>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</si>
  <si>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</si>
  <si>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</si>
  <si>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</si>
  <si>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</si>
  <si>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</si>
  <si>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</si>
  <si>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</si>
  <si>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</si>
  <si>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</si>
  <si>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</si>
  <si>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</si>
  <si>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</si>
  <si>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</si>
  <si>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</si>
  <si>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</si>
  <si>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</si>
  <si>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</si>
  <si>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</si>
  <si>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</si>
  <si>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</si>
  <si>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</si>
  <si>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</si>
  <si>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</si>
  <si>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</si>
  <si>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</si>
  <si>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</si>
  <si>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</si>
  <si>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</si>
  <si>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</si>
  <si>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</si>
  <si>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</si>
  <si>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</si>
  <si>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</si>
  <si>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</si>
  <si>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</si>
  <si>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</si>
  <si>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</si>
  <si>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</si>
  <si>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</si>
  <si>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</si>
  <si>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</si>
  <si>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</si>
  <si>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</si>
  <si>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</si>
  <si>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</si>
  <si>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</si>
  <si>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</si>
  <si>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</si>
  <si>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</si>
  <si>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</si>
  <si>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</si>
  <si>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</si>
  <si>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</si>
  <si>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</si>
  <si>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</si>
  <si>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</si>
  <si>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</si>
  <si>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</si>
  <si>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</si>
  <si>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</si>
  <si>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</si>
  <si>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</si>
  <si>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</si>
  <si>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</si>
  <si>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</si>
  <si>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</si>
  <si>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</si>
  <si>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</si>
  <si>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</si>
  <si>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</si>
  <si>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</si>
  <si>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</si>
  <si>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</si>
  <si>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</si>
  <si>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</si>
  <si>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</si>
  <si>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</si>
  <si>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</si>
  <si>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</si>
  <si>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</si>
  <si>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</si>
  <si>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</si>
  <si>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</si>
  <si>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</si>
  <si>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</si>
  <si>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</si>
  <si>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</si>
  <si>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</si>
  <si>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</si>
  <si>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</si>
  <si>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</si>
  <si>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</si>
  <si>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</si>
  <si>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</si>
  <si>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</si>
  <si>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</si>
  <si>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</si>
  <si>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</si>
  <si>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</si>
  <si>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</si>
  <si>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</si>
  <si>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</si>
  <si>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</si>
  <si>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</si>
  <si>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</si>
  <si>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</si>
  <si>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</si>
  <si>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</si>
  <si>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</si>
  <si>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</si>
  <si>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</si>
  <si>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</si>
  <si>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</si>
  <si>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</si>
  <si>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</si>
  <si>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</si>
  <si>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</si>
  <si>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</si>
  <si>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</si>
  <si>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</si>
  <si>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</si>
  <si>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</si>
  <si>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</si>
  <si>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</si>
  <si>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</si>
  <si>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</si>
  <si>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</si>
  <si>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</si>
  <si>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</si>
  <si>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</si>
  <si>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</si>
  <si>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</si>
  <si>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</si>
  <si>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</si>
  <si>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</si>
  <si>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</si>
  <si>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</si>
  <si>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</si>
  <si>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</si>
  <si>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</si>
  <si>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</si>
  <si>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</si>
  <si>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</si>
  <si>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</si>
  <si>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</si>
  <si>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</si>
  <si>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</si>
  <si>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</si>
  <si>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</si>
  <si>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</si>
  <si>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</si>
  <si>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</si>
  <si>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</si>
  <si>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</si>
  <si>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</si>
  <si>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</si>
  <si>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</si>
  <si>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</si>
  <si>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</si>
  <si>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</si>
  <si>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</si>
  <si>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</si>
  <si>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</si>
  <si>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</si>
  <si>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</si>
  <si>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</si>
  <si>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</si>
  <si>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</si>
  <si>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</si>
  <si>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</si>
  <si>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</si>
  <si>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</si>
  <si>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</si>
  <si>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</si>
  <si>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</si>
  <si>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</si>
  <si>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</si>
  <si>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</si>
  <si>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</si>
  <si>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</si>
  <si>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</si>
  <si>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</si>
  <si>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</si>
  <si>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</si>
  <si>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</si>
  <si>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</si>
  <si>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</si>
  <si>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</si>
  <si>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</si>
  <si>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</si>
  <si>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</si>
  <si>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</si>
  <si>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</si>
  <si>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</si>
  <si>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</si>
  <si>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</si>
  <si>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</si>
  <si>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</si>
  <si>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</si>
  <si>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</si>
  <si>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</si>
  <si>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</si>
  <si>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</si>
  <si>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</si>
  <si>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</si>
  <si>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</si>
  <si>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</si>
  <si>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</si>
  <si>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</si>
  <si>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</si>
  <si>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</si>
  <si>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</si>
  <si>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</si>
  <si>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</si>
  <si>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</si>
  <si>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</si>
  <si>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</si>
  <si>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</si>
  <si>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</si>
  <si>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</si>
  <si>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</si>
  <si>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</si>
  <si>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</si>
  <si>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</si>
  <si>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</si>
  <si>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</si>
  <si>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</si>
  <si>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</si>
  <si>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</si>
  <si>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</si>
  <si>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</si>
  <si>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</si>
  <si>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</si>
  <si>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</si>
  <si>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</si>
  <si>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</si>
  <si>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</si>
  <si>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</si>
  <si>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</si>
  <si>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</si>
  <si>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</si>
  <si>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</si>
  <si>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</si>
  <si>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</si>
  <si>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</si>
  <si>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 от 29,09,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</si>
</sst>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46294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Вторник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si="68"/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103.13333333333334</v>
      </c>
      <c r="BN433" s="78">
        <f t="shared" si="70"/>
        <v>108.29</v>
      </c>
      <c r="BO433" s="78">
        <f t="shared" si="71"/>
        <v>0.1388888888888889</v>
      </c>
      <c r="BP433" s="78">
        <f t="shared" si="72"/>
        <v>0.14583333333333331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100</v>
      </c>
      <c r="Y434" s="55">
        <f t="shared" si="68"/>
        <v>105</v>
      </c>
      <c r="Z434" s="41">
        <f>IFERROR(IF(Y434=0,"",ROUNDUP(Y434/H434,0)*0.02175),"")</f>
        <v>0.15225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103.13333333333334</v>
      </c>
      <c r="BN434" s="78">
        <f t="shared" si="70"/>
        <v>108.29</v>
      </c>
      <c r="BO434" s="78">
        <f t="shared" si="71"/>
        <v>0.1388888888888889</v>
      </c>
      <c r="BP434" s="78">
        <f t="shared" si="72"/>
        <v>0.14583333333333331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68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103.13333333333334</v>
      </c>
      <c r="BN435" s="78">
        <f t="shared" si="70"/>
        <v>108.29</v>
      </c>
      <c r="BO435" s="78">
        <f t="shared" si="71"/>
        <v>0.1388888888888889</v>
      </c>
      <c r="BP435" s="78">
        <f t="shared" si="72"/>
        <v>0.14583333333333331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100</v>
      </c>
      <c r="Y436" s="55">
        <f t="shared" si="68"/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103.13333333333334</v>
      </c>
      <c r="BN436" s="78">
        <f t="shared" si="70"/>
        <v>108.29</v>
      </c>
      <c r="BO436" s="78">
        <f t="shared" si="71"/>
        <v>0.1388888888888889</v>
      </c>
      <c r="BP436" s="78">
        <f t="shared" si="72"/>
        <v>0.14583333333333331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26.666666666666668</v>
      </c>
      <c r="Y440" s="43">
        <f>IFERROR(Y432/H432,"0")+IFERROR(Y433/H433,"0")+IFERROR(Y434/H434,"0")+IFERROR(Y435/H435,"0")+IFERROR(Y436/H436,"0")+IFERROR(Y437/H437,"0")+IFERROR(Y438/H438,"0")+IFERROR(Y439/H439,"0")</f>
        <v>28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0.60899999999999999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400</v>
      </c>
      <c r="Y441" s="43">
        <f>IFERROR(SUM(Y432:Y439),"0")</f>
        <v>420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100</v>
      </c>
      <c r="Y443" s="55">
        <f>IFERROR(IF(X443="",0,CEILING((X443/$H443),1)*$H443),"")</f>
        <v>105</v>
      </c>
      <c r="Z443" s="41">
        <f>IFERROR(IF(Y443=0,"",ROUNDUP(Y443/H443,0)*0.02175),"")</f>
        <v>0.15225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103.13333333333334</v>
      </c>
      <c r="BN443" s="78">
        <f>IFERROR(Y443*I443/H443,"0")</f>
        <v>108.29</v>
      </c>
      <c r="BO443" s="78">
        <f>IFERROR(1/J443*(X443/H443),"0")</f>
        <v>0.1388888888888889</v>
      </c>
      <c r="BP443" s="78">
        <f>IFERROR(1/J443*(Y443/H443),"0")</f>
        <v>0.14583333333333331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6.666666666666667</v>
      </c>
      <c r="Y446" s="43">
        <f>IFERROR(Y443/H443,"0")+IFERROR(Y444/H444,"0")+IFERROR(Y445/H445,"0")</f>
        <v>7</v>
      </c>
      <c r="Z446" s="43">
        <f>IFERROR(IF(Z443="",0,Z443),"0")+IFERROR(IF(Z444="",0,Z444),"0")+IFERROR(IF(Z445="",0,Z445),"0")</f>
        <v>0.15225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100</v>
      </c>
      <c r="Y447" s="43">
        <f>IFERROR(SUM(Y443:Y445),"0")</f>
        <v>105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500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525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515.66666666666674</v>
      </c>
      <c r="Y561" s="43">
        <f>IFERROR(SUM(BN22:BN557),"0")</f>
        <v>541.45000000000005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540.66666666666674</v>
      </c>
      <c r="Y563" s="43">
        <f>GrossWeightTotalR+PalletQtyTotalR*25</f>
        <v>566.45000000000005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33.333333333333336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35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0.76124999999999998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525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26,67"/>
        <filter val="33,33"/>
        <filter val="400,00"/>
        <filter val="500,00"/>
        <filter val="515,67"/>
        <filter val="540,67"/>
        <filter val="6,67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