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B194AE-170F-491E-9602-31DAE58EDCAE}" xr6:coauthVersionLast="47" xr6:coauthVersionMax="47" xr10:uidLastSave="{00000000-0000-0000-0000-000000000000}"/>
  <bookViews>
    <workbookView xWindow="120" yWindow="0" windowWidth="2808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N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N208" i="2"/>
  <c r="BM208" i="2"/>
  <c r="Y208" i="2"/>
  <c r="BP208" i="2" s="1"/>
  <c r="P208" i="2"/>
  <c r="BO207" i="2"/>
  <c r="BM207" i="2"/>
  <c r="Y207" i="2"/>
  <c r="BP207" i="2" s="1"/>
  <c r="P207" i="2"/>
  <c r="Y203" i="2"/>
  <c r="X203" i="2"/>
  <c r="X202" i="2"/>
  <c r="BP201" i="2"/>
  <c r="BO201" i="2"/>
  <c r="BM201" i="2"/>
  <c r="Z201" i="2"/>
  <c r="Z202" i="2" s="1"/>
  <c r="Y201" i="2"/>
  <c r="Y202" i="2" s="1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N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N165" i="2"/>
  <c r="BM165" i="2"/>
  <c r="Z165" i="2"/>
  <c r="Y165" i="2"/>
  <c r="P165" i="2"/>
  <c r="X162" i="2"/>
  <c r="X161" i="2"/>
  <c r="BP160" i="2"/>
  <c r="BO160" i="2"/>
  <c r="BM160" i="2"/>
  <c r="Y160" i="2"/>
  <c r="Y161" i="2" s="1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N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O75" i="2"/>
  <c r="BN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N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140" i="2" l="1"/>
  <c r="Z294" i="2"/>
  <c r="BP294" i="2"/>
  <c r="Y538" i="2"/>
  <c r="BP140" i="2"/>
  <c r="Z28" i="2"/>
  <c r="Y43" i="2"/>
  <c r="BP154" i="2"/>
  <c r="BN201" i="2"/>
  <c r="Z236" i="2"/>
  <c r="Z513" i="2"/>
  <c r="BP49" i="2"/>
  <c r="Z75" i="2"/>
  <c r="Z108" i="2"/>
  <c r="BP109" i="2"/>
  <c r="Z184" i="2"/>
  <c r="Z208" i="2"/>
  <c r="Z234" i="2"/>
  <c r="Z269" i="2"/>
  <c r="Z333" i="2"/>
  <c r="Z369" i="2"/>
  <c r="Z413" i="2"/>
  <c r="Y453" i="2"/>
  <c r="BN29" i="2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Z362" i="2" s="1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Z72" i="2" s="1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<sst xmlns="http://schemas.openxmlformats.org/spreadsheetml/2006/main" count="4361" uniqueCount="923">
  <si>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</si>
  <si>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</si>
  <si>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</si>
  <si>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</si>
  <si>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</si>
  <si>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</si>
  <si>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</si>
  <si>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</si>
  <si>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</si>
  <si>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</si>
  <si>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</si>
  <si>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</si>
  <si>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</si>
  <si>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</si>
  <si>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</si>
  <si>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</si>
  <si>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</si>
  <si>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</si>
  <si>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</si>
  <si>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</si>
  <si>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</si>
  <si>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</si>
  <si>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</si>
  <si>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</si>
  <si>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</si>
  <si>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</si>
  <si>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</si>
  <si>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</si>
  <si>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</si>
  <si>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</si>
  <si>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</si>
  <si>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</si>
  <si>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</si>
  <si>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</si>
  <si>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</si>
  <si>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</si>
  <si>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</si>
  <si>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</si>
  <si>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</si>
  <si>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</si>
  <si>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</si>
  <si>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</si>
  <si>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</si>
  <si>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</si>
  <si>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</si>
  <si>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</si>
  <si>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</si>
  <si>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</si>
  <si>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</si>
  <si>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</si>
  <si>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</si>
  <si>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</si>
  <si>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</si>
  <si>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</si>
  <si>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</si>
  <si>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</si>
  <si>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</si>
  <si>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</si>
  <si>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</si>
  <si>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</si>
  <si>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</si>
  <si>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</si>
  <si>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</si>
  <si>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</si>
  <si>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</si>
  <si>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</si>
  <si>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</si>
  <si>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</si>
  <si>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</si>
  <si>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</si>
  <si>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</si>
  <si>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</si>
  <si>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</si>
  <si>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</si>
  <si>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</si>
  <si>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</si>
  <si>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</si>
  <si>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</si>
  <si>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</si>
  <si>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</si>
  <si>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</si>
  <si>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</si>
  <si>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</si>
  <si>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</si>
  <si>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</si>
  <si>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</si>
  <si>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</si>
  <si>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</si>
  <si>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</si>
  <si>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</si>
  <si>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</si>
  <si>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</si>
  <si>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</si>
  <si>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</si>
  <si>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</si>
  <si>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</si>
  <si>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</si>
  <si>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</si>
  <si>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</si>
  <si>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</si>
  <si>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</si>
  <si>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</si>
  <si>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</si>
  <si>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</si>
  <si>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</si>
  <si>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</si>
  <si>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</si>
  <si>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</si>
  <si>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</si>
  <si>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</si>
  <si>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</si>
  <si>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</si>
  <si>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</si>
  <si>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</si>
  <si>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</si>
  <si>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</si>
  <si>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</si>
  <si>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</si>
  <si>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</si>
  <si>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</si>
  <si>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</si>
  <si>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</si>
  <si>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</si>
  <si>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</si>
  <si>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</si>
  <si>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</si>
  <si>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</si>
  <si>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</si>
  <si>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</si>
  <si>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</si>
  <si>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</si>
  <si>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</si>
  <si>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</si>
  <si>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</si>
  <si>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</si>
  <si>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</si>
  <si>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</si>
  <si>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</si>
  <si>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</si>
  <si>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</si>
  <si>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</si>
  <si>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</si>
  <si>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</si>
  <si>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</si>
  <si>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</si>
  <si>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</si>
  <si>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</si>
  <si>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</si>
  <si>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</si>
  <si>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</si>
  <si>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</si>
  <si>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</si>
  <si>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</si>
  <si>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</si>
  <si>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</si>
  <si>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</si>
  <si>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</si>
  <si>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</si>
  <si>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</si>
  <si>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</si>
  <si>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</si>
  <si>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</si>
  <si>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</si>
  <si>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</si>
  <si>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</si>
  <si>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</si>
  <si>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</si>
  <si>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</si>
  <si>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</si>
  <si>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</si>
  <si>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</si>
  <si>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</si>
  <si>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</si>
  <si>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</si>
  <si>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</si>
  <si>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</si>
  <si>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</si>
  <si>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</si>
  <si>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</si>
  <si>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</si>
  <si>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</si>
  <si>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</si>
  <si>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</si>
  <si>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</si>
  <si>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</si>
  <si>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</si>
  <si>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</si>
  <si>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</si>
  <si>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</si>
  <si>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</si>
  <si>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</si>
  <si>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</si>
  <si>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</si>
  <si>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</si>
  <si>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</si>
  <si>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</si>
  <si>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</si>
  <si>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</si>
  <si>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</si>
  <si>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</si>
  <si>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</si>
  <si>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</si>
  <si>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</si>
  <si>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</si>
  <si>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</si>
  <si>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</si>
  <si>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</si>
  <si>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</si>
  <si>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</si>
  <si>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</si>
  <si>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</si>
  <si>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</si>
  <si>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</si>
  <si>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</si>
  <si>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</si>
  <si>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</si>
  <si>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</si>
  <si>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</si>
  <si>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</si>
  <si>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</si>
  <si>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</si>
  <si>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</si>
  <si>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</si>
  <si>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</si>
  <si>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</si>
  <si>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</si>
  <si>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</si>
  <si>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</si>
  <si>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</si>
  <si>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</si>
  <si>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</si>
  <si>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</si>
  <si>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</si>
  <si>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</si>
  <si>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</si>
  <si>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</si>
  <si>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</si>
  <si>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</si>
  <si>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</si>
  <si>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</si>
  <si>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</si>
  <si>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</si>
  <si>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</si>
  <si>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</si>
  <si>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</si>
  <si>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</si>
  <si>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</si>
  <si>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</si>
  <si>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</si>
  <si>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</si>
  <si>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</si>
  <si>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</si>
  <si>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</si>
  <si>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</si>
  <si>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</si>
  <si>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</si>
  <si>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</si>
  <si>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</si>
  <si>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</si>
  <si>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</si>
  <si>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</si>
  <si>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</si>
  <si>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</si>
  <si>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</si>
  <si>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</si>
  <si>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</si>
  <si>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</si>
  <si>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</si>
  <si>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</si>
  <si>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</si>
  <si>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</si>
  <si>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</si>
  <si>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</si>
  <si>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</si>
  <si>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</si>
  <si>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</si>
  <si>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</si>
  <si>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</si>
  <si>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</si>
  <si>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</si>
  <si>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</si>
  <si>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</si>
  <si>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</si>
  <si>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</si>
  <si>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</si>
  <si>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</si>
  <si>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</si>
  <si>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</si>
  <si>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</si>
  <si>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</si>
  <si>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</si>
  <si>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</si>
  <si>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</si>
  <si>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</si>
  <si>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</si>
  <si>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</si>
  <si>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</si>
  <si>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</si>
  <si>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</si>
  <si>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</si>
  <si>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</si>
  <si>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</si>
  <si>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</si>
  <si>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</si>
  <si>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</si>
  <si>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</si>
  <si>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</si>
  <si>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</si>
  <si>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</si>
  <si>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</si>
  <si>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</si>
  <si>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</si>
  <si>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</si>
  <si>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</si>
  <si>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</si>
  <si>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</si>
  <si>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</si>
  <si>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</si>
  <si>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</si>
  <si>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</si>
  <si>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</si>
  <si>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</si>
  <si>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</si>
  <si>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</si>
  <si>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</si>
  <si>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</si>
  <si>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</si>
  <si>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</si>
  <si>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</si>
  <si>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</si>
  <si>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</si>
  <si>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</si>
  <si>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</si>
  <si>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</si>
  <si>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</si>
  <si>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</si>
  <si>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</si>
  <si>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</si>
  <si>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</si>
  <si>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</si>
  <si>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</si>
  <si>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</si>
  <si>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</si>
  <si>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</si>
  <si>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</si>
  <si>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</si>
  <si>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</si>
  <si>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</si>
  <si>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</si>
  <si>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</si>
  <si>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</si>
  <si>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</si>
  <si>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</si>
  <si>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</si>
  <si>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</si>
  <si>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</si>
  <si>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</si>
  <si>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</si>
  <si>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</si>
  <si>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</si>
  <si>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</si>
  <si>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</si>
  <si>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</si>
  <si>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</si>
  <si>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</si>
  <si>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</si>
  <si>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</si>
  <si>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</si>
  <si>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</si>
  <si>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</si>
  <si>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</si>
  <si>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</si>
  <si>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</si>
  <si>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</si>
  <si>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</si>
  <si>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</si>
  <si>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</si>
  <si>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</si>
  <si>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</si>
  <si>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</si>
  <si>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</si>
  <si>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</si>
  <si>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</si>
  <si>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</si>
  <si>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</si>
  <si>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</si>
  <si>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</si>
  <si>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</si>
  <si>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</si>
  <si>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</si>
  <si>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</si>
  <si>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</si>
  <si>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</si>
  <si>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</si>
  <si>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</si>
  <si>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</si>
  <si>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</si>
  <si>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</si>
  <si>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</si>
  <si>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</si>
  <si>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</si>
  <si>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</si>
  <si>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</si>
  <si>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</si>
  <si>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</si>
  <si>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</si>
  <si>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</si>
  <si>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</si>
  <si>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</si>
  <si>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</si>
  <si>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</si>
  <si>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</si>
  <si>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</si>
  <si>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</si>
  <si>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</si>
  <si>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</si>
  <si>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</si>
  <si>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</si>
  <si>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</si>
  <si>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</si>
  <si>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</si>
  <si>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</si>
  <si>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</si>
  <si>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</si>
  <si>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</si>
  <si>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</si>
  <si>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</si>
  <si>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</si>
  <si>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</si>
  <si>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</si>
  <si>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</si>
  <si>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</si>
  <si>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</si>
  <si>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</si>
  <si>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</si>
  <si>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</si>
  <si>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</si>
  <si>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</si>
  <si>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</si>
  <si>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</si>
  <si>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</si>
  <si>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</si>
  <si>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</si>
  <si>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</si>
  <si>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</si>
  <si>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</si>
  <si>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</si>
  <si>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</si>
  <si>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</si>
  <si>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</si>
  <si>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</si>
  <si>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</si>
  <si>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</si>
  <si>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</si>
  <si>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</si>
  <si>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</si>
  <si>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</si>
  <si>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</si>
  <si>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</si>
  <si>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</si>
  <si>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</si>
  <si>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</si>
  <si>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</si>
  <si>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</si>
  <si>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</si>
  <si>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</si>
  <si>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</si>
  <si>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</si>
  <si>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</si>
  <si>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</si>
  <si>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</si>
  <si>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</si>
  <si>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</si>
  <si>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</si>
  <si>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</si>
  <si>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</si>
  <si>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</si>
  <si>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</si>
  <si>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</si>
  <si>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</si>
  <si>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</si>
  <si>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</si>
  <si>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</si>
  <si>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</si>
  <si>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</si>
  <si>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</si>
  <si>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</si>
  <si>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</si>
  <si>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</si>
  <si>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</si>
  <si>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</si>
  <si>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</si>
  <si>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</si>
  <si>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</si>
  <si>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</si>
  <si>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</si>
  <si>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</si>
  <si>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</si>
  <si>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</si>
  <si>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</si>
  <si>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</si>
  <si>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</si>
  <si>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</si>
  <si>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</si>
  <si>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</si>
  <si>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</si>
  <si>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</si>
  <si>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</si>
  <si>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</si>
  <si>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</si>
  <si>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</si>
  <si>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</si>
  <si>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</si>
  <si>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</si>
  <si>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</si>
  <si>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</si>
  <si>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</si>
  <si>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</si>
  <si>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</si>
  <si>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</si>
  <si>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</si>
  <si>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</si>
  <si>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</si>
  <si>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</si>
  <si>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</si>
  <si>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</si>
  <si>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</si>
  <si>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</si>
  <si>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</si>
  <si>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</si>
  <si>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</si>
  <si>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</si>
  <si>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</si>
  <si>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</si>
  <si>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</si>
  <si>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</si>
  <si>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</si>
  <si>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</si>
  <si>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</si>
  <si>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</si>
  <si>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</si>
  <si>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</si>
  <si>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</si>
  <si>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</si>
  <si>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</si>
  <si>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</si>
  <si>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</si>
  <si>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</si>
  <si>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</si>
  <si>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</si>
  <si>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</si>
  <si>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</si>
  <si>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</si>
  <si>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</si>
  <si>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</si>
  <si>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</si>
  <si>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</si>
  <si>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</si>
  <si>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</si>
  <si>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</si>
  <si>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</si>
  <si>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</si>
  <si>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</si>
  <si>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</si>
  <si>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</si>
  <si>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</si>
  <si>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</si>
  <si>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</si>
  <si>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</si>
  <si>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</si>
  <si>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</si>
  <si>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</si>
  <si>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</si>
  <si>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</si>
  <si>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</si>
  <si>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</si>
  <si>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</si>
  <si>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</si>
  <si>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</si>
  <si>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</si>
  <si>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</si>
  <si>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</si>
  <si>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</si>
  <si>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</si>
  <si>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</si>
  <si>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</si>
  <si>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</si>
  <si>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</si>
  <si>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</si>
  <si>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</si>
  <si>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</si>
  <si>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</si>
  <si>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</si>
  <si>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</si>
  <si>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</si>
  <si>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</si>
  <si>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</si>
  <si>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</si>
  <si>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</si>
  <si>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</si>
  <si>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</si>
  <si>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</si>
  <si>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</si>
  <si>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</si>
  <si>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</si>
  <si>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</si>
  <si>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</si>
  <si>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</si>
  <si>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</si>
  <si>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</si>
  <si>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</si>
  <si>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</si>
  <si>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</si>
  <si>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</si>
  <si>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</si>
  <si>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</si>
  <si>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</si>
  <si>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</si>
  <si>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</si>
  <si>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</si>
  <si>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</si>
  <si>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</si>
  <si>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</si>
  <si>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</si>
  <si>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</si>
  <si>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</si>
  <si>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</si>
  <si>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</si>
  <si>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</si>
  <si>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</si>
  <si>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</si>
  <si>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</si>
  <si>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</si>
  <si>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</si>
  <si>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</si>
  <si>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</si>
  <si>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</si>
  <si>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</si>
  <si>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</si>
  <si>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</si>
  <si>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</si>
  <si>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</si>
  <si>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</si>
  <si>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</si>
  <si>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</si>
  <si>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</si>
  <si>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</si>
  <si>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</si>
  <si>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</si>
  <si>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</si>
  <si>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</si>
  <si>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</si>
  <si>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</si>
  <si>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</si>
  <si>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</si>
  <si>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</si>
  <si>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</si>
  <si>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</si>
  <si>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</si>
  <si>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</si>
  <si>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</si>
  <si>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</si>
  <si>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</si>
  <si>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</si>
  <si>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</si>
  <si>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</si>
  <si>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</si>
  <si>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</si>
  <si>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</si>
  <si>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</si>
  <si>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</si>
  <si>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</si>
  <si>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</si>
  <si>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</si>
  <si>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</si>
  <si>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</si>
  <si>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</si>
  <si>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</si>
  <si>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</si>
  <si>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</si>
  <si>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</si>
  <si>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</si>
  <si>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</si>
  <si>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</si>
  <si>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</si>
  <si>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</si>
  <si>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</si>
  <si>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</si>
  <si>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</si>
  <si>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</si>
  <si>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</si>
  <si>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</si>
  <si>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</si>
  <si>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</si>
  <si>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</si>
  <si>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</si>
  <si>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</si>
  <si>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</si>
  <si>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</si>
  <si>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</si>
  <si>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</si>
  <si>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</si>
  <si>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</si>
  <si>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</si>
  <si>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</si>
  <si>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</si>
  <si>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</si>
  <si>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</si>
  <si>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</si>
  <si>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</si>
  <si>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</si>
  <si>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</si>
  <si>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</si>
  <si>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</si>
  <si>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</si>
  <si>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</si>
  <si>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</si>
  <si>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</si>
  <si>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</si>
  <si>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</si>
  <si>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</si>
  <si>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</si>
  <si>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</si>
  <si>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</si>
  <si>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</si>
  <si>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</si>
  <si>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</si>
  <si>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</si>
  <si>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</si>
  <si>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</si>
  <si>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</si>
  <si>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</si>
  <si>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</si>
  <si>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</si>
  <si>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</si>
  <si>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</si>
  <si>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</si>
  <si>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</si>
  <si>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</si>
  <si>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</si>
  <si>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</si>
  <si>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</si>
  <si>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</si>
  <si>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</si>
  <si>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</si>
  <si>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</si>
  <si>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</si>
  <si>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</si>
  <si>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</si>
  <si>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</si>
  <si>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</si>
  <si>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</si>
  <si>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</si>
  <si>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</si>
  <si>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</si>
  <si>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</si>
  <si>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</si>
  <si>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</si>
  <si>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</si>
  <si>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</si>
  <si>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</si>
  <si>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</si>
  <si>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</si>
  <si>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</si>
  <si>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</si>
  <si>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</si>
  <si>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</si>
  <si>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</si>
  <si>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</si>
  <si>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</si>
  <si>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</si>
  <si>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</si>
  <si>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</si>
  <si>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</si>
  <si>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</si>
  <si>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</si>
  <si>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</si>
  <si>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</si>
  <si>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</si>
  <si>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</si>
  <si>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</si>
  <si>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</si>
  <si>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</si>
  <si>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</si>
  <si>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</si>
  <si>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</si>
  <si>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</si>
  <si>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</si>
  <si>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</si>
  <si>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</si>
  <si>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</si>
  <si>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</si>
  <si>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</si>
  <si>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</si>
  <si>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</si>
  <si>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</si>
  <si>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</si>
  <si>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</si>
  <si>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</si>
  <si>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</si>
  <si>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</si>
  <si>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</si>
  <si>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</si>
  <si>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</si>
  <si>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</si>
  <si>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</si>
  <si>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</si>
  <si>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</si>
  <si>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</si>
  <si>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</si>
  <si>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</si>
  <si>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</si>
  <si>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</si>
  <si>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</si>
  <si>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</si>
  <si>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</si>
  <si>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</si>
  <si>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</si>
  <si>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</si>
  <si>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</si>
  <si>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</si>
  <si>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</si>
  <si>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</si>
  <si>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</si>
  <si>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</si>
  <si>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</si>
  <si>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</si>
  <si>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</si>
  <si>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</si>
  <si>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</si>
  <si>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</si>
  <si>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</si>
  <si>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</si>
  <si>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</si>
  <si>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</si>
  <si>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</si>
  <si>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</si>
  <si>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</si>
  <si>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</si>
  <si>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</si>
  <si>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</si>
  <si>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</si>
  <si>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</si>
  <si>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</si>
  <si>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</si>
  <si>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</si>
  <si>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</si>
  <si>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</si>
  <si>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</si>
  <si>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</si>
  <si>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</si>
  <si>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</si>
  <si>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</si>
  <si>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</si>
  <si>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</si>
  <si>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</si>
  <si>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</si>
  <si>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</si>
  <si>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</si>
  <si>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</si>
  <si>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</si>
  <si>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</si>
  <si>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</si>
  <si>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</si>
  <si>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</si>
  <si>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</si>
  <si>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</si>
  <si>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</si>
  <si>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</si>
  <si>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</si>
  <si>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</si>
  <si>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</si>
  <si>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</si>
  <si>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</si>
  <si>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</si>
  <si>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</si>
  <si>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</si>
  <si>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</si>
  <si>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</si>
  <si>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</si>
  <si>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</si>
  <si>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</si>
  <si>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</si>
  <si>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</si>
  <si>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</si>
  <si>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</si>
  <si>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</si>
  <si>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</si>
  <si>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</si>
  <si>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</si>
  <si>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</si>
  <si>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</si>
  <si>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</si>
  <si>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</si>
  <si>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</si>
  <si>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</si>
  <si>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</si>
  <si>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</si>
  <si>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</si>
  <si>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</si>
  <si>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</si>
  <si>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</si>
  <si>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</si>
  <si>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</si>
  <si>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</si>
  <si>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</si>
  <si>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</si>
  <si>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</si>
  <si>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</si>
  <si>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</si>
  <si>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</si>
  <si>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</si>
  <si>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</si>
  <si>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</si>
  <si>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</si>
  <si>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</si>
  <si>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</si>
  <si>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</si>
  <si>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</si>
  <si>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</si>
  <si>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</si>
  <si>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</si>
  <si>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TSO001128058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</si>
</sst>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922</v>
      </c>
      <c r="I5" s="661"/>
      <c r="J5" s="661"/>
      <c r="K5" s="661"/>
      <c r="L5" s="661"/>
      <c r="M5" s="661"/>
      <c r="N5" s="72"/>
      <c r="P5" s="27" t="s">
        <v>4</v>
      </c>
      <c r="Q5" s="663">
        <v>46294</v>
      </c>
      <c r="R5" s="663"/>
      <c r="T5" s="664" t="s">
        <v>3</v>
      </c>
      <c r="U5" s="665"/>
      <c r="V5" s="666" t="s">
        <v>879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880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Вторник</v>
      </c>
      <c r="R6" s="669"/>
      <c r="T6" s="670" t="s">
        <v>5</v>
      </c>
      <c r="U6" s="671"/>
      <c r="V6" s="672" t="s">
        <v>69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0.66666666666666663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70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71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72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73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74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75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75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76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85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103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85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119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120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121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136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121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158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85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177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185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121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726" t="s">
        <v>85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5" t="s">
        <v>208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hidden="1" customHeight="1" x14ac:dyDescent="0.25">
      <c r="A102" s="726" t="s">
        <v>121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6" t="s">
        <v>158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26" t="s">
        <v>85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26" t="s">
        <v>177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25" t="s">
        <v>254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hidden="1" customHeight="1" x14ac:dyDescent="0.25">
      <c r="A134" s="726" t="s">
        <v>121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26" t="s">
        <v>76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26" t="s">
        <v>85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25" t="s">
        <v>267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hidden="1" customHeight="1" x14ac:dyDescent="0.25">
      <c r="A150" s="726" t="s">
        <v>85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726" t="s">
        <v>282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725" t="s">
        <v>119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hidden="1" customHeight="1" x14ac:dyDescent="0.25">
      <c r="A164" s="726" t="s">
        <v>121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6" t="s">
        <v>158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26" t="s">
        <v>76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26" t="s">
        <v>85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6" t="s">
        <v>282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6" t="s">
        <v>347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724" t="s">
        <v>351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hidden="1" customHeight="1" x14ac:dyDescent="0.25">
      <c r="A205" s="725" t="s">
        <v>352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hidden="1" customHeight="1" x14ac:dyDescent="0.25">
      <c r="A206" s="726" t="s">
        <v>121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725" t="s">
        <v>373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hidden="1" customHeight="1" x14ac:dyDescent="0.25">
      <c r="A217" s="726" t="s">
        <v>158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726" t="s">
        <v>76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26" t="s">
        <v>85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26" t="s">
        <v>282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726" t="s">
        <v>444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725" t="s">
        <v>447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hidden="1" customHeight="1" x14ac:dyDescent="0.25">
      <c r="A262" s="726" t="s">
        <v>121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726" t="s">
        <v>158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726" t="s">
        <v>76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726" t="s">
        <v>85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726" t="s">
        <v>177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725" t="s">
        <v>515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hidden="1" customHeight="1" x14ac:dyDescent="0.25">
      <c r="A304" s="726" t="s">
        <v>121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6" t="s">
        <v>158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6" t="s">
        <v>537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726" t="s">
        <v>347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544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121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564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85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573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76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85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594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121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603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121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76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85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177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282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671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680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689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85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696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85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706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707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121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customHeight="1" x14ac:dyDescent="0.25">
      <c r="A434" s="63" t="s">
        <v>711</v>
      </c>
      <c r="B434" s="63" t="s">
        <v>712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450</v>
      </c>
      <c r="Y434" s="55">
        <f t="shared" si="68"/>
        <v>450</v>
      </c>
      <c r="Z434" s="41">
        <f>IFERROR(IF(Y434=0,"",ROUNDUP(Y434/H434,0)*0.02175),"")</f>
        <v>0.65249999999999997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464.1</v>
      </c>
      <c r="BN434" s="78">
        <f t="shared" si="70"/>
        <v>464.1</v>
      </c>
      <c r="BO434" s="78">
        <f t="shared" si="71"/>
        <v>0.625</v>
      </c>
      <c r="BP434" s="78">
        <f t="shared" si="72"/>
        <v>0.625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30</v>
      </c>
      <c r="Y441" s="43">
        <f>IFERROR(Y433/H433,"0")+IFERROR(Y434/H434,"0")+IFERROR(Y435/H435,"0")+IFERROR(Y436/H436,"0")+IFERROR(Y437/H437,"0")+IFERROR(Y438/H438,"0")+IFERROR(Y439/H439,"0")+IFERROR(Y440/H440,"0")</f>
        <v>30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0.65249999999999997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450</v>
      </c>
      <c r="Y442" s="43">
        <f>IFERROR(SUM(Y433:Y440),"0")</f>
        <v>450</v>
      </c>
      <c r="Z442" s="42"/>
      <c r="AA442" s="67"/>
      <c r="AB442" s="67"/>
      <c r="AC442" s="67"/>
    </row>
    <row r="443" spans="1:68" ht="14.25" hidden="1" customHeight="1" x14ac:dyDescent="0.25">
      <c r="A443" s="726" t="s">
        <v>158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732</v>
      </c>
      <c r="B444" s="63" t="s">
        <v>733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85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177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756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121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76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85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772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773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76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85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796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158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76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808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808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121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158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76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855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855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121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158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76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85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177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873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158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450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450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464.1</v>
      </c>
      <c r="Y562" s="43">
        <f>IFERROR(SUM(BN22:BN558),"0")</f>
        <v>464.1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489.1</v>
      </c>
      <c r="Y564" s="43">
        <f>GrossWeightTotalR+PalletQtyTotalR*25</f>
        <v>489.1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30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30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0.65249999999999997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1016" t="s">
        <v>119</v>
      </c>
      <c r="E568" s="1016" t="s">
        <v>119</v>
      </c>
      <c r="F568" s="1016" t="s">
        <v>119</v>
      </c>
      <c r="G568" s="1016" t="s">
        <v>119</v>
      </c>
      <c r="H568" s="1016" t="s">
        <v>119</v>
      </c>
      <c r="I568" s="1016" t="s">
        <v>119</v>
      </c>
      <c r="J568" s="1016" t="s">
        <v>119</v>
      </c>
      <c r="K568" s="1016" t="s">
        <v>351</v>
      </c>
      <c r="L568" s="1016" t="s">
        <v>351</v>
      </c>
      <c r="M568" s="1016" t="s">
        <v>351</v>
      </c>
      <c r="N568" s="1025"/>
      <c r="O568" s="1016" t="s">
        <v>351</v>
      </c>
      <c r="P568" s="1016" t="s">
        <v>351</v>
      </c>
      <c r="Q568" s="1016" t="s">
        <v>351</v>
      </c>
      <c r="R568" s="1016" t="s">
        <v>351</v>
      </c>
      <c r="S568" s="1016" t="s">
        <v>351</v>
      </c>
      <c r="T568" s="1016" t="s">
        <v>351</v>
      </c>
      <c r="U568" s="1016" t="s">
        <v>351</v>
      </c>
      <c r="V568" s="1016" t="s">
        <v>351</v>
      </c>
      <c r="W568" s="1016" t="s">
        <v>706</v>
      </c>
      <c r="X568" s="1016" t="s">
        <v>706</v>
      </c>
      <c r="Y568" s="1016" t="s">
        <v>772</v>
      </c>
      <c r="Z568" s="1016" t="s">
        <v>772</v>
      </c>
      <c r="AA568" s="85" t="s">
        <v>808</v>
      </c>
      <c r="AB568" s="1016" t="s">
        <v>855</v>
      </c>
      <c r="AC568" s="1016" t="s">
        <v>855</v>
      </c>
      <c r="AF568" s="1"/>
    </row>
    <row r="569" spans="1:32" ht="14.25" customHeight="1" thickTop="1" x14ac:dyDescent="0.2">
      <c r="A569" s="1026" t="s">
        <v>10</v>
      </c>
      <c r="B569" s="1016" t="s">
        <v>75</v>
      </c>
      <c r="C569" s="1016" t="s">
        <v>103</v>
      </c>
      <c r="D569" s="1016" t="s">
        <v>120</v>
      </c>
      <c r="E569" s="1016" t="s">
        <v>136</v>
      </c>
      <c r="F569" s="1016" t="s">
        <v>185</v>
      </c>
      <c r="G569" s="1016" t="s">
        <v>208</v>
      </c>
      <c r="H569" s="1016" t="s">
        <v>254</v>
      </c>
      <c r="I569" s="1016" t="s">
        <v>267</v>
      </c>
      <c r="J569" s="1016" t="s">
        <v>119</v>
      </c>
      <c r="K569" s="1016" t="s">
        <v>352</v>
      </c>
      <c r="L569" s="1016" t="s">
        <v>373</v>
      </c>
      <c r="M569" s="1016" t="s">
        <v>447</v>
      </c>
      <c r="N569" s="1"/>
      <c r="O569" s="1016" t="s">
        <v>515</v>
      </c>
      <c r="P569" s="1016" t="s">
        <v>544</v>
      </c>
      <c r="Q569" s="1016" t="s">
        <v>564</v>
      </c>
      <c r="R569" s="1016" t="s">
        <v>573</v>
      </c>
      <c r="S569" s="1016" t="s">
        <v>594</v>
      </c>
      <c r="T569" s="1016" t="s">
        <v>603</v>
      </c>
      <c r="U569" s="1016" t="s">
        <v>689</v>
      </c>
      <c r="V569" s="1016" t="s">
        <v>696</v>
      </c>
      <c r="W569" s="1016" t="s">
        <v>707</v>
      </c>
      <c r="X569" s="1016" t="s">
        <v>756</v>
      </c>
      <c r="Y569" s="1016" t="s">
        <v>773</v>
      </c>
      <c r="Z569" s="1016" t="s">
        <v>796</v>
      </c>
      <c r="AA569" s="1016" t="s">
        <v>808</v>
      </c>
      <c r="AB569" s="1016" t="s">
        <v>855</v>
      </c>
      <c r="AC569" s="1016" t="s">
        <v>873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450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,00"/>
        <filter val="450,00"/>
        <filter val="464,10"/>
        <filter val="489,10"/>
      </filters>
    </filterColumn>
    <filterColumn colId="29" showButton="0"/>
    <filterColumn colId="30" showButton="0"/>
  </autoFilter>
  <dataConsolidate/>
  <mergeCells count="1007"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2026-09-29T12:39:50Z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