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B212C8D-93E1-4E16-82D6-196225936F57}" xr6:coauthVersionLast="47" xr6:coauthVersionMax="47" xr10:uidLastSave="{00000000-0000-0000-0000-000000000000}"/>
  <bookViews>
    <workbookView xWindow="120" yWindow="0" windowWidth="2808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Y501" i="2"/>
  <c r="X501" i="2"/>
  <c r="BO500" i="2"/>
  <c r="BN500" i="2"/>
  <c r="BM500" i="2"/>
  <c r="Y500" i="2"/>
  <c r="BP500" i="2" s="1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P484" i="2"/>
  <c r="BO484" i="2"/>
  <c r="BM484" i="2"/>
  <c r="Y484" i="2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O450" i="2"/>
  <c r="BN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N427" i="2"/>
  <c r="BM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P414" i="2"/>
  <c r="BO413" i="2"/>
  <c r="BM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4" i="2"/>
  <c r="X403" i="2"/>
  <c r="BO402" i="2"/>
  <c r="BN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N372" i="2"/>
  <c r="BM372" i="2"/>
  <c r="Y372" i="2"/>
  <c r="BP372" i="2" s="1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N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P294" i="2"/>
  <c r="BO294" i="2"/>
  <c r="BN294" i="2"/>
  <c r="BM294" i="2"/>
  <c r="Z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X271" i="2"/>
  <c r="X270" i="2"/>
  <c r="BO269" i="2"/>
  <c r="BM269" i="2"/>
  <c r="Y269" i="2"/>
  <c r="BN269" i="2" s="1"/>
  <c r="P269" i="2"/>
  <c r="BO268" i="2"/>
  <c r="BM268" i="2"/>
  <c r="Y268" i="2"/>
  <c r="BP268" i="2" s="1"/>
  <c r="P268" i="2"/>
  <c r="X266" i="2"/>
  <c r="X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N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O208" i="2"/>
  <c r="BN208" i="2"/>
  <c r="BM208" i="2"/>
  <c r="Y208" i="2"/>
  <c r="BP208" i="2" s="1"/>
  <c r="P208" i="2"/>
  <c r="BO207" i="2"/>
  <c r="BM207" i="2"/>
  <c r="Y207" i="2"/>
  <c r="BP207" i="2" s="1"/>
  <c r="P207" i="2"/>
  <c r="Y203" i="2"/>
  <c r="X203" i="2"/>
  <c r="X202" i="2"/>
  <c r="BP201" i="2"/>
  <c r="BO201" i="2"/>
  <c r="BM201" i="2"/>
  <c r="Z201" i="2"/>
  <c r="Z202" i="2" s="1"/>
  <c r="Y201" i="2"/>
  <c r="Y202" i="2" s="1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4" i="2"/>
  <c r="BN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BO165" i="2"/>
  <c r="BM165" i="2"/>
  <c r="Y165" i="2"/>
  <c r="Z165" i="2" s="1"/>
  <c r="P165" i="2"/>
  <c r="X162" i="2"/>
  <c r="X161" i="2"/>
  <c r="BO160" i="2"/>
  <c r="BM160" i="2"/>
  <c r="Y160" i="2"/>
  <c r="Y161" i="2" s="1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P154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BN108" i="2" l="1"/>
  <c r="Z140" i="2"/>
  <c r="BP140" i="2"/>
  <c r="BP160" i="2"/>
  <c r="BN165" i="2"/>
  <c r="Y538" i="2"/>
  <c r="BN201" i="2"/>
  <c r="Z236" i="2"/>
  <c r="Z269" i="2"/>
  <c r="Z333" i="2"/>
  <c r="Z369" i="2"/>
  <c r="Z413" i="2"/>
  <c r="Z513" i="2"/>
  <c r="Z108" i="2"/>
  <c r="BP109" i="2"/>
  <c r="Z184" i="2"/>
  <c r="Z208" i="2"/>
  <c r="Z234" i="2"/>
  <c r="Z291" i="2"/>
  <c r="Z331" i="2"/>
  <c r="Z372" i="2"/>
  <c r="Z402" i="2"/>
  <c r="Z427" i="2"/>
  <c r="Z450" i="2"/>
  <c r="Z500" i="2"/>
  <c r="X563" i="2"/>
  <c r="BN37" i="2"/>
  <c r="Z80" i="2"/>
  <c r="BN80" i="2"/>
  <c r="BN91" i="2"/>
  <c r="BN106" i="2"/>
  <c r="BP117" i="2"/>
  <c r="BN117" i="2"/>
  <c r="Z117" i="2"/>
  <c r="BN183" i="2"/>
  <c r="Z191" i="2"/>
  <c r="Y195" i="2"/>
  <c r="BP191" i="2"/>
  <c r="BP229" i="2"/>
  <c r="BN229" i="2"/>
  <c r="Z229" i="2"/>
  <c r="Y259" i="2"/>
  <c r="Y260" i="2"/>
  <c r="BP264" i="2"/>
  <c r="BN264" i="2"/>
  <c r="Z264" i="2"/>
  <c r="BP292" i="2"/>
  <c r="BN292" i="2"/>
  <c r="Z292" i="2"/>
  <c r="BN332" i="2"/>
  <c r="BP348" i="2"/>
  <c r="BN348" i="2"/>
  <c r="Z348" i="2"/>
  <c r="BN371" i="2"/>
  <c r="Z371" i="2"/>
  <c r="BN401" i="2"/>
  <c r="BP406" i="2"/>
  <c r="BN406" i="2"/>
  <c r="Z406" i="2"/>
  <c r="BP452" i="2"/>
  <c r="BN452" i="2"/>
  <c r="Z452" i="2"/>
  <c r="Y464" i="2"/>
  <c r="BN462" i="2"/>
  <c r="Z462" i="2"/>
  <c r="BN463" i="2"/>
  <c r="BP463" i="2"/>
  <c r="BP480" i="2"/>
  <c r="BN480" i="2"/>
  <c r="Z480" i="2"/>
  <c r="BN511" i="2"/>
  <c r="BP511" i="2"/>
  <c r="BP544" i="2"/>
  <c r="Y546" i="2"/>
  <c r="Z28" i="2"/>
  <c r="BN28" i="2"/>
  <c r="BN29" i="2"/>
  <c r="Y43" i="2"/>
  <c r="BN40" i="2"/>
  <c r="BP49" i="2"/>
  <c r="BN55" i="2"/>
  <c r="Z57" i="2"/>
  <c r="BN57" i="2"/>
  <c r="BN63" i="2"/>
  <c r="Z75" i="2"/>
  <c r="BN75" i="2"/>
  <c r="Y78" i="2"/>
  <c r="BN76" i="2"/>
  <c r="BP97" i="2"/>
  <c r="BN97" i="2"/>
  <c r="Z97" i="2"/>
  <c r="BN98" i="2"/>
  <c r="BP98" i="2"/>
  <c r="BP146" i="2"/>
  <c r="Z146" i="2"/>
  <c r="BN173" i="2"/>
  <c r="Y175" i="2"/>
  <c r="BP178" i="2"/>
  <c r="BN178" i="2"/>
  <c r="Z178" i="2"/>
  <c r="BN207" i="2"/>
  <c r="BP213" i="2"/>
  <c r="BN213" i="2"/>
  <c r="Z213" i="2"/>
  <c r="BN222" i="2"/>
  <c r="BP222" i="2"/>
  <c r="BN235" i="2"/>
  <c r="BN240" i="2"/>
  <c r="Z240" i="2"/>
  <c r="BN241" i="2"/>
  <c r="BP241" i="2"/>
  <c r="Y266" i="2"/>
  <c r="BN268" i="2"/>
  <c r="BN273" i="2"/>
  <c r="Z273" i="2"/>
  <c r="BN274" i="2"/>
  <c r="BP274" i="2"/>
  <c r="BN284" i="2"/>
  <c r="BP284" i="2"/>
  <c r="BN305" i="2"/>
  <c r="BP305" i="2"/>
  <c r="BP367" i="2"/>
  <c r="BN367" i="2"/>
  <c r="Z367" i="2"/>
  <c r="BP387" i="2"/>
  <c r="BN387" i="2"/>
  <c r="Z387" i="2"/>
  <c r="BN389" i="2"/>
  <c r="Z389" i="2"/>
  <c r="BP414" i="2"/>
  <c r="BN414" i="2"/>
  <c r="Z414" i="2"/>
  <c r="BP439" i="2"/>
  <c r="BN439" i="2"/>
  <c r="Z439" i="2"/>
  <c r="BN440" i="2"/>
  <c r="BP440" i="2"/>
  <c r="Y453" i="2"/>
  <c r="BP498" i="2"/>
  <c r="BN498" i="2"/>
  <c r="Z498" i="2"/>
  <c r="BP526" i="2"/>
  <c r="BN526" i="2"/>
  <c r="Z526" i="2"/>
  <c r="BP527" i="2"/>
  <c r="BN527" i="2"/>
  <c r="Z527" i="2"/>
  <c r="BN529" i="2"/>
  <c r="Z529" i="2"/>
  <c r="BN95" i="2"/>
  <c r="BN193" i="2"/>
  <c r="BN218" i="2"/>
  <c r="BN278" i="2"/>
  <c r="Y350" i="2"/>
  <c r="BN347" i="2"/>
  <c r="BN388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Z147" i="2" s="1"/>
  <c r="BN224" i="2"/>
  <c r="BP224" i="2"/>
  <c r="L571" i="2"/>
  <c r="BP247" i="2"/>
  <c r="BN247" i="2"/>
  <c r="Z295" i="2"/>
  <c r="Z323" i="2"/>
  <c r="Z324" i="2" s="1"/>
  <c r="Z412" i="2"/>
  <c r="Z415" i="2" s="1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Z521" i="2" s="1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Z151" i="2"/>
  <c r="Y250" i="2"/>
  <c r="Y301" i="2"/>
  <c r="BP300" i="2"/>
  <c r="BN300" i="2"/>
  <c r="Y397" i="2"/>
  <c r="Y475" i="2"/>
  <c r="BP471" i="2"/>
  <c r="Y474" i="2"/>
  <c r="BN471" i="2"/>
  <c r="Z471" i="2"/>
  <c r="Z474" i="2" s="1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Z554" i="2" s="1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Z421" i="2" s="1"/>
  <c r="BN434" i="2"/>
  <c r="BN444" i="2"/>
  <c r="Y447" i="2"/>
  <c r="BN467" i="2"/>
  <c r="Z479" i="2"/>
  <c r="Z489" i="2"/>
  <c r="Y495" i="2"/>
  <c r="BP506" i="2"/>
  <c r="BN514" i="2"/>
  <c r="Z524" i="2"/>
  <c r="Z531" i="2" s="1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28" i="2" s="1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86" i="2"/>
  <c r="Z210" i="2"/>
  <c r="Z315" i="2"/>
  <c r="Z316" i="2" s="1"/>
  <c r="Z328" i="2"/>
  <c r="Z339" i="2"/>
  <c r="Z341" i="2" s="1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49" i="2" s="1"/>
  <c r="Z274" i="2"/>
  <c r="Z284" i="2"/>
  <c r="Z305" i="2"/>
  <c r="Z345" i="2"/>
  <c r="BP425" i="2"/>
  <c r="AB571" i="2"/>
  <c r="BN166" i="2"/>
  <c r="Z362" i="2" l="1"/>
  <c r="Z72" i="2"/>
  <c r="Z281" i="2"/>
  <c r="Z169" i="2"/>
  <c r="X564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<sst xmlns="http://schemas.openxmlformats.org/spreadsheetml/2006/main" count="4361" uniqueCount="923">
  <si>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</si>
  <si>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</si>
  <si>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</si>
  <si>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</si>
  <si>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</si>
  <si>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</si>
  <si>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</si>
  <si>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</si>
  <si>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</si>
  <si>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</si>
  <si>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</si>
  <si>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</si>
  <si>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</si>
  <si>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</si>
  <si>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</si>
  <si>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</si>
  <si>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</si>
  <si>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</si>
  <si>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</si>
  <si>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</si>
  <si>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</si>
  <si>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</si>
  <si>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</si>
  <si>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</si>
  <si>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</si>
  <si>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</si>
  <si>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</si>
  <si>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</si>
  <si>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</si>
  <si>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</si>
  <si>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</si>
  <si>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</si>
  <si>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</si>
  <si>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</si>
  <si>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</si>
  <si>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</si>
  <si>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</si>
  <si>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</si>
  <si>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</si>
  <si>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</si>
  <si>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</si>
  <si>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</si>
  <si>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</si>
  <si>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</si>
  <si>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</si>
  <si>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</si>
  <si>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</si>
  <si>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</si>
  <si>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</si>
  <si>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</si>
  <si>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</si>
  <si>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</si>
  <si>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</si>
  <si>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</si>
  <si>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</si>
  <si>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</si>
  <si>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</si>
  <si>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</si>
  <si>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</si>
  <si>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</si>
  <si>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</si>
  <si>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</si>
  <si>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</si>
  <si>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</si>
  <si>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</si>
  <si>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</si>
  <si>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</si>
  <si>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</si>
  <si>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</si>
  <si>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</si>
  <si>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</si>
  <si>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</si>
  <si>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</si>
  <si>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</si>
  <si>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</si>
  <si>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</si>
  <si>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</si>
  <si>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</si>
  <si>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</si>
  <si>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</si>
  <si>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</si>
  <si>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</si>
  <si>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</si>
  <si>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</si>
  <si>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</si>
  <si>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</si>
  <si>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</si>
  <si>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</si>
  <si>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</si>
  <si>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</si>
  <si>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</si>
  <si>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</si>
  <si>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</si>
  <si>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</si>
  <si>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</si>
  <si>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</si>
  <si>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</si>
  <si>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</si>
  <si>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</si>
  <si>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</si>
  <si>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</si>
  <si>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</si>
  <si>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</si>
  <si>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</si>
  <si>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</si>
  <si>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</si>
  <si>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</si>
  <si>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</si>
  <si>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</si>
  <si>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</si>
  <si>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</si>
  <si>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</si>
  <si>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</si>
  <si>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</si>
  <si>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</si>
  <si>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</si>
  <si>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</si>
  <si>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</si>
  <si>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</si>
  <si>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</si>
  <si>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</si>
  <si>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</si>
  <si>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</si>
  <si>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</si>
  <si>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</si>
  <si>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</si>
  <si>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</si>
  <si>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</si>
  <si>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</si>
  <si>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</si>
  <si>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</si>
  <si>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</si>
  <si>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</si>
  <si>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</si>
  <si>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</si>
  <si>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</si>
  <si>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</si>
  <si>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</si>
  <si>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</si>
  <si>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</si>
  <si>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</si>
  <si>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</si>
  <si>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</si>
  <si>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</si>
  <si>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</si>
  <si>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</si>
  <si>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</si>
  <si>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</si>
  <si>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</si>
  <si>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</si>
  <si>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</si>
  <si>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</si>
  <si>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</si>
  <si>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</si>
  <si>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</si>
  <si>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</si>
  <si>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</si>
  <si>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</si>
  <si>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</si>
  <si>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</si>
  <si>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</si>
  <si>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</si>
  <si>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</si>
  <si>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</si>
  <si>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</si>
  <si>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</si>
  <si>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</si>
  <si>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</si>
  <si>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</si>
  <si>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</si>
  <si>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</si>
  <si>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</si>
  <si>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</si>
  <si>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</si>
  <si>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</si>
  <si>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</si>
  <si>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</si>
  <si>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</si>
  <si>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</si>
  <si>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</si>
  <si>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</si>
  <si>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</si>
  <si>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</si>
  <si>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</si>
  <si>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</si>
  <si>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</si>
  <si>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</si>
  <si>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</si>
  <si>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</si>
  <si>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</si>
  <si>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</si>
  <si>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</si>
  <si>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</si>
  <si>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</si>
  <si>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</si>
  <si>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</si>
  <si>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</si>
  <si>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</si>
  <si>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</si>
  <si>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</si>
  <si>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</si>
  <si>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</si>
  <si>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</si>
  <si>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</si>
  <si>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</si>
  <si>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</si>
  <si>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</si>
  <si>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</si>
  <si>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</si>
  <si>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</si>
  <si>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</si>
  <si>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</si>
  <si>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</si>
  <si>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</si>
  <si>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</si>
  <si>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</si>
  <si>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</si>
  <si>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</si>
  <si>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</si>
  <si>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</si>
  <si>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</si>
  <si>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</si>
  <si>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</si>
  <si>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</si>
  <si>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</si>
  <si>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</si>
  <si>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</si>
  <si>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</si>
  <si>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</si>
  <si>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</si>
  <si>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</si>
  <si>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</si>
  <si>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</si>
  <si>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</si>
  <si>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</si>
  <si>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</si>
  <si>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</si>
  <si>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</si>
  <si>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</si>
  <si>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</si>
  <si>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</si>
  <si>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</si>
  <si>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</si>
  <si>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</si>
  <si>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</si>
  <si>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</si>
  <si>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</si>
  <si>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</si>
  <si>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</si>
  <si>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</si>
  <si>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</si>
  <si>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</si>
  <si>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</si>
  <si>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</si>
  <si>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</si>
  <si>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</si>
  <si>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</si>
  <si>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</si>
  <si>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</si>
  <si>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</si>
  <si>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</si>
  <si>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</si>
  <si>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</si>
  <si>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</si>
  <si>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</si>
  <si>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</si>
  <si>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</si>
  <si>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</si>
  <si>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</si>
  <si>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</si>
  <si>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</si>
  <si>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</si>
  <si>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</si>
  <si>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</si>
  <si>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</si>
  <si>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</si>
  <si>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</si>
  <si>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</si>
  <si>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</si>
  <si>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</si>
  <si>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</si>
  <si>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</si>
  <si>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</si>
  <si>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</si>
  <si>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</si>
  <si>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</si>
  <si>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</si>
  <si>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</si>
  <si>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</si>
  <si>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</si>
  <si>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</si>
  <si>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</si>
  <si>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</si>
  <si>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</si>
  <si>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</si>
  <si>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</si>
  <si>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</si>
  <si>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</si>
  <si>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</si>
  <si>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</si>
  <si>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</si>
  <si>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</si>
  <si>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</si>
  <si>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</si>
  <si>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</si>
  <si>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</si>
  <si>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</si>
  <si>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</si>
  <si>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</si>
  <si>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</si>
  <si>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</si>
  <si>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</si>
  <si>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</si>
  <si>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</si>
  <si>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</si>
  <si>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</si>
  <si>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</si>
  <si>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</si>
  <si>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</si>
  <si>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</si>
  <si>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</si>
  <si>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</si>
  <si>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</si>
  <si>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</si>
  <si>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</si>
  <si>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</si>
  <si>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</si>
  <si>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</si>
  <si>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</si>
  <si>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</si>
  <si>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</si>
  <si>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</si>
  <si>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</si>
  <si>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</si>
  <si>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</si>
  <si>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</si>
  <si>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</si>
  <si>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</si>
  <si>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</si>
  <si>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</si>
  <si>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</si>
  <si>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</si>
  <si>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</si>
  <si>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</si>
  <si>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</si>
  <si>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</si>
  <si>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</si>
  <si>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</si>
  <si>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</si>
  <si>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</si>
  <si>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</si>
  <si>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</si>
  <si>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</si>
  <si>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</si>
  <si>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</si>
  <si>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</si>
  <si>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</si>
  <si>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</si>
  <si>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</si>
  <si>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</si>
  <si>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</si>
  <si>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</si>
  <si>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</si>
  <si>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</si>
  <si>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</si>
  <si>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</si>
  <si>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</si>
  <si>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</si>
  <si>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</si>
  <si>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</si>
  <si>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</si>
  <si>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</si>
  <si>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</si>
  <si>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</si>
  <si>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</si>
  <si>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</si>
  <si>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</si>
  <si>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</si>
  <si>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</si>
  <si>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</si>
  <si>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</si>
  <si>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</si>
  <si>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</si>
  <si>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</si>
  <si>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</si>
  <si>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</si>
  <si>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</si>
  <si>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</si>
  <si>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</si>
  <si>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</si>
  <si>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</si>
  <si>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</si>
  <si>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</si>
  <si>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</si>
  <si>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</si>
  <si>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</si>
  <si>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</si>
  <si>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</si>
  <si>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</si>
  <si>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</si>
  <si>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</si>
  <si>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</si>
  <si>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</si>
  <si>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</si>
  <si>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</si>
  <si>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</si>
  <si>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</si>
  <si>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</si>
  <si>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</si>
  <si>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</si>
  <si>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</si>
  <si>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</si>
  <si>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</si>
  <si>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</si>
  <si>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</si>
  <si>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</si>
  <si>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</si>
  <si>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</si>
  <si>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</si>
  <si>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</si>
  <si>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</si>
  <si>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</si>
  <si>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</si>
  <si>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</si>
  <si>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</si>
  <si>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</si>
  <si>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</si>
  <si>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</si>
  <si>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</si>
  <si>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</si>
  <si>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</si>
  <si>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</si>
  <si>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</si>
  <si>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</si>
  <si>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</si>
  <si>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</si>
  <si>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</si>
  <si>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</si>
  <si>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</si>
  <si>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</si>
  <si>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</si>
  <si>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</si>
  <si>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</si>
  <si>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</si>
  <si>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</si>
  <si>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</si>
  <si>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</si>
  <si>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</si>
  <si>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</si>
  <si>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</si>
  <si>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</si>
  <si>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</si>
  <si>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</si>
  <si>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</si>
  <si>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</si>
  <si>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</si>
  <si>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</si>
  <si>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</si>
  <si>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</si>
  <si>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</si>
  <si>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</si>
  <si>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</si>
  <si>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</si>
  <si>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</si>
  <si>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</si>
  <si>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</si>
  <si>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</si>
  <si>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</si>
  <si>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</si>
  <si>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</si>
  <si>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</si>
  <si>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</si>
  <si>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</si>
  <si>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</si>
  <si>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</si>
  <si>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</si>
  <si>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</si>
  <si>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</si>
  <si>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</si>
  <si>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</si>
  <si>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</si>
  <si>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</si>
  <si>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</si>
  <si>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</si>
  <si>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</si>
  <si>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</si>
  <si>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</si>
  <si>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</si>
  <si>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</si>
  <si>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</si>
  <si>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</si>
  <si>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</si>
  <si>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</si>
  <si>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</si>
  <si>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</si>
  <si>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</si>
  <si>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</si>
  <si>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</si>
  <si>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</si>
  <si>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</si>
  <si>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</si>
  <si>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</si>
  <si>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</si>
  <si>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</si>
  <si>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</si>
  <si>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</si>
  <si>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</si>
  <si>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</si>
  <si>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</si>
  <si>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</si>
  <si>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</si>
  <si>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</si>
  <si>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</si>
  <si>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</si>
  <si>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</si>
  <si>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</si>
  <si>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</si>
  <si>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</si>
  <si>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</si>
  <si>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</si>
  <si>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</si>
  <si>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</si>
  <si>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</si>
  <si>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</si>
  <si>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</si>
  <si>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</si>
  <si>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</si>
  <si>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</si>
  <si>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</si>
  <si>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</si>
  <si>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</si>
  <si>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</si>
  <si>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</si>
  <si>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</si>
  <si>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</si>
  <si>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</si>
  <si>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</si>
  <si>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</si>
  <si>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</si>
  <si>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</si>
  <si>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</si>
  <si>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</si>
  <si>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</si>
  <si>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</si>
  <si>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</si>
  <si>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</si>
  <si>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</si>
  <si>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</si>
  <si>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</si>
  <si>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</si>
  <si>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</si>
  <si>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</si>
  <si>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</si>
  <si>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</si>
  <si>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</si>
  <si>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</si>
  <si>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</si>
  <si>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</si>
  <si>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</si>
  <si>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</si>
  <si>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</si>
  <si>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</si>
  <si>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</si>
  <si>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</si>
  <si>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</si>
  <si>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</si>
  <si>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</si>
  <si>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</si>
  <si>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</si>
  <si>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</si>
  <si>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</si>
  <si>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</si>
  <si>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</si>
  <si>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</si>
  <si>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</si>
  <si>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</si>
  <si>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</si>
  <si>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</si>
  <si>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</si>
  <si>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</si>
  <si>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</si>
  <si>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</si>
  <si>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</si>
  <si>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</si>
  <si>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</si>
  <si>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</si>
  <si>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</si>
  <si>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</si>
  <si>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</si>
  <si>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</si>
  <si>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</si>
  <si>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</si>
  <si>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</si>
  <si>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</si>
  <si>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</si>
  <si>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</si>
  <si>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</si>
  <si>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</si>
  <si>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</si>
  <si>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</si>
  <si>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</si>
  <si>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</si>
  <si>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</si>
  <si>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</si>
  <si>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</si>
  <si>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</si>
  <si>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</si>
  <si>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</si>
  <si>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</si>
  <si>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</si>
  <si>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</si>
  <si>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</si>
  <si>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</si>
  <si>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</si>
  <si>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</si>
  <si>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</si>
  <si>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</si>
  <si>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</si>
  <si>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</si>
  <si>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</si>
  <si>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</si>
  <si>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</si>
  <si>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</si>
  <si>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</si>
  <si>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</si>
  <si>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</si>
  <si>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</si>
  <si>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</si>
  <si>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</si>
  <si>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</si>
  <si>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</si>
  <si>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</si>
  <si>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</si>
  <si>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</si>
  <si>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</si>
  <si>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</si>
  <si>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</si>
  <si>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</si>
  <si>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</si>
  <si>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</si>
  <si>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</si>
  <si>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</si>
  <si>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</si>
  <si>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</si>
  <si>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</si>
  <si>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</si>
  <si>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</si>
  <si>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</si>
  <si>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</si>
  <si>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</si>
  <si>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</si>
  <si>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</si>
  <si>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</si>
  <si>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</si>
  <si>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</si>
  <si>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</si>
  <si>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</si>
  <si>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</si>
  <si>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</si>
  <si>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</si>
  <si>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</si>
  <si>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</si>
  <si>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</si>
  <si>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</si>
  <si>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</si>
  <si>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</si>
  <si>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</si>
  <si>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</si>
  <si>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</si>
  <si>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</si>
  <si>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</si>
  <si>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</si>
  <si>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</si>
  <si>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</si>
  <si>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</si>
  <si>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</si>
  <si>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</si>
  <si>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</si>
  <si>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</si>
  <si>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</si>
  <si>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</si>
  <si>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</si>
  <si>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</si>
  <si>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</si>
  <si>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</si>
  <si>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</si>
  <si>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</si>
  <si>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</si>
  <si>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</si>
  <si>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</si>
  <si>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</si>
  <si>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</si>
  <si>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</si>
  <si>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</si>
  <si>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</si>
  <si>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</si>
  <si>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</si>
  <si>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</si>
  <si>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</si>
  <si>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</si>
  <si>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</si>
  <si>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</si>
  <si>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</si>
  <si>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</si>
  <si>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</si>
  <si>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</si>
  <si>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</si>
  <si>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</si>
  <si>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</si>
  <si>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</si>
  <si>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</si>
  <si>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</si>
  <si>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</si>
  <si>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</si>
  <si>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</si>
  <si>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</si>
  <si>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</si>
  <si>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</si>
  <si>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</si>
  <si>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</si>
  <si>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</si>
  <si>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</si>
  <si>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</si>
  <si>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</si>
  <si>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</si>
  <si>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</si>
  <si>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</si>
  <si>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</si>
  <si>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</si>
  <si>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</si>
  <si>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</si>
  <si>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</si>
  <si>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</si>
  <si>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</si>
  <si>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</si>
  <si>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</si>
  <si>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</si>
  <si>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</si>
  <si>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</si>
  <si>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</si>
  <si>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</si>
  <si>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</si>
  <si>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</si>
  <si>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</si>
  <si>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</si>
  <si>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</si>
  <si>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</si>
  <si>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</si>
  <si>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</si>
  <si>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</si>
  <si>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</si>
  <si>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</si>
  <si>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</si>
  <si>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</si>
  <si>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</si>
  <si>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</si>
  <si>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</si>
  <si>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</si>
  <si>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</si>
  <si>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</si>
  <si>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</si>
  <si>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</si>
  <si>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</si>
  <si>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</si>
  <si>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</si>
  <si>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</si>
  <si>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</si>
  <si>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</si>
  <si>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</si>
  <si>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</si>
  <si>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</si>
  <si>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</si>
  <si>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</si>
  <si>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</si>
  <si>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</si>
  <si>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</si>
  <si>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</si>
  <si>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</si>
  <si>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</si>
  <si>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</si>
  <si>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</si>
  <si>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</si>
  <si>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</si>
  <si>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</si>
  <si>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</si>
  <si>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</si>
  <si>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</si>
  <si>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</si>
  <si>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</si>
  <si>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</si>
  <si>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</si>
  <si>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</si>
  <si>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</si>
  <si>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</si>
  <si>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</si>
  <si>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</si>
  <si>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</si>
  <si>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</si>
  <si>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</si>
  <si>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</si>
  <si>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</si>
  <si>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</si>
  <si>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</si>
  <si>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</si>
  <si>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</si>
  <si>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</si>
  <si>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</si>
  <si>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</si>
  <si>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</si>
  <si>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</si>
  <si>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</si>
  <si>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</si>
  <si>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</si>
  <si>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</si>
  <si>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</si>
  <si>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</si>
  <si>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</si>
  <si>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</si>
  <si>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</si>
  <si>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</si>
  <si>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</si>
  <si>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</si>
  <si>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</si>
  <si>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</si>
  <si>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</si>
  <si>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</si>
  <si>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</si>
  <si>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</si>
  <si>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</si>
  <si>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</si>
  <si>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</si>
  <si>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</si>
  <si>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</si>
  <si>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</si>
  <si>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</si>
  <si>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</si>
  <si>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</si>
  <si>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</si>
  <si>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</si>
  <si>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</si>
  <si>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</si>
  <si>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</si>
  <si>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</si>
  <si>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</si>
  <si>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</si>
  <si>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</si>
  <si>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</si>
  <si>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</si>
  <si>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</si>
  <si>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</si>
  <si>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</si>
  <si>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</si>
  <si>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</si>
  <si>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</si>
  <si>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</si>
  <si>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</si>
  <si>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</si>
  <si>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</si>
  <si>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</si>
  <si>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</si>
  <si>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</si>
  <si>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</si>
  <si>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</si>
  <si>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</si>
  <si>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</si>
  <si>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</si>
  <si>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</si>
  <si>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</si>
  <si>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</si>
  <si>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</si>
  <si>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</si>
  <si>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</si>
  <si>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</si>
  <si>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</si>
  <si>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</si>
  <si>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</si>
  <si>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</si>
  <si>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</si>
  <si>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</si>
  <si>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</si>
  <si>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</si>
  <si>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</si>
  <si>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</si>
  <si>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</si>
  <si>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</si>
  <si>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</si>
  <si>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</si>
  <si>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</si>
  <si>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</si>
  <si>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</si>
  <si>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</si>
  <si>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</si>
  <si>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</si>
  <si>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</si>
  <si>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</si>
  <si>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</si>
  <si>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</si>
  <si>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</si>
  <si>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</si>
  <si>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</si>
  <si>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</si>
  <si>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</si>
  <si>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</si>
  <si>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</si>
  <si>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</si>
  <si>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</si>
  <si>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</si>
  <si>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</si>
  <si>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</si>
  <si>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</si>
  <si>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</si>
  <si>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</si>
  <si>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</si>
  <si>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</si>
  <si>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</si>
  <si>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</si>
  <si>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</si>
  <si>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</si>
  <si>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</si>
  <si>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</si>
  <si>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</si>
  <si>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TSO001128081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</si>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</sst>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66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67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921</v>
      </c>
      <c r="I5" s="661"/>
      <c r="J5" s="661"/>
      <c r="K5" s="661"/>
      <c r="L5" s="661"/>
      <c r="M5" s="661"/>
      <c r="N5" s="72"/>
      <c r="P5" s="27" t="s">
        <v>4</v>
      </c>
      <c r="Q5" s="663">
        <v>46294</v>
      </c>
      <c r="R5" s="663"/>
      <c r="T5" s="664" t="s">
        <v>3</v>
      </c>
      <c r="U5" s="665"/>
      <c r="V5" s="666" t="s">
        <v>878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897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Вторник</v>
      </c>
      <c r="R6" s="669"/>
      <c r="T6" s="670" t="s">
        <v>5</v>
      </c>
      <c r="U6" s="671"/>
      <c r="V6" s="672" t="s">
        <v>68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7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57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0.70833333333333337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69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922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70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71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72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73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60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58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65</v>
      </c>
      <c r="L17" s="702" t="s">
        <v>63</v>
      </c>
      <c r="M17" s="702" t="s">
        <v>2</v>
      </c>
      <c r="N17" s="702" t="s">
        <v>62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55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59</v>
      </c>
      <c r="AB17" s="716" t="s">
        <v>19</v>
      </c>
      <c r="AC17" s="716" t="s">
        <v>64</v>
      </c>
      <c r="AD17" s="718" t="s">
        <v>56</v>
      </c>
      <c r="AE17" s="719"/>
      <c r="AF17" s="720"/>
      <c r="AG17" s="82"/>
      <c r="BD17" s="81" t="s">
        <v>61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74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74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75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76</v>
      </c>
      <c r="B22" s="63" t="s">
        <v>77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80</v>
      </c>
      <c r="L22" s="37" t="s">
        <v>46</v>
      </c>
      <c r="M22" s="38" t="s">
        <v>79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78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81</v>
      </c>
      <c r="B23" s="63" t="s">
        <v>82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80</v>
      </c>
      <c r="L23" s="37" t="s">
        <v>46</v>
      </c>
      <c r="M23" s="38" t="s">
        <v>79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83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84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85</v>
      </c>
      <c r="B27" s="63" t="s">
        <v>86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89</v>
      </c>
      <c r="L27" s="37" t="s">
        <v>46</v>
      </c>
      <c r="M27" s="38" t="s">
        <v>88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87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89</v>
      </c>
      <c r="L28" s="37" t="s">
        <v>46</v>
      </c>
      <c r="M28" s="38" t="s">
        <v>88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87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92</v>
      </c>
      <c r="B29" s="63" t="s">
        <v>93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46</v>
      </c>
      <c r="M29" s="38" t="s">
        <v>95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94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96</v>
      </c>
      <c r="B30" s="63" t="s">
        <v>97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89</v>
      </c>
      <c r="L30" s="37" t="s">
        <v>46</v>
      </c>
      <c r="M30" s="38" t="s">
        <v>95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98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99</v>
      </c>
      <c r="B31" s="63" t="s">
        <v>100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89</v>
      </c>
      <c r="L31" s="37" t="s">
        <v>46</v>
      </c>
      <c r="M31" s="38" t="s">
        <v>88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101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102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84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103</v>
      </c>
      <c r="B37" s="63" t="s">
        <v>104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89</v>
      </c>
      <c r="L37" s="37" t="s">
        <v>46</v>
      </c>
      <c r="M37" s="38" t="s">
        <v>95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105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106</v>
      </c>
      <c r="B38" s="63" t="s">
        <v>107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89</v>
      </c>
      <c r="L38" s="37" t="s">
        <v>46</v>
      </c>
      <c r="M38" s="38" t="s">
        <v>88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108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109</v>
      </c>
      <c r="B39" s="63" t="s">
        <v>110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89</v>
      </c>
      <c r="L39" s="37" t="s">
        <v>46</v>
      </c>
      <c r="M39" s="38" t="s">
        <v>88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111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112</v>
      </c>
      <c r="B40" s="63" t="s">
        <v>113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89</v>
      </c>
      <c r="L40" s="37" t="s">
        <v>46</v>
      </c>
      <c r="M40" s="38" t="s">
        <v>88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114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89</v>
      </c>
      <c r="L41" s="37" t="s">
        <v>46</v>
      </c>
      <c r="M41" s="38" t="s">
        <v>88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118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119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120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121</v>
      </c>
      <c r="B47" s="63" t="s">
        <v>122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125</v>
      </c>
      <c r="L47" s="37" t="s">
        <v>46</v>
      </c>
      <c r="M47" s="38" t="s">
        <v>124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123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129</v>
      </c>
      <c r="L48" s="37" t="s">
        <v>46</v>
      </c>
      <c r="M48" s="38" t="s">
        <v>79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130</v>
      </c>
      <c r="B49" s="63" t="s">
        <v>131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132</v>
      </c>
      <c r="L49" s="37" t="s">
        <v>46</v>
      </c>
      <c r="M49" s="38" t="s">
        <v>88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123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132</v>
      </c>
      <c r="L50" s="37" t="s">
        <v>46</v>
      </c>
      <c r="M50" s="38" t="s">
        <v>88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123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135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120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136</v>
      </c>
      <c r="B55" s="63" t="s">
        <v>137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125</v>
      </c>
      <c r="L55" s="37" t="s">
        <v>46</v>
      </c>
      <c r="M55" s="38" t="s">
        <v>124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138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125</v>
      </c>
      <c r="L56" s="37" t="s">
        <v>46</v>
      </c>
      <c r="M56" s="38" t="s">
        <v>124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139</v>
      </c>
      <c r="B57" s="63" t="s">
        <v>142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125</v>
      </c>
      <c r="L57" s="37" t="s">
        <v>46</v>
      </c>
      <c r="M57" s="38" t="s">
        <v>124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143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144</v>
      </c>
      <c r="B58" s="63" t="s">
        <v>145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132</v>
      </c>
      <c r="L58" s="37" t="s">
        <v>46</v>
      </c>
      <c r="M58" s="38" t="s">
        <v>124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146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148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132</v>
      </c>
      <c r="L59" s="37" t="s">
        <v>46</v>
      </c>
      <c r="M59" s="38" t="s">
        <v>124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147</v>
      </c>
      <c r="B60" s="63" t="s">
        <v>150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132</v>
      </c>
      <c r="L60" s="37" t="s">
        <v>46</v>
      </c>
      <c r="M60" s="38" t="s">
        <v>124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151</v>
      </c>
      <c r="B61" s="63" t="s">
        <v>152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89</v>
      </c>
      <c r="L61" s="37" t="s">
        <v>46</v>
      </c>
      <c r="M61" s="38" t="s">
        <v>124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138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153</v>
      </c>
      <c r="B62" s="63" t="s">
        <v>154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132</v>
      </c>
      <c r="L62" s="37" t="s">
        <v>46</v>
      </c>
      <c r="M62" s="38" t="s">
        <v>124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155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156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132</v>
      </c>
      <c r="L63" s="37" t="s">
        <v>46</v>
      </c>
      <c r="M63" s="38" t="s">
        <v>124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143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157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158</v>
      </c>
      <c r="B67" s="63" t="s">
        <v>159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125</v>
      </c>
      <c r="L67" s="37" t="s">
        <v>46</v>
      </c>
      <c r="M67" s="38" t="s">
        <v>124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158</v>
      </c>
      <c r="B68" s="63" t="s">
        <v>161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125</v>
      </c>
      <c r="L68" s="37" t="s">
        <v>46</v>
      </c>
      <c r="M68" s="38" t="s">
        <v>124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162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163</v>
      </c>
      <c r="B69" s="63" t="s">
        <v>164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89</v>
      </c>
      <c r="L69" s="37" t="s">
        <v>46</v>
      </c>
      <c r="M69" s="38" t="s">
        <v>88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165</v>
      </c>
      <c r="B70" s="63" t="s">
        <v>166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129</v>
      </c>
      <c r="L70" s="37" t="s">
        <v>46</v>
      </c>
      <c r="M70" s="38" t="s">
        <v>79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167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168</v>
      </c>
      <c r="B71" s="63" t="s">
        <v>169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89</v>
      </c>
      <c r="L71" s="37" t="s">
        <v>46</v>
      </c>
      <c r="M71" s="38" t="s">
        <v>124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84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170</v>
      </c>
      <c r="B75" s="63" t="s">
        <v>171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89</v>
      </c>
      <c r="L75" s="37" t="s">
        <v>46</v>
      </c>
      <c r="M75" s="38" t="s">
        <v>88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172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173</v>
      </c>
      <c r="B76" s="63" t="s">
        <v>174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89</v>
      </c>
      <c r="L76" s="37" t="s">
        <v>46</v>
      </c>
      <c r="M76" s="38" t="s">
        <v>88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176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177</v>
      </c>
      <c r="B80" s="63" t="s">
        <v>178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125</v>
      </c>
      <c r="L80" s="37" t="s">
        <v>46</v>
      </c>
      <c r="M80" s="38" t="s">
        <v>95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180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125</v>
      </c>
      <c r="L81" s="37" t="s">
        <v>46</v>
      </c>
      <c r="M81" s="38" t="s">
        <v>95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179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181</v>
      </c>
      <c r="B82" s="63" t="s">
        <v>182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132</v>
      </c>
      <c r="L82" s="37" t="s">
        <v>46</v>
      </c>
      <c r="M82" s="38" t="s">
        <v>88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183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184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120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185</v>
      </c>
      <c r="B87" s="63" t="s">
        <v>186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125</v>
      </c>
      <c r="L87" s="37" t="s">
        <v>46</v>
      </c>
      <c r="M87" s="38" t="s">
        <v>95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188</v>
      </c>
      <c r="B88" s="63" t="s">
        <v>189</v>
      </c>
      <c r="C88" s="36">
        <v>4301012392</v>
      </c>
      <c r="D88" s="727">
        <v>4680115887732</v>
      </c>
      <c r="E88" s="727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129</v>
      </c>
      <c r="L88" s="37" t="s">
        <v>46</v>
      </c>
      <c r="M88" s="38" t="s">
        <v>79</v>
      </c>
      <c r="N88" s="38"/>
      <c r="O88" s="37">
        <v>30</v>
      </c>
      <c r="P88" s="77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4301011476</v>
      </c>
      <c r="D89" s="727">
        <v>4680115881518</v>
      </c>
      <c r="E89" s="72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132</v>
      </c>
      <c r="L89" s="37" t="s">
        <v>46</v>
      </c>
      <c r="M89" s="38" t="s">
        <v>88</v>
      </c>
      <c r="N89" s="38"/>
      <c r="O89" s="37">
        <v>50</v>
      </c>
      <c r="P89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187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191</v>
      </c>
      <c r="B90" s="63" t="s">
        <v>193</v>
      </c>
      <c r="C90" s="36">
        <v>4301012252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132</v>
      </c>
      <c r="L90" s="37" t="s">
        <v>46</v>
      </c>
      <c r="M90" s="38" t="s">
        <v>124</v>
      </c>
      <c r="N90" s="38"/>
      <c r="O90" s="37">
        <v>50</v>
      </c>
      <c r="P90" s="77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187</v>
      </c>
      <c r="AG90" s="78"/>
      <c r="AJ90" s="84" t="s">
        <v>46</v>
      </c>
      <c r="AK90" s="84">
        <v>0</v>
      </c>
      <c r="BB90" s="163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4301012250</v>
      </c>
      <c r="D91" s="727">
        <v>4680115881303</v>
      </c>
      <c r="E91" s="72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132</v>
      </c>
      <c r="L91" s="37" t="s">
        <v>46</v>
      </c>
      <c r="M91" s="38" t="s">
        <v>124</v>
      </c>
      <c r="N91" s="38"/>
      <c r="O91" s="37">
        <v>50</v>
      </c>
      <c r="P91" s="7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187</v>
      </c>
      <c r="AG91" s="78"/>
      <c r="AJ91" s="84" t="s">
        <v>46</v>
      </c>
      <c r="AK91" s="84">
        <v>0</v>
      </c>
      <c r="BB91" s="165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35"/>
      <c r="B92" s="735"/>
      <c r="C92" s="735"/>
      <c r="D92" s="735"/>
      <c r="E92" s="735"/>
      <c r="F92" s="735"/>
      <c r="G92" s="735"/>
      <c r="H92" s="735"/>
      <c r="I92" s="735"/>
      <c r="J92" s="735"/>
      <c r="K92" s="735"/>
      <c r="L92" s="735"/>
      <c r="M92" s="735"/>
      <c r="N92" s="735"/>
      <c r="O92" s="736"/>
      <c r="P92" s="732" t="s">
        <v>40</v>
      </c>
      <c r="Q92" s="733"/>
      <c r="R92" s="733"/>
      <c r="S92" s="733"/>
      <c r="T92" s="733"/>
      <c r="U92" s="733"/>
      <c r="V92" s="734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726" t="s">
        <v>84</v>
      </c>
      <c r="B94" s="726"/>
      <c r="C94" s="726"/>
      <c r="D94" s="726"/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66"/>
      <c r="AB94" s="66"/>
      <c r="AC94" s="80"/>
    </row>
    <row r="95" spans="1:68" ht="27" hidden="1" customHeight="1" x14ac:dyDescent="0.25">
      <c r="A95" s="63" t="s">
        <v>196</v>
      </c>
      <c r="B95" s="63" t="s">
        <v>197</v>
      </c>
      <c r="C95" s="36">
        <v>4301052101</v>
      </c>
      <c r="D95" s="727">
        <v>4607091386967</v>
      </c>
      <c r="E95" s="72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125</v>
      </c>
      <c r="L95" s="37" t="s">
        <v>46</v>
      </c>
      <c r="M95" s="38" t="s">
        <v>95</v>
      </c>
      <c r="N95" s="38"/>
      <c r="O95" s="37">
        <v>45</v>
      </c>
      <c r="P95" s="77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9"/>
      <c r="R95" s="729"/>
      <c r="S95" s="729"/>
      <c r="T95" s="73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198</v>
      </c>
      <c r="AG95" s="78"/>
      <c r="AJ95" s="84" t="s">
        <v>46</v>
      </c>
      <c r="AK95" s="84">
        <v>0</v>
      </c>
      <c r="BB95" s="167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199</v>
      </c>
      <c r="B96" s="63" t="s">
        <v>200</v>
      </c>
      <c r="C96" s="36">
        <v>4301052090</v>
      </c>
      <c r="D96" s="727">
        <v>4680115884953</v>
      </c>
      <c r="E96" s="72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89</v>
      </c>
      <c r="L96" s="37" t="s">
        <v>46</v>
      </c>
      <c r="M96" s="38" t="s">
        <v>88</v>
      </c>
      <c r="N96" s="38"/>
      <c r="O96" s="37">
        <v>45</v>
      </c>
      <c r="P96" s="77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4301052094</v>
      </c>
      <c r="D97" s="727">
        <v>4607091385731</v>
      </c>
      <c r="E97" s="72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89</v>
      </c>
      <c r="L97" s="37" t="s">
        <v>46</v>
      </c>
      <c r="M97" s="38" t="s">
        <v>95</v>
      </c>
      <c r="N97" s="38"/>
      <c r="O97" s="37">
        <v>45</v>
      </c>
      <c r="P97" s="77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198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204</v>
      </c>
      <c r="B98" s="63" t="s">
        <v>205</v>
      </c>
      <c r="C98" s="36">
        <v>4301052092</v>
      </c>
      <c r="D98" s="727">
        <v>4680115880894</v>
      </c>
      <c r="E98" s="72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89</v>
      </c>
      <c r="L98" s="37" t="s">
        <v>46</v>
      </c>
      <c r="M98" s="38" t="s">
        <v>88</v>
      </c>
      <c r="N98" s="38"/>
      <c r="O98" s="37">
        <v>45</v>
      </c>
      <c r="P98" s="77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206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35"/>
      <c r="B99" s="735"/>
      <c r="C99" s="735"/>
      <c r="D99" s="735"/>
      <c r="E99" s="735"/>
      <c r="F99" s="735"/>
      <c r="G99" s="735"/>
      <c r="H99" s="735"/>
      <c r="I99" s="735"/>
      <c r="J99" s="735"/>
      <c r="K99" s="735"/>
      <c r="L99" s="735"/>
      <c r="M99" s="735"/>
      <c r="N99" s="735"/>
      <c r="O99" s="736"/>
      <c r="P99" s="732" t="s">
        <v>40</v>
      </c>
      <c r="Q99" s="733"/>
      <c r="R99" s="733"/>
      <c r="S99" s="733"/>
      <c r="T99" s="733"/>
      <c r="U99" s="733"/>
      <c r="V99" s="73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5" t="s">
        <v>207</v>
      </c>
      <c r="B101" s="725"/>
      <c r="C101" s="725"/>
      <c r="D101" s="725"/>
      <c r="E101" s="725"/>
      <c r="F101" s="725"/>
      <c r="G101" s="725"/>
      <c r="H101" s="725"/>
      <c r="I101" s="725"/>
      <c r="J101" s="725"/>
      <c r="K101" s="725"/>
      <c r="L101" s="725"/>
      <c r="M101" s="725"/>
      <c r="N101" s="725"/>
      <c r="O101" s="725"/>
      <c r="P101" s="725"/>
      <c r="Q101" s="725"/>
      <c r="R101" s="725"/>
      <c r="S101" s="725"/>
      <c r="T101" s="725"/>
      <c r="U101" s="725"/>
      <c r="V101" s="725"/>
      <c r="W101" s="725"/>
      <c r="X101" s="725"/>
      <c r="Y101" s="725"/>
      <c r="Z101" s="725"/>
      <c r="AA101" s="65"/>
      <c r="AB101" s="65"/>
      <c r="AC101" s="79"/>
    </row>
    <row r="102" spans="1:68" ht="14.25" hidden="1" customHeight="1" x14ac:dyDescent="0.25">
      <c r="A102" s="726" t="s">
        <v>120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6"/>
      <c r="AB102" s="66"/>
      <c r="AC102" s="80"/>
    </row>
    <row r="103" spans="1:68" ht="37.5" hidden="1" customHeight="1" x14ac:dyDescent="0.25">
      <c r="A103" s="63" t="s">
        <v>208</v>
      </c>
      <c r="B103" s="63" t="s">
        <v>209</v>
      </c>
      <c r="C103" s="36">
        <v>4301011514</v>
      </c>
      <c r="D103" s="727">
        <v>4680115882133</v>
      </c>
      <c r="E103" s="72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125</v>
      </c>
      <c r="L103" s="37" t="s">
        <v>46</v>
      </c>
      <c r="M103" s="38" t="s">
        <v>124</v>
      </c>
      <c r="N103" s="38"/>
      <c r="O103" s="37">
        <v>50</v>
      </c>
      <c r="P103" s="7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9"/>
      <c r="R103" s="729"/>
      <c r="S103" s="729"/>
      <c r="T103" s="73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210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208</v>
      </c>
      <c r="B104" s="63" t="s">
        <v>211</v>
      </c>
      <c r="C104" s="36">
        <v>4301012256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125</v>
      </c>
      <c r="L104" s="37" t="s">
        <v>46</v>
      </c>
      <c r="M104" s="38" t="s">
        <v>124</v>
      </c>
      <c r="N104" s="38"/>
      <c r="O104" s="37">
        <v>50</v>
      </c>
      <c r="P104" s="78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214</v>
      </c>
      <c r="C105" s="36">
        <v>4301012379</v>
      </c>
      <c r="D105" s="727">
        <v>4680115887718</v>
      </c>
      <c r="E105" s="727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129</v>
      </c>
      <c r="L105" s="37" t="s">
        <v>46</v>
      </c>
      <c r="M105" s="38" t="s">
        <v>79</v>
      </c>
      <c r="N105" s="38"/>
      <c r="O105" s="37">
        <v>30</v>
      </c>
      <c r="P105" s="78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27">
        <v>4680115880269</v>
      </c>
      <c r="E106" s="72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132</v>
      </c>
      <c r="L106" s="37" t="s">
        <v>46</v>
      </c>
      <c r="M106" s="38" t="s">
        <v>88</v>
      </c>
      <c r="N106" s="38"/>
      <c r="O106" s="37">
        <v>50</v>
      </c>
      <c r="P106" s="7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216</v>
      </c>
      <c r="B107" s="63" t="s">
        <v>218</v>
      </c>
      <c r="C107" s="36">
        <v>4301012253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132</v>
      </c>
      <c r="L107" s="37" t="s">
        <v>46</v>
      </c>
      <c r="M107" s="38" t="s">
        <v>124</v>
      </c>
      <c r="N107" s="38"/>
      <c r="O107" s="37">
        <v>50</v>
      </c>
      <c r="P107" s="7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219</v>
      </c>
      <c r="B108" s="63" t="s">
        <v>220</v>
      </c>
      <c r="C108" s="36">
        <v>4301012254</v>
      </c>
      <c r="D108" s="727">
        <v>4680115880429</v>
      </c>
      <c r="E108" s="72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132</v>
      </c>
      <c r="L108" s="37" t="s">
        <v>46</v>
      </c>
      <c r="M108" s="38" t="s">
        <v>124</v>
      </c>
      <c r="N108" s="38"/>
      <c r="O108" s="37">
        <v>50</v>
      </c>
      <c r="P108" s="7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221</v>
      </c>
      <c r="B109" s="63" t="s">
        <v>222</v>
      </c>
      <c r="C109" s="36">
        <v>4301011462</v>
      </c>
      <c r="D109" s="727">
        <v>4680115881457</v>
      </c>
      <c r="E109" s="72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132</v>
      </c>
      <c r="L109" s="37" t="s">
        <v>46</v>
      </c>
      <c r="M109" s="38" t="s">
        <v>88</v>
      </c>
      <c r="N109" s="38"/>
      <c r="O109" s="37">
        <v>50</v>
      </c>
      <c r="P109" s="78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210</v>
      </c>
      <c r="AG109" s="78"/>
      <c r="AJ109" s="84" t="s">
        <v>46</v>
      </c>
      <c r="AK109" s="84">
        <v>0</v>
      </c>
      <c r="BB109" s="187" t="s">
        <v>66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221</v>
      </c>
      <c r="B110" s="63" t="s">
        <v>223</v>
      </c>
      <c r="C110" s="36">
        <v>4301012255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132</v>
      </c>
      <c r="L110" s="37" t="s">
        <v>46</v>
      </c>
      <c r="M110" s="38" t="s">
        <v>124</v>
      </c>
      <c r="N110" s="38"/>
      <c r="O110" s="37">
        <v>50</v>
      </c>
      <c r="P110" s="78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4301012366</v>
      </c>
      <c r="D111" s="727">
        <v>4680115889477</v>
      </c>
      <c r="E111" s="7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89</v>
      </c>
      <c r="L111" s="37" t="s">
        <v>46</v>
      </c>
      <c r="M111" s="38" t="s">
        <v>124</v>
      </c>
      <c r="N111" s="38"/>
      <c r="O111" s="37">
        <v>55</v>
      </c>
      <c r="P111" s="78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226</v>
      </c>
      <c r="AG111" s="78"/>
      <c r="AJ111" s="84" t="s">
        <v>46</v>
      </c>
      <c r="AK111" s="84">
        <v>0</v>
      </c>
      <c r="BB111" s="191" t="s">
        <v>66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735"/>
      <c r="B112" s="735"/>
      <c r="C112" s="735"/>
      <c r="D112" s="735"/>
      <c r="E112" s="735"/>
      <c r="F112" s="735"/>
      <c r="G112" s="735"/>
      <c r="H112" s="735"/>
      <c r="I112" s="735"/>
      <c r="J112" s="735"/>
      <c r="K112" s="735"/>
      <c r="L112" s="735"/>
      <c r="M112" s="735"/>
      <c r="N112" s="735"/>
      <c r="O112" s="736"/>
      <c r="P112" s="732" t="s">
        <v>40</v>
      </c>
      <c r="Q112" s="733"/>
      <c r="R112" s="733"/>
      <c r="S112" s="733"/>
      <c r="T112" s="733"/>
      <c r="U112" s="733"/>
      <c r="V112" s="734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26" t="s">
        <v>157</v>
      </c>
      <c r="B114" s="726"/>
      <c r="C114" s="726"/>
      <c r="D114" s="726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66"/>
      <c r="AB114" s="66"/>
      <c r="AC114" s="80"/>
    </row>
    <row r="115" spans="1:68" ht="27" hidden="1" customHeight="1" x14ac:dyDescent="0.25">
      <c r="A115" s="63" t="s">
        <v>227</v>
      </c>
      <c r="B115" s="63" t="s">
        <v>228</v>
      </c>
      <c r="C115" s="36">
        <v>4301020391</v>
      </c>
      <c r="D115" s="727">
        <v>4680115881488</v>
      </c>
      <c r="E115" s="727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125</v>
      </c>
      <c r="L115" s="37" t="s">
        <v>46</v>
      </c>
      <c r="M115" s="38" t="s">
        <v>124</v>
      </c>
      <c r="N115" s="38"/>
      <c r="O115" s="37">
        <v>55</v>
      </c>
      <c r="P115" s="7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9"/>
      <c r="R115" s="729"/>
      <c r="S115" s="729"/>
      <c r="T115" s="73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229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231</v>
      </c>
      <c r="B116" s="63" t="s">
        <v>232</v>
      </c>
      <c r="C116" s="36">
        <v>4301020186</v>
      </c>
      <c r="D116" s="727">
        <v>4680115887664</v>
      </c>
      <c r="E116" s="727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234</v>
      </c>
      <c r="L116" s="37" t="s">
        <v>46</v>
      </c>
      <c r="M116" s="38" t="s">
        <v>79</v>
      </c>
      <c r="N116" s="38"/>
      <c r="O116" s="37">
        <v>30</v>
      </c>
      <c r="P116" s="78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9"/>
      <c r="R116" s="729"/>
      <c r="S116" s="729"/>
      <c r="T116" s="730"/>
      <c r="U116" s="39" t="s">
        <v>230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233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235</v>
      </c>
      <c r="C117" s="36">
        <v>4301020430</v>
      </c>
      <c r="D117" s="727">
        <v>4680115887664</v>
      </c>
      <c r="E117" s="727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234</v>
      </c>
      <c r="L117" s="37" t="s">
        <v>46</v>
      </c>
      <c r="M117" s="38" t="s">
        <v>79</v>
      </c>
      <c r="N117" s="38"/>
      <c r="O117" s="37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29"/>
      <c r="R117" s="729"/>
      <c r="S117" s="729"/>
      <c r="T117" s="730"/>
      <c r="U117" s="39" t="s">
        <v>230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233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4301020393</v>
      </c>
      <c r="D118" s="727">
        <v>4680115882775</v>
      </c>
      <c r="E118" s="727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80</v>
      </c>
      <c r="L118" s="37" t="s">
        <v>46</v>
      </c>
      <c r="M118" s="38" t="s">
        <v>124</v>
      </c>
      <c r="N118" s="38"/>
      <c r="O118" s="37">
        <v>55</v>
      </c>
      <c r="P118" s="7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238</v>
      </c>
      <c r="B119" s="63" t="s">
        <v>239</v>
      </c>
      <c r="C119" s="36">
        <v>4301020392</v>
      </c>
      <c r="D119" s="727">
        <v>4680115880658</v>
      </c>
      <c r="E119" s="72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89</v>
      </c>
      <c r="L119" s="37" t="s">
        <v>46</v>
      </c>
      <c r="M119" s="38" t="s">
        <v>124</v>
      </c>
      <c r="N119" s="38"/>
      <c r="O119" s="37">
        <v>55</v>
      </c>
      <c r="P119" s="7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29"/>
      <c r="R119" s="729"/>
      <c r="S119" s="729"/>
      <c r="T119" s="73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229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35"/>
      <c r="B121" s="735"/>
      <c r="C121" s="735"/>
      <c r="D121" s="735"/>
      <c r="E121" s="735"/>
      <c r="F121" s="735"/>
      <c r="G121" s="735"/>
      <c r="H121" s="735"/>
      <c r="I121" s="735"/>
      <c r="J121" s="735"/>
      <c r="K121" s="735"/>
      <c r="L121" s="735"/>
      <c r="M121" s="735"/>
      <c r="N121" s="735"/>
      <c r="O121" s="736"/>
      <c r="P121" s="732" t="s">
        <v>40</v>
      </c>
      <c r="Q121" s="733"/>
      <c r="R121" s="733"/>
      <c r="S121" s="733"/>
      <c r="T121" s="733"/>
      <c r="U121" s="733"/>
      <c r="V121" s="734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26" t="s">
        <v>84</v>
      </c>
      <c r="B122" s="726"/>
      <c r="C122" s="726"/>
      <c r="D122" s="726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66"/>
      <c r="AB122" s="66"/>
      <c r="AC122" s="80"/>
    </row>
    <row r="123" spans="1:68" ht="27" hidden="1" customHeight="1" x14ac:dyDescent="0.25">
      <c r="A123" s="63" t="s">
        <v>240</v>
      </c>
      <c r="B123" s="63" t="s">
        <v>241</v>
      </c>
      <c r="C123" s="36">
        <v>4301052088</v>
      </c>
      <c r="D123" s="727">
        <v>4607091385168</v>
      </c>
      <c r="E123" s="72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125</v>
      </c>
      <c r="L123" s="37" t="s">
        <v>46</v>
      </c>
      <c r="M123" s="38" t="s">
        <v>88</v>
      </c>
      <c r="N123" s="38"/>
      <c r="O123" s="37">
        <v>45</v>
      </c>
      <c r="P123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242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4301052087</v>
      </c>
      <c r="D124" s="727">
        <v>4607091383256</v>
      </c>
      <c r="E124" s="72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89</v>
      </c>
      <c r="L124" s="37" t="s">
        <v>46</v>
      </c>
      <c r="M124" s="38" t="s">
        <v>88</v>
      </c>
      <c r="N124" s="38"/>
      <c r="O124" s="37">
        <v>45</v>
      </c>
      <c r="P124" s="79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242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4301052086</v>
      </c>
      <c r="D125" s="727">
        <v>4607091385748</v>
      </c>
      <c r="E125" s="72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89</v>
      </c>
      <c r="L125" s="37" t="s">
        <v>46</v>
      </c>
      <c r="M125" s="38" t="s">
        <v>88</v>
      </c>
      <c r="N125" s="38"/>
      <c r="O125" s="37">
        <v>45</v>
      </c>
      <c r="P125" s="79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242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247</v>
      </c>
      <c r="B126" s="63" t="s">
        <v>248</v>
      </c>
      <c r="C126" s="36">
        <v>4301052085</v>
      </c>
      <c r="D126" s="727">
        <v>4680115884533</v>
      </c>
      <c r="E126" s="72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89</v>
      </c>
      <c r="L126" s="37" t="s">
        <v>46</v>
      </c>
      <c r="M126" s="38" t="s">
        <v>88</v>
      </c>
      <c r="N126" s="38"/>
      <c r="O126" s="37">
        <v>45</v>
      </c>
      <c r="P126" s="79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29"/>
      <c r="R126" s="729"/>
      <c r="S126" s="729"/>
      <c r="T126" s="73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249</v>
      </c>
      <c r="AG126" s="78"/>
      <c r="AJ126" s="84" t="s">
        <v>46</v>
      </c>
      <c r="AK126" s="84">
        <v>0</v>
      </c>
      <c r="BB126" s="209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35"/>
      <c r="B128" s="735"/>
      <c r="C128" s="735"/>
      <c r="D128" s="735"/>
      <c r="E128" s="735"/>
      <c r="F128" s="735"/>
      <c r="G128" s="735"/>
      <c r="H128" s="735"/>
      <c r="I128" s="735"/>
      <c r="J128" s="735"/>
      <c r="K128" s="735"/>
      <c r="L128" s="735"/>
      <c r="M128" s="735"/>
      <c r="N128" s="735"/>
      <c r="O128" s="736"/>
      <c r="P128" s="732" t="s">
        <v>40</v>
      </c>
      <c r="Q128" s="733"/>
      <c r="R128" s="733"/>
      <c r="S128" s="733"/>
      <c r="T128" s="733"/>
      <c r="U128" s="733"/>
      <c r="V128" s="734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26" t="s">
        <v>176</v>
      </c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66"/>
      <c r="AB129" s="66"/>
      <c r="AC129" s="80"/>
    </row>
    <row r="130" spans="1:68" ht="16.5" hidden="1" customHeight="1" x14ac:dyDescent="0.25">
      <c r="A130" s="63" t="s">
        <v>250</v>
      </c>
      <c r="B130" s="63" t="s">
        <v>251</v>
      </c>
      <c r="C130" s="36">
        <v>4301060525</v>
      </c>
      <c r="D130" s="727">
        <v>4680115880238</v>
      </c>
      <c r="E130" s="72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89</v>
      </c>
      <c r="L130" s="37" t="s">
        <v>46</v>
      </c>
      <c r="M130" s="38" t="s">
        <v>88</v>
      </c>
      <c r="N130" s="38"/>
      <c r="O130" s="37">
        <v>40</v>
      </c>
      <c r="P130" s="79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29"/>
      <c r="R130" s="729"/>
      <c r="S130" s="729"/>
      <c r="T130" s="73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252</v>
      </c>
      <c r="AG130" s="78"/>
      <c r="AJ130" s="84" t="s">
        <v>46</v>
      </c>
      <c r="AK130" s="84">
        <v>0</v>
      </c>
      <c r="BB130" s="211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35"/>
      <c r="B132" s="735"/>
      <c r="C132" s="735"/>
      <c r="D132" s="735"/>
      <c r="E132" s="735"/>
      <c r="F132" s="735"/>
      <c r="G132" s="735"/>
      <c r="H132" s="735"/>
      <c r="I132" s="735"/>
      <c r="J132" s="735"/>
      <c r="K132" s="735"/>
      <c r="L132" s="735"/>
      <c r="M132" s="735"/>
      <c r="N132" s="735"/>
      <c r="O132" s="736"/>
      <c r="P132" s="732" t="s">
        <v>40</v>
      </c>
      <c r="Q132" s="733"/>
      <c r="R132" s="733"/>
      <c r="S132" s="733"/>
      <c r="T132" s="733"/>
      <c r="U132" s="733"/>
      <c r="V132" s="73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25" t="s">
        <v>253</v>
      </c>
      <c r="B133" s="725"/>
      <c r="C133" s="725"/>
      <c r="D133" s="725"/>
      <c r="E133" s="725"/>
      <c r="F133" s="725"/>
      <c r="G133" s="725"/>
      <c r="H133" s="725"/>
      <c r="I133" s="725"/>
      <c r="J133" s="725"/>
      <c r="K133" s="725"/>
      <c r="L133" s="725"/>
      <c r="M133" s="725"/>
      <c r="N133" s="725"/>
      <c r="O133" s="725"/>
      <c r="P133" s="725"/>
      <c r="Q133" s="725"/>
      <c r="R133" s="725"/>
      <c r="S133" s="725"/>
      <c r="T133" s="725"/>
      <c r="U133" s="725"/>
      <c r="V133" s="725"/>
      <c r="W133" s="725"/>
      <c r="X133" s="725"/>
      <c r="Y133" s="725"/>
      <c r="Z133" s="725"/>
      <c r="AA133" s="65"/>
      <c r="AB133" s="65"/>
      <c r="AC133" s="79"/>
    </row>
    <row r="134" spans="1:68" ht="14.25" hidden="1" customHeight="1" x14ac:dyDescent="0.25">
      <c r="A134" s="726" t="s">
        <v>120</v>
      </c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66"/>
      <c r="AB134" s="66"/>
      <c r="AC134" s="80"/>
    </row>
    <row r="135" spans="1:68" ht="27" hidden="1" customHeight="1" x14ac:dyDescent="0.25">
      <c r="A135" s="63" t="s">
        <v>254</v>
      </c>
      <c r="B135" s="63" t="s">
        <v>255</v>
      </c>
      <c r="C135" s="36">
        <v>4301011562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89</v>
      </c>
      <c r="L135" s="37" t="s">
        <v>46</v>
      </c>
      <c r="M135" s="38" t="s">
        <v>257</v>
      </c>
      <c r="N135" s="38"/>
      <c r="O135" s="37">
        <v>90</v>
      </c>
      <c r="P135" s="7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256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258</v>
      </c>
      <c r="C136" s="36">
        <v>4301011564</v>
      </c>
      <c r="D136" s="727">
        <v>4680115882577</v>
      </c>
      <c r="E136" s="72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89</v>
      </c>
      <c r="L136" s="37" t="s">
        <v>46</v>
      </c>
      <c r="M136" s="38" t="s">
        <v>257</v>
      </c>
      <c r="N136" s="38"/>
      <c r="O136" s="37">
        <v>90</v>
      </c>
      <c r="P136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29"/>
      <c r="R136" s="729"/>
      <c r="S136" s="729"/>
      <c r="T136" s="73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256</v>
      </c>
      <c r="AG136" s="78"/>
      <c r="AJ136" s="84" t="s">
        <v>46</v>
      </c>
      <c r="AK136" s="84">
        <v>0</v>
      </c>
      <c r="BB136" s="21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35"/>
      <c r="B138" s="735"/>
      <c r="C138" s="735"/>
      <c r="D138" s="735"/>
      <c r="E138" s="735"/>
      <c r="F138" s="735"/>
      <c r="G138" s="735"/>
      <c r="H138" s="735"/>
      <c r="I138" s="735"/>
      <c r="J138" s="735"/>
      <c r="K138" s="735"/>
      <c r="L138" s="735"/>
      <c r="M138" s="735"/>
      <c r="N138" s="735"/>
      <c r="O138" s="736"/>
      <c r="P138" s="732" t="s">
        <v>40</v>
      </c>
      <c r="Q138" s="733"/>
      <c r="R138" s="733"/>
      <c r="S138" s="733"/>
      <c r="T138" s="733"/>
      <c r="U138" s="733"/>
      <c r="V138" s="73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26" t="s">
        <v>75</v>
      </c>
      <c r="B139" s="726"/>
      <c r="C139" s="726"/>
      <c r="D139" s="726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66"/>
      <c r="AB139" s="66"/>
      <c r="AC139" s="80"/>
    </row>
    <row r="140" spans="1:68" ht="27" hidden="1" customHeight="1" x14ac:dyDescent="0.25">
      <c r="A140" s="63" t="s">
        <v>259</v>
      </c>
      <c r="B140" s="63" t="s">
        <v>260</v>
      </c>
      <c r="C140" s="36">
        <v>4301031234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89</v>
      </c>
      <c r="L140" s="37" t="s">
        <v>46</v>
      </c>
      <c r="M140" s="38" t="s">
        <v>257</v>
      </c>
      <c r="N140" s="38"/>
      <c r="O140" s="37">
        <v>90</v>
      </c>
      <c r="P140" s="80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261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259</v>
      </c>
      <c r="B141" s="63" t="s">
        <v>262</v>
      </c>
      <c r="C141" s="36">
        <v>4301031235</v>
      </c>
      <c r="D141" s="727">
        <v>4680115883444</v>
      </c>
      <c r="E141" s="72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89</v>
      </c>
      <c r="L141" s="37" t="s">
        <v>46</v>
      </c>
      <c r="M141" s="38" t="s">
        <v>257</v>
      </c>
      <c r="N141" s="38"/>
      <c r="O141" s="37">
        <v>90</v>
      </c>
      <c r="P141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29"/>
      <c r="R141" s="729"/>
      <c r="S141" s="729"/>
      <c r="T141" s="73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261</v>
      </c>
      <c r="AG141" s="78"/>
      <c r="AJ141" s="84" t="s">
        <v>46</v>
      </c>
      <c r="AK141" s="84">
        <v>0</v>
      </c>
      <c r="BB141" s="219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35"/>
      <c r="B143" s="735"/>
      <c r="C143" s="735"/>
      <c r="D143" s="735"/>
      <c r="E143" s="735"/>
      <c r="F143" s="735"/>
      <c r="G143" s="735"/>
      <c r="H143" s="735"/>
      <c r="I143" s="735"/>
      <c r="J143" s="735"/>
      <c r="K143" s="735"/>
      <c r="L143" s="735"/>
      <c r="M143" s="735"/>
      <c r="N143" s="735"/>
      <c r="O143" s="736"/>
      <c r="P143" s="732" t="s">
        <v>40</v>
      </c>
      <c r="Q143" s="733"/>
      <c r="R143" s="733"/>
      <c r="S143" s="733"/>
      <c r="T143" s="733"/>
      <c r="U143" s="733"/>
      <c r="V143" s="73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26" t="s">
        <v>84</v>
      </c>
      <c r="B144" s="726"/>
      <c r="C144" s="726"/>
      <c r="D144" s="726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66"/>
      <c r="AB144" s="66"/>
      <c r="AC144" s="80"/>
    </row>
    <row r="145" spans="1:68" ht="16.5" hidden="1" customHeight="1" x14ac:dyDescent="0.25">
      <c r="A145" s="63" t="s">
        <v>263</v>
      </c>
      <c r="B145" s="63" t="s">
        <v>264</v>
      </c>
      <c r="C145" s="36">
        <v>4301051476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89</v>
      </c>
      <c r="L145" s="37" t="s">
        <v>46</v>
      </c>
      <c r="M145" s="38" t="s">
        <v>257</v>
      </c>
      <c r="N145" s="38"/>
      <c r="O145" s="37">
        <v>60</v>
      </c>
      <c r="P145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256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263</v>
      </c>
      <c r="B146" s="63" t="s">
        <v>265</v>
      </c>
      <c r="C146" s="36">
        <v>4301051477</v>
      </c>
      <c r="D146" s="727">
        <v>4680115882584</v>
      </c>
      <c r="E146" s="72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89</v>
      </c>
      <c r="L146" s="37" t="s">
        <v>46</v>
      </c>
      <c r="M146" s="38" t="s">
        <v>257</v>
      </c>
      <c r="N146" s="38"/>
      <c r="O146" s="37">
        <v>60</v>
      </c>
      <c r="P146" s="8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29"/>
      <c r="R146" s="729"/>
      <c r="S146" s="729"/>
      <c r="T146" s="73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256</v>
      </c>
      <c r="AG146" s="78"/>
      <c r="AJ146" s="84" t="s">
        <v>46</v>
      </c>
      <c r="AK146" s="84">
        <v>0</v>
      </c>
      <c r="BB146" s="223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35"/>
      <c r="B148" s="735"/>
      <c r="C148" s="735"/>
      <c r="D148" s="735"/>
      <c r="E148" s="735"/>
      <c r="F148" s="735"/>
      <c r="G148" s="735"/>
      <c r="H148" s="735"/>
      <c r="I148" s="735"/>
      <c r="J148" s="735"/>
      <c r="K148" s="735"/>
      <c r="L148" s="735"/>
      <c r="M148" s="735"/>
      <c r="N148" s="735"/>
      <c r="O148" s="736"/>
      <c r="P148" s="732" t="s">
        <v>40</v>
      </c>
      <c r="Q148" s="733"/>
      <c r="R148" s="733"/>
      <c r="S148" s="733"/>
      <c r="T148" s="733"/>
      <c r="U148" s="733"/>
      <c r="V148" s="73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25" t="s">
        <v>266</v>
      </c>
      <c r="B149" s="725"/>
      <c r="C149" s="725"/>
      <c r="D149" s="725"/>
      <c r="E149" s="725"/>
      <c r="F149" s="725"/>
      <c r="G149" s="725"/>
      <c r="H149" s="725"/>
      <c r="I149" s="725"/>
      <c r="J149" s="725"/>
      <c r="K149" s="725"/>
      <c r="L149" s="725"/>
      <c r="M149" s="725"/>
      <c r="N149" s="725"/>
      <c r="O149" s="725"/>
      <c r="P149" s="725"/>
      <c r="Q149" s="725"/>
      <c r="R149" s="725"/>
      <c r="S149" s="725"/>
      <c r="T149" s="725"/>
      <c r="U149" s="725"/>
      <c r="V149" s="725"/>
      <c r="W149" s="725"/>
      <c r="X149" s="725"/>
      <c r="Y149" s="725"/>
      <c r="Z149" s="725"/>
      <c r="AA149" s="65"/>
      <c r="AB149" s="65"/>
      <c r="AC149" s="79"/>
    </row>
    <row r="150" spans="1:68" ht="14.25" hidden="1" customHeight="1" x14ac:dyDescent="0.25">
      <c r="A150" s="726" t="s">
        <v>84</v>
      </c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66"/>
      <c r="AB150" s="66"/>
      <c r="AC150" s="80"/>
    </row>
    <row r="151" spans="1:68" ht="27" hidden="1" customHeight="1" x14ac:dyDescent="0.25">
      <c r="A151" s="63" t="s">
        <v>267</v>
      </c>
      <c r="B151" s="63" t="s">
        <v>268</v>
      </c>
      <c r="C151" s="36">
        <v>4301052254</v>
      </c>
      <c r="D151" s="727">
        <v>4680115888203</v>
      </c>
      <c r="E151" s="72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89</v>
      </c>
      <c r="L151" s="37" t="s">
        <v>46</v>
      </c>
      <c r="M151" s="38" t="s">
        <v>95</v>
      </c>
      <c r="N151" s="38"/>
      <c r="O151" s="37">
        <v>40</v>
      </c>
      <c r="P151" s="80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66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4301052172</v>
      </c>
      <c r="D152" s="727">
        <v>4680115888180</v>
      </c>
      <c r="E152" s="72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89</v>
      </c>
      <c r="L152" s="37" t="s">
        <v>46</v>
      </c>
      <c r="M152" s="38" t="s">
        <v>95</v>
      </c>
      <c r="N152" s="38"/>
      <c r="O152" s="37">
        <v>40</v>
      </c>
      <c r="P152" s="80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270</v>
      </c>
      <c r="B153" s="63" t="s">
        <v>273</v>
      </c>
      <c r="C153" s="36">
        <v>4301052252</v>
      </c>
      <c r="D153" s="727">
        <v>4680115888180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89</v>
      </c>
      <c r="L153" s="37" t="s">
        <v>46</v>
      </c>
      <c r="M153" s="38" t="s">
        <v>95</v>
      </c>
      <c r="N153" s="38"/>
      <c r="O153" s="37">
        <v>40</v>
      </c>
      <c r="P153" s="8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4301052253</v>
      </c>
      <c r="D154" s="727">
        <v>4680115888197</v>
      </c>
      <c r="E154" s="72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89</v>
      </c>
      <c r="L154" s="37" t="s">
        <v>46</v>
      </c>
      <c r="M154" s="38" t="s">
        <v>95</v>
      </c>
      <c r="N154" s="38"/>
      <c r="O154" s="37">
        <v>40</v>
      </c>
      <c r="P154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4301052175</v>
      </c>
      <c r="D155" s="727">
        <v>4680115888210</v>
      </c>
      <c r="E155" s="72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89</v>
      </c>
      <c r="L155" s="37" t="s">
        <v>46</v>
      </c>
      <c r="M155" s="38" t="s">
        <v>95</v>
      </c>
      <c r="N155" s="38"/>
      <c r="O155" s="37">
        <v>40</v>
      </c>
      <c r="P155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4301052255</v>
      </c>
      <c r="D156" s="727">
        <v>4680115888210</v>
      </c>
      <c r="E156" s="727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89</v>
      </c>
      <c r="L156" s="37" t="s">
        <v>46</v>
      </c>
      <c r="M156" s="38" t="s">
        <v>95</v>
      </c>
      <c r="N156" s="38"/>
      <c r="O156" s="37">
        <v>40</v>
      </c>
      <c r="P156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729"/>
      <c r="R156" s="729"/>
      <c r="S156" s="729"/>
      <c r="T156" s="730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66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735"/>
      <c r="B158" s="735"/>
      <c r="C158" s="735"/>
      <c r="D158" s="735"/>
      <c r="E158" s="735"/>
      <c r="F158" s="735"/>
      <c r="G158" s="735"/>
      <c r="H158" s="735"/>
      <c r="I158" s="735"/>
      <c r="J158" s="735"/>
      <c r="K158" s="735"/>
      <c r="L158" s="735"/>
      <c r="M158" s="735"/>
      <c r="N158" s="735"/>
      <c r="O158" s="736"/>
      <c r="P158" s="732" t="s">
        <v>40</v>
      </c>
      <c r="Q158" s="733"/>
      <c r="R158" s="733"/>
      <c r="S158" s="733"/>
      <c r="T158" s="733"/>
      <c r="U158" s="733"/>
      <c r="V158" s="734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726" t="s">
        <v>281</v>
      </c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66"/>
      <c r="AB159" s="66"/>
      <c r="AC159" s="80"/>
    </row>
    <row r="160" spans="1:68" ht="27" hidden="1" customHeight="1" x14ac:dyDescent="0.25">
      <c r="A160" s="63" t="s">
        <v>282</v>
      </c>
      <c r="B160" s="63" t="s">
        <v>283</v>
      </c>
      <c r="C160" s="36">
        <v>4301032067</v>
      </c>
      <c r="D160" s="727">
        <v>4680115889132</v>
      </c>
      <c r="E160" s="727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287</v>
      </c>
      <c r="L160" s="37" t="s">
        <v>46</v>
      </c>
      <c r="M160" s="38" t="s">
        <v>286</v>
      </c>
      <c r="N160" s="38"/>
      <c r="O160" s="37">
        <v>120</v>
      </c>
      <c r="P160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729"/>
      <c r="R160" s="729"/>
      <c r="S160" s="729"/>
      <c r="T160" s="73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284</v>
      </c>
      <c r="AG160" s="78"/>
      <c r="AJ160" s="84" t="s">
        <v>46</v>
      </c>
      <c r="AK160" s="84">
        <v>0</v>
      </c>
      <c r="BB160" s="237" t="s">
        <v>285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735"/>
      <c r="B162" s="735"/>
      <c r="C162" s="735"/>
      <c r="D162" s="735"/>
      <c r="E162" s="735"/>
      <c r="F162" s="735"/>
      <c r="G162" s="735"/>
      <c r="H162" s="735"/>
      <c r="I162" s="735"/>
      <c r="J162" s="735"/>
      <c r="K162" s="735"/>
      <c r="L162" s="735"/>
      <c r="M162" s="735"/>
      <c r="N162" s="735"/>
      <c r="O162" s="736"/>
      <c r="P162" s="732" t="s">
        <v>40</v>
      </c>
      <c r="Q162" s="733"/>
      <c r="R162" s="733"/>
      <c r="S162" s="733"/>
      <c r="T162" s="733"/>
      <c r="U162" s="733"/>
      <c r="V162" s="734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725" t="s">
        <v>118</v>
      </c>
      <c r="B163" s="725"/>
      <c r="C163" s="725"/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  <c r="S163" s="725"/>
      <c r="T163" s="725"/>
      <c r="U163" s="725"/>
      <c r="V163" s="725"/>
      <c r="W163" s="725"/>
      <c r="X163" s="725"/>
      <c r="Y163" s="725"/>
      <c r="Z163" s="725"/>
      <c r="AA163" s="65"/>
      <c r="AB163" s="65"/>
      <c r="AC163" s="79"/>
    </row>
    <row r="164" spans="1:68" ht="14.25" hidden="1" customHeight="1" x14ac:dyDescent="0.25">
      <c r="A164" s="726" t="s">
        <v>120</v>
      </c>
      <c r="B164" s="726"/>
      <c r="C164" s="726"/>
      <c r="D164" s="726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66"/>
      <c r="AB164" s="66"/>
      <c r="AC164" s="80"/>
    </row>
    <row r="165" spans="1:68" ht="27" hidden="1" customHeight="1" x14ac:dyDescent="0.25">
      <c r="A165" s="63" t="s">
        <v>288</v>
      </c>
      <c r="B165" s="63" t="s">
        <v>289</v>
      </c>
      <c r="C165" s="36">
        <v>4301012338</v>
      </c>
      <c r="D165" s="727">
        <v>4680115887374</v>
      </c>
      <c r="E165" s="727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125</v>
      </c>
      <c r="L165" s="37" t="s">
        <v>46</v>
      </c>
      <c r="M165" s="38" t="s">
        <v>124</v>
      </c>
      <c r="N165" s="38"/>
      <c r="O165" s="37">
        <v>55</v>
      </c>
      <c r="P165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292</v>
      </c>
      <c r="C166" s="36">
        <v>4301011705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132</v>
      </c>
      <c r="L166" s="37" t="s">
        <v>46</v>
      </c>
      <c r="M166" s="38" t="s">
        <v>124</v>
      </c>
      <c r="N166" s="38"/>
      <c r="O166" s="37">
        <v>50</v>
      </c>
      <c r="P166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291</v>
      </c>
      <c r="B167" s="63" t="s">
        <v>294</v>
      </c>
      <c r="C167" s="36">
        <v>4301012258</v>
      </c>
      <c r="D167" s="727">
        <v>4607091384604</v>
      </c>
      <c r="E167" s="727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132</v>
      </c>
      <c r="L167" s="37" t="s">
        <v>46</v>
      </c>
      <c r="M167" s="38" t="s">
        <v>124</v>
      </c>
      <c r="N167" s="38"/>
      <c r="O167" s="37">
        <v>50</v>
      </c>
      <c r="P167" s="81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295</v>
      </c>
      <c r="B168" s="63" t="s">
        <v>296</v>
      </c>
      <c r="C168" s="36">
        <v>4301012344</v>
      </c>
      <c r="D168" s="727">
        <v>4680115888876</v>
      </c>
      <c r="E168" s="727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89</v>
      </c>
      <c r="L168" s="37" t="s">
        <v>46</v>
      </c>
      <c r="M168" s="38" t="s">
        <v>88</v>
      </c>
      <c r="N168" s="38"/>
      <c r="O168" s="37">
        <v>55</v>
      </c>
      <c r="P168" s="81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729"/>
      <c r="R168" s="729"/>
      <c r="S168" s="729"/>
      <c r="T168" s="73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297</v>
      </c>
      <c r="AG168" s="78"/>
      <c r="AJ168" s="84" t="s">
        <v>46</v>
      </c>
      <c r="AK168" s="84">
        <v>0</v>
      </c>
      <c r="BB168" s="245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35"/>
      <c r="B170" s="735"/>
      <c r="C170" s="735"/>
      <c r="D170" s="735"/>
      <c r="E170" s="735"/>
      <c r="F170" s="735"/>
      <c r="G170" s="735"/>
      <c r="H170" s="735"/>
      <c r="I170" s="735"/>
      <c r="J170" s="735"/>
      <c r="K170" s="735"/>
      <c r="L170" s="735"/>
      <c r="M170" s="735"/>
      <c r="N170" s="735"/>
      <c r="O170" s="736"/>
      <c r="P170" s="732" t="s">
        <v>40</v>
      </c>
      <c r="Q170" s="733"/>
      <c r="R170" s="733"/>
      <c r="S170" s="733"/>
      <c r="T170" s="733"/>
      <c r="U170" s="733"/>
      <c r="V170" s="734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6" t="s">
        <v>157</v>
      </c>
      <c r="B171" s="726"/>
      <c r="C171" s="726"/>
      <c r="D171" s="726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66"/>
      <c r="AB171" s="66"/>
      <c r="AC171" s="80"/>
    </row>
    <row r="172" spans="1:68" ht="16.5" hidden="1" customHeight="1" x14ac:dyDescent="0.25">
      <c r="A172" s="63" t="s">
        <v>298</v>
      </c>
      <c r="B172" s="63" t="s">
        <v>299</v>
      </c>
      <c r="C172" s="36">
        <v>4301020410</v>
      </c>
      <c r="D172" s="727">
        <v>4680115887695</v>
      </c>
      <c r="E172" s="727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80</v>
      </c>
      <c r="L172" s="37" t="s">
        <v>46</v>
      </c>
      <c r="M172" s="38" t="s">
        <v>79</v>
      </c>
      <c r="N172" s="38"/>
      <c r="O172" s="37">
        <v>30</v>
      </c>
      <c r="P172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301</v>
      </c>
      <c r="B173" s="63" t="s">
        <v>302</v>
      </c>
      <c r="C173" s="36">
        <v>4301020439</v>
      </c>
      <c r="D173" s="727">
        <v>4680115889491</v>
      </c>
      <c r="E173" s="727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80</v>
      </c>
      <c r="L173" s="37" t="s">
        <v>46</v>
      </c>
      <c r="M173" s="38" t="s">
        <v>124</v>
      </c>
      <c r="N173" s="38"/>
      <c r="O173" s="37">
        <v>55</v>
      </c>
      <c r="P173" s="81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729"/>
      <c r="R173" s="729"/>
      <c r="S173" s="729"/>
      <c r="T173" s="73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303</v>
      </c>
      <c r="AG173" s="78"/>
      <c r="AJ173" s="84" t="s">
        <v>46</v>
      </c>
      <c r="AK173" s="84">
        <v>0</v>
      </c>
      <c r="BB173" s="249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35"/>
      <c r="B175" s="735"/>
      <c r="C175" s="735"/>
      <c r="D175" s="735"/>
      <c r="E175" s="735"/>
      <c r="F175" s="735"/>
      <c r="G175" s="735"/>
      <c r="H175" s="735"/>
      <c r="I175" s="735"/>
      <c r="J175" s="735"/>
      <c r="K175" s="735"/>
      <c r="L175" s="735"/>
      <c r="M175" s="735"/>
      <c r="N175" s="735"/>
      <c r="O175" s="736"/>
      <c r="P175" s="732" t="s">
        <v>40</v>
      </c>
      <c r="Q175" s="733"/>
      <c r="R175" s="733"/>
      <c r="S175" s="733"/>
      <c r="T175" s="733"/>
      <c r="U175" s="733"/>
      <c r="V175" s="73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26" t="s">
        <v>75</v>
      </c>
      <c r="B176" s="726"/>
      <c r="C176" s="726"/>
      <c r="D176" s="726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66"/>
      <c r="AB176" s="66"/>
      <c r="AC176" s="80"/>
    </row>
    <row r="177" spans="1:68" ht="27" hidden="1" customHeight="1" x14ac:dyDescent="0.25">
      <c r="A177" s="63" t="s">
        <v>304</v>
      </c>
      <c r="B177" s="63" t="s">
        <v>305</v>
      </c>
      <c r="C177" s="36">
        <v>4301031496</v>
      </c>
      <c r="D177" s="727">
        <v>4680115887428</v>
      </c>
      <c r="E177" s="72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132</v>
      </c>
      <c r="L177" s="37" t="s">
        <v>46</v>
      </c>
      <c r="M177" s="38" t="s">
        <v>79</v>
      </c>
      <c r="N177" s="38"/>
      <c r="O177" s="37">
        <v>40</v>
      </c>
      <c r="P177" s="81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66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4301031509</v>
      </c>
      <c r="D178" s="727">
        <v>4680115889170</v>
      </c>
      <c r="E178" s="72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132</v>
      </c>
      <c r="L178" s="37" t="s">
        <v>46</v>
      </c>
      <c r="M178" s="38" t="s">
        <v>79</v>
      </c>
      <c r="N178" s="38"/>
      <c r="O178" s="37">
        <v>45</v>
      </c>
      <c r="P178" s="8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4301031522</v>
      </c>
      <c r="D179" s="727">
        <v>4680115887398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132</v>
      </c>
      <c r="L179" s="37" t="s">
        <v>46</v>
      </c>
      <c r="M179" s="38" t="s">
        <v>79</v>
      </c>
      <c r="N179" s="38"/>
      <c r="O179" s="37">
        <v>45</v>
      </c>
      <c r="P179" s="81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313</v>
      </c>
      <c r="B180" s="63" t="s">
        <v>314</v>
      </c>
      <c r="C180" s="36">
        <v>4301031520</v>
      </c>
      <c r="D180" s="727">
        <v>4680115887336</v>
      </c>
      <c r="E180" s="72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132</v>
      </c>
      <c r="L180" s="37" t="s">
        <v>46</v>
      </c>
      <c r="M180" s="38" t="s">
        <v>79</v>
      </c>
      <c r="N180" s="38"/>
      <c r="O180" s="37">
        <v>45</v>
      </c>
      <c r="P180" s="82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316</v>
      </c>
      <c r="B181" s="63" t="s">
        <v>317</v>
      </c>
      <c r="C181" s="36">
        <v>4301032049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129</v>
      </c>
      <c r="L181" s="37" t="s">
        <v>46</v>
      </c>
      <c r="M181" s="38" t="s">
        <v>79</v>
      </c>
      <c r="N181" s="38"/>
      <c r="O181" s="37">
        <v>45</v>
      </c>
      <c r="P181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318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316</v>
      </c>
      <c r="B182" s="63" t="s">
        <v>319</v>
      </c>
      <c r="C182" s="36">
        <v>4301031528</v>
      </c>
      <c r="D182" s="727">
        <v>4680115887787</v>
      </c>
      <c r="E182" s="727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129</v>
      </c>
      <c r="L182" s="37" t="s">
        <v>46</v>
      </c>
      <c r="M182" s="38" t="s">
        <v>79</v>
      </c>
      <c r="N182" s="38"/>
      <c r="O182" s="37">
        <v>45</v>
      </c>
      <c r="P182" s="82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4301031448</v>
      </c>
      <c r="D183" s="727">
        <v>4680115887503</v>
      </c>
      <c r="E183" s="72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80</v>
      </c>
      <c r="L183" s="37" t="s">
        <v>46</v>
      </c>
      <c r="M183" s="38" t="s">
        <v>79</v>
      </c>
      <c r="N183" s="38"/>
      <c r="O183" s="37">
        <v>40</v>
      </c>
      <c r="P183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306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4301031389</v>
      </c>
      <c r="D184" s="727">
        <v>4680115887763</v>
      </c>
      <c r="E184" s="727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129</v>
      </c>
      <c r="L184" s="37" t="s">
        <v>46</v>
      </c>
      <c r="M184" s="38" t="s">
        <v>79</v>
      </c>
      <c r="N184" s="38"/>
      <c r="O184" s="37">
        <v>45</v>
      </c>
      <c r="P184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325</v>
      </c>
      <c r="B185" s="63" t="s">
        <v>326</v>
      </c>
      <c r="C185" s="36">
        <v>4301031521</v>
      </c>
      <c r="D185" s="727">
        <v>4680115887480</v>
      </c>
      <c r="E185" s="72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80</v>
      </c>
      <c r="L185" s="37" t="s">
        <v>46</v>
      </c>
      <c r="M185" s="38" t="s">
        <v>79</v>
      </c>
      <c r="N185" s="38"/>
      <c r="O185" s="37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312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4301031434</v>
      </c>
      <c r="D186" s="727">
        <v>4680115888067</v>
      </c>
      <c r="E186" s="72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129</v>
      </c>
      <c r="L186" s="37" t="s">
        <v>46</v>
      </c>
      <c r="M186" s="38" t="s">
        <v>79</v>
      </c>
      <c r="N186" s="38"/>
      <c r="O186" s="37">
        <v>45</v>
      </c>
      <c r="P186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4301031519</v>
      </c>
      <c r="D187" s="727">
        <v>4680115887435</v>
      </c>
      <c r="E187" s="72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80</v>
      </c>
      <c r="L187" s="37" t="s">
        <v>46</v>
      </c>
      <c r="M187" s="38" t="s">
        <v>79</v>
      </c>
      <c r="N187" s="38"/>
      <c r="O187" s="37">
        <v>45</v>
      </c>
      <c r="P187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29"/>
      <c r="R187" s="729"/>
      <c r="S187" s="729"/>
      <c r="T187" s="73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315</v>
      </c>
      <c r="AG187" s="78"/>
      <c r="AJ187" s="84" t="s">
        <v>46</v>
      </c>
      <c r="AK187" s="84">
        <v>0</v>
      </c>
      <c r="BB187" s="271" t="s">
        <v>66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35"/>
      <c r="B189" s="735"/>
      <c r="C189" s="735"/>
      <c r="D189" s="735"/>
      <c r="E189" s="735"/>
      <c r="F189" s="735"/>
      <c r="G189" s="735"/>
      <c r="H189" s="735"/>
      <c r="I189" s="735"/>
      <c r="J189" s="735"/>
      <c r="K189" s="735"/>
      <c r="L189" s="735"/>
      <c r="M189" s="735"/>
      <c r="N189" s="735"/>
      <c r="O189" s="736"/>
      <c r="P189" s="732" t="s">
        <v>40</v>
      </c>
      <c r="Q189" s="733"/>
      <c r="R189" s="733"/>
      <c r="S189" s="733"/>
      <c r="T189" s="733"/>
      <c r="U189" s="733"/>
      <c r="V189" s="73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26" t="s">
        <v>84</v>
      </c>
      <c r="B190" s="726"/>
      <c r="C190" s="726"/>
      <c r="D190" s="726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66"/>
      <c r="AB190" s="66"/>
      <c r="AC190" s="80"/>
    </row>
    <row r="191" spans="1:68" ht="16.5" hidden="1" customHeight="1" x14ac:dyDescent="0.25">
      <c r="A191" s="63" t="s">
        <v>332</v>
      </c>
      <c r="B191" s="63" t="s">
        <v>333</v>
      </c>
      <c r="C191" s="36">
        <v>4301052193</v>
      </c>
      <c r="D191" s="727">
        <v>4680115888395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89</v>
      </c>
      <c r="L191" s="37" t="s">
        <v>46</v>
      </c>
      <c r="M191" s="38" t="s">
        <v>95</v>
      </c>
      <c r="N191" s="38"/>
      <c r="O191" s="37">
        <v>40</v>
      </c>
      <c r="P191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335</v>
      </c>
      <c r="B192" s="63" t="s">
        <v>336</v>
      </c>
      <c r="C192" s="36">
        <v>4301052191</v>
      </c>
      <c r="D192" s="727">
        <v>4680115888371</v>
      </c>
      <c r="E192" s="72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89</v>
      </c>
      <c r="L192" s="37" t="s">
        <v>46</v>
      </c>
      <c r="M192" s="38" t="s">
        <v>95</v>
      </c>
      <c r="N192" s="38"/>
      <c r="O192" s="37">
        <v>40</v>
      </c>
      <c r="P192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338</v>
      </c>
      <c r="B193" s="63" t="s">
        <v>339</v>
      </c>
      <c r="C193" s="36">
        <v>4301052064</v>
      </c>
      <c r="D193" s="727">
        <v>4680115887459</v>
      </c>
      <c r="E193" s="72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89</v>
      </c>
      <c r="L193" s="37" t="s">
        <v>46</v>
      </c>
      <c r="M193" s="38" t="s">
        <v>88</v>
      </c>
      <c r="N193" s="38"/>
      <c r="O193" s="37">
        <v>45</v>
      </c>
      <c r="P193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29"/>
      <c r="R193" s="729"/>
      <c r="S193" s="729"/>
      <c r="T193" s="73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340</v>
      </c>
      <c r="AG193" s="78"/>
      <c r="AJ193" s="84" t="s">
        <v>46</v>
      </c>
      <c r="AK193" s="84">
        <v>0</v>
      </c>
      <c r="BB193" s="277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35"/>
      <c r="B195" s="735"/>
      <c r="C195" s="735"/>
      <c r="D195" s="735"/>
      <c r="E195" s="735"/>
      <c r="F195" s="735"/>
      <c r="G195" s="735"/>
      <c r="H195" s="735"/>
      <c r="I195" s="735"/>
      <c r="J195" s="735"/>
      <c r="K195" s="735"/>
      <c r="L195" s="735"/>
      <c r="M195" s="735"/>
      <c r="N195" s="735"/>
      <c r="O195" s="736"/>
      <c r="P195" s="732" t="s">
        <v>40</v>
      </c>
      <c r="Q195" s="733"/>
      <c r="R195" s="733"/>
      <c r="S195" s="733"/>
      <c r="T195" s="733"/>
      <c r="U195" s="733"/>
      <c r="V195" s="73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6" t="s">
        <v>281</v>
      </c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66"/>
      <c r="AB196" s="66"/>
      <c r="AC196" s="80"/>
    </row>
    <row r="197" spans="1:68" ht="16.5" hidden="1" customHeight="1" x14ac:dyDescent="0.25">
      <c r="A197" s="63" t="s">
        <v>342</v>
      </c>
      <c r="B197" s="63" t="s">
        <v>343</v>
      </c>
      <c r="C197" s="36">
        <v>4301032058</v>
      </c>
      <c r="D197" s="727">
        <v>4680115889026</v>
      </c>
      <c r="E197" s="72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345</v>
      </c>
      <c r="L197" s="37" t="s">
        <v>46</v>
      </c>
      <c r="M197" s="38" t="s">
        <v>286</v>
      </c>
      <c r="N197" s="38"/>
      <c r="O197" s="37">
        <v>60</v>
      </c>
      <c r="P197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29"/>
      <c r="R197" s="729"/>
      <c r="S197" s="729"/>
      <c r="T197" s="730"/>
      <c r="U197" s="39" t="s">
        <v>341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344</v>
      </c>
      <c r="AG197" s="78"/>
      <c r="AJ197" s="84" t="s">
        <v>46</v>
      </c>
      <c r="AK197" s="84">
        <v>0</v>
      </c>
      <c r="BB197" s="279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35"/>
      <c r="B199" s="735"/>
      <c r="C199" s="735"/>
      <c r="D199" s="735"/>
      <c r="E199" s="735"/>
      <c r="F199" s="735"/>
      <c r="G199" s="735"/>
      <c r="H199" s="735"/>
      <c r="I199" s="735"/>
      <c r="J199" s="735"/>
      <c r="K199" s="735"/>
      <c r="L199" s="735"/>
      <c r="M199" s="735"/>
      <c r="N199" s="735"/>
      <c r="O199" s="736"/>
      <c r="P199" s="732" t="s">
        <v>40</v>
      </c>
      <c r="Q199" s="733"/>
      <c r="R199" s="733"/>
      <c r="S199" s="733"/>
      <c r="T199" s="733"/>
      <c r="U199" s="733"/>
      <c r="V199" s="734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6" t="s">
        <v>346</v>
      </c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66"/>
      <c r="AB200" s="66"/>
      <c r="AC200" s="80"/>
    </row>
    <row r="201" spans="1:68" ht="27" hidden="1" customHeight="1" x14ac:dyDescent="0.25">
      <c r="A201" s="63" t="s">
        <v>347</v>
      </c>
      <c r="B201" s="63" t="s">
        <v>348</v>
      </c>
      <c r="C201" s="36">
        <v>4301041009</v>
      </c>
      <c r="D201" s="727">
        <v>4680115889033</v>
      </c>
      <c r="E201" s="727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345</v>
      </c>
      <c r="L201" s="37" t="s">
        <v>46</v>
      </c>
      <c r="M201" s="38" t="s">
        <v>286</v>
      </c>
      <c r="N201" s="38"/>
      <c r="O201" s="37">
        <v>60</v>
      </c>
      <c r="P201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729"/>
      <c r="R201" s="729"/>
      <c r="S201" s="729"/>
      <c r="T201" s="730"/>
      <c r="U201" s="39" t="s">
        <v>341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349</v>
      </c>
      <c r="AG201" s="78"/>
      <c r="AJ201" s="84" t="s">
        <v>46</v>
      </c>
      <c r="AK201" s="84">
        <v>0</v>
      </c>
      <c r="BB201" s="281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5"/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6"/>
      <c r="P203" s="732" t="s">
        <v>40</v>
      </c>
      <c r="Q203" s="733"/>
      <c r="R203" s="733"/>
      <c r="S203" s="733"/>
      <c r="T203" s="733"/>
      <c r="U203" s="733"/>
      <c r="V203" s="734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724" t="s">
        <v>350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54"/>
      <c r="AB204" s="54"/>
      <c r="AC204" s="54"/>
    </row>
    <row r="205" spans="1:68" ht="16.5" hidden="1" customHeight="1" x14ac:dyDescent="0.25">
      <c r="A205" s="725" t="s">
        <v>351</v>
      </c>
      <c r="B205" s="725"/>
      <c r="C205" s="725"/>
      <c r="D205" s="725"/>
      <c r="E205" s="725"/>
      <c r="F205" s="725"/>
      <c r="G205" s="725"/>
      <c r="H205" s="725"/>
      <c r="I205" s="725"/>
      <c r="J205" s="725"/>
      <c r="K205" s="725"/>
      <c r="L205" s="725"/>
      <c r="M205" s="725"/>
      <c r="N205" s="725"/>
      <c r="O205" s="725"/>
      <c r="P205" s="725"/>
      <c r="Q205" s="725"/>
      <c r="R205" s="725"/>
      <c r="S205" s="725"/>
      <c r="T205" s="725"/>
      <c r="U205" s="725"/>
      <c r="V205" s="725"/>
      <c r="W205" s="725"/>
      <c r="X205" s="725"/>
      <c r="Y205" s="725"/>
      <c r="Z205" s="725"/>
      <c r="AA205" s="65"/>
      <c r="AB205" s="65"/>
      <c r="AC205" s="79"/>
    </row>
    <row r="206" spans="1:68" ht="14.25" hidden="1" customHeight="1" x14ac:dyDescent="0.25">
      <c r="A206" s="726" t="s">
        <v>120</v>
      </c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66"/>
      <c r="AB206" s="66"/>
      <c r="AC206" s="80"/>
    </row>
    <row r="207" spans="1:68" ht="27" hidden="1" customHeight="1" x14ac:dyDescent="0.25">
      <c r="A207" s="63" t="s">
        <v>352</v>
      </c>
      <c r="B207" s="63" t="s">
        <v>353</v>
      </c>
      <c r="C207" s="36">
        <v>4301011223</v>
      </c>
      <c r="D207" s="727">
        <v>4607091383423</v>
      </c>
      <c r="E207" s="727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125</v>
      </c>
      <c r="L207" s="37" t="s">
        <v>46</v>
      </c>
      <c r="M207" s="38" t="s">
        <v>88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123</v>
      </c>
      <c r="AG207" s="78"/>
      <c r="AJ207" s="84" t="s">
        <v>46</v>
      </c>
      <c r="AK207" s="84">
        <v>0</v>
      </c>
      <c r="BB207" s="283" t="s">
        <v>66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354</v>
      </c>
      <c r="B208" s="63" t="s">
        <v>355</v>
      </c>
      <c r="C208" s="36">
        <v>4301012340</v>
      </c>
      <c r="D208" s="727">
        <v>4680115888760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125</v>
      </c>
      <c r="L208" s="37" t="s">
        <v>46</v>
      </c>
      <c r="M208" s="38" t="s">
        <v>88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356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357</v>
      </c>
      <c r="B209" s="63" t="s">
        <v>358</v>
      </c>
      <c r="C209" s="36">
        <v>4301012341</v>
      </c>
      <c r="D209" s="727">
        <v>4680115888807</v>
      </c>
      <c r="E209" s="72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125</v>
      </c>
      <c r="L209" s="37" t="s">
        <v>46</v>
      </c>
      <c r="M209" s="38" t="s">
        <v>88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359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360</v>
      </c>
      <c r="B210" s="63" t="s">
        <v>361</v>
      </c>
      <c r="C210" s="36">
        <v>4301012342</v>
      </c>
      <c r="D210" s="727">
        <v>4680115888852</v>
      </c>
      <c r="E210" s="727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125</v>
      </c>
      <c r="L210" s="37" t="s">
        <v>46</v>
      </c>
      <c r="M210" s="38" t="s">
        <v>88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362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363</v>
      </c>
      <c r="B211" s="63" t="s">
        <v>364</v>
      </c>
      <c r="C211" s="36">
        <v>4301012370</v>
      </c>
      <c r="D211" s="727">
        <v>4680115886957</v>
      </c>
      <c r="E211" s="727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125</v>
      </c>
      <c r="L211" s="37" t="s">
        <v>46</v>
      </c>
      <c r="M211" s="38" t="s">
        <v>88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365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366</v>
      </c>
      <c r="B212" s="63" t="s">
        <v>367</v>
      </c>
      <c r="C212" s="36">
        <v>4301012098</v>
      </c>
      <c r="D212" s="727">
        <v>4680115885660</v>
      </c>
      <c r="E212" s="727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125</v>
      </c>
      <c r="L212" s="37" t="s">
        <v>46</v>
      </c>
      <c r="M212" s="38" t="s">
        <v>88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368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369</v>
      </c>
      <c r="B213" s="63" t="s">
        <v>370</v>
      </c>
      <c r="C213" s="36">
        <v>4301012369</v>
      </c>
      <c r="D213" s="727">
        <v>4680115886773</v>
      </c>
      <c r="E213" s="727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125</v>
      </c>
      <c r="L213" s="37" t="s">
        <v>46</v>
      </c>
      <c r="M213" s="38" t="s">
        <v>88</v>
      </c>
      <c r="N213" s="38"/>
      <c r="O213" s="37">
        <v>35</v>
      </c>
      <c r="P213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729"/>
      <c r="R213" s="729"/>
      <c r="S213" s="729"/>
      <c r="T213" s="73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371</v>
      </c>
      <c r="AG213" s="78"/>
      <c r="AJ213" s="84" t="s">
        <v>46</v>
      </c>
      <c r="AK213" s="84">
        <v>0</v>
      </c>
      <c r="BB213" s="295" t="s">
        <v>66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735"/>
      <c r="B215" s="735"/>
      <c r="C215" s="735"/>
      <c r="D215" s="735"/>
      <c r="E215" s="735"/>
      <c r="F215" s="735"/>
      <c r="G215" s="735"/>
      <c r="H215" s="735"/>
      <c r="I215" s="735"/>
      <c r="J215" s="735"/>
      <c r="K215" s="735"/>
      <c r="L215" s="735"/>
      <c r="M215" s="735"/>
      <c r="N215" s="735"/>
      <c r="O215" s="736"/>
      <c r="P215" s="732" t="s">
        <v>40</v>
      </c>
      <c r="Q215" s="733"/>
      <c r="R215" s="733"/>
      <c r="S215" s="733"/>
      <c r="T215" s="733"/>
      <c r="U215" s="733"/>
      <c r="V215" s="734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725" t="s">
        <v>372</v>
      </c>
      <c r="B216" s="725"/>
      <c r="C216" s="725"/>
      <c r="D216" s="725"/>
      <c r="E216" s="725"/>
      <c r="F216" s="725"/>
      <c r="G216" s="725"/>
      <c r="H216" s="725"/>
      <c r="I216" s="725"/>
      <c r="J216" s="725"/>
      <c r="K216" s="725"/>
      <c r="L216" s="725"/>
      <c r="M216" s="725"/>
      <c r="N216" s="725"/>
      <c r="O216" s="725"/>
      <c r="P216" s="725"/>
      <c r="Q216" s="725"/>
      <c r="R216" s="725"/>
      <c r="S216" s="725"/>
      <c r="T216" s="725"/>
      <c r="U216" s="725"/>
      <c r="V216" s="725"/>
      <c r="W216" s="725"/>
      <c r="X216" s="725"/>
      <c r="Y216" s="725"/>
      <c r="Z216" s="725"/>
      <c r="AA216" s="65"/>
      <c r="AB216" s="65"/>
      <c r="AC216" s="79"/>
    </row>
    <row r="217" spans="1:68" ht="14.25" hidden="1" customHeight="1" x14ac:dyDescent="0.25">
      <c r="A217" s="726" t="s">
        <v>157</v>
      </c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66"/>
      <c r="AB217" s="66"/>
      <c r="AC217" s="80"/>
    </row>
    <row r="218" spans="1:68" ht="27" hidden="1" customHeight="1" x14ac:dyDescent="0.25">
      <c r="A218" s="63" t="s">
        <v>373</v>
      </c>
      <c r="B218" s="63" t="s">
        <v>374</v>
      </c>
      <c r="C218" s="36">
        <v>4301020323</v>
      </c>
      <c r="D218" s="727">
        <v>4680115886223</v>
      </c>
      <c r="E218" s="727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80</v>
      </c>
      <c r="L218" s="37" t="s">
        <v>46</v>
      </c>
      <c r="M218" s="38" t="s">
        <v>79</v>
      </c>
      <c r="N218" s="38"/>
      <c r="O218" s="37">
        <v>40</v>
      </c>
      <c r="P218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729"/>
      <c r="R218" s="729"/>
      <c r="S218" s="729"/>
      <c r="T218" s="730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375</v>
      </c>
      <c r="AG218" s="78"/>
      <c r="AJ218" s="84" t="s">
        <v>46</v>
      </c>
      <c r="AK218" s="84">
        <v>0</v>
      </c>
      <c r="BB218" s="297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735"/>
      <c r="B220" s="735"/>
      <c r="C220" s="735"/>
      <c r="D220" s="735"/>
      <c r="E220" s="735"/>
      <c r="F220" s="735"/>
      <c r="G220" s="735"/>
      <c r="H220" s="735"/>
      <c r="I220" s="735"/>
      <c r="J220" s="735"/>
      <c r="K220" s="735"/>
      <c r="L220" s="735"/>
      <c r="M220" s="735"/>
      <c r="N220" s="735"/>
      <c r="O220" s="736"/>
      <c r="P220" s="732" t="s">
        <v>40</v>
      </c>
      <c r="Q220" s="733"/>
      <c r="R220" s="733"/>
      <c r="S220" s="733"/>
      <c r="T220" s="733"/>
      <c r="U220" s="733"/>
      <c r="V220" s="734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726" t="s">
        <v>75</v>
      </c>
      <c r="B221" s="726"/>
      <c r="C221" s="726"/>
      <c r="D221" s="726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66"/>
      <c r="AB221" s="66"/>
      <c r="AC221" s="80"/>
    </row>
    <row r="222" spans="1:68" ht="27" hidden="1" customHeight="1" x14ac:dyDescent="0.25">
      <c r="A222" s="63" t="s">
        <v>376</v>
      </c>
      <c r="B222" s="63" t="s">
        <v>377</v>
      </c>
      <c r="C222" s="36">
        <v>4301031191</v>
      </c>
      <c r="D222" s="727">
        <v>4680115880993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132</v>
      </c>
      <c r="L222" s="37" t="s">
        <v>46</v>
      </c>
      <c r="M222" s="38" t="s">
        <v>79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378</v>
      </c>
      <c r="AG222" s="78"/>
      <c r="AJ222" s="84" t="s">
        <v>46</v>
      </c>
      <c r="AK222" s="84">
        <v>0</v>
      </c>
      <c r="BB222" s="299" t="s">
        <v>66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4301031204</v>
      </c>
      <c r="D223" s="727">
        <v>4680115881761</v>
      </c>
      <c r="E223" s="72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132</v>
      </c>
      <c r="L223" s="37" t="s">
        <v>46</v>
      </c>
      <c r="M223" s="38" t="s">
        <v>79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381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4301031201</v>
      </c>
      <c r="D224" s="727">
        <v>4680115881563</v>
      </c>
      <c r="E224" s="727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132</v>
      </c>
      <c r="L224" s="37" t="s">
        <v>46</v>
      </c>
      <c r="M224" s="38" t="s">
        <v>79</v>
      </c>
      <c r="N224" s="38"/>
      <c r="O224" s="37">
        <v>40</v>
      </c>
      <c r="P224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384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385</v>
      </c>
      <c r="B225" s="63" t="s">
        <v>386</v>
      </c>
      <c r="C225" s="36">
        <v>4301031447</v>
      </c>
      <c r="D225" s="727">
        <v>4680115887565</v>
      </c>
      <c r="E225" s="727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80</v>
      </c>
      <c r="L225" s="37" t="s">
        <v>46</v>
      </c>
      <c r="M225" s="38" t="s">
        <v>79</v>
      </c>
      <c r="N225" s="38"/>
      <c r="O225" s="37">
        <v>45</v>
      </c>
      <c r="P225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4301031199</v>
      </c>
      <c r="D226" s="727">
        <v>4680115880986</v>
      </c>
      <c r="E226" s="727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80</v>
      </c>
      <c r="L226" s="37" t="s">
        <v>46</v>
      </c>
      <c r="M226" s="38" t="s">
        <v>79</v>
      </c>
      <c r="N226" s="38"/>
      <c r="O226" s="37">
        <v>40</v>
      </c>
      <c r="P226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378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4301031443</v>
      </c>
      <c r="D227" s="727">
        <v>4680115887213</v>
      </c>
      <c r="E227" s="727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80</v>
      </c>
      <c r="L227" s="37" t="s">
        <v>46</v>
      </c>
      <c r="M227" s="38" t="s">
        <v>79</v>
      </c>
      <c r="N227" s="38"/>
      <c r="O227" s="37">
        <v>45</v>
      </c>
      <c r="P227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4301031205</v>
      </c>
      <c r="D228" s="727">
        <v>4680115881785</v>
      </c>
      <c r="E228" s="727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80</v>
      </c>
      <c r="L228" s="37" t="s">
        <v>46</v>
      </c>
      <c r="M228" s="38" t="s">
        <v>79</v>
      </c>
      <c r="N228" s="38"/>
      <c r="O228" s="37">
        <v>40</v>
      </c>
      <c r="P228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381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395</v>
      </c>
      <c r="B229" s="63" t="s">
        <v>396</v>
      </c>
      <c r="C229" s="36">
        <v>4301031499</v>
      </c>
      <c r="D229" s="727">
        <v>4680115888432</v>
      </c>
      <c r="E229" s="727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80</v>
      </c>
      <c r="L229" s="37" t="s">
        <v>46</v>
      </c>
      <c r="M229" s="38" t="s">
        <v>79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4301031427</v>
      </c>
      <c r="D230" s="727">
        <v>4680115888104</v>
      </c>
      <c r="E230" s="727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80</v>
      </c>
      <c r="L230" s="37" t="s">
        <v>46</v>
      </c>
      <c r="M230" s="38" t="s">
        <v>79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400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401</v>
      </c>
      <c r="B231" s="63" t="s">
        <v>402</v>
      </c>
      <c r="C231" s="36">
        <v>4301031503</v>
      </c>
      <c r="D231" s="727">
        <v>4680115886537</v>
      </c>
      <c r="E231" s="727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80</v>
      </c>
      <c r="L231" s="37" t="s">
        <v>46</v>
      </c>
      <c r="M231" s="38" t="s">
        <v>79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403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4301031279</v>
      </c>
      <c r="D232" s="727">
        <v>4680115887596</v>
      </c>
      <c r="E232" s="727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129</v>
      </c>
      <c r="L232" s="37" t="s">
        <v>46</v>
      </c>
      <c r="M232" s="38" t="s">
        <v>79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407</v>
      </c>
      <c r="B233" s="63" t="s">
        <v>408</v>
      </c>
      <c r="C233" s="36">
        <v>4301031530</v>
      </c>
      <c r="D233" s="727">
        <v>4680115881679</v>
      </c>
      <c r="E233" s="727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80</v>
      </c>
      <c r="L233" s="37" t="s">
        <v>46</v>
      </c>
      <c r="M233" s="38" t="s">
        <v>79</v>
      </c>
      <c r="N233" s="38"/>
      <c r="O233" s="37">
        <v>45</v>
      </c>
      <c r="P233" s="85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384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409</v>
      </c>
      <c r="B234" s="63" t="s">
        <v>410</v>
      </c>
      <c r="C234" s="36">
        <v>4301031158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89</v>
      </c>
      <c r="L234" s="37" t="s">
        <v>46</v>
      </c>
      <c r="M234" s="38" t="s">
        <v>79</v>
      </c>
      <c r="N234" s="38"/>
      <c r="O234" s="37">
        <v>40</v>
      </c>
      <c r="P234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384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409</v>
      </c>
      <c r="B235" s="63" t="s">
        <v>411</v>
      </c>
      <c r="C235" s="36">
        <v>4301031531</v>
      </c>
      <c r="D235" s="727">
        <v>4680115880191</v>
      </c>
      <c r="E235" s="72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89</v>
      </c>
      <c r="L235" s="37" t="s">
        <v>46</v>
      </c>
      <c r="M235" s="38" t="s">
        <v>79</v>
      </c>
      <c r="N235" s="38"/>
      <c r="O235" s="37">
        <v>45</v>
      </c>
      <c r="P235" s="85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384</v>
      </c>
      <c r="AG235" s="78"/>
      <c r="AJ235" s="84" t="s">
        <v>46</v>
      </c>
      <c r="AK235" s="84">
        <v>0</v>
      </c>
      <c r="BB235" s="325" t="s">
        <v>66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4301031245</v>
      </c>
      <c r="D236" s="727">
        <v>4680115883963</v>
      </c>
      <c r="E236" s="72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80</v>
      </c>
      <c r="L236" s="37" t="s">
        <v>46</v>
      </c>
      <c r="M236" s="38" t="s">
        <v>79</v>
      </c>
      <c r="N236" s="38"/>
      <c r="O236" s="37">
        <v>40</v>
      </c>
      <c r="P236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29"/>
      <c r="R236" s="729"/>
      <c r="S236" s="729"/>
      <c r="T236" s="73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414</v>
      </c>
      <c r="AG236" s="78"/>
      <c r="AJ236" s="84" t="s">
        <v>46</v>
      </c>
      <c r="AK236" s="84">
        <v>0</v>
      </c>
      <c r="BB236" s="32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35"/>
      <c r="B238" s="735"/>
      <c r="C238" s="735"/>
      <c r="D238" s="735"/>
      <c r="E238" s="735"/>
      <c r="F238" s="735"/>
      <c r="G238" s="735"/>
      <c r="H238" s="735"/>
      <c r="I238" s="735"/>
      <c r="J238" s="735"/>
      <c r="K238" s="735"/>
      <c r="L238" s="735"/>
      <c r="M238" s="735"/>
      <c r="N238" s="735"/>
      <c r="O238" s="736"/>
      <c r="P238" s="732" t="s">
        <v>40</v>
      </c>
      <c r="Q238" s="733"/>
      <c r="R238" s="733"/>
      <c r="S238" s="733"/>
      <c r="T238" s="733"/>
      <c r="U238" s="733"/>
      <c r="V238" s="734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26" t="s">
        <v>84</v>
      </c>
      <c r="B239" s="726"/>
      <c r="C239" s="726"/>
      <c r="D239" s="726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66"/>
      <c r="AB239" s="66"/>
      <c r="AC239" s="80"/>
    </row>
    <row r="240" spans="1:68" ht="16.5" hidden="1" customHeight="1" x14ac:dyDescent="0.25">
      <c r="A240" s="63" t="s">
        <v>415</v>
      </c>
      <c r="B240" s="63" t="s">
        <v>416</v>
      </c>
      <c r="C240" s="36">
        <v>4301052209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125</v>
      </c>
      <c r="L240" s="37" t="s">
        <v>46</v>
      </c>
      <c r="M240" s="38" t="s">
        <v>95</v>
      </c>
      <c r="N240" s="38"/>
      <c r="O240" s="37">
        <v>35</v>
      </c>
      <c r="P240" s="85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66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415</v>
      </c>
      <c r="B241" s="63" t="s">
        <v>418</v>
      </c>
      <c r="C241" s="36">
        <v>4301052279</v>
      </c>
      <c r="D241" s="727">
        <v>4680115888692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125</v>
      </c>
      <c r="L241" s="37" t="s">
        <v>46</v>
      </c>
      <c r="M241" s="38" t="s">
        <v>95</v>
      </c>
      <c r="N241" s="38"/>
      <c r="O241" s="37">
        <v>40</v>
      </c>
      <c r="P241" s="85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66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4301052213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125</v>
      </c>
      <c r="L242" s="37" t="s">
        <v>46</v>
      </c>
      <c r="M242" s="38" t="s">
        <v>95</v>
      </c>
      <c r="N242" s="38"/>
      <c r="O242" s="37">
        <v>35</v>
      </c>
      <c r="P242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66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4301052280</v>
      </c>
      <c r="D243" s="727">
        <v>4680115888722</v>
      </c>
      <c r="E243" s="727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125</v>
      </c>
      <c r="L243" s="37" t="s">
        <v>46</v>
      </c>
      <c r="M243" s="38" t="s">
        <v>95</v>
      </c>
      <c r="N243" s="38"/>
      <c r="O243" s="37">
        <v>40</v>
      </c>
      <c r="P243" s="85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424</v>
      </c>
      <c r="AG243" s="78"/>
      <c r="AJ243" s="84" t="s">
        <v>46</v>
      </c>
      <c r="AK243" s="84">
        <v>0</v>
      </c>
      <c r="BB243" s="335" t="s">
        <v>66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425</v>
      </c>
      <c r="B244" s="63" t="s">
        <v>426</v>
      </c>
      <c r="C244" s="36">
        <v>4301052177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132</v>
      </c>
      <c r="L244" s="37" t="s">
        <v>46</v>
      </c>
      <c r="M244" s="38" t="s">
        <v>95</v>
      </c>
      <c r="N244" s="38"/>
      <c r="O244" s="37">
        <v>35</v>
      </c>
      <c r="P244" s="86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427</v>
      </c>
      <c r="AG244" s="78"/>
      <c r="AJ244" s="84" t="s">
        <v>46</v>
      </c>
      <c r="AK244" s="84">
        <v>0</v>
      </c>
      <c r="BB244" s="337" t="s">
        <v>66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425</v>
      </c>
      <c r="B245" s="63" t="s">
        <v>428</v>
      </c>
      <c r="C245" s="36">
        <v>4301052276</v>
      </c>
      <c r="D245" s="727">
        <v>4680115888951</v>
      </c>
      <c r="E245" s="727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132</v>
      </c>
      <c r="L245" s="37" t="s">
        <v>46</v>
      </c>
      <c r="M245" s="38" t="s">
        <v>95</v>
      </c>
      <c r="N245" s="38"/>
      <c r="O245" s="37">
        <v>40</v>
      </c>
      <c r="P245" s="86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419</v>
      </c>
      <c r="AG245" s="78"/>
      <c r="AJ245" s="84" t="s">
        <v>46</v>
      </c>
      <c r="AK245" s="84">
        <v>0</v>
      </c>
      <c r="BB245" s="339" t="s">
        <v>66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429</v>
      </c>
      <c r="B246" s="63" t="s">
        <v>430</v>
      </c>
      <c r="C246" s="36">
        <v>4301052178</v>
      </c>
      <c r="D246" s="727">
        <v>4680115888975</v>
      </c>
      <c r="E246" s="727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132</v>
      </c>
      <c r="L246" s="37" t="s">
        <v>46</v>
      </c>
      <c r="M246" s="38" t="s">
        <v>95</v>
      </c>
      <c r="N246" s="38"/>
      <c r="O246" s="37">
        <v>35</v>
      </c>
      <c r="P246" s="86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431</v>
      </c>
      <c r="AG246" s="78"/>
      <c r="AJ246" s="84" t="s">
        <v>46</v>
      </c>
      <c r="AK246" s="84">
        <v>0</v>
      </c>
      <c r="BB246" s="341" t="s">
        <v>66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432</v>
      </c>
      <c r="B247" s="63" t="s">
        <v>433</v>
      </c>
      <c r="C247" s="36">
        <v>4301052176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132</v>
      </c>
      <c r="L247" s="37" t="s">
        <v>46</v>
      </c>
      <c r="M247" s="38" t="s">
        <v>95</v>
      </c>
      <c r="N247" s="38"/>
      <c r="O247" s="37">
        <v>35</v>
      </c>
      <c r="P247" s="86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422</v>
      </c>
      <c r="AG247" s="78"/>
      <c r="AJ247" s="84" t="s">
        <v>46</v>
      </c>
      <c r="AK247" s="84">
        <v>0</v>
      </c>
      <c r="BB247" s="343" t="s">
        <v>66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432</v>
      </c>
      <c r="B248" s="63" t="s">
        <v>434</v>
      </c>
      <c r="C248" s="36">
        <v>4301052277</v>
      </c>
      <c r="D248" s="727">
        <v>4680115888982</v>
      </c>
      <c r="E248" s="727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132</v>
      </c>
      <c r="L248" s="37" t="s">
        <v>46</v>
      </c>
      <c r="M248" s="38" t="s">
        <v>95</v>
      </c>
      <c r="N248" s="38"/>
      <c r="O248" s="37">
        <v>40</v>
      </c>
      <c r="P248" s="86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729"/>
      <c r="R248" s="729"/>
      <c r="S248" s="729"/>
      <c r="T248" s="730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424</v>
      </c>
      <c r="AG248" s="78"/>
      <c r="AJ248" s="84" t="s">
        <v>46</v>
      </c>
      <c r="AK248" s="84">
        <v>0</v>
      </c>
      <c r="BB248" s="345" t="s">
        <v>66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35"/>
      <c r="B250" s="735"/>
      <c r="C250" s="735"/>
      <c r="D250" s="735"/>
      <c r="E250" s="735"/>
      <c r="F250" s="735"/>
      <c r="G250" s="735"/>
      <c r="H250" s="735"/>
      <c r="I250" s="735"/>
      <c r="J250" s="735"/>
      <c r="K250" s="735"/>
      <c r="L250" s="735"/>
      <c r="M250" s="735"/>
      <c r="N250" s="735"/>
      <c r="O250" s="736"/>
      <c r="P250" s="732" t="s">
        <v>40</v>
      </c>
      <c r="Q250" s="733"/>
      <c r="R250" s="733"/>
      <c r="S250" s="733"/>
      <c r="T250" s="733"/>
      <c r="U250" s="733"/>
      <c r="V250" s="734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26" t="s">
        <v>281</v>
      </c>
      <c r="B251" s="726"/>
      <c r="C251" s="726"/>
      <c r="D251" s="726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66"/>
      <c r="AB251" s="66"/>
      <c r="AC251" s="80"/>
    </row>
    <row r="252" spans="1:68" ht="27" hidden="1" customHeight="1" x14ac:dyDescent="0.25">
      <c r="A252" s="63" t="s">
        <v>435</v>
      </c>
      <c r="B252" s="63" t="s">
        <v>436</v>
      </c>
      <c r="C252" s="36">
        <v>4301032053</v>
      </c>
      <c r="D252" s="727">
        <v>4680115886780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286</v>
      </c>
      <c r="N252" s="38"/>
      <c r="O252" s="37">
        <v>60</v>
      </c>
      <c r="P252" s="86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437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438</v>
      </c>
      <c r="B253" s="63" t="s">
        <v>439</v>
      </c>
      <c r="C253" s="36">
        <v>4301032051</v>
      </c>
      <c r="D253" s="727">
        <v>4680115886742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345</v>
      </c>
      <c r="L253" s="37" t="s">
        <v>46</v>
      </c>
      <c r="M253" s="38" t="s">
        <v>286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440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441</v>
      </c>
      <c r="B254" s="63" t="s">
        <v>442</v>
      </c>
      <c r="C254" s="36">
        <v>4301032052</v>
      </c>
      <c r="D254" s="727">
        <v>4680115886766</v>
      </c>
      <c r="E254" s="72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345</v>
      </c>
      <c r="L254" s="37" t="s">
        <v>46</v>
      </c>
      <c r="M254" s="38" t="s">
        <v>286</v>
      </c>
      <c r="N254" s="38"/>
      <c r="O254" s="37">
        <v>90</v>
      </c>
      <c r="P254" s="86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729"/>
      <c r="R254" s="729"/>
      <c r="S254" s="729"/>
      <c r="T254" s="73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440</v>
      </c>
      <c r="AG254" s="78"/>
      <c r="AJ254" s="84" t="s">
        <v>46</v>
      </c>
      <c r="AK254" s="84">
        <v>0</v>
      </c>
      <c r="BB254" s="35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735"/>
      <c r="B256" s="735"/>
      <c r="C256" s="735"/>
      <c r="D256" s="735"/>
      <c r="E256" s="735"/>
      <c r="F256" s="735"/>
      <c r="G256" s="735"/>
      <c r="H256" s="735"/>
      <c r="I256" s="735"/>
      <c r="J256" s="735"/>
      <c r="K256" s="735"/>
      <c r="L256" s="735"/>
      <c r="M256" s="735"/>
      <c r="N256" s="735"/>
      <c r="O256" s="736"/>
      <c r="P256" s="732" t="s">
        <v>40</v>
      </c>
      <c r="Q256" s="733"/>
      <c r="R256" s="733"/>
      <c r="S256" s="733"/>
      <c r="T256" s="733"/>
      <c r="U256" s="733"/>
      <c r="V256" s="734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726" t="s">
        <v>443</v>
      </c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66"/>
      <c r="AB257" s="66"/>
      <c r="AC257" s="80"/>
    </row>
    <row r="258" spans="1:68" ht="27" hidden="1" customHeight="1" x14ac:dyDescent="0.25">
      <c r="A258" s="63" t="s">
        <v>444</v>
      </c>
      <c r="B258" s="63" t="s">
        <v>445</v>
      </c>
      <c r="C258" s="36">
        <v>4301170013</v>
      </c>
      <c r="D258" s="727">
        <v>4680115886797</v>
      </c>
      <c r="E258" s="727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345</v>
      </c>
      <c r="L258" s="37" t="s">
        <v>46</v>
      </c>
      <c r="M258" s="38" t="s">
        <v>286</v>
      </c>
      <c r="N258" s="38"/>
      <c r="O258" s="37">
        <v>90</v>
      </c>
      <c r="P258" s="86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729"/>
      <c r="R258" s="729"/>
      <c r="S258" s="729"/>
      <c r="T258" s="73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440</v>
      </c>
      <c r="AG258" s="78"/>
      <c r="AJ258" s="84" t="s">
        <v>46</v>
      </c>
      <c r="AK258" s="84">
        <v>0</v>
      </c>
      <c r="BB258" s="35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735"/>
      <c r="B260" s="735"/>
      <c r="C260" s="735"/>
      <c r="D260" s="735"/>
      <c r="E260" s="735"/>
      <c r="F260" s="735"/>
      <c r="G260" s="735"/>
      <c r="H260" s="735"/>
      <c r="I260" s="735"/>
      <c r="J260" s="735"/>
      <c r="K260" s="735"/>
      <c r="L260" s="735"/>
      <c r="M260" s="735"/>
      <c r="N260" s="735"/>
      <c r="O260" s="736"/>
      <c r="P260" s="732" t="s">
        <v>40</v>
      </c>
      <c r="Q260" s="733"/>
      <c r="R260" s="733"/>
      <c r="S260" s="733"/>
      <c r="T260" s="733"/>
      <c r="U260" s="733"/>
      <c r="V260" s="734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725" t="s">
        <v>446</v>
      </c>
      <c r="B261" s="725"/>
      <c r="C261" s="725"/>
      <c r="D261" s="725"/>
      <c r="E261" s="725"/>
      <c r="F261" s="725"/>
      <c r="G261" s="725"/>
      <c r="H261" s="725"/>
      <c r="I261" s="725"/>
      <c r="J261" s="725"/>
      <c r="K261" s="725"/>
      <c r="L261" s="725"/>
      <c r="M261" s="725"/>
      <c r="N261" s="725"/>
      <c r="O261" s="725"/>
      <c r="P261" s="725"/>
      <c r="Q261" s="725"/>
      <c r="R261" s="725"/>
      <c r="S261" s="725"/>
      <c r="T261" s="725"/>
      <c r="U261" s="725"/>
      <c r="V261" s="725"/>
      <c r="W261" s="725"/>
      <c r="X261" s="725"/>
      <c r="Y261" s="725"/>
      <c r="Z261" s="725"/>
      <c r="AA261" s="65"/>
      <c r="AB261" s="65"/>
      <c r="AC261" s="79"/>
    </row>
    <row r="262" spans="1:68" ht="14.25" hidden="1" customHeight="1" x14ac:dyDescent="0.25">
      <c r="A262" s="726" t="s">
        <v>120</v>
      </c>
      <c r="B262" s="726"/>
      <c r="C262" s="726"/>
      <c r="D262" s="726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66"/>
      <c r="AB262" s="66"/>
      <c r="AC262" s="80"/>
    </row>
    <row r="263" spans="1:68" ht="27" hidden="1" customHeight="1" x14ac:dyDescent="0.25">
      <c r="A263" s="63" t="s">
        <v>447</v>
      </c>
      <c r="B263" s="63" t="s">
        <v>448</v>
      </c>
      <c r="C263" s="36">
        <v>4301011450</v>
      </c>
      <c r="D263" s="727">
        <v>4680115881402</v>
      </c>
      <c r="E263" s="7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125</v>
      </c>
      <c r="L263" s="37" t="s">
        <v>46</v>
      </c>
      <c r="M263" s="38" t="s">
        <v>124</v>
      </c>
      <c r="N263" s="38"/>
      <c r="O263" s="37">
        <v>55</v>
      </c>
      <c r="P263" s="86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449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4301011768</v>
      </c>
      <c r="D264" s="727">
        <v>4680115881396</v>
      </c>
      <c r="E264" s="727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89</v>
      </c>
      <c r="L264" s="37" t="s">
        <v>46</v>
      </c>
      <c r="M264" s="38" t="s">
        <v>124</v>
      </c>
      <c r="N264" s="38"/>
      <c r="O264" s="37">
        <v>55</v>
      </c>
      <c r="P264" s="8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729"/>
      <c r="R264" s="729"/>
      <c r="S264" s="729"/>
      <c r="T264" s="73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449</v>
      </c>
      <c r="AG264" s="78"/>
      <c r="AJ264" s="84" t="s">
        <v>46</v>
      </c>
      <c r="AK264" s="84">
        <v>0</v>
      </c>
      <c r="BB264" s="35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735"/>
      <c r="B266" s="735"/>
      <c r="C266" s="735"/>
      <c r="D266" s="735"/>
      <c r="E266" s="735"/>
      <c r="F266" s="735"/>
      <c r="G266" s="735"/>
      <c r="H266" s="735"/>
      <c r="I266" s="735"/>
      <c r="J266" s="735"/>
      <c r="K266" s="735"/>
      <c r="L266" s="735"/>
      <c r="M266" s="735"/>
      <c r="N266" s="735"/>
      <c r="O266" s="736"/>
      <c r="P266" s="732" t="s">
        <v>40</v>
      </c>
      <c r="Q266" s="733"/>
      <c r="R266" s="733"/>
      <c r="S266" s="733"/>
      <c r="T266" s="733"/>
      <c r="U266" s="733"/>
      <c r="V266" s="734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726" t="s">
        <v>157</v>
      </c>
      <c r="B267" s="726"/>
      <c r="C267" s="726"/>
      <c r="D267" s="726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66"/>
      <c r="AB267" s="66"/>
      <c r="AC267" s="80"/>
    </row>
    <row r="268" spans="1:68" ht="16.5" hidden="1" customHeight="1" x14ac:dyDescent="0.25">
      <c r="A268" s="63" t="s">
        <v>452</v>
      </c>
      <c r="B268" s="63" t="s">
        <v>453</v>
      </c>
      <c r="C268" s="36">
        <v>4301020261</v>
      </c>
      <c r="D268" s="727">
        <v>4680115882935</v>
      </c>
      <c r="E268" s="727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125</v>
      </c>
      <c r="L268" s="37" t="s">
        <v>46</v>
      </c>
      <c r="M268" s="38" t="s">
        <v>124</v>
      </c>
      <c r="N268" s="38"/>
      <c r="O268" s="37">
        <v>50</v>
      </c>
      <c r="P268" s="8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454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455</v>
      </c>
      <c r="B269" s="63" t="s">
        <v>456</v>
      </c>
      <c r="C269" s="36">
        <v>4301020220</v>
      </c>
      <c r="D269" s="727">
        <v>4680115880764</v>
      </c>
      <c r="E269" s="727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89</v>
      </c>
      <c r="L269" s="37" t="s">
        <v>46</v>
      </c>
      <c r="M269" s="38" t="s">
        <v>124</v>
      </c>
      <c r="N269" s="38"/>
      <c r="O269" s="37">
        <v>50</v>
      </c>
      <c r="P269" s="8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729"/>
      <c r="R269" s="729"/>
      <c r="S269" s="729"/>
      <c r="T269" s="730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454</v>
      </c>
      <c r="AG269" s="78"/>
      <c r="AJ269" s="84" t="s">
        <v>46</v>
      </c>
      <c r="AK269" s="84">
        <v>0</v>
      </c>
      <c r="BB269" s="361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735"/>
      <c r="B271" s="735"/>
      <c r="C271" s="735"/>
      <c r="D271" s="735"/>
      <c r="E271" s="735"/>
      <c r="F271" s="735"/>
      <c r="G271" s="735"/>
      <c r="H271" s="735"/>
      <c r="I271" s="735"/>
      <c r="J271" s="735"/>
      <c r="K271" s="735"/>
      <c r="L271" s="735"/>
      <c r="M271" s="735"/>
      <c r="N271" s="735"/>
      <c r="O271" s="736"/>
      <c r="P271" s="732" t="s">
        <v>40</v>
      </c>
      <c r="Q271" s="733"/>
      <c r="R271" s="733"/>
      <c r="S271" s="733"/>
      <c r="T271" s="733"/>
      <c r="U271" s="733"/>
      <c r="V271" s="734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726" t="s">
        <v>75</v>
      </c>
      <c r="B272" s="726"/>
      <c r="C272" s="726"/>
      <c r="D272" s="726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66"/>
      <c r="AB272" s="66"/>
      <c r="AC272" s="80"/>
    </row>
    <row r="273" spans="1:68" ht="27" hidden="1" customHeight="1" x14ac:dyDescent="0.25">
      <c r="A273" s="63" t="s">
        <v>457</v>
      </c>
      <c r="B273" s="63" t="s">
        <v>458</v>
      </c>
      <c r="C273" s="36">
        <v>4301031224</v>
      </c>
      <c r="D273" s="727">
        <v>4680115882683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132</v>
      </c>
      <c r="L273" s="37" t="s">
        <v>46</v>
      </c>
      <c r="M273" s="38" t="s">
        <v>79</v>
      </c>
      <c r="N273" s="38"/>
      <c r="O273" s="37">
        <v>40</v>
      </c>
      <c r="P273" s="8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459</v>
      </c>
      <c r="AG273" s="78"/>
      <c r="AJ273" s="84" t="s">
        <v>46</v>
      </c>
      <c r="AK273" s="84">
        <v>0</v>
      </c>
      <c r="BB273" s="363" t="s">
        <v>66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460</v>
      </c>
      <c r="B274" s="63" t="s">
        <v>461</v>
      </c>
      <c r="C274" s="36">
        <v>4301031230</v>
      </c>
      <c r="D274" s="727">
        <v>4680115882690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132</v>
      </c>
      <c r="L274" s="37" t="s">
        <v>46</v>
      </c>
      <c r="M274" s="38" t="s">
        <v>79</v>
      </c>
      <c r="N274" s="38"/>
      <c r="O274" s="37">
        <v>40</v>
      </c>
      <c r="P274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462</v>
      </c>
      <c r="AG274" s="78"/>
      <c r="AJ274" s="84" t="s">
        <v>46</v>
      </c>
      <c r="AK274" s="84">
        <v>0</v>
      </c>
      <c r="BB274" s="365" t="s">
        <v>66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463</v>
      </c>
      <c r="B275" s="63" t="s">
        <v>464</v>
      </c>
      <c r="C275" s="36">
        <v>4301031220</v>
      </c>
      <c r="D275" s="727">
        <v>4680115882669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132</v>
      </c>
      <c r="L275" s="37" t="s">
        <v>46</v>
      </c>
      <c r="M275" s="38" t="s">
        <v>79</v>
      </c>
      <c r="N275" s="38"/>
      <c r="O275" s="37">
        <v>40</v>
      </c>
      <c r="P275" s="8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465</v>
      </c>
      <c r="AG275" s="78"/>
      <c r="AJ275" s="84" t="s">
        <v>46</v>
      </c>
      <c r="AK275" s="84">
        <v>0</v>
      </c>
      <c r="BB275" s="367" t="s">
        <v>66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4301031221</v>
      </c>
      <c r="D276" s="727">
        <v>4680115882676</v>
      </c>
      <c r="E276" s="727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132</v>
      </c>
      <c r="L276" s="37" t="s">
        <v>46</v>
      </c>
      <c r="M276" s="38" t="s">
        <v>79</v>
      </c>
      <c r="N276" s="38"/>
      <c r="O276" s="37">
        <v>40</v>
      </c>
      <c r="P276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468</v>
      </c>
      <c r="AG276" s="78"/>
      <c r="AJ276" s="84" t="s">
        <v>46</v>
      </c>
      <c r="AK276" s="84">
        <v>0</v>
      </c>
      <c r="BB276" s="369" t="s">
        <v>66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469</v>
      </c>
      <c r="B277" s="63" t="s">
        <v>470</v>
      </c>
      <c r="C277" s="36">
        <v>4301031223</v>
      </c>
      <c r="D277" s="727">
        <v>4680115884014</v>
      </c>
      <c r="E277" s="727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80</v>
      </c>
      <c r="L277" s="37" t="s">
        <v>46</v>
      </c>
      <c r="M277" s="38" t="s">
        <v>79</v>
      </c>
      <c r="N277" s="38"/>
      <c r="O277" s="37">
        <v>40</v>
      </c>
      <c r="P277" s="87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459</v>
      </c>
      <c r="AG277" s="78"/>
      <c r="AJ277" s="84" t="s">
        <v>46</v>
      </c>
      <c r="AK277" s="84">
        <v>0</v>
      </c>
      <c r="BB277" s="371" t="s">
        <v>66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4301031222</v>
      </c>
      <c r="D278" s="727">
        <v>4680115884007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80</v>
      </c>
      <c r="L278" s="37" t="s">
        <v>46</v>
      </c>
      <c r="M278" s="38" t="s">
        <v>79</v>
      </c>
      <c r="N278" s="38"/>
      <c r="O278" s="37">
        <v>40</v>
      </c>
      <c r="P278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462</v>
      </c>
      <c r="AG278" s="78"/>
      <c r="AJ278" s="84" t="s">
        <v>46</v>
      </c>
      <c r="AK278" s="84">
        <v>0</v>
      </c>
      <c r="BB278" s="373" t="s">
        <v>66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4301031229</v>
      </c>
      <c r="D279" s="727">
        <v>4680115884038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80</v>
      </c>
      <c r="L279" s="37" t="s">
        <v>46</v>
      </c>
      <c r="M279" s="38" t="s">
        <v>79</v>
      </c>
      <c r="N279" s="38"/>
      <c r="O279" s="37">
        <v>40</v>
      </c>
      <c r="P279" s="8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465</v>
      </c>
      <c r="AG279" s="78"/>
      <c r="AJ279" s="84" t="s">
        <v>46</v>
      </c>
      <c r="AK279" s="84">
        <v>0</v>
      </c>
      <c r="BB279" s="375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4301031225</v>
      </c>
      <c r="D280" s="727">
        <v>4680115884021</v>
      </c>
      <c r="E280" s="727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80</v>
      </c>
      <c r="L280" s="37" t="s">
        <v>46</v>
      </c>
      <c r="M280" s="38" t="s">
        <v>79</v>
      </c>
      <c r="N280" s="38"/>
      <c r="O280" s="37">
        <v>40</v>
      </c>
      <c r="P280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729"/>
      <c r="R280" s="729"/>
      <c r="S280" s="729"/>
      <c r="T280" s="73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468</v>
      </c>
      <c r="AG280" s="78"/>
      <c r="AJ280" s="84" t="s">
        <v>46</v>
      </c>
      <c r="AK280" s="84">
        <v>0</v>
      </c>
      <c r="BB280" s="377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735"/>
      <c r="B282" s="735"/>
      <c r="C282" s="735"/>
      <c r="D282" s="735"/>
      <c r="E282" s="735"/>
      <c r="F282" s="735"/>
      <c r="G282" s="735"/>
      <c r="H282" s="735"/>
      <c r="I282" s="735"/>
      <c r="J282" s="735"/>
      <c r="K282" s="735"/>
      <c r="L282" s="735"/>
      <c r="M282" s="735"/>
      <c r="N282" s="735"/>
      <c r="O282" s="736"/>
      <c r="P282" s="732" t="s">
        <v>40</v>
      </c>
      <c r="Q282" s="733"/>
      <c r="R282" s="733"/>
      <c r="S282" s="733"/>
      <c r="T282" s="733"/>
      <c r="U282" s="733"/>
      <c r="V282" s="734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726" t="s">
        <v>84</v>
      </c>
      <c r="B283" s="726"/>
      <c r="C283" s="726"/>
      <c r="D283" s="726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66"/>
      <c r="AB283" s="66"/>
      <c r="AC283" s="80"/>
    </row>
    <row r="284" spans="1:68" ht="27" hidden="1" customHeight="1" x14ac:dyDescent="0.25">
      <c r="A284" s="63" t="s">
        <v>477</v>
      </c>
      <c r="B284" s="63" t="s">
        <v>478</v>
      </c>
      <c r="C284" s="36">
        <v>4301051408</v>
      </c>
      <c r="D284" s="727">
        <v>4680115881594</v>
      </c>
      <c r="E284" s="727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125</v>
      </c>
      <c r="L284" s="37" t="s">
        <v>46</v>
      </c>
      <c r="M284" s="38" t="s">
        <v>88</v>
      </c>
      <c r="N284" s="38"/>
      <c r="O284" s="37">
        <v>40</v>
      </c>
      <c r="P284" s="88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66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480</v>
      </c>
      <c r="B285" s="63" t="s">
        <v>481</v>
      </c>
      <c r="C285" s="36">
        <v>4301051411</v>
      </c>
      <c r="D285" s="727">
        <v>4680115881617</v>
      </c>
      <c r="E285" s="727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125</v>
      </c>
      <c r="L285" s="37" t="s">
        <v>46</v>
      </c>
      <c r="M285" s="38" t="s">
        <v>88</v>
      </c>
      <c r="N285" s="38"/>
      <c r="O285" s="37">
        <v>40</v>
      </c>
      <c r="P285" s="8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482</v>
      </c>
      <c r="AG285" s="78"/>
      <c r="AJ285" s="84" t="s">
        <v>46</v>
      </c>
      <c r="AK285" s="84">
        <v>0</v>
      </c>
      <c r="BB285" s="381" t="s">
        <v>66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4301051656</v>
      </c>
      <c r="D286" s="727">
        <v>4680115880573</v>
      </c>
      <c r="E286" s="727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125</v>
      </c>
      <c r="L286" s="37" t="s">
        <v>46</v>
      </c>
      <c r="M286" s="38" t="s">
        <v>88</v>
      </c>
      <c r="N286" s="38"/>
      <c r="O286" s="37">
        <v>45</v>
      </c>
      <c r="P286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485</v>
      </c>
      <c r="AG286" s="78"/>
      <c r="AJ286" s="84" t="s">
        <v>46</v>
      </c>
      <c r="AK286" s="84">
        <v>0</v>
      </c>
      <c r="BB286" s="383" t="s">
        <v>66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486</v>
      </c>
      <c r="B287" s="63" t="s">
        <v>487</v>
      </c>
      <c r="C287" s="36">
        <v>4301051407</v>
      </c>
      <c r="D287" s="727">
        <v>4680115882195</v>
      </c>
      <c r="E287" s="727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89</v>
      </c>
      <c r="L287" s="37" t="s">
        <v>46</v>
      </c>
      <c r="M287" s="38" t="s">
        <v>88</v>
      </c>
      <c r="N287" s="38"/>
      <c r="O287" s="37">
        <v>40</v>
      </c>
      <c r="P287" s="8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479</v>
      </c>
      <c r="AG287" s="78"/>
      <c r="AJ287" s="84" t="s">
        <v>46</v>
      </c>
      <c r="AK287" s="84">
        <v>0</v>
      </c>
      <c r="BB287" s="385" t="s">
        <v>66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4301051752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89</v>
      </c>
      <c r="L288" s="37" t="s">
        <v>46</v>
      </c>
      <c r="M288" s="38" t="s">
        <v>95</v>
      </c>
      <c r="N288" s="38"/>
      <c r="O288" s="37">
        <v>45</v>
      </c>
      <c r="P288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485</v>
      </c>
      <c r="AG288" s="78"/>
      <c r="AJ288" s="84" t="s">
        <v>46</v>
      </c>
      <c r="AK288" s="84">
        <v>0</v>
      </c>
      <c r="BB288" s="387" t="s">
        <v>66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4301052143</v>
      </c>
      <c r="D289" s="727">
        <v>4680115882607</v>
      </c>
      <c r="E289" s="727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132</v>
      </c>
      <c r="L289" s="37" t="s">
        <v>46</v>
      </c>
      <c r="M289" s="38" t="s">
        <v>88</v>
      </c>
      <c r="N289" s="38"/>
      <c r="O289" s="37">
        <v>45</v>
      </c>
      <c r="P289" s="88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492</v>
      </c>
      <c r="AG289" s="78"/>
      <c r="AJ289" s="84" t="s">
        <v>46</v>
      </c>
      <c r="AK289" s="84">
        <v>0</v>
      </c>
      <c r="BB289" s="389" t="s">
        <v>66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493</v>
      </c>
      <c r="B290" s="63" t="s">
        <v>494</v>
      </c>
      <c r="C290" s="36">
        <v>4301051666</v>
      </c>
      <c r="D290" s="727">
        <v>4680115880092</v>
      </c>
      <c r="E290" s="727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89</v>
      </c>
      <c r="L290" s="37" t="s">
        <v>46</v>
      </c>
      <c r="M290" s="38" t="s">
        <v>88</v>
      </c>
      <c r="N290" s="38"/>
      <c r="O290" s="37">
        <v>45</v>
      </c>
      <c r="P290" s="88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485</v>
      </c>
      <c r="AG290" s="78"/>
      <c r="AJ290" s="84" t="s">
        <v>46</v>
      </c>
      <c r="AK290" s="84">
        <v>0</v>
      </c>
      <c r="BB290" s="391" t="s">
        <v>66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495</v>
      </c>
      <c r="B291" s="63" t="s">
        <v>496</v>
      </c>
      <c r="C291" s="36">
        <v>4301052214</v>
      </c>
      <c r="D291" s="727">
        <v>4680115889064</v>
      </c>
      <c r="E291" s="727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125</v>
      </c>
      <c r="L291" s="37" t="s">
        <v>46</v>
      </c>
      <c r="M291" s="38" t="s">
        <v>88</v>
      </c>
      <c r="N291" s="38"/>
      <c r="O291" s="37">
        <v>45</v>
      </c>
      <c r="P291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492</v>
      </c>
      <c r="AG291" s="78"/>
      <c r="AJ291" s="84" t="s">
        <v>46</v>
      </c>
      <c r="AK291" s="84">
        <v>0</v>
      </c>
      <c r="BB291" s="393" t="s">
        <v>66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4301051668</v>
      </c>
      <c r="D292" s="727">
        <v>4680115880221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89</v>
      </c>
      <c r="L292" s="37" t="s">
        <v>46</v>
      </c>
      <c r="M292" s="38" t="s">
        <v>88</v>
      </c>
      <c r="N292" s="38"/>
      <c r="O292" s="37">
        <v>45</v>
      </c>
      <c r="P292" s="8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485</v>
      </c>
      <c r="AG292" s="78"/>
      <c r="AJ292" s="84" t="s">
        <v>46</v>
      </c>
      <c r="AK292" s="84">
        <v>0</v>
      </c>
      <c r="BB292" s="395" t="s">
        <v>66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499</v>
      </c>
      <c r="B293" s="63" t="s">
        <v>500</v>
      </c>
      <c r="C293" s="36">
        <v>4301051945</v>
      </c>
      <c r="D293" s="727">
        <v>4680115880504</v>
      </c>
      <c r="E293" s="72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89</v>
      </c>
      <c r="L293" s="37" t="s">
        <v>46</v>
      </c>
      <c r="M293" s="38" t="s">
        <v>95</v>
      </c>
      <c r="N293" s="38"/>
      <c r="O293" s="37">
        <v>40</v>
      </c>
      <c r="P293" s="8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501</v>
      </c>
      <c r="AG293" s="78"/>
      <c r="AJ293" s="84" t="s">
        <v>46</v>
      </c>
      <c r="AK293" s="84">
        <v>0</v>
      </c>
      <c r="BB293" s="397" t="s">
        <v>66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4301051410</v>
      </c>
      <c r="D294" s="727">
        <v>4680115882164</v>
      </c>
      <c r="E294" s="727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89</v>
      </c>
      <c r="L294" s="37" t="s">
        <v>46</v>
      </c>
      <c r="M294" s="38" t="s">
        <v>88</v>
      </c>
      <c r="N294" s="38"/>
      <c r="O294" s="37">
        <v>40</v>
      </c>
      <c r="P294" s="8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4301052180</v>
      </c>
      <c r="D295" s="727">
        <v>4680115888340</v>
      </c>
      <c r="E295" s="72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89</v>
      </c>
      <c r="L295" s="37" t="s">
        <v>46</v>
      </c>
      <c r="M295" s="38" t="s">
        <v>88</v>
      </c>
      <c r="N295" s="38"/>
      <c r="O295" s="37">
        <v>45</v>
      </c>
      <c r="P295" s="89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729"/>
      <c r="R295" s="729"/>
      <c r="S295" s="729"/>
      <c r="T295" s="73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507</v>
      </c>
      <c r="AG295" s="78"/>
      <c r="AJ295" s="84" t="s">
        <v>46</v>
      </c>
      <c r="AK295" s="84">
        <v>0</v>
      </c>
      <c r="BB295" s="401" t="s">
        <v>66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735"/>
      <c r="B297" s="735"/>
      <c r="C297" s="735"/>
      <c r="D297" s="735"/>
      <c r="E297" s="735"/>
      <c r="F297" s="735"/>
      <c r="G297" s="735"/>
      <c r="H297" s="735"/>
      <c r="I297" s="735"/>
      <c r="J297" s="735"/>
      <c r="K297" s="735"/>
      <c r="L297" s="735"/>
      <c r="M297" s="735"/>
      <c r="N297" s="735"/>
      <c r="O297" s="736"/>
      <c r="P297" s="732" t="s">
        <v>40</v>
      </c>
      <c r="Q297" s="733"/>
      <c r="R297" s="733"/>
      <c r="S297" s="733"/>
      <c r="T297" s="733"/>
      <c r="U297" s="733"/>
      <c r="V297" s="734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726" t="s">
        <v>176</v>
      </c>
      <c r="B298" s="726"/>
      <c r="C298" s="726"/>
      <c r="D298" s="726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66"/>
      <c r="AB298" s="66"/>
      <c r="AC298" s="80"/>
    </row>
    <row r="299" spans="1:68" ht="27" hidden="1" customHeight="1" x14ac:dyDescent="0.25">
      <c r="A299" s="63" t="s">
        <v>508</v>
      </c>
      <c r="B299" s="63" t="s">
        <v>509</v>
      </c>
      <c r="C299" s="36">
        <v>4301060463</v>
      </c>
      <c r="D299" s="727">
        <v>4680115880818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89</v>
      </c>
      <c r="L299" s="37" t="s">
        <v>46</v>
      </c>
      <c r="M299" s="38" t="s">
        <v>95</v>
      </c>
      <c r="N299" s="38"/>
      <c r="O299" s="37">
        <v>40</v>
      </c>
      <c r="P299" s="8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510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4301060389</v>
      </c>
      <c r="D300" s="727">
        <v>4680115880801</v>
      </c>
      <c r="E300" s="727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89</v>
      </c>
      <c r="L300" s="37" t="s">
        <v>46</v>
      </c>
      <c r="M300" s="38" t="s">
        <v>88</v>
      </c>
      <c r="N300" s="38"/>
      <c r="O300" s="37">
        <v>40</v>
      </c>
      <c r="P300" s="8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729"/>
      <c r="R300" s="729"/>
      <c r="S300" s="729"/>
      <c r="T300" s="730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513</v>
      </c>
      <c r="AG300" s="78"/>
      <c r="AJ300" s="84" t="s">
        <v>46</v>
      </c>
      <c r="AK300" s="84">
        <v>0</v>
      </c>
      <c r="BB300" s="405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735"/>
      <c r="B302" s="735"/>
      <c r="C302" s="735"/>
      <c r="D302" s="735"/>
      <c r="E302" s="735"/>
      <c r="F302" s="735"/>
      <c r="G302" s="735"/>
      <c r="H302" s="735"/>
      <c r="I302" s="735"/>
      <c r="J302" s="735"/>
      <c r="K302" s="735"/>
      <c r="L302" s="735"/>
      <c r="M302" s="735"/>
      <c r="N302" s="735"/>
      <c r="O302" s="736"/>
      <c r="P302" s="732" t="s">
        <v>40</v>
      </c>
      <c r="Q302" s="733"/>
      <c r="R302" s="733"/>
      <c r="S302" s="733"/>
      <c r="T302" s="733"/>
      <c r="U302" s="733"/>
      <c r="V302" s="734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725" t="s">
        <v>514</v>
      </c>
      <c r="B303" s="725"/>
      <c r="C303" s="725"/>
      <c r="D303" s="725"/>
      <c r="E303" s="725"/>
      <c r="F303" s="725"/>
      <c r="G303" s="725"/>
      <c r="H303" s="725"/>
      <c r="I303" s="725"/>
      <c r="J303" s="725"/>
      <c r="K303" s="725"/>
      <c r="L303" s="725"/>
      <c r="M303" s="725"/>
      <c r="N303" s="725"/>
      <c r="O303" s="725"/>
      <c r="P303" s="725"/>
      <c r="Q303" s="725"/>
      <c r="R303" s="725"/>
      <c r="S303" s="725"/>
      <c r="T303" s="725"/>
      <c r="U303" s="725"/>
      <c r="V303" s="725"/>
      <c r="W303" s="725"/>
      <c r="X303" s="725"/>
      <c r="Y303" s="725"/>
      <c r="Z303" s="725"/>
      <c r="AA303" s="65"/>
      <c r="AB303" s="65"/>
      <c r="AC303" s="79"/>
    </row>
    <row r="304" spans="1:68" ht="14.25" hidden="1" customHeight="1" x14ac:dyDescent="0.25">
      <c r="A304" s="726" t="s">
        <v>120</v>
      </c>
      <c r="B304" s="726"/>
      <c r="C304" s="726"/>
      <c r="D304" s="726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66"/>
      <c r="AB304" s="66"/>
      <c r="AC304" s="80"/>
    </row>
    <row r="305" spans="1:68" ht="27" hidden="1" customHeight="1" x14ac:dyDescent="0.25">
      <c r="A305" s="63" t="s">
        <v>515</v>
      </c>
      <c r="B305" s="63" t="s">
        <v>516</v>
      </c>
      <c r="C305" s="36">
        <v>4301011826</v>
      </c>
      <c r="D305" s="727">
        <v>4680115884137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125</v>
      </c>
      <c r="L305" s="37" t="s">
        <v>46</v>
      </c>
      <c r="M305" s="38" t="s">
        <v>124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517</v>
      </c>
      <c r="AG305" s="78"/>
      <c r="AJ305" s="84" t="s">
        <v>46</v>
      </c>
      <c r="AK305" s="84">
        <v>0</v>
      </c>
      <c r="BB305" s="407" t="s">
        <v>66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4301011724</v>
      </c>
      <c r="D306" s="727">
        <v>4680115884236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125</v>
      </c>
      <c r="L306" s="37" t="s">
        <v>46</v>
      </c>
      <c r="M306" s="38" t="s">
        <v>124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520</v>
      </c>
      <c r="AG306" s="78"/>
      <c r="AJ306" s="84" t="s">
        <v>46</v>
      </c>
      <c r="AK306" s="84">
        <v>0</v>
      </c>
      <c r="BB306" s="409" t="s">
        <v>66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521</v>
      </c>
      <c r="B307" s="63" t="s">
        <v>522</v>
      </c>
      <c r="C307" s="36">
        <v>4301011721</v>
      </c>
      <c r="D307" s="727">
        <v>4680115884175</v>
      </c>
      <c r="E307" s="727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125</v>
      </c>
      <c r="L307" s="37" t="s">
        <v>46</v>
      </c>
      <c r="M307" s="38" t="s">
        <v>124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368</v>
      </c>
      <c r="AG307" s="78"/>
      <c r="AJ307" s="84" t="s">
        <v>46</v>
      </c>
      <c r="AK307" s="84">
        <v>0</v>
      </c>
      <c r="BB307" s="411" t="s">
        <v>66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4301011824</v>
      </c>
      <c r="D308" s="727">
        <v>4680115884144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132</v>
      </c>
      <c r="L308" s="37" t="s">
        <v>46</v>
      </c>
      <c r="M308" s="38" t="s">
        <v>124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517</v>
      </c>
      <c r="AG308" s="78"/>
      <c r="AJ308" s="84" t="s">
        <v>46</v>
      </c>
      <c r="AK308" s="84">
        <v>0</v>
      </c>
      <c r="BB308" s="413" t="s">
        <v>66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525</v>
      </c>
      <c r="B309" s="63" t="s">
        <v>526</v>
      </c>
      <c r="C309" s="36">
        <v>4301012149</v>
      </c>
      <c r="D309" s="727">
        <v>4680115886551</v>
      </c>
      <c r="E309" s="727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132</v>
      </c>
      <c r="L309" s="37" t="s">
        <v>46</v>
      </c>
      <c r="M309" s="38" t="s">
        <v>124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527</v>
      </c>
      <c r="AG309" s="78"/>
      <c r="AJ309" s="84" t="s">
        <v>46</v>
      </c>
      <c r="AK309" s="84">
        <v>0</v>
      </c>
      <c r="BB309" s="415" t="s">
        <v>66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528</v>
      </c>
      <c r="B310" s="63" t="s">
        <v>529</v>
      </c>
      <c r="C310" s="36">
        <v>4301012228</v>
      </c>
      <c r="D310" s="727">
        <v>4680115887282</v>
      </c>
      <c r="E310" s="727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89</v>
      </c>
      <c r="L310" s="37" t="s">
        <v>46</v>
      </c>
      <c r="M310" s="38" t="s">
        <v>124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530</v>
      </c>
      <c r="AG310" s="78"/>
      <c r="AJ310" s="84" t="s">
        <v>46</v>
      </c>
      <c r="AK310" s="84">
        <v>0</v>
      </c>
      <c r="BB310" s="417" t="s">
        <v>66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531</v>
      </c>
      <c r="B311" s="63" t="s">
        <v>532</v>
      </c>
      <c r="C311" s="36">
        <v>4301011722</v>
      </c>
      <c r="D311" s="727">
        <v>4680115884205</v>
      </c>
      <c r="E311" s="727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132</v>
      </c>
      <c r="L311" s="37" t="s">
        <v>46</v>
      </c>
      <c r="M311" s="38" t="s">
        <v>124</v>
      </c>
      <c r="N311" s="38"/>
      <c r="O311" s="37">
        <v>55</v>
      </c>
      <c r="P311" s="9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729"/>
      <c r="R311" s="729"/>
      <c r="S311" s="729"/>
      <c r="T311" s="730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368</v>
      </c>
      <c r="AG311" s="78"/>
      <c r="AJ311" s="84" t="s">
        <v>46</v>
      </c>
      <c r="AK311" s="84">
        <v>0</v>
      </c>
      <c r="BB311" s="419" t="s">
        <v>66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35"/>
      <c r="B313" s="735"/>
      <c r="C313" s="735"/>
      <c r="D313" s="735"/>
      <c r="E313" s="735"/>
      <c r="F313" s="735"/>
      <c r="G313" s="735"/>
      <c r="H313" s="735"/>
      <c r="I313" s="735"/>
      <c r="J313" s="735"/>
      <c r="K313" s="735"/>
      <c r="L313" s="735"/>
      <c r="M313" s="735"/>
      <c r="N313" s="735"/>
      <c r="O313" s="736"/>
      <c r="P313" s="732" t="s">
        <v>40</v>
      </c>
      <c r="Q313" s="733"/>
      <c r="R313" s="733"/>
      <c r="S313" s="733"/>
      <c r="T313" s="733"/>
      <c r="U313" s="733"/>
      <c r="V313" s="7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6" t="s">
        <v>157</v>
      </c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66"/>
      <c r="AB314" s="66"/>
      <c r="AC314" s="80"/>
    </row>
    <row r="315" spans="1:68" ht="27" hidden="1" customHeight="1" x14ac:dyDescent="0.25">
      <c r="A315" s="63" t="s">
        <v>533</v>
      </c>
      <c r="B315" s="63" t="s">
        <v>534</v>
      </c>
      <c r="C315" s="36">
        <v>4301020377</v>
      </c>
      <c r="D315" s="727">
        <v>4680115885981</v>
      </c>
      <c r="E315" s="727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80</v>
      </c>
      <c r="L315" s="37" t="s">
        <v>46</v>
      </c>
      <c r="M315" s="38" t="s">
        <v>88</v>
      </c>
      <c r="N315" s="38"/>
      <c r="O315" s="37">
        <v>50</v>
      </c>
      <c r="P315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729"/>
      <c r="R315" s="729"/>
      <c r="S315" s="729"/>
      <c r="T315" s="73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535</v>
      </c>
      <c r="AG315" s="78"/>
      <c r="AJ315" s="84" t="s">
        <v>46</v>
      </c>
      <c r="AK315" s="84">
        <v>0</v>
      </c>
      <c r="BB315" s="421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35"/>
      <c r="B317" s="735"/>
      <c r="C317" s="735"/>
      <c r="D317" s="735"/>
      <c r="E317" s="735"/>
      <c r="F317" s="735"/>
      <c r="G317" s="735"/>
      <c r="H317" s="735"/>
      <c r="I317" s="735"/>
      <c r="J317" s="735"/>
      <c r="K317" s="735"/>
      <c r="L317" s="735"/>
      <c r="M317" s="735"/>
      <c r="N317" s="735"/>
      <c r="O317" s="736"/>
      <c r="P317" s="732" t="s">
        <v>40</v>
      </c>
      <c r="Q317" s="733"/>
      <c r="R317" s="733"/>
      <c r="S317" s="733"/>
      <c r="T317" s="733"/>
      <c r="U317" s="733"/>
      <c r="V317" s="73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6" t="s">
        <v>536</v>
      </c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66"/>
      <c r="AB318" s="66"/>
      <c r="AC318" s="80"/>
    </row>
    <row r="319" spans="1:68" ht="27" hidden="1" customHeight="1" x14ac:dyDescent="0.25">
      <c r="A319" s="63" t="s">
        <v>537</v>
      </c>
      <c r="B319" s="63" t="s">
        <v>538</v>
      </c>
      <c r="C319" s="36">
        <v>4301040362</v>
      </c>
      <c r="D319" s="727">
        <v>4680115886803</v>
      </c>
      <c r="E319" s="727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345</v>
      </c>
      <c r="L319" s="37" t="s">
        <v>46</v>
      </c>
      <c r="M319" s="38" t="s">
        <v>286</v>
      </c>
      <c r="N319" s="38"/>
      <c r="O319" s="37">
        <v>45</v>
      </c>
      <c r="P319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729"/>
      <c r="R319" s="729"/>
      <c r="S319" s="729"/>
      <c r="T319" s="73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539</v>
      </c>
      <c r="AG319" s="78"/>
      <c r="AJ319" s="84" t="s">
        <v>46</v>
      </c>
      <c r="AK319" s="84">
        <v>0</v>
      </c>
      <c r="BB319" s="423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735"/>
      <c r="B321" s="735"/>
      <c r="C321" s="735"/>
      <c r="D321" s="735"/>
      <c r="E321" s="735"/>
      <c r="F321" s="735"/>
      <c r="G321" s="735"/>
      <c r="H321" s="735"/>
      <c r="I321" s="735"/>
      <c r="J321" s="735"/>
      <c r="K321" s="735"/>
      <c r="L321" s="735"/>
      <c r="M321" s="735"/>
      <c r="N321" s="735"/>
      <c r="O321" s="736"/>
      <c r="P321" s="732" t="s">
        <v>40</v>
      </c>
      <c r="Q321" s="733"/>
      <c r="R321" s="733"/>
      <c r="S321" s="733"/>
      <c r="T321" s="733"/>
      <c r="U321" s="733"/>
      <c r="V321" s="734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726" t="s">
        <v>346</v>
      </c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66"/>
      <c r="AB322" s="66"/>
      <c r="AC322" s="80"/>
    </row>
    <row r="323" spans="1:68" ht="27" hidden="1" customHeight="1" x14ac:dyDescent="0.25">
      <c r="A323" s="63" t="s">
        <v>540</v>
      </c>
      <c r="B323" s="63" t="s">
        <v>541</v>
      </c>
      <c r="C323" s="36">
        <v>4301041008</v>
      </c>
      <c r="D323" s="727">
        <v>4680115886681</v>
      </c>
      <c r="E323" s="727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345</v>
      </c>
      <c r="L323" s="37" t="s">
        <v>46</v>
      </c>
      <c r="M323" s="38" t="s">
        <v>286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9"/>
      <c r="R323" s="729"/>
      <c r="S323" s="729"/>
      <c r="T323" s="73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542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543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120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544</v>
      </c>
      <c r="B328" s="63" t="s">
        <v>545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125</v>
      </c>
      <c r="L328" s="37" t="s">
        <v>46</v>
      </c>
      <c r="M328" s="38" t="s">
        <v>124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547</v>
      </c>
      <c r="AC328" s="426" t="s">
        <v>546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548</v>
      </c>
      <c r="B329" s="63" t="s">
        <v>549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125</v>
      </c>
      <c r="L329" s="37" t="s">
        <v>46</v>
      </c>
      <c r="M329" s="38" t="s">
        <v>124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550</v>
      </c>
      <c r="AG329" s="78"/>
      <c r="AJ329" s="84" t="s">
        <v>46</v>
      </c>
      <c r="AK329" s="84">
        <v>0</v>
      </c>
      <c r="BB329" s="429" t="s">
        <v>66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551</v>
      </c>
      <c r="B330" s="63" t="s">
        <v>552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125</v>
      </c>
      <c r="L330" s="37" t="s">
        <v>46</v>
      </c>
      <c r="M330" s="38" t="s">
        <v>124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553</v>
      </c>
      <c r="AG330" s="78"/>
      <c r="AJ330" s="84" t="s">
        <v>46</v>
      </c>
      <c r="AK330" s="84">
        <v>0</v>
      </c>
      <c r="BB330" s="431" t="s">
        <v>66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554</v>
      </c>
      <c r="B331" s="63" t="s">
        <v>555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125</v>
      </c>
      <c r="L331" s="37" t="s">
        <v>46</v>
      </c>
      <c r="M331" s="38" t="s">
        <v>124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556</v>
      </c>
      <c r="AG331" s="78"/>
      <c r="AJ331" s="84" t="s">
        <v>46</v>
      </c>
      <c r="AK331" s="84">
        <v>0</v>
      </c>
      <c r="BB331" s="433" t="s">
        <v>66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557</v>
      </c>
      <c r="B332" s="63" t="s">
        <v>558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132</v>
      </c>
      <c r="L332" s="37" t="s">
        <v>46</v>
      </c>
      <c r="M332" s="38" t="s">
        <v>124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559</v>
      </c>
      <c r="AG332" s="78"/>
      <c r="AJ332" s="84" t="s">
        <v>46</v>
      </c>
      <c r="AK332" s="84">
        <v>0</v>
      </c>
      <c r="BB332" s="435" t="s">
        <v>66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560</v>
      </c>
      <c r="B333" s="63" t="s">
        <v>561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132</v>
      </c>
      <c r="L333" s="37" t="s">
        <v>46</v>
      </c>
      <c r="M333" s="38" t="s">
        <v>124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563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84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89</v>
      </c>
      <c r="L338" s="37" t="s">
        <v>46</v>
      </c>
      <c r="M338" s="38" t="s">
        <v>88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566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89</v>
      </c>
      <c r="L339" s="37" t="s">
        <v>46</v>
      </c>
      <c r="M339" s="38" t="s">
        <v>95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569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89</v>
      </c>
      <c r="L340" s="37" t="s">
        <v>46</v>
      </c>
      <c r="M340" s="38" t="s">
        <v>88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566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572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75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573</v>
      </c>
      <c r="B345" s="63" t="s">
        <v>574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80</v>
      </c>
      <c r="L345" s="37" t="s">
        <v>46</v>
      </c>
      <c r="M345" s="38" t="s">
        <v>79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400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575</v>
      </c>
      <c r="B346" s="63" t="s">
        <v>576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80</v>
      </c>
      <c r="L346" s="37" t="s">
        <v>46</v>
      </c>
      <c r="M346" s="38" t="s">
        <v>79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577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578</v>
      </c>
      <c r="B347" s="63" t="s">
        <v>579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80</v>
      </c>
      <c r="L347" s="37" t="s">
        <v>46</v>
      </c>
      <c r="M347" s="38" t="s">
        <v>79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580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581</v>
      </c>
      <c r="B348" s="63" t="s">
        <v>582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89</v>
      </c>
      <c r="L348" s="37" t="s">
        <v>46</v>
      </c>
      <c r="M348" s="38" t="s">
        <v>79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583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80</v>
      </c>
      <c r="L349" s="37" t="s">
        <v>46</v>
      </c>
      <c r="M349" s="38" t="s">
        <v>79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586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84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587</v>
      </c>
      <c r="B353" s="63" t="s">
        <v>588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132</v>
      </c>
      <c r="L353" s="37" t="s">
        <v>46</v>
      </c>
      <c r="M353" s="38" t="s">
        <v>88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589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590</v>
      </c>
      <c r="B354" s="63" t="s">
        <v>591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132</v>
      </c>
      <c r="L354" s="37" t="s">
        <v>46</v>
      </c>
      <c r="M354" s="38" t="s">
        <v>88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592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593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120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125</v>
      </c>
      <c r="L359" s="37" t="s">
        <v>46</v>
      </c>
      <c r="M359" s="38" t="s">
        <v>88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359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125</v>
      </c>
      <c r="L360" s="37" t="s">
        <v>46</v>
      </c>
      <c r="M360" s="38" t="s">
        <v>88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598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599</v>
      </c>
      <c r="B361" s="63" t="s">
        <v>600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125</v>
      </c>
      <c r="L361" s="37" t="s">
        <v>46</v>
      </c>
      <c r="M361" s="38" t="s">
        <v>88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601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602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120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603</v>
      </c>
      <c r="B366" s="63" t="s">
        <v>604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125</v>
      </c>
      <c r="L366" s="37" t="s">
        <v>46</v>
      </c>
      <c r="M366" s="38" t="s">
        <v>124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547</v>
      </c>
      <c r="AC366" s="464" t="s">
        <v>527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605</v>
      </c>
      <c r="B367" s="63" t="s">
        <v>606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125</v>
      </c>
      <c r="L367" s="37" t="s">
        <v>46</v>
      </c>
      <c r="M367" s="38" t="s">
        <v>124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607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608</v>
      </c>
      <c r="B368" s="63" t="s">
        <v>609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125</v>
      </c>
      <c r="L368" s="37" t="s">
        <v>46</v>
      </c>
      <c r="M368" s="38" t="s">
        <v>124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610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611</v>
      </c>
      <c r="B369" s="63" t="s">
        <v>612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125</v>
      </c>
      <c r="L369" s="37" t="s">
        <v>46</v>
      </c>
      <c r="M369" s="38" t="s">
        <v>124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613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125</v>
      </c>
      <c r="L370" s="37" t="s">
        <v>46</v>
      </c>
      <c r="M370" s="38" t="s">
        <v>88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617</v>
      </c>
      <c r="B371" s="63" t="s">
        <v>618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132</v>
      </c>
      <c r="L371" s="37" t="s">
        <v>46</v>
      </c>
      <c r="M371" s="38" t="s">
        <v>124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610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619</v>
      </c>
      <c r="B372" s="63" t="s">
        <v>620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132</v>
      </c>
      <c r="L372" s="37" t="s">
        <v>46</v>
      </c>
      <c r="M372" s="38" t="s">
        <v>124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621</v>
      </c>
      <c r="AG372" s="78"/>
      <c r="AJ372" s="84" t="s">
        <v>46</v>
      </c>
      <c r="AK372" s="84">
        <v>0</v>
      </c>
      <c r="BB372" s="477" t="s">
        <v>66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75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622</v>
      </c>
      <c r="B376" s="63" t="s">
        <v>623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132</v>
      </c>
      <c r="L376" s="37" t="s">
        <v>46</v>
      </c>
      <c r="M376" s="38" t="s">
        <v>79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624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625</v>
      </c>
      <c r="B377" s="63" t="s">
        <v>626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132</v>
      </c>
      <c r="L377" s="37" t="s">
        <v>46</v>
      </c>
      <c r="M377" s="38" t="s">
        <v>79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627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132</v>
      </c>
      <c r="L378" s="37" t="s">
        <v>46</v>
      </c>
      <c r="M378" s="38" t="s">
        <v>79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80</v>
      </c>
      <c r="L379" s="37" t="s">
        <v>46</v>
      </c>
      <c r="M379" s="38" t="s">
        <v>79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627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80</v>
      </c>
      <c r="L380" s="37" t="s">
        <v>46</v>
      </c>
      <c r="M380" s="38" t="s">
        <v>79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636</v>
      </c>
      <c r="B381" s="63" t="s">
        <v>637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132</v>
      </c>
      <c r="L381" s="37" t="s">
        <v>46</v>
      </c>
      <c r="M381" s="38" t="s">
        <v>79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638</v>
      </c>
      <c r="B382" s="63" t="s">
        <v>639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89</v>
      </c>
      <c r="L382" s="37" t="s">
        <v>46</v>
      </c>
      <c r="M382" s="38" t="s">
        <v>79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640</v>
      </c>
      <c r="AG382" s="78"/>
      <c r="AJ382" s="84" t="s">
        <v>46</v>
      </c>
      <c r="AK382" s="84">
        <v>0</v>
      </c>
      <c r="BB382" s="491" t="s">
        <v>66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84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641</v>
      </c>
      <c r="B386" s="63" t="s">
        <v>642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125</v>
      </c>
      <c r="L386" s="37" t="s">
        <v>46</v>
      </c>
      <c r="M386" s="38" t="s">
        <v>88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643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125</v>
      </c>
      <c r="L387" s="37" t="s">
        <v>46</v>
      </c>
      <c r="M387" s="38" t="s">
        <v>88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646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125</v>
      </c>
      <c r="L388" s="37" t="s">
        <v>46</v>
      </c>
      <c r="M388" s="38" t="s">
        <v>88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649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89</v>
      </c>
      <c r="L389" s="37" t="s">
        <v>46</v>
      </c>
      <c r="M389" s="38" t="s">
        <v>88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176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652</v>
      </c>
      <c r="B393" s="63" t="s">
        <v>653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125</v>
      </c>
      <c r="L393" s="37" t="s">
        <v>46</v>
      </c>
      <c r="M393" s="38" t="s">
        <v>88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654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655</v>
      </c>
      <c r="B394" s="63" t="s">
        <v>656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125</v>
      </c>
      <c r="L394" s="37" t="s">
        <v>46</v>
      </c>
      <c r="M394" s="38" t="s">
        <v>88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657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125</v>
      </c>
      <c r="L395" s="37" t="s">
        <v>46</v>
      </c>
      <c r="M395" s="38" t="s">
        <v>95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660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26" t="s">
        <v>281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661</v>
      </c>
      <c r="B399" s="63" t="s">
        <v>662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132</v>
      </c>
      <c r="L399" s="37" t="s">
        <v>46</v>
      </c>
      <c r="M399" s="38" t="s">
        <v>257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664</v>
      </c>
      <c r="B400" s="63" t="s">
        <v>665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132</v>
      </c>
      <c r="L400" s="37" t="s">
        <v>46</v>
      </c>
      <c r="M400" s="38" t="s">
        <v>257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666</v>
      </c>
      <c r="B401" s="63" t="s">
        <v>667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89</v>
      </c>
      <c r="L401" s="37" t="s">
        <v>46</v>
      </c>
      <c r="M401" s="38" t="s">
        <v>257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668</v>
      </c>
      <c r="B402" s="63" t="s">
        <v>669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89</v>
      </c>
      <c r="L402" s="37" t="s">
        <v>46</v>
      </c>
      <c r="M402" s="38" t="s">
        <v>257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663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670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671</v>
      </c>
      <c r="B406" s="63" t="s">
        <v>672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89</v>
      </c>
      <c r="L406" s="37" t="s">
        <v>46</v>
      </c>
      <c r="M406" s="38" t="s">
        <v>674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675</v>
      </c>
      <c r="B407" s="63" t="s">
        <v>676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89</v>
      </c>
      <c r="L407" s="37" t="s">
        <v>46</v>
      </c>
      <c r="M407" s="38" t="s">
        <v>674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677</v>
      </c>
      <c r="B408" s="63" t="s">
        <v>678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89</v>
      </c>
      <c r="L408" s="37" t="s">
        <v>46</v>
      </c>
      <c r="M408" s="38" t="s">
        <v>674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673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679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680</v>
      </c>
      <c r="B412" s="63" t="s">
        <v>681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89</v>
      </c>
      <c r="L412" s="37" t="s">
        <v>46</v>
      </c>
      <c r="M412" s="38" t="s">
        <v>674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682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683</v>
      </c>
      <c r="B413" s="63" t="s">
        <v>684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132</v>
      </c>
      <c r="L413" s="37" t="s">
        <v>46</v>
      </c>
      <c r="M413" s="38" t="s">
        <v>674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685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686</v>
      </c>
      <c r="B414" s="63" t="s">
        <v>687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89</v>
      </c>
      <c r="L414" s="37" t="s">
        <v>46</v>
      </c>
      <c r="M414" s="38" t="s">
        <v>674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682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688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84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689</v>
      </c>
      <c r="B419" s="63" t="s">
        <v>690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125</v>
      </c>
      <c r="L419" s="37" t="s">
        <v>46</v>
      </c>
      <c r="M419" s="38" t="s">
        <v>88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691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692</v>
      </c>
      <c r="B420" s="63" t="s">
        <v>693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125</v>
      </c>
      <c r="L420" s="37" t="s">
        <v>46</v>
      </c>
      <c r="M420" s="38" t="s">
        <v>88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694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695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84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696</v>
      </c>
      <c r="B425" s="63" t="s">
        <v>697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125</v>
      </c>
      <c r="L425" s="37" t="s">
        <v>46</v>
      </c>
      <c r="M425" s="38" t="s">
        <v>95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698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699</v>
      </c>
      <c r="B426" s="63" t="s">
        <v>700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89</v>
      </c>
      <c r="L426" s="37" t="s">
        <v>46</v>
      </c>
      <c r="M426" s="38" t="s">
        <v>88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701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702</v>
      </c>
      <c r="B427" s="63" t="s">
        <v>703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89</v>
      </c>
      <c r="L427" s="37" t="s">
        <v>46</v>
      </c>
      <c r="M427" s="38" t="s">
        <v>95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704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705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706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120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707</v>
      </c>
      <c r="B433" s="63" t="s">
        <v>708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125</v>
      </c>
      <c r="L433" s="37" t="s">
        <v>46</v>
      </c>
      <c r="M433" s="38" t="s">
        <v>95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709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hidden="1" customHeight="1" x14ac:dyDescent="0.25">
      <c r="A434" s="63" t="s">
        <v>710</v>
      </c>
      <c r="B434" s="63" t="s">
        <v>711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125</v>
      </c>
      <c r="L434" s="37" t="s">
        <v>46</v>
      </c>
      <c r="M434" s="38" t="s">
        <v>79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712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713</v>
      </c>
      <c r="B435" s="63" t="s">
        <v>714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125</v>
      </c>
      <c r="L435" s="37" t="s">
        <v>46</v>
      </c>
      <c r="M435" s="38" t="s">
        <v>124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715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716</v>
      </c>
      <c r="B436" s="63" t="s">
        <v>717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125</v>
      </c>
      <c r="L436" s="37" t="s">
        <v>46</v>
      </c>
      <c r="M436" s="38" t="s">
        <v>79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240</v>
      </c>
      <c r="Y436" s="55">
        <f t="shared" si="68"/>
        <v>240</v>
      </c>
      <c r="Z436" s="41">
        <f>IFERROR(IF(Y436=0,"",ROUNDUP(Y436/H436,0)*0.02175),"")</f>
        <v>0.34799999999999998</v>
      </c>
      <c r="AA436" s="68" t="s">
        <v>46</v>
      </c>
      <c r="AB436" s="69" t="s">
        <v>46</v>
      </c>
      <c r="AC436" s="542" t="s">
        <v>718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247.52</v>
      </c>
      <c r="BN436" s="78">
        <f t="shared" si="70"/>
        <v>247.52</v>
      </c>
      <c r="BO436" s="78">
        <f t="shared" si="71"/>
        <v>0.33333333333333331</v>
      </c>
      <c r="BP436" s="78">
        <f t="shared" si="72"/>
        <v>0.33333333333333331</v>
      </c>
    </row>
    <row r="437" spans="1:68" ht="27" hidden="1" customHeight="1" x14ac:dyDescent="0.25">
      <c r="A437" s="63" t="s">
        <v>719</v>
      </c>
      <c r="B437" s="63" t="s">
        <v>720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125</v>
      </c>
      <c r="L437" s="37" t="s">
        <v>46</v>
      </c>
      <c r="M437" s="38" t="s">
        <v>95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721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132</v>
      </c>
      <c r="L438" s="37" t="s">
        <v>46</v>
      </c>
      <c r="M438" s="38" t="s">
        <v>124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724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132</v>
      </c>
      <c r="L439" s="37" t="s">
        <v>46</v>
      </c>
      <c r="M439" s="38" t="s">
        <v>79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727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728</v>
      </c>
      <c r="B440" s="63" t="s">
        <v>729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132</v>
      </c>
      <c r="L440" s="37" t="s">
        <v>46</v>
      </c>
      <c r="M440" s="38" t="s">
        <v>79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730</v>
      </c>
      <c r="AG440" s="78"/>
      <c r="AJ440" s="84" t="s">
        <v>46</v>
      </c>
      <c r="AK440" s="84">
        <v>0</v>
      </c>
      <c r="BB440" s="551" t="s">
        <v>66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16</v>
      </c>
      <c r="Y441" s="43">
        <f>IFERROR(Y433/H433,"0")+IFERROR(Y434/H434,"0")+IFERROR(Y435/H435,"0")+IFERROR(Y436/H436,"0")+IFERROR(Y437/H437,"0")+IFERROR(Y438/H438,"0")+IFERROR(Y439/H439,"0")+IFERROR(Y440/H440,"0")</f>
        <v>16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0.34799999999999998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240</v>
      </c>
      <c r="Y442" s="43">
        <f>IFERROR(SUM(Y433:Y440),"0")</f>
        <v>240</v>
      </c>
      <c r="Z442" s="42"/>
      <c r="AA442" s="67"/>
      <c r="AB442" s="67"/>
      <c r="AC442" s="67"/>
    </row>
    <row r="443" spans="1:68" ht="14.25" hidden="1" customHeight="1" x14ac:dyDescent="0.25">
      <c r="A443" s="726" t="s">
        <v>157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hidden="1" customHeight="1" x14ac:dyDescent="0.25">
      <c r="A444" s="63" t="s">
        <v>731</v>
      </c>
      <c r="B444" s="63" t="s">
        <v>732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125</v>
      </c>
      <c r="L444" s="37" t="s">
        <v>46</v>
      </c>
      <c r="M444" s="38" t="s">
        <v>124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733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734</v>
      </c>
      <c r="B445" s="63" t="s">
        <v>735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125</v>
      </c>
      <c r="L445" s="37" t="s">
        <v>46</v>
      </c>
      <c r="M445" s="38" t="s">
        <v>124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736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737</v>
      </c>
      <c r="B446" s="63" t="s">
        <v>738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132</v>
      </c>
      <c r="L446" s="37" t="s">
        <v>46</v>
      </c>
      <c r="M446" s="38" t="s">
        <v>124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739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26" t="s">
        <v>84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740</v>
      </c>
      <c r="B450" s="63" t="s">
        <v>741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125</v>
      </c>
      <c r="L450" s="37" t="s">
        <v>46</v>
      </c>
      <c r="M450" s="38" t="s">
        <v>88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742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743</v>
      </c>
      <c r="B451" s="63" t="s">
        <v>744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125</v>
      </c>
      <c r="L451" s="37" t="s">
        <v>46</v>
      </c>
      <c r="M451" s="38" t="s">
        <v>88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745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746</v>
      </c>
      <c r="B452" s="63" t="s">
        <v>747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125</v>
      </c>
      <c r="L452" s="37" t="s">
        <v>46</v>
      </c>
      <c r="M452" s="38" t="s">
        <v>88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748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176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125</v>
      </c>
      <c r="L456" s="37" t="s">
        <v>46</v>
      </c>
      <c r="M456" s="38" t="s">
        <v>88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751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752</v>
      </c>
      <c r="B457" s="63" t="s">
        <v>753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125</v>
      </c>
      <c r="L457" s="37" t="s">
        <v>46</v>
      </c>
      <c r="M457" s="38" t="s">
        <v>88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754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725" t="s">
        <v>755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120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756</v>
      </c>
      <c r="B462" s="63" t="s">
        <v>757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125</v>
      </c>
      <c r="L462" s="37" t="s">
        <v>46</v>
      </c>
      <c r="M462" s="38" t="s">
        <v>79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759</v>
      </c>
      <c r="B463" s="63" t="s">
        <v>760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132</v>
      </c>
      <c r="L463" s="37" t="s">
        <v>46</v>
      </c>
      <c r="M463" s="38" t="s">
        <v>79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758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75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761</v>
      </c>
      <c r="B467" s="63" t="s">
        <v>762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132</v>
      </c>
      <c r="L467" s="37" t="s">
        <v>46</v>
      </c>
      <c r="M467" s="38" t="s">
        <v>79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763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84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764</v>
      </c>
      <c r="B471" s="63" t="s">
        <v>765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125</v>
      </c>
      <c r="L471" s="37" t="s">
        <v>46</v>
      </c>
      <c r="M471" s="38" t="s">
        <v>88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768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89</v>
      </c>
      <c r="L472" s="37" t="s">
        <v>46</v>
      </c>
      <c r="M472" s="38" t="s">
        <v>88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767</v>
      </c>
      <c r="B473" s="63" t="s">
        <v>769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89</v>
      </c>
      <c r="L473" s="37" t="s">
        <v>46</v>
      </c>
      <c r="M473" s="38" t="s">
        <v>88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770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771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772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75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773</v>
      </c>
      <c r="B479" s="63" t="s">
        <v>774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132</v>
      </c>
      <c r="L479" s="37" t="s">
        <v>46</v>
      </c>
      <c r="M479" s="38" t="s">
        <v>79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775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132</v>
      </c>
      <c r="L480" s="37" t="s">
        <v>46</v>
      </c>
      <c r="M480" s="38" t="s">
        <v>79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80</v>
      </c>
      <c r="L481" s="37" t="s">
        <v>46</v>
      </c>
      <c r="M481" s="38" t="s">
        <v>79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775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781</v>
      </c>
      <c r="B482" s="63" t="s">
        <v>782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80</v>
      </c>
      <c r="L482" s="37" t="s">
        <v>46</v>
      </c>
      <c r="M482" s="38" t="s">
        <v>79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783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784</v>
      </c>
      <c r="B483" s="63" t="s">
        <v>785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80</v>
      </c>
      <c r="L483" s="37" t="s">
        <v>46</v>
      </c>
      <c r="M483" s="38" t="s">
        <v>79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786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787</v>
      </c>
      <c r="B484" s="63" t="s">
        <v>788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80</v>
      </c>
      <c r="L484" s="37" t="s">
        <v>46</v>
      </c>
      <c r="M484" s="38" t="s">
        <v>79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783</v>
      </c>
      <c r="AG484" s="78"/>
      <c r="AJ484" s="84" t="s">
        <v>46</v>
      </c>
      <c r="AK484" s="84">
        <v>0</v>
      </c>
      <c r="BB484" s="591" t="s">
        <v>66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84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789</v>
      </c>
      <c r="B488" s="63" t="s">
        <v>790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132</v>
      </c>
      <c r="L488" s="37" t="s">
        <v>46</v>
      </c>
      <c r="M488" s="38" t="s">
        <v>88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791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792</v>
      </c>
      <c r="B489" s="63" t="s">
        <v>793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89</v>
      </c>
      <c r="L489" s="37" t="s">
        <v>46</v>
      </c>
      <c r="M489" s="38" t="s">
        <v>88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794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795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157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796</v>
      </c>
      <c r="B494" s="63" t="s">
        <v>797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89</v>
      </c>
      <c r="L494" s="37" t="s">
        <v>46</v>
      </c>
      <c r="M494" s="38" t="s">
        <v>79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798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75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799</v>
      </c>
      <c r="B498" s="63" t="s">
        <v>800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132</v>
      </c>
      <c r="L498" s="37" t="s">
        <v>46</v>
      </c>
      <c r="M498" s="38" t="s">
        <v>79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801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80</v>
      </c>
      <c r="L499" s="37" t="s">
        <v>46</v>
      </c>
      <c r="M499" s="38" t="s">
        <v>79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80</v>
      </c>
      <c r="L500" s="37" t="s">
        <v>46</v>
      </c>
      <c r="M500" s="38" t="s">
        <v>79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804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807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807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120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808</v>
      </c>
      <c r="B506" s="63" t="s">
        <v>809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125</v>
      </c>
      <c r="L506" s="37" t="s">
        <v>46</v>
      </c>
      <c r="M506" s="38" t="s">
        <v>88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123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810</v>
      </c>
      <c r="B507" s="63" t="s">
        <v>811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125</v>
      </c>
      <c r="L507" s="37" t="s">
        <v>46</v>
      </c>
      <c r="M507" s="38" t="s">
        <v>124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812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813</v>
      </c>
      <c r="B508" s="63" t="s">
        <v>814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125</v>
      </c>
      <c r="L508" s="37" t="s">
        <v>46</v>
      </c>
      <c r="M508" s="38" t="s">
        <v>124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815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816</v>
      </c>
      <c r="B509" s="63" t="s">
        <v>817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125</v>
      </c>
      <c r="L509" s="37" t="s">
        <v>46</v>
      </c>
      <c r="M509" s="38" t="s">
        <v>124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818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819</v>
      </c>
      <c r="B510" s="63" t="s">
        <v>820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125</v>
      </c>
      <c r="L510" s="37" t="s">
        <v>46</v>
      </c>
      <c r="M510" s="38" t="s">
        <v>88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821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125</v>
      </c>
      <c r="L511" s="37" t="s">
        <v>46</v>
      </c>
      <c r="M511" s="38" t="s">
        <v>124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825</v>
      </c>
      <c r="B512" s="63" t="s">
        <v>826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89</v>
      </c>
      <c r="L512" s="37" t="s">
        <v>46</v>
      </c>
      <c r="M512" s="38" t="s">
        <v>88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123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827</v>
      </c>
      <c r="B513" s="63" t="s">
        <v>828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132</v>
      </c>
      <c r="L513" s="37" t="s">
        <v>46</v>
      </c>
      <c r="M513" s="38" t="s">
        <v>88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123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132</v>
      </c>
      <c r="L514" s="37" t="s">
        <v>46</v>
      </c>
      <c r="M514" s="38" t="s">
        <v>124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824</v>
      </c>
      <c r="AG514" s="78"/>
      <c r="AJ514" s="84" t="s">
        <v>46</v>
      </c>
      <c r="AK514" s="84">
        <v>0</v>
      </c>
      <c r="BB514" s="621" t="s">
        <v>66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26" t="s">
        <v>157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831</v>
      </c>
      <c r="B518" s="63" t="s">
        <v>832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125</v>
      </c>
      <c r="L518" s="37" t="s">
        <v>46</v>
      </c>
      <c r="M518" s="38" t="s">
        <v>88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834</v>
      </c>
      <c r="B519" s="63" t="s">
        <v>835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89</v>
      </c>
      <c r="L519" s="37" t="s">
        <v>46</v>
      </c>
      <c r="M519" s="38" t="s">
        <v>124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836</v>
      </c>
      <c r="B520" s="63" t="s">
        <v>837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132</v>
      </c>
      <c r="L520" s="37" t="s">
        <v>46</v>
      </c>
      <c r="M520" s="38" t="s">
        <v>124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833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75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838</v>
      </c>
      <c r="B524" s="63" t="s">
        <v>839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125</v>
      </c>
      <c r="L524" s="37" t="s">
        <v>46</v>
      </c>
      <c r="M524" s="38" t="s">
        <v>124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840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841</v>
      </c>
      <c r="B525" s="63" t="s">
        <v>842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125</v>
      </c>
      <c r="L525" s="37" t="s">
        <v>46</v>
      </c>
      <c r="M525" s="38" t="s">
        <v>79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843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125</v>
      </c>
      <c r="L526" s="37" t="s">
        <v>46</v>
      </c>
      <c r="M526" s="38" t="s">
        <v>79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846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847</v>
      </c>
      <c r="B527" s="63" t="s">
        <v>848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132</v>
      </c>
      <c r="L527" s="37" t="s">
        <v>46</v>
      </c>
      <c r="M527" s="38" t="s">
        <v>124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840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850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132</v>
      </c>
      <c r="L528" s="37" t="s">
        <v>46</v>
      </c>
      <c r="M528" s="38" t="s">
        <v>79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849</v>
      </c>
      <c r="B529" s="63" t="s">
        <v>851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132</v>
      </c>
      <c r="L529" s="37" t="s">
        <v>46</v>
      </c>
      <c r="M529" s="38" t="s">
        <v>79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843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852</v>
      </c>
      <c r="B530" s="63" t="s">
        <v>853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132</v>
      </c>
      <c r="L530" s="37" t="s">
        <v>46</v>
      </c>
      <c r="M530" s="38" t="s">
        <v>79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846</v>
      </c>
      <c r="AG530" s="78"/>
      <c r="AJ530" s="84" t="s">
        <v>46</v>
      </c>
      <c r="AK530" s="84">
        <v>0</v>
      </c>
      <c r="BB530" s="641" t="s">
        <v>66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724" t="s">
        <v>854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854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120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855</v>
      </c>
      <c r="B536" s="63" t="s">
        <v>856</v>
      </c>
      <c r="C536" s="36">
        <v>4301011584</v>
      </c>
      <c r="D536" s="727">
        <v>4640242180564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125</v>
      </c>
      <c r="L536" s="37" t="s">
        <v>46</v>
      </c>
      <c r="M536" s="38" t="s">
        <v>124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857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157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858</v>
      </c>
      <c r="B540" s="63" t="s">
        <v>859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125</v>
      </c>
      <c r="L540" s="37" t="s">
        <v>46</v>
      </c>
      <c r="M540" s="38" t="s">
        <v>88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733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75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860</v>
      </c>
      <c r="B544" s="63" t="s">
        <v>861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132</v>
      </c>
      <c r="L544" s="37" t="s">
        <v>46</v>
      </c>
      <c r="M544" s="38" t="s">
        <v>79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862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84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863</v>
      </c>
      <c r="B548" s="63" t="s">
        <v>864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125</v>
      </c>
      <c r="L548" s="37" t="s">
        <v>46</v>
      </c>
      <c r="M548" s="38" t="s">
        <v>88</v>
      </c>
      <c r="N548" s="38"/>
      <c r="O548" s="37">
        <v>45</v>
      </c>
      <c r="P548" s="101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176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866</v>
      </c>
      <c r="B552" s="63" t="s">
        <v>867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125</v>
      </c>
      <c r="L552" s="37" t="s">
        <v>46</v>
      </c>
      <c r="M552" s="38" t="s">
        <v>88</v>
      </c>
      <c r="N552" s="38"/>
      <c r="O552" s="37">
        <v>40</v>
      </c>
      <c r="P552" s="101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868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869</v>
      </c>
      <c r="B553" s="63" t="s">
        <v>870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125</v>
      </c>
      <c r="L553" s="37" t="s">
        <v>46</v>
      </c>
      <c r="M553" s="38" t="s">
        <v>88</v>
      </c>
      <c r="N553" s="38"/>
      <c r="O553" s="37">
        <v>40</v>
      </c>
      <c r="P553" s="101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871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872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157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873</v>
      </c>
      <c r="B558" s="63" t="s">
        <v>874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125</v>
      </c>
      <c r="L558" s="37" t="s">
        <v>46</v>
      </c>
      <c r="M558" s="38" t="s">
        <v>124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875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240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240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247.52</v>
      </c>
      <c r="Y562" s="43">
        <f>IFERROR(SUM(BN22:BN558),"0")</f>
        <v>247.52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272.52</v>
      </c>
      <c r="Y564" s="43">
        <f>GrossWeightTotalR+PalletQtyTotalR*25</f>
        <v>272.52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16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16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0.34799999999999998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74</v>
      </c>
      <c r="C568" s="85" t="s">
        <v>45</v>
      </c>
      <c r="D568" s="1016" t="s">
        <v>118</v>
      </c>
      <c r="E568" s="1016" t="s">
        <v>118</v>
      </c>
      <c r="F568" s="1016" t="s">
        <v>118</v>
      </c>
      <c r="G568" s="1016" t="s">
        <v>118</v>
      </c>
      <c r="H568" s="1016" t="s">
        <v>118</v>
      </c>
      <c r="I568" s="1016" t="s">
        <v>118</v>
      </c>
      <c r="J568" s="1016" t="s">
        <v>118</v>
      </c>
      <c r="K568" s="1016" t="s">
        <v>350</v>
      </c>
      <c r="L568" s="1016" t="s">
        <v>350</v>
      </c>
      <c r="M568" s="1016" t="s">
        <v>350</v>
      </c>
      <c r="N568" s="1025"/>
      <c r="O568" s="1016" t="s">
        <v>350</v>
      </c>
      <c r="P568" s="1016" t="s">
        <v>350</v>
      </c>
      <c r="Q568" s="1016" t="s">
        <v>350</v>
      </c>
      <c r="R568" s="1016" t="s">
        <v>350</v>
      </c>
      <c r="S568" s="1016" t="s">
        <v>350</v>
      </c>
      <c r="T568" s="1016" t="s">
        <v>350</v>
      </c>
      <c r="U568" s="1016" t="s">
        <v>350</v>
      </c>
      <c r="V568" s="1016" t="s">
        <v>350</v>
      </c>
      <c r="W568" s="1016" t="s">
        <v>705</v>
      </c>
      <c r="X568" s="1016" t="s">
        <v>705</v>
      </c>
      <c r="Y568" s="1016" t="s">
        <v>771</v>
      </c>
      <c r="Z568" s="1016" t="s">
        <v>771</v>
      </c>
      <c r="AA568" s="85" t="s">
        <v>807</v>
      </c>
      <c r="AB568" s="1016" t="s">
        <v>854</v>
      </c>
      <c r="AC568" s="1016" t="s">
        <v>854</v>
      </c>
      <c r="AF568" s="1"/>
    </row>
    <row r="569" spans="1:32" ht="14.25" customHeight="1" thickTop="1" x14ac:dyDescent="0.2">
      <c r="A569" s="1026" t="s">
        <v>10</v>
      </c>
      <c r="B569" s="1016" t="s">
        <v>74</v>
      </c>
      <c r="C569" s="1016" t="s">
        <v>102</v>
      </c>
      <c r="D569" s="1016" t="s">
        <v>119</v>
      </c>
      <c r="E569" s="1016" t="s">
        <v>135</v>
      </c>
      <c r="F569" s="1016" t="s">
        <v>184</v>
      </c>
      <c r="G569" s="1016" t="s">
        <v>207</v>
      </c>
      <c r="H569" s="1016" t="s">
        <v>253</v>
      </c>
      <c r="I569" s="1016" t="s">
        <v>266</v>
      </c>
      <c r="J569" s="1016" t="s">
        <v>118</v>
      </c>
      <c r="K569" s="1016" t="s">
        <v>351</v>
      </c>
      <c r="L569" s="1016" t="s">
        <v>372</v>
      </c>
      <c r="M569" s="1016" t="s">
        <v>446</v>
      </c>
      <c r="N569" s="1"/>
      <c r="O569" s="1016" t="s">
        <v>514</v>
      </c>
      <c r="P569" s="1016" t="s">
        <v>543</v>
      </c>
      <c r="Q569" s="1016" t="s">
        <v>563</v>
      </c>
      <c r="R569" s="1016" t="s">
        <v>572</v>
      </c>
      <c r="S569" s="1016" t="s">
        <v>593</v>
      </c>
      <c r="T569" s="1016" t="s">
        <v>602</v>
      </c>
      <c r="U569" s="1016" t="s">
        <v>688</v>
      </c>
      <c r="V569" s="1016" t="s">
        <v>695</v>
      </c>
      <c r="W569" s="1016" t="s">
        <v>706</v>
      </c>
      <c r="X569" s="1016" t="s">
        <v>755</v>
      </c>
      <c r="Y569" s="1016" t="s">
        <v>772</v>
      </c>
      <c r="Z569" s="1016" t="s">
        <v>795</v>
      </c>
      <c r="AA569" s="1016" t="s">
        <v>807</v>
      </c>
      <c r="AB569" s="1016" t="s">
        <v>854</v>
      </c>
      <c r="AC569" s="1016" t="s">
        <v>872</v>
      </c>
      <c r="AF569" s="1"/>
    </row>
    <row r="570" spans="1:32" ht="13.5" thickBot="1" x14ac:dyDescent="0.25">
      <c r="A570" s="1027"/>
      <c r="B570" s="1016"/>
      <c r="C570" s="1016"/>
      <c r="D570" s="1016"/>
      <c r="E570" s="1016"/>
      <c r="F570" s="1016"/>
      <c r="G570" s="1016"/>
      <c r="H570" s="1016"/>
      <c r="I570" s="1016"/>
      <c r="J570" s="1016"/>
      <c r="K570" s="1016"/>
      <c r="L570" s="1016"/>
      <c r="M570" s="1016"/>
      <c r="N570" s="1"/>
      <c r="O570" s="1016"/>
      <c r="P570" s="1016"/>
      <c r="Q570" s="1016"/>
      <c r="R570" s="1016"/>
      <c r="S570" s="1016"/>
      <c r="T570" s="1016"/>
      <c r="U570" s="1016"/>
      <c r="V570" s="1016"/>
      <c r="W570" s="1016"/>
      <c r="X570" s="1016"/>
      <c r="Y570" s="1016"/>
      <c r="Z570" s="1016"/>
      <c r="AA570" s="1016"/>
      <c r="AB570" s="1016"/>
      <c r="AC570" s="101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240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6,00"/>
        <filter val="240,00"/>
        <filter val="247,52"/>
        <filter val="272,52"/>
      </filters>
    </filterColumn>
    <filterColumn colId="29" showButton="0"/>
    <filterColumn colId="30" showButton="0"/>
  </autoFilter>
  <dataConsolidate/>
  <mergeCells count="1007"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2" spans="2:8" x14ac:dyDescent="0.2">
      <c r="B12" s="53" t="s">
        <v>897</v>
      </c>
      <c r="C12" s="53" t="s">
        <v>898</v>
      </c>
      <c r="D12" s="53" t="s">
        <v>899</v>
      </c>
      <c r="E12" s="53" t="s">
        <v>46</v>
      </c>
    </row>
    <row r="13" spans="2:8" x14ac:dyDescent="0.2">
      <c r="B13" s="53" t="s">
        <v>900</v>
      </c>
      <c r="C13" s="53" t="s">
        <v>901</v>
      </c>
      <c r="D13" s="53" t="s">
        <v>125</v>
      </c>
      <c r="E13" s="53" t="s">
        <v>46</v>
      </c>
    </row>
    <row r="15" spans="2:8" x14ac:dyDescent="0.2">
      <c r="B15" s="53" t="s">
        <v>902</v>
      </c>
      <c r="C15" s="53" t="s">
        <v>880</v>
      </c>
      <c r="D15" s="53" t="s">
        <v>46</v>
      </c>
      <c r="E15" s="53" t="s">
        <v>46</v>
      </c>
    </row>
    <row r="17" spans="2:5" x14ac:dyDescent="0.2">
      <c r="B17" s="53" t="s">
        <v>903</v>
      </c>
      <c r="C17" s="53" t="s">
        <v>883</v>
      </c>
      <c r="D17" s="53" t="s">
        <v>46</v>
      </c>
      <c r="E17" s="53" t="s">
        <v>46</v>
      </c>
    </row>
    <row r="19" spans="2:5" x14ac:dyDescent="0.2">
      <c r="B19" s="53" t="s">
        <v>904</v>
      </c>
      <c r="C19" s="53" t="s">
        <v>886</v>
      </c>
      <c r="D19" s="53" t="s">
        <v>46</v>
      </c>
      <c r="E19" s="53" t="s">
        <v>46</v>
      </c>
    </row>
    <row r="21" spans="2:5" x14ac:dyDescent="0.2">
      <c r="B21" s="53" t="s">
        <v>905</v>
      </c>
      <c r="C21" s="53" t="s">
        <v>889</v>
      </c>
      <c r="D21" s="53" t="s">
        <v>46</v>
      </c>
      <c r="E21" s="53" t="s">
        <v>46</v>
      </c>
    </row>
    <row r="23" spans="2:5" x14ac:dyDescent="0.2">
      <c r="B23" s="53" t="s">
        <v>906</v>
      </c>
      <c r="C23" s="53" t="s">
        <v>892</v>
      </c>
      <c r="D23" s="53" t="s">
        <v>46</v>
      </c>
      <c r="E23" s="53" t="s">
        <v>46</v>
      </c>
    </row>
    <row r="25" spans="2:5" x14ac:dyDescent="0.2">
      <c r="B25" s="53" t="s">
        <v>907</v>
      </c>
      <c r="C25" s="53" t="s">
        <v>895</v>
      </c>
      <c r="D25" s="53" t="s">
        <v>46</v>
      </c>
      <c r="E25" s="53" t="s">
        <v>46</v>
      </c>
    </row>
    <row r="27" spans="2:5" x14ac:dyDescent="0.2">
      <c r="B27" s="53" t="s">
        <v>908</v>
      </c>
      <c r="C27" s="53" t="s">
        <v>898</v>
      </c>
      <c r="D27" s="53" t="s">
        <v>46</v>
      </c>
      <c r="E27" s="53" t="s">
        <v>46</v>
      </c>
    </row>
    <row r="29" spans="2:5" x14ac:dyDescent="0.2">
      <c r="B29" s="53" t="s">
        <v>909</v>
      </c>
      <c r="C29" s="53" t="s">
        <v>901</v>
      </c>
      <c r="D29" s="53" t="s">
        <v>46</v>
      </c>
      <c r="E29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917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918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919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920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2026-09-29T12:55:29Z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