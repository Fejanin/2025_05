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1C17A44-9989-4471-83C9-D7CE890CB8C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Z465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Y413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H9" i="2" s="1"/>
  <c r="D7" i="2"/>
  <c r="Q6" i="2"/>
  <c r="P2" i="2"/>
  <c r="BP184" i="2" l="1"/>
  <c r="Z185" i="2"/>
  <c r="BN185" i="2"/>
  <c r="Z233" i="2"/>
  <c r="BN233" i="2"/>
  <c r="Z439" i="2"/>
  <c r="BP40" i="2"/>
  <c r="Z86" i="2"/>
  <c r="BN86" i="2"/>
  <c r="Z93" i="2"/>
  <c r="Z267" i="2"/>
  <c r="BN267" i="2"/>
  <c r="Z397" i="2"/>
  <c r="Z411" i="2"/>
  <c r="Z449" i="2"/>
  <c r="Y61" i="2"/>
  <c r="Y400" i="2"/>
  <c r="Z27" i="2"/>
  <c r="Z64" i="2"/>
  <c r="Z104" i="2"/>
  <c r="Y137" i="2"/>
  <c r="BP161" i="2"/>
  <c r="Z191" i="2"/>
  <c r="BN191" i="2"/>
  <c r="Z195" i="2"/>
  <c r="BN195" i="2"/>
  <c r="Z205" i="2"/>
  <c r="Z206" i="2" s="1"/>
  <c r="Y227" i="2"/>
  <c r="Z230" i="2"/>
  <c r="Z250" i="2"/>
  <c r="BN250" i="2"/>
  <c r="Z297" i="2"/>
  <c r="BN297" i="2"/>
  <c r="Z396" i="2"/>
  <c r="Z405" i="2"/>
  <c r="BN405" i="2"/>
  <c r="Z429" i="2"/>
  <c r="BN429" i="2"/>
  <c r="Z441" i="2"/>
  <c r="BN441" i="2"/>
  <c r="Z455" i="2"/>
  <c r="Y468" i="2"/>
  <c r="Z466" i="2"/>
  <c r="Z467" i="2" s="1"/>
  <c r="BN466" i="2"/>
  <c r="BP539" i="2"/>
  <c r="BP29" i="2"/>
  <c r="BN29" i="2"/>
  <c r="Z29" i="2"/>
  <c r="BN39" i="2"/>
  <c r="Z39" i="2"/>
  <c r="BN77" i="2"/>
  <c r="Z77" i="2"/>
  <c r="BN99" i="2"/>
  <c r="BN105" i="2"/>
  <c r="Z105" i="2"/>
  <c r="BN107" i="2"/>
  <c r="BN115" i="2"/>
  <c r="BN127" i="2"/>
  <c r="Z127" i="2"/>
  <c r="BN160" i="2"/>
  <c r="BN231" i="2"/>
  <c r="BN234" i="2"/>
  <c r="BN287" i="2"/>
  <c r="BN314" i="2"/>
  <c r="BP41" i="2"/>
  <c r="BN41" i="2"/>
  <c r="Z41" i="2"/>
  <c r="BN60" i="2"/>
  <c r="Z60" i="2"/>
  <c r="BP77" i="2"/>
  <c r="BP78" i="2"/>
  <c r="BN78" i="2"/>
  <c r="Z78" i="2"/>
  <c r="BP85" i="2"/>
  <c r="Z85" i="2"/>
  <c r="BP95" i="2"/>
  <c r="BN95" i="2"/>
  <c r="Z95" i="2"/>
  <c r="BP105" i="2"/>
  <c r="BN106" i="2"/>
  <c r="Z106" i="2"/>
  <c r="BN123" i="2"/>
  <c r="BP124" i="2"/>
  <c r="Z124" i="2"/>
  <c r="BN128" i="2"/>
  <c r="BN190" i="2"/>
  <c r="Z190" i="2"/>
  <c r="Y202" i="2"/>
  <c r="BN215" i="2"/>
  <c r="BN249" i="2"/>
  <c r="BN256" i="2"/>
  <c r="BP277" i="2"/>
  <c r="BN277" i="2"/>
  <c r="Z277" i="2"/>
  <c r="BN282" i="2"/>
  <c r="BN293" i="2"/>
  <c r="BN298" i="2"/>
  <c r="BP298" i="2"/>
  <c r="BP326" i="2"/>
  <c r="BN326" i="2"/>
  <c r="BN343" i="2"/>
  <c r="BN352" i="2"/>
  <c r="BN389" i="2"/>
  <c r="BP409" i="2"/>
  <c r="Y412" i="2"/>
  <c r="BN422" i="2"/>
  <c r="BN430" i="2"/>
  <c r="BN442" i="2"/>
  <c r="BN492" i="2"/>
  <c r="BN510" i="2"/>
  <c r="BN515" i="2"/>
  <c r="BN530" i="2"/>
  <c r="BN556" i="2"/>
  <c r="B574" i="2"/>
  <c r="BN23" i="2"/>
  <c r="BN30" i="2"/>
  <c r="BN80" i="2"/>
  <c r="BP93" i="2"/>
  <c r="BN119" i="2"/>
  <c r="BN145" i="2"/>
  <c r="BN201" i="2"/>
  <c r="BN226" i="2"/>
  <c r="BN236" i="2"/>
  <c r="Y258" i="2"/>
  <c r="BN278" i="2"/>
  <c r="BN283" i="2"/>
  <c r="BN289" i="2"/>
  <c r="BN303" i="2"/>
  <c r="BN310" i="2"/>
  <c r="BN318" i="2"/>
  <c r="BN336" i="2"/>
  <c r="BN351" i="2"/>
  <c r="Y367" i="2"/>
  <c r="BN372" i="2"/>
  <c r="Z373" i="2"/>
  <c r="BN379" i="2"/>
  <c r="Z383" i="2"/>
  <c r="BN383" i="2"/>
  <c r="BP396" i="2"/>
  <c r="Z403" i="2"/>
  <c r="Z409" i="2"/>
  <c r="BP410" i="2"/>
  <c r="BN415" i="2"/>
  <c r="Z454" i="2"/>
  <c r="BP455" i="2"/>
  <c r="BP465" i="2"/>
  <c r="Y493" i="2"/>
  <c r="Z497" i="2"/>
  <c r="Z498" i="2" s="1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BP448" i="2"/>
  <c r="BN448" i="2"/>
  <c r="BP49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100" i="2" l="1"/>
  <c r="Z273" i="2"/>
  <c r="Z74" i="2"/>
  <c r="X567" i="2"/>
  <c r="Z456" i="2"/>
  <c r="Z399" i="2"/>
  <c r="Z32" i="2"/>
  <c r="Z81" i="2"/>
  <c r="Z268" i="2"/>
  <c r="Z450" i="2"/>
  <c r="Z366" i="2"/>
  <c r="Z461" i="2"/>
  <c r="Z524" i="2"/>
  <c r="Z412" i="2"/>
  <c r="Z258" i="2"/>
  <c r="Z90" i="2"/>
  <c r="Z406" i="2"/>
  <c r="Z329" i="2"/>
  <c r="Z112" i="2"/>
  <c r="Z244" i="2"/>
  <c r="Z504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<sst xmlns="http://schemas.openxmlformats.org/spreadsheetml/2006/main" count="4374" uniqueCount="915">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</sst>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="96" zoomScaleNormal="96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914</v>
      </c>
      <c r="I5" s="1013"/>
      <c r="J5" s="1013"/>
      <c r="K5" s="1013"/>
      <c r="L5" s="1013"/>
      <c r="M5" s="1013"/>
      <c r="N5" s="72"/>
      <c r="P5" s="27" t="s">
        <v>4</v>
      </c>
      <c r="Q5" s="1015">
        <v>46274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Среда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0.5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50</v>
      </c>
      <c r="Y47" s="55">
        <f>IFERROR(IF(X47="",0,CEILING((X47/$H47),1)*$H47),"")</f>
        <v>54</v>
      </c>
      <c r="Z47" s="41">
        <f>IFERROR(IF(Y47=0,"",ROUNDUP(Y47/H47,0)*0.01898),"")</f>
        <v>9.4899999999999998E-2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51.898148148148145</v>
      </c>
      <c r="BN47" s="78">
        <f>IFERROR(Y47*I47/H47,"0")</f>
        <v>56.05</v>
      </c>
      <c r="BO47" s="78">
        <f>IFERROR(1/J47*(X47/H47),"0")</f>
        <v>7.2337962962962965E-2</v>
      </c>
      <c r="BP47" s="78">
        <f>IFERROR(1/J47*(Y47/H47),"0")</f>
        <v>7.8125E-2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16</v>
      </c>
      <c r="Y49" s="55">
        <f>IFERROR(IF(X49="",0,CEILING((X49/$H49),1)*$H49),"")</f>
        <v>16</v>
      </c>
      <c r="Z49" s="41">
        <f>IFERROR(IF(Y49=0,"",ROUNDUP(Y49/H49,0)*0.00902),"")</f>
        <v>3.6080000000000001E-2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16.760000000000002</v>
      </c>
      <c r="BN49" s="78">
        <f>IFERROR(Y49*I49/H49,"0")</f>
        <v>16.760000000000002</v>
      </c>
      <c r="BO49" s="78">
        <f>IFERROR(1/J49*(X49/H49),"0")</f>
        <v>3.0303030303030304E-2</v>
      </c>
      <c r="BP49" s="78">
        <f>IFERROR(1/J49*(Y49/H49),"0")</f>
        <v>3.0303030303030304E-2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8.6296296296296298</v>
      </c>
      <c r="Y51" s="43">
        <f>IFERROR(Y47/H47,"0")+IFERROR(Y48/H48,"0")+IFERROR(Y49/H49,"0")+IFERROR(Y50/H50,"0")</f>
        <v>9</v>
      </c>
      <c r="Z51" s="43">
        <f>IFERROR(IF(Z47="",0,Z47),"0")+IFERROR(IF(Z48="",0,Z48),"0")+IFERROR(IF(Z49="",0,Z49),"0")+IFERROR(IF(Z50="",0,Z50),"0")</f>
        <v>0.13097999999999999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66</v>
      </c>
      <c r="Y52" s="43">
        <f>IFERROR(SUM(Y47:Y50),"0")</f>
        <v>70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22.5</v>
      </c>
      <c r="Y60" s="55">
        <f t="shared" si="0"/>
        <v>22.5</v>
      </c>
      <c r="Z60" s="41">
        <f>IFERROR(IF(Y60=0,"",ROUNDUP(Y60/H60,0)*0.00902),"")</f>
        <v>4.5100000000000001E-2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23.450000000000003</v>
      </c>
      <c r="BN60" s="78">
        <f t="shared" si="2"/>
        <v>23.450000000000003</v>
      </c>
      <c r="BO60" s="78">
        <f t="shared" si="3"/>
        <v>3.787878787878788E-2</v>
      </c>
      <c r="BP60" s="78">
        <f t="shared" si="4"/>
        <v>3.787878787878788E-2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5</v>
      </c>
      <c r="Y61" s="43">
        <f>IFERROR(Y55/H55,"0")+IFERROR(Y56/H56,"0")+IFERROR(Y57/H57,"0")+IFERROR(Y58/H58,"0")+IFERROR(Y59/H59,"0")+IFERROR(Y60/H60,"0")</f>
        <v>5</v>
      </c>
      <c r="Z61" s="43">
        <f>IFERROR(IF(Z55="",0,Z55),"0")+IFERROR(IF(Z56="",0,Z56),"0")+IFERROR(IF(Z57="",0,Z57),"0")+IFERROR(IF(Z58="",0,Z58),"0")+IFERROR(IF(Z59="",0,Z59),"0")+IFERROR(IF(Z60="",0,Z60),"0")</f>
        <v>4.5100000000000001E-2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22.5</v>
      </c>
      <c r="Y62" s="43">
        <f>IFERROR(SUM(Y55:Y60),"0")</f>
        <v>22.5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70</v>
      </c>
      <c r="Y64" s="55">
        <f>IFERROR(IF(X64="",0,CEILING((X64/$H64),1)*$H64),"")</f>
        <v>75.600000000000009</v>
      </c>
      <c r="Z64" s="41">
        <f>IFERROR(IF(Y64=0,"",ROUNDUP(Y64/H64,0)*0.01898),"")</f>
        <v>0.13286000000000001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72.657407407407405</v>
      </c>
      <c r="BN64" s="78">
        <f>IFERROR(Y64*I64/H64,"0")</f>
        <v>78.47</v>
      </c>
      <c r="BO64" s="78">
        <f>IFERROR(1/J64*(X64/H64),"0")</f>
        <v>0.10127314814814814</v>
      </c>
      <c r="BP64" s="78">
        <f>IFERROR(1/J64*(Y64/H64),"0")</f>
        <v>0.109375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27</v>
      </c>
      <c r="Y67" s="55">
        <f>IFERROR(IF(X67="",0,CEILING((X67/$H67),1)*$H67),"")</f>
        <v>27</v>
      </c>
      <c r="Z67" s="41">
        <f>IFERROR(IF(Y67=0,"",ROUNDUP(Y67/H67,0)*0.00651),"")</f>
        <v>6.5100000000000005E-2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28.799999999999994</v>
      </c>
      <c r="BN67" s="78">
        <f>IFERROR(Y67*I67/H67,"0")</f>
        <v>28.799999999999994</v>
      </c>
      <c r="BO67" s="78">
        <f>IFERROR(1/J67*(X67/H67),"0")</f>
        <v>5.4945054945054951E-2</v>
      </c>
      <c r="BP67" s="78">
        <f>IFERROR(1/J67*(Y67/H67),"0")</f>
        <v>5.4945054945054951E-2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16.481481481481481</v>
      </c>
      <c r="Y68" s="43">
        <f>IFERROR(Y64/H64,"0")+IFERROR(Y65/H65,"0")+IFERROR(Y66/H66,"0")+IFERROR(Y67/H67,"0")</f>
        <v>17</v>
      </c>
      <c r="Z68" s="43">
        <f>IFERROR(IF(Z64="",0,Z64),"0")+IFERROR(IF(Z65="",0,Z65),"0")+IFERROR(IF(Z66="",0,Z66),"0")+IFERROR(IF(Z67="",0,Z67),"0")</f>
        <v>0.19796000000000002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97</v>
      </c>
      <c r="Y69" s="43">
        <f>IFERROR(SUM(Y64:Y67),"0")</f>
        <v>102.60000000000001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50</v>
      </c>
      <c r="Y93" s="55">
        <f t="shared" ref="Y93:Y99" si="5">IFERROR(IF(X93="",0,CEILING((X93/$H93),1)*$H93),"")</f>
        <v>56.699999999999996</v>
      </c>
      <c r="Z93" s="41">
        <f>IFERROR(IF(Y93=0,"",ROUNDUP(Y93/H93,0)*0.01898),"")</f>
        <v>0.13286000000000001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53.049382716049386</v>
      </c>
      <c r="BN93" s="78">
        <f t="shared" ref="BN93:BN99" si="7">IFERROR(Y93*I93/H93,"0")</f>
        <v>60.157999999999994</v>
      </c>
      <c r="BO93" s="78">
        <f t="shared" ref="BO93:BO99" si="8">IFERROR(1/J93*(X93/H93),"0")</f>
        <v>9.6450617283950615E-2</v>
      </c>
      <c r="BP93" s="78">
        <f t="shared" ref="BP93:BP99" si="9">IFERROR(1/J93*(Y93/H93),"0")</f>
        <v>0.109375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10.8</v>
      </c>
      <c r="Y97" s="55">
        <f t="shared" si="5"/>
        <v>10.8</v>
      </c>
      <c r="Z97" s="41">
        <f>IFERROR(IF(Y97=0,"",ROUNDUP(Y97/H97,0)*0.00651),"")</f>
        <v>2.6040000000000001E-2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11.808</v>
      </c>
      <c r="BN97" s="78">
        <f t="shared" si="7"/>
        <v>11.808</v>
      </c>
      <c r="BO97" s="78">
        <f t="shared" si="8"/>
        <v>2.197802197802198E-2</v>
      </c>
      <c r="BP97" s="78">
        <f t="shared" si="9"/>
        <v>2.197802197802198E-2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10.172839506172838</v>
      </c>
      <c r="Y100" s="43">
        <f>IFERROR(Y93/H93,"0")+IFERROR(Y94/H94,"0")+IFERROR(Y95/H95,"0")+IFERROR(Y96/H96,"0")+IFERROR(Y97/H97,"0")+IFERROR(Y98/H98,"0")+IFERROR(Y99/H99,"0")</f>
        <v>11</v>
      </c>
      <c r="Z100" s="43">
        <f>IFERROR(IF(Z93="",0,Z93),"0")+IFERROR(IF(Z94="",0,Z94),"0")+IFERROR(IF(Z95="",0,Z95),"0")+IFERROR(IF(Z96="",0,Z96),"0")+IFERROR(IF(Z97="",0,Z97),"0")+IFERROR(IF(Z98="",0,Z98),"0")+IFERROR(IF(Z99="",0,Z99),"0")</f>
        <v>0.15890000000000001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60.8</v>
      </c>
      <c r="Y101" s="43">
        <f>IFERROR(SUM(Y93:Y99),"0")</f>
        <v>67.5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10</v>
      </c>
      <c r="Y104" s="55">
        <f t="shared" ref="Y104:Y111" si="10">IFERROR(IF(X104="",0,CEILING((X104/$H104),1)*$H104),"")</f>
        <v>10.8</v>
      </c>
      <c r="Z104" s="41">
        <f>IFERROR(IF(Y104=0,"",ROUNDUP(Y104/H104,0)*0.01898),"")</f>
        <v>1.898E-2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10.37962962962963</v>
      </c>
      <c r="BN104" s="78">
        <f t="shared" ref="BN104:BN111" si="12">IFERROR(Y104*I104/H104,"0")</f>
        <v>11.21</v>
      </c>
      <c r="BO104" s="78">
        <f t="shared" ref="BO104:BO111" si="13">IFERROR(1/J104*(X104/H104),"0")</f>
        <v>1.4467592592592591E-2</v>
      </c>
      <c r="BP104" s="78">
        <f t="shared" ref="BP104:BP111" si="14">IFERROR(1/J104*(Y104/H104),"0")</f>
        <v>1.5625E-2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7.5</v>
      </c>
      <c r="Y108" s="55">
        <f t="shared" si="10"/>
        <v>7.5</v>
      </c>
      <c r="Z108" s="41">
        <f>IFERROR(IF(Y108=0,"",ROUNDUP(Y108/H108,0)*0.00902),"")</f>
        <v>1.804E-2</v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7.88</v>
      </c>
      <c r="BN108" s="78">
        <f t="shared" si="12"/>
        <v>7.88</v>
      </c>
      <c r="BO108" s="78">
        <f t="shared" si="13"/>
        <v>1.5151515151515152E-2</v>
      </c>
      <c r="BP108" s="78">
        <f t="shared" si="14"/>
        <v>1.5151515151515152E-2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2.9259259259259256</v>
      </c>
      <c r="Y112" s="43">
        <f>IFERROR(Y104/H104,"0")+IFERROR(Y105/H105,"0")+IFERROR(Y106/H106,"0")+IFERROR(Y107/H107,"0")+IFERROR(Y108/H108,"0")+IFERROR(Y109/H109,"0")+IFERROR(Y110/H110,"0")+IFERROR(Y111/H111,"0")</f>
        <v>3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3.7019999999999997E-2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17.5</v>
      </c>
      <c r="Y113" s="43">
        <f>IFERROR(SUM(Y104:Y111),"0")</f>
        <v>18.3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50</v>
      </c>
      <c r="Y123" s="55">
        <f t="shared" ref="Y123:Y130" si="15">IFERROR(IF(X123="",0,CEILING((X123/$H123),1)*$H123),"")</f>
        <v>56.699999999999996</v>
      </c>
      <c r="Z123" s="41">
        <f>IFERROR(IF(Y123=0,"",ROUNDUP(Y123/H123,0)*0.01898),"")</f>
        <v>0.13286000000000001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53.012345679012348</v>
      </c>
      <c r="BN123" s="78">
        <f t="shared" ref="BN123:BN130" si="17">IFERROR(Y123*I123/H123,"0")</f>
        <v>60.115999999999993</v>
      </c>
      <c r="BO123" s="78">
        <f t="shared" ref="BO123:BO130" si="18">IFERROR(1/J123*(X123/H123),"0")</f>
        <v>9.6450617283950615E-2</v>
      </c>
      <c r="BP123" s="78">
        <f t="shared" ref="BP123:BP130" si="19">IFERROR(1/J123*(Y123/H123),"0")</f>
        <v>0.109375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21.6</v>
      </c>
      <c r="Y127" s="55">
        <f t="shared" si="15"/>
        <v>21.6</v>
      </c>
      <c r="Z127" s="41">
        <f t="shared" si="20"/>
        <v>5.2080000000000001E-2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23.616</v>
      </c>
      <c r="BN127" s="78">
        <f t="shared" si="17"/>
        <v>23.616</v>
      </c>
      <c r="BO127" s="78">
        <f t="shared" si="18"/>
        <v>4.3956043956043959E-2</v>
      </c>
      <c r="BP127" s="78">
        <f t="shared" si="19"/>
        <v>4.3956043956043959E-2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14.172839506172838</v>
      </c>
      <c r="Y131" s="43">
        <f>IFERROR(Y123/H123,"0")+IFERROR(Y124/H124,"0")+IFERROR(Y125/H125,"0")+IFERROR(Y126/H126,"0")+IFERROR(Y127/H127,"0")+IFERROR(Y128/H128,"0")+IFERROR(Y129/H129,"0")+IFERROR(Y130/H130,"0")</f>
        <v>15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0.18493999999999999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71.599999999999994</v>
      </c>
      <c r="Y132" s="43">
        <f>IFERROR(SUM(Y123:Y130),"0")</f>
        <v>78.3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3.2</v>
      </c>
      <c r="Y140" s="55">
        <f>IFERROR(IF(X140="",0,CEILING((X140/$H140),1)*$H140),"")</f>
        <v>3.2</v>
      </c>
      <c r="Z140" s="41">
        <f>IFERROR(IF(Y140=0,"",ROUNDUP(Y140/H140,0)*0.00651),"")</f>
        <v>6.5100000000000002E-3</v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3.38</v>
      </c>
      <c r="BN140" s="78">
        <f>IFERROR(Y140*I140/H140,"0")</f>
        <v>3.38</v>
      </c>
      <c r="BO140" s="78">
        <f>IFERROR(1/J140*(X140/H140),"0")</f>
        <v>5.4945054945054949E-3</v>
      </c>
      <c r="BP140" s="78">
        <f>IFERROR(1/J140*(Y140/H140),"0")</f>
        <v>5.4945054945054949E-3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1</v>
      </c>
      <c r="Y142" s="43">
        <f>IFERROR(Y140/H140,"0")+IFERROR(Y141/H141,"0")</f>
        <v>1</v>
      </c>
      <c r="Z142" s="43">
        <f>IFERROR(IF(Z140="",0,Z140),"0")+IFERROR(IF(Z141="",0,Z141),"0")</f>
        <v>6.5100000000000002E-3</v>
      </c>
      <c r="AA142" s="67"/>
      <c r="AB142" s="67"/>
      <c r="AC142" s="67"/>
    </row>
    <row r="143" spans="1:68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3.2</v>
      </c>
      <c r="Y143" s="43">
        <f>IFERROR(SUM(Y140:Y141),"0")</f>
        <v>3.2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19.2</v>
      </c>
      <c r="Y290" s="55">
        <f t="shared" si="50"/>
        <v>19.2</v>
      </c>
      <c r="Z290" s="41">
        <f>IFERROR(IF(Y290=0,"",ROUNDUP(Y290/H290,0)*0.00651),"")</f>
        <v>5.2080000000000001E-2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21.36</v>
      </c>
      <c r="BN290" s="78">
        <f t="shared" si="52"/>
        <v>21.36</v>
      </c>
      <c r="BO290" s="78">
        <f t="shared" si="53"/>
        <v>4.3956043956043959E-2</v>
      </c>
      <c r="BP290" s="78">
        <f t="shared" si="54"/>
        <v>4.3956043956043959E-2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8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8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5.2080000000000001E-2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19.2</v>
      </c>
      <c r="Y300" s="43">
        <f>IFERROR(SUM(Y287:Y298),"0")</f>
        <v>19.2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20</v>
      </c>
      <c r="Y333" s="55">
        <f>IFERROR(IF(X333="",0,CEILING((X333/$H333),1)*$H333),"")</f>
        <v>21.6</v>
      </c>
      <c r="Z333" s="41">
        <f>IFERROR(IF(Y333=0,"",ROUNDUP(Y333/H333,0)*0.01898),"")</f>
        <v>3.7960000000000001E-2</v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20.75925925925926</v>
      </c>
      <c r="BN333" s="78">
        <f>IFERROR(Y333*I333/H333,"0")</f>
        <v>22.42</v>
      </c>
      <c r="BO333" s="78">
        <f>IFERROR(1/J333*(X333/H333),"0")</f>
        <v>2.8935185185185182E-2</v>
      </c>
      <c r="BP333" s="78">
        <f>IFERROR(1/J333*(Y333/H333),"0")</f>
        <v>3.125E-2</v>
      </c>
    </row>
    <row r="334" spans="1:68" ht="37.5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20</v>
      </c>
      <c r="Y334" s="55">
        <f>IFERROR(IF(X334="",0,CEILING((X334/$H334),1)*$H334),"")</f>
        <v>21.6</v>
      </c>
      <c r="Z334" s="41">
        <f>IFERROR(IF(Y334=0,"",ROUNDUP(Y334/H334,0)*0.01898),"")</f>
        <v>3.7960000000000001E-2</v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20.75925925925926</v>
      </c>
      <c r="BN334" s="78">
        <f>IFERROR(Y334*I334/H334,"0")</f>
        <v>22.42</v>
      </c>
      <c r="BO334" s="78">
        <f>IFERROR(1/J334*(X334/H334),"0")</f>
        <v>2.8935185185185182E-2</v>
      </c>
      <c r="BP334" s="78">
        <f>IFERROR(1/J334*(Y334/H334),"0")</f>
        <v>3.125E-2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50</v>
      </c>
      <c r="Y335" s="55">
        <f>IFERROR(IF(X335="",0,CEILING((X335/$H335),1)*$H335),"")</f>
        <v>54</v>
      </c>
      <c r="Z335" s="41">
        <f>IFERROR(IF(Y335=0,"",ROUNDUP(Y335/H335,0)*0.01898),"")</f>
        <v>9.4899999999999998E-2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51.898148148148145</v>
      </c>
      <c r="BN335" s="78">
        <f>IFERROR(Y335*I335/H335,"0")</f>
        <v>56.05</v>
      </c>
      <c r="BO335" s="78">
        <f>IFERROR(1/J335*(X335/H335),"0")</f>
        <v>7.2337962962962965E-2</v>
      </c>
      <c r="BP335" s="78">
        <f>IFERROR(1/J335*(Y335/H335),"0")</f>
        <v>7.8125E-2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8</v>
      </c>
      <c r="Y336" s="55">
        <f>IFERROR(IF(X336="",0,CEILING((X336/$H336),1)*$H336),"")</f>
        <v>8</v>
      </c>
      <c r="Z336" s="41">
        <f>IFERROR(IF(Y336=0,"",ROUNDUP(Y336/H336,0)*0.00902),"")</f>
        <v>1.804E-2</v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8.3800000000000008</v>
      </c>
      <c r="BN336" s="78">
        <f>IFERROR(Y336*I336/H336,"0")</f>
        <v>8.3800000000000008</v>
      </c>
      <c r="BO336" s="78">
        <f>IFERROR(1/J336*(X336/H336),"0")</f>
        <v>1.5151515151515152E-2</v>
      </c>
      <c r="BP336" s="78">
        <f>IFERROR(1/J336*(Y336/H336),"0")</f>
        <v>1.5151515151515152E-2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12</v>
      </c>
      <c r="Y337" s="55">
        <f>IFERROR(IF(X337="",0,CEILING((X337/$H337),1)*$H337),"")</f>
        <v>12</v>
      </c>
      <c r="Z337" s="41">
        <f>IFERROR(IF(Y337=0,"",ROUNDUP(Y337/H337,0)*0.00902),"")</f>
        <v>2.7060000000000001E-2</v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12.57</v>
      </c>
      <c r="BN337" s="78">
        <f>IFERROR(Y337*I337/H337,"0")</f>
        <v>12.57</v>
      </c>
      <c r="BO337" s="78">
        <f>IFERROR(1/J337*(X337/H337),"0")</f>
        <v>2.2727272727272728E-2</v>
      </c>
      <c r="BP337" s="78">
        <f>IFERROR(1/J337*(Y337/H337),"0")</f>
        <v>2.2727272727272728E-2</v>
      </c>
    </row>
    <row r="338" spans="1:68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13.333333333333332</v>
      </c>
      <c r="Y338" s="43">
        <f>IFERROR(Y333/H333,"0")+IFERROR(Y334/H334,"0")+IFERROR(Y335/H335,"0")+IFERROR(Y336/H336,"0")+IFERROR(Y337/H337,"0")</f>
        <v>14</v>
      </c>
      <c r="Z338" s="43">
        <f>IFERROR(IF(Z333="",0,Z333),"0")+IFERROR(IF(Z334="",0,Z334),"0")+IFERROR(IF(Z335="",0,Z335),"0")+IFERROR(IF(Z336="",0,Z336),"0")+IFERROR(IF(Z337="",0,Z337),"0")</f>
        <v>0.21592</v>
      </c>
      <c r="AA338" s="67"/>
      <c r="AB338" s="67"/>
      <c r="AC338" s="67"/>
    </row>
    <row r="339" spans="1:68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110</v>
      </c>
      <c r="Y339" s="43">
        <f>IFERROR(SUM(Y333:Y337),"0")</f>
        <v>117.2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50</v>
      </c>
      <c r="Y371" s="55">
        <f t="shared" si="60"/>
        <v>54</v>
      </c>
      <c r="Z371" s="41">
        <f>IFERROR(IF(Y371=0,"",ROUNDUP(Y371/H371,0)*0.01898),"")</f>
        <v>9.4899999999999998E-2</v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51.898148148148145</v>
      </c>
      <c r="BN371" s="78">
        <f t="shared" si="62"/>
        <v>56.05</v>
      </c>
      <c r="BO371" s="78">
        <f t="shared" si="63"/>
        <v>7.2337962962962965E-2</v>
      </c>
      <c r="BP371" s="78">
        <f t="shared" si="64"/>
        <v>7.8125E-2</v>
      </c>
    </row>
    <row r="372" spans="1:68" ht="37.5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30</v>
      </c>
      <c r="Y372" s="55">
        <f t="shared" si="60"/>
        <v>32.400000000000006</v>
      </c>
      <c r="Z372" s="41">
        <f>IFERROR(IF(Y372=0,"",ROUNDUP(Y372/H372,0)*0.01898),"")</f>
        <v>5.6940000000000004E-2</v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31.138888888888889</v>
      </c>
      <c r="BN372" s="78">
        <f t="shared" si="62"/>
        <v>33.630000000000003</v>
      </c>
      <c r="BO372" s="78">
        <f t="shared" si="63"/>
        <v>4.3402777777777776E-2</v>
      </c>
      <c r="BP372" s="78">
        <f t="shared" si="64"/>
        <v>4.6875000000000007E-2</v>
      </c>
    </row>
    <row r="373" spans="1:68" ht="27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180</v>
      </c>
      <c r="Y373" s="55">
        <f t="shared" si="60"/>
        <v>183.60000000000002</v>
      </c>
      <c r="Z373" s="41">
        <f>IFERROR(IF(Y373=0,"",ROUNDUP(Y373/H373,0)*0.01898),"")</f>
        <v>0.32266</v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186.83333333333334</v>
      </c>
      <c r="BN373" s="78">
        <f t="shared" si="62"/>
        <v>190.57000000000002</v>
      </c>
      <c r="BO373" s="78">
        <f t="shared" si="63"/>
        <v>0.26041666666666663</v>
      </c>
      <c r="BP373" s="78">
        <f t="shared" si="64"/>
        <v>0.265625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8</v>
      </c>
      <c r="Y375" s="55">
        <f t="shared" si="60"/>
        <v>8</v>
      </c>
      <c r="Z375" s="41">
        <f>IFERROR(IF(Y375=0,"",ROUNDUP(Y375/H375,0)*0.00902),"")</f>
        <v>1.804E-2</v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8.3800000000000008</v>
      </c>
      <c r="BN375" s="78">
        <f t="shared" si="62"/>
        <v>8.3800000000000008</v>
      </c>
      <c r="BO375" s="78">
        <f t="shared" si="63"/>
        <v>1.5151515151515152E-2</v>
      </c>
      <c r="BP375" s="78">
        <f t="shared" si="64"/>
        <v>1.5151515151515152E-2</v>
      </c>
    </row>
    <row r="376" spans="1:68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26.074074074074073</v>
      </c>
      <c r="Y376" s="43">
        <f>IFERROR(Y370/H370,"0")+IFERROR(Y371/H371,"0")+IFERROR(Y372/H372,"0")+IFERROR(Y373/H373,"0")+IFERROR(Y374/H374,"0")+IFERROR(Y375/H375,"0")</f>
        <v>27</v>
      </c>
      <c r="Z376" s="43">
        <f>IFERROR(IF(Z370="",0,Z370),"0")+IFERROR(IF(Z371="",0,Z371),"0")+IFERROR(IF(Z372="",0,Z372),"0")+IFERROR(IF(Z373="",0,Z373),"0")+IFERROR(IF(Z374="",0,Z374),"0")+IFERROR(IF(Z375="",0,Z375),"0")</f>
        <v>0.49254000000000003</v>
      </c>
      <c r="AA376" s="67"/>
      <c r="AB376" s="67"/>
      <c r="AC376" s="67"/>
    </row>
    <row r="377" spans="1:68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268</v>
      </c>
      <c r="Y377" s="43">
        <f>IFERROR(SUM(Y370:Y375),"0")</f>
        <v>278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50</v>
      </c>
      <c r="Y379" s="55">
        <f t="shared" ref="Y379:Y385" si="65">IFERROR(IF(X379="",0,CEILING((X379/$H379),1)*$H379),"")</f>
        <v>50.400000000000006</v>
      </c>
      <c r="Z379" s="41">
        <f>IFERROR(IF(Y379=0,"",ROUNDUP(Y379/H379,0)*0.00902),"")</f>
        <v>0.10824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52.976190476190474</v>
      </c>
      <c r="BN379" s="78">
        <f t="shared" ref="BN379:BN385" si="67">IFERROR(Y379*I379/H379,"0")</f>
        <v>53.400000000000006</v>
      </c>
      <c r="BO379" s="78">
        <f t="shared" ref="BO379:BO385" si="68">IFERROR(1/J379*(X379/H379),"0")</f>
        <v>9.0187590187590191E-2</v>
      </c>
      <c r="BP379" s="78">
        <f t="shared" ref="BP379:BP385" si="69">IFERROR(1/J379*(Y379/H379),"0")</f>
        <v>9.0909090909090912E-2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50</v>
      </c>
      <c r="Y380" s="55">
        <f t="shared" si="65"/>
        <v>50.400000000000006</v>
      </c>
      <c r="Z380" s="41">
        <f>IFERROR(IF(Y380=0,"",ROUNDUP(Y380/H380,0)*0.00902),"")</f>
        <v>0.10824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52.976190476190474</v>
      </c>
      <c r="BN380" s="78">
        <f t="shared" si="67"/>
        <v>53.400000000000006</v>
      </c>
      <c r="BO380" s="78">
        <f t="shared" si="68"/>
        <v>9.0187590187590191E-2</v>
      </c>
      <c r="BP380" s="78">
        <f t="shared" si="69"/>
        <v>9.0909090909090912E-2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16.8</v>
      </c>
      <c r="Y382" s="55">
        <f t="shared" si="65"/>
        <v>16.8</v>
      </c>
      <c r="Z382" s="41">
        <f>IFERROR(IF(Y382=0,"",ROUNDUP(Y382/H382,0)*0.00502),"")</f>
        <v>4.0160000000000001E-2</v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17.84</v>
      </c>
      <c r="BN382" s="78">
        <f t="shared" si="67"/>
        <v>17.84</v>
      </c>
      <c r="BO382" s="78">
        <f t="shared" si="68"/>
        <v>3.4188034188034191E-2</v>
      </c>
      <c r="BP382" s="78">
        <f t="shared" si="69"/>
        <v>3.4188034188034191E-2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14.7</v>
      </c>
      <c r="Y383" s="55">
        <f t="shared" si="65"/>
        <v>14.700000000000001</v>
      </c>
      <c r="Z383" s="41">
        <f>IFERROR(IF(Y383=0,"",ROUNDUP(Y383/H383,0)*0.00502),"")</f>
        <v>3.5140000000000005E-2</v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15.4</v>
      </c>
      <c r="BN383" s="78">
        <f t="shared" si="67"/>
        <v>15.4</v>
      </c>
      <c r="BO383" s="78">
        <f t="shared" si="68"/>
        <v>2.9914529914529912E-2</v>
      </c>
      <c r="BP383" s="78">
        <f t="shared" si="69"/>
        <v>2.9914529914529919E-2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38.80952380952381</v>
      </c>
      <c r="Y386" s="43">
        <f>IFERROR(Y379/H379,"0")+IFERROR(Y380/H380,"0")+IFERROR(Y381/H381,"0")+IFERROR(Y382/H382,"0")+IFERROR(Y383/H383,"0")+IFERROR(Y384/H384,"0")+IFERROR(Y385/H385,"0")</f>
        <v>39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0.29177999999999998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131.5</v>
      </c>
      <c r="Y387" s="43">
        <f>IFERROR(SUM(Y379:Y385),"0")</f>
        <v>132.30000000000001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700</v>
      </c>
      <c r="Y389" s="55">
        <f>IFERROR(IF(X389="",0,CEILING((X389/$H389),1)*$H389),"")</f>
        <v>702</v>
      </c>
      <c r="Z389" s="41">
        <f>IFERROR(IF(Y389=0,"",ROUNDUP(Y389/H389,0)*0.01898),"")</f>
        <v>1.7081999999999999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743.79487179487182</v>
      </c>
      <c r="BN389" s="78">
        <f>IFERROR(Y389*I389/H389,"0")</f>
        <v>745.92000000000007</v>
      </c>
      <c r="BO389" s="78">
        <f>IFERROR(1/J389*(X389/H389),"0")</f>
        <v>1.4022435897435899</v>
      </c>
      <c r="BP389" s="78">
        <f>IFERROR(1/J389*(Y389/H389),"0")</f>
        <v>1.40625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36</v>
      </c>
      <c r="Y392" s="55">
        <f>IFERROR(IF(X392="",0,CEILING((X392/$H392),1)*$H392),"")</f>
        <v>36</v>
      </c>
      <c r="Z392" s="41">
        <f>IFERROR(IF(Y392=0,"",ROUNDUP(Y392/H392,0)*0.00651),"")</f>
        <v>7.8119999999999995E-2</v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38.951999999999998</v>
      </c>
      <c r="BN392" s="78">
        <f>IFERROR(Y392*I392/H392,"0")</f>
        <v>38.951999999999998</v>
      </c>
      <c r="BO392" s="78">
        <f>IFERROR(1/J392*(X392/H392),"0")</f>
        <v>6.5934065934065936E-2</v>
      </c>
      <c r="BP392" s="78">
        <f>IFERROR(1/J392*(Y392/H392),"0")</f>
        <v>6.5934065934065936E-2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101.74358974358975</v>
      </c>
      <c r="Y393" s="43">
        <f>IFERROR(Y389/H389,"0")+IFERROR(Y390/H390,"0")+IFERROR(Y391/H391,"0")+IFERROR(Y392/H392,"0")</f>
        <v>102</v>
      </c>
      <c r="Z393" s="43">
        <f>IFERROR(IF(Z389="",0,Z389),"0")+IFERROR(IF(Z390="",0,Z390),"0")+IFERROR(IF(Z391="",0,Z391),"0")+IFERROR(IF(Z392="",0,Z392),"0")</f>
        <v>1.7863199999999999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736</v>
      </c>
      <c r="Y394" s="43">
        <f>IFERROR(SUM(Y389:Y392),"0")</f>
        <v>738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50</v>
      </c>
      <c r="Y397" s="55">
        <f>IFERROR(IF(X397="",0,CEILING((X397/$H397),1)*$H397),"")</f>
        <v>54.6</v>
      </c>
      <c r="Z397" s="41">
        <f>IFERROR(IF(Y397=0,"",ROUNDUP(Y397/H397,0)*0.01898),"")</f>
        <v>0.13286000000000001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53.166666666666671</v>
      </c>
      <c r="BN397" s="78">
        <f>IFERROR(Y397*I397/H397,"0")</f>
        <v>58.058000000000007</v>
      </c>
      <c r="BO397" s="78">
        <f>IFERROR(1/J397*(X397/H397),"0")</f>
        <v>0.10016025641025642</v>
      </c>
      <c r="BP397" s="78">
        <f>IFERROR(1/J397*(Y397/H397),"0")</f>
        <v>0.109375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60</v>
      </c>
      <c r="Y398" s="55">
        <f>IFERROR(IF(X398="",0,CEILING((X398/$H398),1)*$H398),"")</f>
        <v>67.2</v>
      </c>
      <c r="Z398" s="41">
        <f>IFERROR(IF(Y398=0,"",ROUNDUP(Y398/H398,0)*0.01898),"")</f>
        <v>0.15184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63.528571428571425</v>
      </c>
      <c r="BN398" s="78">
        <f>IFERROR(Y398*I398/H398,"0")</f>
        <v>71.152000000000001</v>
      </c>
      <c r="BO398" s="78">
        <f>IFERROR(1/J398*(X398/H398),"0")</f>
        <v>0.11160714285714285</v>
      </c>
      <c r="BP398" s="78">
        <f>IFERROR(1/J398*(Y398/H398),"0")</f>
        <v>0.125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13.553113553113553</v>
      </c>
      <c r="Y399" s="43">
        <f>IFERROR(Y396/H396,"0")+IFERROR(Y397/H397,"0")+IFERROR(Y398/H398,"0")</f>
        <v>15</v>
      </c>
      <c r="Z399" s="43">
        <f>IFERROR(IF(Z396="",0,Z396),"0")+IFERROR(IF(Z397="",0,Z397),"0")+IFERROR(IF(Z398="",0,Z398),"0")</f>
        <v>0.28470000000000001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110</v>
      </c>
      <c r="Y400" s="43">
        <f>IFERROR(SUM(Y396:Y398),"0")</f>
        <v>121.80000000000001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40</v>
      </c>
      <c r="Y428" s="55">
        <f>IFERROR(IF(X428="",0,CEILING((X428/$H428),1)*$H428),"")</f>
        <v>40.5</v>
      </c>
      <c r="Z428" s="41">
        <f>IFERROR(IF(Y428=0,"",ROUNDUP(Y428/H428,0)*0.01898),"")</f>
        <v>9.4899999999999998E-2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42.439506172839508</v>
      </c>
      <c r="BN428" s="78">
        <f>IFERROR(Y428*I428/H428,"0")</f>
        <v>42.97</v>
      </c>
      <c r="BO428" s="78">
        <f>IFERROR(1/J428*(X428/H428),"0")</f>
        <v>7.7160493827160503E-2</v>
      </c>
      <c r="BP428" s="78">
        <f>IFERROR(1/J428*(Y428/H428),"0")</f>
        <v>7.8125E-2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18.899999999999999</v>
      </c>
      <c r="Y429" s="55">
        <f>IFERROR(IF(X429="",0,CEILING((X429/$H429),1)*$H429),"")</f>
        <v>18.900000000000002</v>
      </c>
      <c r="Z429" s="41">
        <f>IFERROR(IF(Y429=0,"",ROUNDUP(Y429/H429,0)*0.00651),"")</f>
        <v>5.8590000000000003E-2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21.167999999999996</v>
      </c>
      <c r="BN429" s="78">
        <f>IFERROR(Y429*I429/H429,"0")</f>
        <v>21.167999999999999</v>
      </c>
      <c r="BO429" s="78">
        <f>IFERROR(1/J429*(X429/H429),"0")</f>
        <v>4.9450549450549441E-2</v>
      </c>
      <c r="BP429" s="78">
        <f>IFERROR(1/J429*(Y429/H429),"0")</f>
        <v>4.9450549450549455E-2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25.2</v>
      </c>
      <c r="Y430" s="55">
        <f>IFERROR(IF(X430="",0,CEILING((X430/$H430),1)*$H430),"")</f>
        <v>25.200000000000003</v>
      </c>
      <c r="Z430" s="41">
        <f>IFERROR(IF(Y430=0,"",ROUNDUP(Y430/H430,0)*0.00651),"")</f>
        <v>7.8119999999999995E-2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28.08</v>
      </c>
      <c r="BN430" s="78">
        <f>IFERROR(Y430*I430/H430,"0")</f>
        <v>28.080000000000002</v>
      </c>
      <c r="BO430" s="78">
        <f>IFERROR(1/J430*(X430/H430),"0")</f>
        <v>6.5934065934065936E-2</v>
      </c>
      <c r="BP430" s="78">
        <f>IFERROR(1/J430*(Y430/H430),"0")</f>
        <v>6.5934065934065936E-2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25.938271604938272</v>
      </c>
      <c r="Y431" s="43">
        <f>IFERROR(Y428/H428,"0")+IFERROR(Y429/H429,"0")+IFERROR(Y430/H430,"0")</f>
        <v>26</v>
      </c>
      <c r="Z431" s="43">
        <f>IFERROR(IF(Z428="",0,Z428),"0")+IFERROR(IF(Z429="",0,Z429),"0")+IFERROR(IF(Z430="",0,Z430),"0")</f>
        <v>0.23161000000000001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84.1</v>
      </c>
      <c r="Y432" s="43">
        <f>IFERROR(SUM(Y428:Y430),"0")</f>
        <v>84.600000000000009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150</v>
      </c>
      <c r="Y437" s="55">
        <f t="shared" si="70"/>
        <v>150</v>
      </c>
      <c r="Z437" s="41">
        <f>IFERROR(IF(Y437=0,"",ROUNDUP(Y437/H437,0)*0.02175),"")</f>
        <v>0.21749999999999997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154.69999999999999</v>
      </c>
      <c r="BN437" s="78">
        <f t="shared" si="72"/>
        <v>154.69999999999999</v>
      </c>
      <c r="BO437" s="78">
        <f t="shared" si="73"/>
        <v>0.20833333333333331</v>
      </c>
      <c r="BP437" s="78">
        <f t="shared" si="74"/>
        <v>0.20833333333333331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240</v>
      </c>
      <c r="Y438" s="55">
        <f t="shared" si="70"/>
        <v>240</v>
      </c>
      <c r="Z438" s="41">
        <f>IFERROR(IF(Y438=0,"",ROUNDUP(Y438/H438,0)*0.02175),"")</f>
        <v>0.34799999999999998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247.52</v>
      </c>
      <c r="BN438" s="78">
        <f t="shared" si="72"/>
        <v>247.52</v>
      </c>
      <c r="BO438" s="78">
        <f t="shared" si="73"/>
        <v>0.33333333333333331</v>
      </c>
      <c r="BP438" s="78">
        <f t="shared" si="74"/>
        <v>0.33333333333333331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300</v>
      </c>
      <c r="Y440" s="55">
        <f t="shared" si="70"/>
        <v>300</v>
      </c>
      <c r="Z440" s="41">
        <f>IFERROR(IF(Y440=0,"",ROUNDUP(Y440/H440,0)*0.02175),"")</f>
        <v>0.43499999999999994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309.39999999999998</v>
      </c>
      <c r="BN440" s="78">
        <f t="shared" si="72"/>
        <v>309.39999999999998</v>
      </c>
      <c r="BO440" s="78">
        <f t="shared" si="73"/>
        <v>0.41666666666666663</v>
      </c>
      <c r="BP440" s="78">
        <f t="shared" si="74"/>
        <v>0.41666666666666663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46</v>
      </c>
      <c r="Y444" s="43">
        <f>IFERROR(Y436/H436,"0")+IFERROR(Y437/H437,"0")+IFERROR(Y438/H438,"0")+IFERROR(Y439/H439,"0")+IFERROR(Y440/H440,"0")+IFERROR(Y441/H441,"0")+IFERROR(Y442/H442,"0")+IFERROR(Y443/H443,"0")</f>
        <v>46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1.0004999999999997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690</v>
      </c>
      <c r="Y445" s="43">
        <f>IFERROR(SUM(Y436:Y443),"0")</f>
        <v>690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150</v>
      </c>
      <c r="Y447" s="55">
        <f>IFERROR(IF(X447="",0,CEILING((X447/$H447),1)*$H447),"")</f>
        <v>150</v>
      </c>
      <c r="Z447" s="41">
        <f>IFERROR(IF(Y447=0,"",ROUNDUP(Y447/H447,0)*0.02175),"")</f>
        <v>0.21749999999999997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154.69999999999999</v>
      </c>
      <c r="BN447" s="78">
        <f>IFERROR(Y447*I447/H447,"0")</f>
        <v>154.69999999999999</v>
      </c>
      <c r="BO447" s="78">
        <f>IFERROR(1/J447*(X447/H447),"0")</f>
        <v>0.20833333333333331</v>
      </c>
      <c r="BP447" s="78">
        <f>IFERROR(1/J447*(Y447/H447),"0")</f>
        <v>0.20833333333333331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10</v>
      </c>
      <c r="Y450" s="43">
        <f>IFERROR(Y447/H447,"0")+IFERROR(Y448/H448,"0")+IFERROR(Y449/H449,"0")</f>
        <v>10</v>
      </c>
      <c r="Z450" s="43">
        <f>IFERROR(IF(Z447="",0,Z447),"0")+IFERROR(IF(Z448="",0,Z448),"0")+IFERROR(IF(Z449="",0,Z449),"0")</f>
        <v>0.21749999999999997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150</v>
      </c>
      <c r="Y451" s="43">
        <f>IFERROR(SUM(Y447:Y449),"0")</f>
        <v>150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8.4</v>
      </c>
      <c r="Y486" s="55">
        <f t="shared" si="75"/>
        <v>8.4</v>
      </c>
      <c r="Z486" s="41">
        <f>IFERROR(IF(Y486=0,"",ROUNDUP(Y486/H486,0)*0.00502),"")</f>
        <v>2.0080000000000001E-2</v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8.92</v>
      </c>
      <c r="BN486" s="78">
        <f t="shared" si="77"/>
        <v>8.92</v>
      </c>
      <c r="BO486" s="78">
        <f t="shared" si="78"/>
        <v>1.7094017094017096E-2</v>
      </c>
      <c r="BP486" s="78">
        <f t="shared" si="79"/>
        <v>1.7094017094017096E-2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4</v>
      </c>
      <c r="Y488" s="43">
        <f>IFERROR(Y482/H482,"0")+IFERROR(Y483/H483,"0")+IFERROR(Y484/H484,"0")+IFERROR(Y485/H485,"0")+IFERROR(Y486/H486,"0")+IFERROR(Y487/H487,"0")</f>
        <v>4</v>
      </c>
      <c r="Z488" s="43">
        <f>IFERROR(IF(Z482="",0,Z482),"0")+IFERROR(IF(Z483="",0,Z483),"0")+IFERROR(IF(Z484="",0,Z484),"0")+IFERROR(IF(Z485="",0,Z485),"0")+IFERROR(IF(Z486="",0,Z486),"0")+IFERROR(IF(Z487="",0,Z487),"0")</f>
        <v>2.0080000000000001E-2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8.4</v>
      </c>
      <c r="Y489" s="43">
        <f>IFERROR(SUM(Y482:Y487),"0")</f>
        <v>8.4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4.2</v>
      </c>
      <c r="Y503" s="55">
        <f>IFERROR(IF(X503="",0,CEILING((X503/$H503),1)*$H503),"")</f>
        <v>4.2</v>
      </c>
      <c r="Z503" s="41">
        <f>IFERROR(IF(Y503=0,"",ROUNDUP(Y503/H503,0)*0.00502),"")</f>
        <v>1.004E-2</v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4.46</v>
      </c>
      <c r="BN503" s="78">
        <f>IFERROR(Y503*I503/H503,"0")</f>
        <v>4.46</v>
      </c>
      <c r="BO503" s="78">
        <f>IFERROR(1/J503*(X503/H503),"0")</f>
        <v>8.5470085470085479E-3</v>
      </c>
      <c r="BP503" s="78">
        <f>IFERROR(1/J503*(Y503/H503),"0")</f>
        <v>8.5470085470085479E-3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2</v>
      </c>
      <c r="Y504" s="43">
        <f>IFERROR(Y501/H501,"0")+IFERROR(Y502/H502,"0")+IFERROR(Y503/H503,"0")</f>
        <v>2</v>
      </c>
      <c r="Z504" s="43">
        <f>IFERROR(IF(Z501="",0,Z501),"0")+IFERROR(IF(Z502="",0,Z502),"0")+IFERROR(IF(Z503="",0,Z503),"0")</f>
        <v>1.004E-2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4.2</v>
      </c>
      <c r="Y505" s="43">
        <f>IFERROR(SUM(Y501:Y503),"0")</f>
        <v>4.2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35</v>
      </c>
      <c r="Y509" s="55">
        <f t="shared" ref="Y509:Y517" si="80">IFERROR(IF(X509="",0,CEILING((X509/$H509),1)*$H509),"")</f>
        <v>36.96</v>
      </c>
      <c r="Z509" s="41">
        <f t="shared" ref="Z509:Z514" si="81">IFERROR(IF(Y509=0,"",ROUNDUP(Y509/H509,0)*0.01196),"")</f>
        <v>8.3720000000000003E-2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37.320075757575751</v>
      </c>
      <c r="BN509" s="78">
        <f t="shared" ref="BN509:BN517" si="83">IFERROR(Y509*I509/H509,"0")</f>
        <v>39.409999999999997</v>
      </c>
      <c r="BO509" s="78">
        <f t="shared" ref="BO509:BO517" si="84">IFERROR(1/J509*(X509/H509),"0")</f>
        <v>6.3738344988344992E-2</v>
      </c>
      <c r="BP509" s="78">
        <f t="shared" ref="BP509:BP517" si="85">IFERROR(1/J509*(Y509/H509),"0")</f>
        <v>6.7307692307692318E-2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5</v>
      </c>
      <c r="Y512" s="55">
        <f t="shared" si="80"/>
        <v>5.28</v>
      </c>
      <c r="Z512" s="41">
        <f t="shared" si="81"/>
        <v>1.196E-2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5.3314393939393936</v>
      </c>
      <c r="BN512" s="78">
        <f t="shared" si="83"/>
        <v>5.63</v>
      </c>
      <c r="BO512" s="78">
        <f t="shared" si="84"/>
        <v>9.1054778554778559E-3</v>
      </c>
      <c r="BP512" s="78">
        <f t="shared" si="85"/>
        <v>9.6153846153846159E-3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25</v>
      </c>
      <c r="Y514" s="55">
        <f t="shared" si="80"/>
        <v>26.400000000000002</v>
      </c>
      <c r="Z514" s="41">
        <f t="shared" si="81"/>
        <v>5.9799999999999999E-2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26.657196969696969</v>
      </c>
      <c r="BN514" s="78">
        <f t="shared" si="83"/>
        <v>28.15</v>
      </c>
      <c r="BO514" s="78">
        <f t="shared" si="84"/>
        <v>4.5527389277389273E-2</v>
      </c>
      <c r="BP514" s="78">
        <f t="shared" si="85"/>
        <v>4.807692307692308E-2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12.310606060606061</v>
      </c>
      <c r="Y518" s="43">
        <f>IFERROR(Y509/H509,"0")+IFERROR(Y510/H510,"0")+IFERROR(Y511/H511,"0")+IFERROR(Y512/H512,"0")+IFERROR(Y513/H513,"0")+IFERROR(Y514/H514,"0")+IFERROR(Y515/H515,"0")+IFERROR(Y516/H516,"0")+IFERROR(Y517/H517,"0")</f>
        <v>13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0.15548000000000001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65</v>
      </c>
      <c r="Y519" s="43">
        <f>IFERROR(SUM(Y509:Y517),"0")</f>
        <v>68.64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40</v>
      </c>
      <c r="Y521" s="55">
        <f>IFERROR(IF(X521="",0,CEILING((X521/$H521),1)*$H521),"")</f>
        <v>42.24</v>
      </c>
      <c r="Z521" s="41">
        <f>IFERROR(IF(Y521=0,"",ROUNDUP(Y521/H521,0)*0.01196),"")</f>
        <v>9.5680000000000001E-2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42.651515151515149</v>
      </c>
      <c r="BN521" s="78">
        <f>IFERROR(Y521*I521/H521,"0")</f>
        <v>45.04</v>
      </c>
      <c r="BO521" s="78">
        <f>IFERROR(1/J521*(X521/H521),"0")</f>
        <v>7.2843822843822847E-2</v>
      </c>
      <c r="BP521" s="78">
        <f>IFERROR(1/J521*(Y521/H521),"0")</f>
        <v>7.6923076923076927E-2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7.5757575757575752</v>
      </c>
      <c r="Y524" s="43">
        <f>IFERROR(Y521/H521,"0")+IFERROR(Y522/H522,"0")+IFERROR(Y523/H523,"0")</f>
        <v>8</v>
      </c>
      <c r="Z524" s="43">
        <f>IFERROR(IF(Z521="",0,Z521),"0")+IFERROR(IF(Z522="",0,Z522),"0")+IFERROR(IF(Z523="",0,Z523),"0")</f>
        <v>9.5680000000000001E-2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40</v>
      </c>
      <c r="Y525" s="43">
        <f>IFERROR(SUM(Y521:Y523),"0")</f>
        <v>42.24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20</v>
      </c>
      <c r="Y528" s="55">
        <f t="shared" si="86"/>
        <v>21.12</v>
      </c>
      <c r="Z528" s="41">
        <f>IFERROR(IF(Y528=0,"",ROUNDUP(Y528/H528,0)*0.01196),"")</f>
        <v>4.7840000000000001E-2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21.325757575757574</v>
      </c>
      <c r="BN528" s="78">
        <f t="shared" si="88"/>
        <v>22.52</v>
      </c>
      <c r="BO528" s="78">
        <f t="shared" si="89"/>
        <v>3.6421911421911424E-2</v>
      </c>
      <c r="BP528" s="78">
        <f t="shared" si="90"/>
        <v>3.8461538461538464E-2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35</v>
      </c>
      <c r="Y529" s="55">
        <f t="shared" si="86"/>
        <v>36.96</v>
      </c>
      <c r="Z529" s="41">
        <f>IFERROR(IF(Y529=0,"",ROUNDUP(Y529/H529,0)*0.01196),"")</f>
        <v>8.3720000000000003E-2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37.320075757575751</v>
      </c>
      <c r="BN529" s="78">
        <f t="shared" si="88"/>
        <v>39.409999999999997</v>
      </c>
      <c r="BO529" s="78">
        <f t="shared" si="89"/>
        <v>6.3738344988344992E-2</v>
      </c>
      <c r="BP529" s="78">
        <f t="shared" si="90"/>
        <v>6.7307692307692318E-2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10.416666666666666</v>
      </c>
      <c r="Y534" s="43">
        <f>IFERROR(Y527/H527,"0")+IFERROR(Y528/H528,"0")+IFERROR(Y529/H529,"0")+IFERROR(Y530/H530,"0")+IFERROR(Y531/H531,"0")+IFERROR(Y532/H532,"0")+IFERROR(Y533/H533,"0")</f>
        <v>11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0.13156000000000001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55</v>
      </c>
      <c r="Y535" s="43">
        <f>IFERROR(SUM(Y527:Y533),"0")</f>
        <v>58.08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10</v>
      </c>
      <c r="Y539" s="55">
        <f>IFERROR(IF(X539="",0,CEILING((X539/$H539),1)*$H539),"")</f>
        <v>12</v>
      </c>
      <c r="Z539" s="41">
        <f>IFERROR(IF(Y539=0,"",ROUNDUP(Y539/H539,0)*0.01898),"")</f>
        <v>1.898E-2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10.341666666666667</v>
      </c>
      <c r="BN539" s="78">
        <f>IFERROR(Y539*I539/H539,"0")</f>
        <v>12.410000000000002</v>
      </c>
      <c r="BO539" s="78">
        <f>IFERROR(1/J539*(X539/H539),"0")</f>
        <v>1.3020833333333334E-2</v>
      </c>
      <c r="BP539" s="78">
        <f>IFERROR(1/J539*(Y539/H539),"0")</f>
        <v>1.5625E-2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0.83333333333333337</v>
      </c>
      <c r="Y540" s="43">
        <f>IFERROR(Y539/H539,"0")</f>
        <v>1</v>
      </c>
      <c r="Z540" s="43">
        <f>IFERROR(IF(Z539="",0,Z539),"0")</f>
        <v>1.898E-2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10</v>
      </c>
      <c r="Y541" s="43">
        <f>IFERROR(SUM(Y539:Y539),"0")</f>
        <v>12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50</v>
      </c>
      <c r="Y547" s="55">
        <f>IFERROR(IF(X547="",0,CEILING((X547/$H547),1)*$H547),"")</f>
        <v>50.400000000000006</v>
      </c>
      <c r="Z547" s="41">
        <f>IFERROR(IF(Y547=0,"",ROUNDUP(Y547/H547,0)*0.00902),"")</f>
        <v>0.10824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52.976190476190474</v>
      </c>
      <c r="BN547" s="78">
        <f>IFERROR(Y547*I547/H547,"0")</f>
        <v>53.400000000000006</v>
      </c>
      <c r="BO547" s="78">
        <f>IFERROR(1/J547*(X547/H547),"0")</f>
        <v>9.0187590187590191E-2</v>
      </c>
      <c r="BP547" s="78">
        <f>IFERROR(1/J547*(Y547/H547),"0")</f>
        <v>9.0909090909090912E-2</v>
      </c>
    </row>
    <row r="548" spans="1:68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11.904761904761905</v>
      </c>
      <c r="Y548" s="43">
        <f>IFERROR(Y547/H547,"0")</f>
        <v>12</v>
      </c>
      <c r="Z548" s="43">
        <f>IFERROR(IF(Z547="",0,Z547),"0")</f>
        <v>0.10824</v>
      </c>
      <c r="AA548" s="67"/>
      <c r="AB548" s="67"/>
      <c r="AC548" s="67"/>
    </row>
    <row r="549" spans="1:68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50</v>
      </c>
      <c r="Y549" s="43">
        <f>IFERROR(SUM(Y547:Y547),"0")</f>
        <v>50.400000000000006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2869.9999999999995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2937.4599999999996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3014.6138653815315</v>
      </c>
      <c r="Y565" s="43">
        <f>IFERROR(SUM(BN22:BN561),"0")</f>
        <v>3085.5379999999996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5</v>
      </c>
      <c r="Y566" s="44">
        <f>ROUNDUP(SUM(BP22:BP561),0)</f>
        <v>6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3139.6138653815315</v>
      </c>
      <c r="Y567" s="43">
        <f>GrossWeightTotalR+PalletQtyTotalR*25</f>
        <v>3235.5379999999996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390.87574770908105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399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5.8744199999999998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70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125.10000000000001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67.5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96.6</v>
      </c>
      <c r="H574" s="52">
        <f>IFERROR(Y140*1,"0")+IFERROR(Y141*1,"0")+IFERROR(Y145*1,"0")+IFERROR(Y146*1,"0")+IFERROR(Y150*1,"0")+IFERROR(Y151*1,"0")</f>
        <v>3.2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19.2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117.2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1270.0999999999999</v>
      </c>
      <c r="U574" s="52">
        <f>IFERROR(Y422*1,"0")+IFERROR(Y423*1,"0")</f>
        <v>0</v>
      </c>
      <c r="V574" s="52">
        <f>IFERROR(Y428*1,"0")+IFERROR(Y429*1,"0")+IFERROR(Y430*1,"0")</f>
        <v>84.600000000000009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840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8.4</v>
      </c>
      <c r="Z574" s="52">
        <f>IFERROR(Y497*1,"0")+IFERROR(Y501*1,"0")+IFERROR(Y502*1,"0")+IFERROR(Y503*1,"0")</f>
        <v>4.2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168.96</v>
      </c>
      <c r="AB574" s="52">
        <f>IFERROR(Y539*1,"0")+IFERROR(Y543*1,"0")+IFERROR(Y547*1,"0")+IFERROR(Y551*1,"0")+IFERROR(Y555*1,"0")+IFERROR(Y556*1,"0")</f>
        <v>62.400000000000006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,00"/>
        <filter val="10,00"/>
        <filter val="10,17"/>
        <filter val="10,42"/>
        <filter val="10,80"/>
        <filter val="101,74"/>
        <filter val="11,90"/>
        <filter val="110,00"/>
        <filter val="12,00"/>
        <filter val="12,31"/>
        <filter val="13,33"/>
        <filter val="13,55"/>
        <filter val="131,50"/>
        <filter val="14,17"/>
        <filter val="14,70"/>
        <filter val="150,00"/>
        <filter val="16,00"/>
        <filter val="16,48"/>
        <filter val="16,80"/>
        <filter val="17,50"/>
        <filter val="18,90"/>
        <filter val="180,00"/>
        <filter val="19,20"/>
        <filter val="2 870,00"/>
        <filter val="2,00"/>
        <filter val="2,93"/>
        <filter val="20,00"/>
        <filter val="21,60"/>
        <filter val="22,50"/>
        <filter val="240,00"/>
        <filter val="25,00"/>
        <filter val="25,20"/>
        <filter val="25,94"/>
        <filter val="26,07"/>
        <filter val="268,00"/>
        <filter val="27,00"/>
        <filter val="3 014,61"/>
        <filter val="3 139,61"/>
        <filter val="3,20"/>
        <filter val="30,00"/>
        <filter val="300,00"/>
        <filter val="35,00"/>
        <filter val="36,00"/>
        <filter val="38,81"/>
        <filter val="390,88"/>
        <filter val="4,00"/>
        <filter val="4,20"/>
        <filter val="40,00"/>
        <filter val="46,00"/>
        <filter val="5"/>
        <filter val="5,00"/>
        <filter val="50,00"/>
        <filter val="55,00"/>
        <filter val="60,00"/>
        <filter val="60,80"/>
        <filter val="65,00"/>
        <filter val="66,00"/>
        <filter val="690,00"/>
        <filter val="7,50"/>
        <filter val="7,58"/>
        <filter val="70,00"/>
        <filter val="700,00"/>
        <filter val="71,60"/>
        <filter val="736,00"/>
        <filter val="8,00"/>
        <filter val="8,40"/>
        <filter val="8,63"/>
        <filter val="84,10"/>
        <filter val="97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2026-09-07T10:54:29Z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