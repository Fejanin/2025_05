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9812134-4C8E-4256-9E29-B7FEE56341E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P551" i="2" s="1"/>
  <c r="P551" i="2"/>
  <c r="X549" i="2"/>
  <c r="X548" i="2"/>
  <c r="BO547" i="2"/>
  <c r="BM547" i="2"/>
  <c r="Y547" i="2"/>
  <c r="Y548" i="2" s="1"/>
  <c r="P547" i="2"/>
  <c r="X545" i="2"/>
  <c r="X544" i="2"/>
  <c r="BO543" i="2"/>
  <c r="BM543" i="2"/>
  <c r="Y543" i="2"/>
  <c r="Z543" i="2" s="1"/>
  <c r="Z544" i="2" s="1"/>
  <c r="P543" i="2"/>
  <c r="Y541" i="2"/>
  <c r="X541" i="2"/>
  <c r="X540" i="2"/>
  <c r="BO539" i="2"/>
  <c r="BM539" i="2"/>
  <c r="Y539" i="2"/>
  <c r="Y540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P528" i="2"/>
  <c r="BO527" i="2"/>
  <c r="BM527" i="2"/>
  <c r="Y527" i="2"/>
  <c r="BP527" i="2" s="1"/>
  <c r="P527" i="2"/>
  <c r="BO526" i="2"/>
  <c r="BM526" i="2"/>
  <c r="Y526" i="2"/>
  <c r="BN526" i="2" s="1"/>
  <c r="P526" i="2"/>
  <c r="BO525" i="2"/>
  <c r="BM525" i="2"/>
  <c r="Y525" i="2"/>
  <c r="P525" i="2"/>
  <c r="BO524" i="2"/>
  <c r="BM524" i="2"/>
  <c r="Y524" i="2"/>
  <c r="BN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Z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Z509" i="2" s="1"/>
  <c r="P509" i="2"/>
  <c r="BO508" i="2"/>
  <c r="BM508" i="2"/>
  <c r="Y508" i="2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Z505" i="2"/>
  <c r="Y505" i="2"/>
  <c r="BP505" i="2" s="1"/>
  <c r="P505" i="2"/>
  <c r="X501" i="2"/>
  <c r="X500" i="2"/>
  <c r="BO499" i="2"/>
  <c r="BM499" i="2"/>
  <c r="Y499" i="2"/>
  <c r="P499" i="2"/>
  <c r="BO498" i="2"/>
  <c r="BM498" i="2"/>
  <c r="Y498" i="2"/>
  <c r="Z498" i="2" s="1"/>
  <c r="P498" i="2"/>
  <c r="BO497" i="2"/>
  <c r="BM497" i="2"/>
  <c r="Y497" i="2"/>
  <c r="Z497" i="2" s="1"/>
  <c r="P497" i="2"/>
  <c r="X495" i="2"/>
  <c r="X494" i="2"/>
  <c r="BO493" i="2"/>
  <c r="BM493" i="2"/>
  <c r="Y493" i="2"/>
  <c r="BP493" i="2" s="1"/>
  <c r="P493" i="2"/>
  <c r="X490" i="2"/>
  <c r="X489" i="2"/>
  <c r="BO488" i="2"/>
  <c r="BM488" i="2"/>
  <c r="Y488" i="2"/>
  <c r="BN488" i="2" s="1"/>
  <c r="P488" i="2"/>
  <c r="BO487" i="2"/>
  <c r="BM487" i="2"/>
  <c r="Y487" i="2"/>
  <c r="Y489" i="2" s="1"/>
  <c r="P487" i="2"/>
  <c r="X485" i="2"/>
  <c r="X484" i="2"/>
  <c r="BO483" i="2"/>
  <c r="BM483" i="2"/>
  <c r="Y483" i="2"/>
  <c r="P483" i="2"/>
  <c r="BO482" i="2"/>
  <c r="BM482" i="2"/>
  <c r="Y482" i="2"/>
  <c r="BP482" i="2" s="1"/>
  <c r="P482" i="2"/>
  <c r="BO481" i="2"/>
  <c r="BM481" i="2"/>
  <c r="Y481" i="2"/>
  <c r="BN481" i="2" s="1"/>
  <c r="P481" i="2"/>
  <c r="BO480" i="2"/>
  <c r="BM480" i="2"/>
  <c r="Y480" i="2"/>
  <c r="BN480" i="2" s="1"/>
  <c r="P480" i="2"/>
  <c r="BO479" i="2"/>
  <c r="BM479" i="2"/>
  <c r="Y479" i="2"/>
  <c r="BN479" i="2" s="1"/>
  <c r="P479" i="2"/>
  <c r="BO478" i="2"/>
  <c r="BM478" i="2"/>
  <c r="Y478" i="2"/>
  <c r="P478" i="2"/>
  <c r="X474" i="2"/>
  <c r="X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N462" i="2" s="1"/>
  <c r="P462" i="2"/>
  <c r="BO461" i="2"/>
  <c r="BM461" i="2"/>
  <c r="Y461" i="2"/>
  <c r="BP461" i="2" s="1"/>
  <c r="P461" i="2"/>
  <c r="X458" i="2"/>
  <c r="X457" i="2"/>
  <c r="BO456" i="2"/>
  <c r="BM456" i="2"/>
  <c r="Z456" i="2"/>
  <c r="Y456" i="2"/>
  <c r="BN456" i="2" s="1"/>
  <c r="P456" i="2"/>
  <c r="BO455" i="2"/>
  <c r="BM455" i="2"/>
  <c r="Y455" i="2"/>
  <c r="Y458" i="2" s="1"/>
  <c r="P455" i="2"/>
  <c r="X453" i="2"/>
  <c r="X452" i="2"/>
  <c r="BO451" i="2"/>
  <c r="BM451" i="2"/>
  <c r="Y451" i="2"/>
  <c r="BP451" i="2" s="1"/>
  <c r="P451" i="2"/>
  <c r="BO450" i="2"/>
  <c r="BM450" i="2"/>
  <c r="Y450" i="2"/>
  <c r="Z450" i="2" s="1"/>
  <c r="P450" i="2"/>
  <c r="BO449" i="2"/>
  <c r="BM449" i="2"/>
  <c r="Y449" i="2"/>
  <c r="Z449" i="2" s="1"/>
  <c r="P449" i="2"/>
  <c r="X447" i="2"/>
  <c r="X446" i="2"/>
  <c r="BO445" i="2"/>
  <c r="BM445" i="2"/>
  <c r="Y445" i="2"/>
  <c r="P445" i="2"/>
  <c r="BO444" i="2"/>
  <c r="BM444" i="2"/>
  <c r="Y444" i="2"/>
  <c r="Z444" i="2" s="1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P435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P433" i="2"/>
  <c r="BO432" i="2"/>
  <c r="BM432" i="2"/>
  <c r="Y432" i="2"/>
  <c r="BN432" i="2" s="1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N424" i="2" s="1"/>
  <c r="P424" i="2"/>
  <c r="X421" i="2"/>
  <c r="X420" i="2"/>
  <c r="BO419" i="2"/>
  <c r="BM419" i="2"/>
  <c r="Y419" i="2"/>
  <c r="BN419" i="2" s="1"/>
  <c r="P419" i="2"/>
  <c r="BP418" i="2"/>
  <c r="BO418" i="2"/>
  <c r="BM418" i="2"/>
  <c r="Y418" i="2"/>
  <c r="BN418" i="2" s="1"/>
  <c r="P418" i="2"/>
  <c r="X415" i="2"/>
  <c r="X414" i="2"/>
  <c r="BO413" i="2"/>
  <c r="BM413" i="2"/>
  <c r="Y413" i="2"/>
  <c r="Z413" i="2" s="1"/>
  <c r="P413" i="2"/>
  <c r="BO412" i="2"/>
  <c r="BM412" i="2"/>
  <c r="Y412" i="2"/>
  <c r="BP412" i="2" s="1"/>
  <c r="P412" i="2"/>
  <c r="BO411" i="2"/>
  <c r="BM411" i="2"/>
  <c r="Y411" i="2"/>
  <c r="P411" i="2"/>
  <c r="X409" i="2"/>
  <c r="X408" i="2"/>
  <c r="BO407" i="2"/>
  <c r="BM407" i="2"/>
  <c r="Y407" i="2"/>
  <c r="P407" i="2"/>
  <c r="BO406" i="2"/>
  <c r="BM406" i="2"/>
  <c r="Y406" i="2"/>
  <c r="BP406" i="2" s="1"/>
  <c r="P406" i="2"/>
  <c r="BO405" i="2"/>
  <c r="BM405" i="2"/>
  <c r="Y405" i="2"/>
  <c r="BP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P399" i="2"/>
  <c r="BO398" i="2"/>
  <c r="BM398" i="2"/>
  <c r="Y398" i="2"/>
  <c r="Z398" i="2" s="1"/>
  <c r="P398" i="2"/>
  <c r="X396" i="2"/>
  <c r="X395" i="2"/>
  <c r="BO394" i="2"/>
  <c r="BM394" i="2"/>
  <c r="Y394" i="2"/>
  <c r="BN394" i="2" s="1"/>
  <c r="P394" i="2"/>
  <c r="BO393" i="2"/>
  <c r="BM393" i="2"/>
  <c r="Y393" i="2"/>
  <c r="BN393" i="2" s="1"/>
  <c r="P393" i="2"/>
  <c r="BO392" i="2"/>
  <c r="BM392" i="2"/>
  <c r="Y392" i="2"/>
  <c r="Z392" i="2" s="1"/>
  <c r="P392" i="2"/>
  <c r="X390" i="2"/>
  <c r="X389" i="2"/>
  <c r="BO388" i="2"/>
  <c r="BM388" i="2"/>
  <c r="Y388" i="2"/>
  <c r="Z388" i="2" s="1"/>
  <c r="P388" i="2"/>
  <c r="BO387" i="2"/>
  <c r="BM387" i="2"/>
  <c r="Y387" i="2"/>
  <c r="BN387" i="2" s="1"/>
  <c r="P387" i="2"/>
  <c r="BO386" i="2"/>
  <c r="BM386" i="2"/>
  <c r="Y386" i="2"/>
  <c r="BN386" i="2" s="1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BN376" i="2" s="1"/>
  <c r="P376" i="2"/>
  <c r="BO375" i="2"/>
  <c r="BM375" i="2"/>
  <c r="Y375" i="2"/>
  <c r="BN375" i="2" s="1"/>
  <c r="P375" i="2"/>
  <c r="X373" i="2"/>
  <c r="X372" i="2"/>
  <c r="BO371" i="2"/>
  <c r="BM371" i="2"/>
  <c r="Y371" i="2"/>
  <c r="Z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P366" i="2"/>
  <c r="X363" i="2"/>
  <c r="X362" i="2"/>
  <c r="BO361" i="2"/>
  <c r="BM361" i="2"/>
  <c r="Y361" i="2"/>
  <c r="Z361" i="2" s="1"/>
  <c r="P361" i="2"/>
  <c r="BO360" i="2"/>
  <c r="BM360" i="2"/>
  <c r="Y360" i="2"/>
  <c r="Z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P353" i="2" s="1"/>
  <c r="P353" i="2"/>
  <c r="X351" i="2"/>
  <c r="X350" i="2"/>
  <c r="BO349" i="2"/>
  <c r="BM349" i="2"/>
  <c r="Y349" i="2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BP346" i="2" s="1"/>
  <c r="P346" i="2"/>
  <c r="BO345" i="2"/>
  <c r="BM345" i="2"/>
  <c r="Y345" i="2"/>
  <c r="BN345" i="2" s="1"/>
  <c r="P345" i="2"/>
  <c r="X342" i="2"/>
  <c r="X341" i="2"/>
  <c r="BO340" i="2"/>
  <c r="BM340" i="2"/>
  <c r="Y340" i="2"/>
  <c r="BN340" i="2" s="1"/>
  <c r="P340" i="2"/>
  <c r="BO339" i="2"/>
  <c r="BM339" i="2"/>
  <c r="Y339" i="2"/>
  <c r="BP339" i="2" s="1"/>
  <c r="P339" i="2"/>
  <c r="BO338" i="2"/>
  <c r="BM338" i="2"/>
  <c r="Y338" i="2"/>
  <c r="Z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BP331" i="2" s="1"/>
  <c r="P331" i="2"/>
  <c r="BO330" i="2"/>
  <c r="BM330" i="2"/>
  <c r="Y330" i="2"/>
  <c r="BN330" i="2" s="1"/>
  <c r="P330" i="2"/>
  <c r="BO329" i="2"/>
  <c r="BM329" i="2"/>
  <c r="Y329" i="2"/>
  <c r="P329" i="2"/>
  <c r="X326" i="2"/>
  <c r="X325" i="2"/>
  <c r="BO324" i="2"/>
  <c r="BM324" i="2"/>
  <c r="Y324" i="2"/>
  <c r="Z324" i="2" s="1"/>
  <c r="P324" i="2"/>
  <c r="BO323" i="2"/>
  <c r="BM323" i="2"/>
  <c r="Y323" i="2"/>
  <c r="BP323" i="2" s="1"/>
  <c r="P323" i="2"/>
  <c r="BO322" i="2"/>
  <c r="BM322" i="2"/>
  <c r="Y322" i="2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N314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P306" i="2"/>
  <c r="BO306" i="2"/>
  <c r="BM306" i="2"/>
  <c r="Y306" i="2"/>
  <c r="BN306" i="2" s="1"/>
  <c r="P306" i="2"/>
  <c r="BO305" i="2"/>
  <c r="BM305" i="2"/>
  <c r="Y305" i="2"/>
  <c r="BP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BN284" i="2" s="1"/>
  <c r="P284" i="2"/>
  <c r="BO283" i="2"/>
  <c r="BM283" i="2"/>
  <c r="Y283" i="2"/>
  <c r="P283" i="2"/>
  <c r="X281" i="2"/>
  <c r="X280" i="2"/>
  <c r="BP279" i="2"/>
  <c r="BO279" i="2"/>
  <c r="BN279" i="2"/>
  <c r="BM279" i="2"/>
  <c r="Z279" i="2"/>
  <c r="Y279" i="2"/>
  <c r="P279" i="2"/>
  <c r="BO278" i="2"/>
  <c r="BM278" i="2"/>
  <c r="Y278" i="2"/>
  <c r="BP278" i="2" s="1"/>
  <c r="P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Y270" i="2" s="1"/>
  <c r="P268" i="2"/>
  <c r="BO267" i="2"/>
  <c r="BM267" i="2"/>
  <c r="Y267" i="2"/>
  <c r="Z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59" i="2"/>
  <c r="Y258" i="2"/>
  <c r="X258" i="2"/>
  <c r="BO257" i="2"/>
  <c r="BM257" i="2"/>
  <c r="Y257" i="2"/>
  <c r="Y259" i="2" s="1"/>
  <c r="P257" i="2"/>
  <c r="X255" i="2"/>
  <c r="X254" i="2"/>
  <c r="BO253" i="2"/>
  <c r="BM253" i="2"/>
  <c r="Y253" i="2"/>
  <c r="BN253" i="2" s="1"/>
  <c r="P253" i="2"/>
  <c r="BO252" i="2"/>
  <c r="BM252" i="2"/>
  <c r="Y252" i="2"/>
  <c r="BN252" i="2" s="1"/>
  <c r="P252" i="2"/>
  <c r="BO251" i="2"/>
  <c r="BM251" i="2"/>
  <c r="Y251" i="2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N243" i="2" s="1"/>
  <c r="P243" i="2"/>
  <c r="X241" i="2"/>
  <c r="X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BN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Z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N213" i="2" s="1"/>
  <c r="P213" i="2"/>
  <c r="BO212" i="2"/>
  <c r="BM212" i="2"/>
  <c r="Y212" i="2"/>
  <c r="BN212" i="2" s="1"/>
  <c r="P212" i="2"/>
  <c r="BO211" i="2"/>
  <c r="BM211" i="2"/>
  <c r="Y211" i="2"/>
  <c r="BN211" i="2" s="1"/>
  <c r="P211" i="2"/>
  <c r="X207" i="2"/>
  <c r="X206" i="2"/>
  <c r="BO205" i="2"/>
  <c r="BM205" i="2"/>
  <c r="Y205" i="2"/>
  <c r="Z205" i="2" s="1"/>
  <c r="Z206" i="2" s="1"/>
  <c r="P205" i="2"/>
  <c r="X203" i="2"/>
  <c r="X202" i="2"/>
  <c r="BP201" i="2"/>
  <c r="BO201" i="2"/>
  <c r="BM201" i="2"/>
  <c r="Y201" i="2"/>
  <c r="Y202" i="2" s="1"/>
  <c r="P201" i="2"/>
  <c r="X199" i="2"/>
  <c r="X198" i="2"/>
  <c r="BO197" i="2"/>
  <c r="BM197" i="2"/>
  <c r="Y197" i="2"/>
  <c r="P197" i="2"/>
  <c r="BO196" i="2"/>
  <c r="BM196" i="2"/>
  <c r="Y196" i="2"/>
  <c r="BN196" i="2" s="1"/>
  <c r="P196" i="2"/>
  <c r="BO195" i="2"/>
  <c r="BM195" i="2"/>
  <c r="Y195" i="2"/>
  <c r="P195" i="2"/>
  <c r="X193" i="2"/>
  <c r="X192" i="2"/>
  <c r="BO191" i="2"/>
  <c r="BM191" i="2"/>
  <c r="Y191" i="2"/>
  <c r="BN191" i="2" s="1"/>
  <c r="P191" i="2"/>
  <c r="BO190" i="2"/>
  <c r="BM190" i="2"/>
  <c r="Y190" i="2"/>
  <c r="BN190" i="2" s="1"/>
  <c r="P190" i="2"/>
  <c r="BO189" i="2"/>
  <c r="BM189" i="2"/>
  <c r="Y189" i="2"/>
  <c r="Z189" i="2" s="1"/>
  <c r="P189" i="2"/>
  <c r="BO188" i="2"/>
  <c r="BM188" i="2"/>
  <c r="Y188" i="2"/>
  <c r="P188" i="2"/>
  <c r="BO187" i="2"/>
  <c r="BM187" i="2"/>
  <c r="Y187" i="2"/>
  <c r="P187" i="2"/>
  <c r="BO186" i="2"/>
  <c r="BM186" i="2"/>
  <c r="Y186" i="2"/>
  <c r="BN186" i="2" s="1"/>
  <c r="BO185" i="2"/>
  <c r="BM185" i="2"/>
  <c r="Y185" i="2"/>
  <c r="P185" i="2"/>
  <c r="BO184" i="2"/>
  <c r="BM184" i="2"/>
  <c r="Y184" i="2"/>
  <c r="BP184" i="2" s="1"/>
  <c r="BO183" i="2"/>
  <c r="BM183" i="2"/>
  <c r="Y183" i="2"/>
  <c r="BN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X178" i="2"/>
  <c r="X177" i="2"/>
  <c r="BO176" i="2"/>
  <c r="BM176" i="2"/>
  <c r="Y176" i="2"/>
  <c r="Z176" i="2" s="1"/>
  <c r="P176" i="2"/>
  <c r="BO175" i="2"/>
  <c r="BM175" i="2"/>
  <c r="Y175" i="2"/>
  <c r="Z175" i="2" s="1"/>
  <c r="Z177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Y173" i="2" s="1"/>
  <c r="P169" i="2"/>
  <c r="X166" i="2"/>
  <c r="X165" i="2"/>
  <c r="BO164" i="2"/>
  <c r="BM164" i="2"/>
  <c r="Y164" i="2"/>
  <c r="BN164" i="2" s="1"/>
  <c r="P164" i="2"/>
  <c r="X162" i="2"/>
  <c r="X161" i="2"/>
  <c r="BO160" i="2"/>
  <c r="BM160" i="2"/>
  <c r="Z160" i="2"/>
  <c r="Y160" i="2"/>
  <c r="BN160" i="2" s="1"/>
  <c r="P160" i="2"/>
  <c r="BO159" i="2"/>
  <c r="BM159" i="2"/>
  <c r="Y159" i="2"/>
  <c r="BN159" i="2" s="1"/>
  <c r="P159" i="2"/>
  <c r="BO158" i="2"/>
  <c r="BM158" i="2"/>
  <c r="Y158" i="2"/>
  <c r="BN158" i="2" s="1"/>
  <c r="P158" i="2"/>
  <c r="BO157" i="2"/>
  <c r="BM157" i="2"/>
  <c r="Y157" i="2"/>
  <c r="P157" i="2"/>
  <c r="BO156" i="2"/>
  <c r="BM156" i="2"/>
  <c r="Y156" i="2"/>
  <c r="BN156" i="2" s="1"/>
  <c r="P156" i="2"/>
  <c r="BO155" i="2"/>
  <c r="BM155" i="2"/>
  <c r="Y155" i="2"/>
  <c r="BN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P149" i="2" s="1"/>
  <c r="P149" i="2"/>
  <c r="BP148" i="2"/>
  <c r="BO148" i="2"/>
  <c r="BN148" i="2"/>
  <c r="BM148" i="2"/>
  <c r="Z148" i="2"/>
  <c r="Y148" i="2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BP138" i="2" s="1"/>
  <c r="P138" i="2"/>
  <c r="X135" i="2"/>
  <c r="X134" i="2"/>
  <c r="BO133" i="2"/>
  <c r="BM133" i="2"/>
  <c r="Y133" i="2"/>
  <c r="BN133" i="2" s="1"/>
  <c r="BO132" i="2"/>
  <c r="BM132" i="2"/>
  <c r="Y132" i="2"/>
  <c r="BN132" i="2" s="1"/>
  <c r="P132" i="2"/>
  <c r="X130" i="2"/>
  <c r="X129" i="2"/>
  <c r="BO128" i="2"/>
  <c r="BM128" i="2"/>
  <c r="Y128" i="2"/>
  <c r="BN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Z125" i="2" s="1"/>
  <c r="P125" i="2"/>
  <c r="BO124" i="2"/>
  <c r="BM124" i="2"/>
  <c r="Y124" i="2"/>
  <c r="BN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N117" i="2" s="1"/>
  <c r="P117" i="2"/>
  <c r="BO116" i="2"/>
  <c r="BM116" i="2"/>
  <c r="Y116" i="2"/>
  <c r="BN116" i="2" s="1"/>
  <c r="P116" i="2"/>
  <c r="BO115" i="2"/>
  <c r="BM115" i="2"/>
  <c r="Y115" i="2"/>
  <c r="BN115" i="2" s="1"/>
  <c r="P115" i="2"/>
  <c r="BP114" i="2"/>
  <c r="BO114" i="2"/>
  <c r="BM114" i="2"/>
  <c r="Y114" i="2"/>
  <c r="BN114" i="2" s="1"/>
  <c r="P114" i="2"/>
  <c r="X112" i="2"/>
  <c r="X111" i="2"/>
  <c r="BO110" i="2"/>
  <c r="BM110" i="2"/>
  <c r="Y110" i="2"/>
  <c r="Z110" i="2" s="1"/>
  <c r="P110" i="2"/>
  <c r="BO109" i="2"/>
  <c r="BM109" i="2"/>
  <c r="Y109" i="2"/>
  <c r="BN109" i="2" s="1"/>
  <c r="BO108" i="2"/>
  <c r="BM108" i="2"/>
  <c r="Y108" i="2"/>
  <c r="BN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BO96" i="2"/>
  <c r="BM96" i="2"/>
  <c r="Y96" i="2"/>
  <c r="Z96" i="2" s="1"/>
  <c r="P96" i="2"/>
  <c r="BO95" i="2"/>
  <c r="BM95" i="2"/>
  <c r="Y95" i="2"/>
  <c r="Z95" i="2" s="1"/>
  <c r="P95" i="2"/>
  <c r="BO94" i="2"/>
  <c r="BM94" i="2"/>
  <c r="Y94" i="2"/>
  <c r="BN94" i="2" s="1"/>
  <c r="BP93" i="2"/>
  <c r="BO93" i="2"/>
  <c r="BM93" i="2"/>
  <c r="Y93" i="2"/>
  <c r="Z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Z87" i="2" s="1"/>
  <c r="BO86" i="2"/>
  <c r="BM86" i="2"/>
  <c r="Y86" i="2"/>
  <c r="BN86" i="2" s="1"/>
  <c r="P86" i="2"/>
  <c r="BO85" i="2"/>
  <c r="BM85" i="2"/>
  <c r="Y85" i="2"/>
  <c r="F570" i="2" s="1"/>
  <c r="P85" i="2"/>
  <c r="X82" i="2"/>
  <c r="X81" i="2"/>
  <c r="BO80" i="2"/>
  <c r="BM80" i="2"/>
  <c r="Y80" i="2"/>
  <c r="Z80" i="2" s="1"/>
  <c r="P80" i="2"/>
  <c r="BP79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BN50" i="2" s="1"/>
  <c r="P50" i="2"/>
  <c r="BO49" i="2"/>
  <c r="BM49" i="2"/>
  <c r="Y49" i="2"/>
  <c r="BN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O31" i="2"/>
  <c r="BM31" i="2"/>
  <c r="Y31" i="2"/>
  <c r="BN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BN89" i="2" l="1"/>
  <c r="BN176" i="2"/>
  <c r="BN181" i="2"/>
  <c r="BN215" i="2"/>
  <c r="BN234" i="2"/>
  <c r="BN294" i="2"/>
  <c r="BN308" i="2"/>
  <c r="BN361" i="2"/>
  <c r="BN426" i="2"/>
  <c r="BN438" i="2"/>
  <c r="BN482" i="2"/>
  <c r="BN506" i="2"/>
  <c r="BP27" i="2"/>
  <c r="BN57" i="2"/>
  <c r="Z67" i="2"/>
  <c r="BN67" i="2"/>
  <c r="BN87" i="2"/>
  <c r="BP98" i="2"/>
  <c r="BN104" i="2"/>
  <c r="Z138" i="2"/>
  <c r="BN138" i="2"/>
  <c r="Z155" i="2"/>
  <c r="Y177" i="2"/>
  <c r="BN189" i="2"/>
  <c r="BN229" i="2"/>
  <c r="BN246" i="2"/>
  <c r="BP252" i="2"/>
  <c r="BN257" i="2"/>
  <c r="BN267" i="2"/>
  <c r="Z273" i="2"/>
  <c r="BP285" i="2"/>
  <c r="BN288" i="2"/>
  <c r="BN331" i="2"/>
  <c r="BP340" i="2"/>
  <c r="BN346" i="2"/>
  <c r="Z461" i="2"/>
  <c r="BN461" i="2"/>
  <c r="BN470" i="2"/>
  <c r="BN518" i="2"/>
  <c r="BP523" i="2"/>
  <c r="Z31" i="2"/>
  <c r="BP31" i="2"/>
  <c r="Z48" i="2"/>
  <c r="BP48" i="2"/>
  <c r="Z77" i="2"/>
  <c r="BP77" i="2"/>
  <c r="Z117" i="2"/>
  <c r="BP117" i="2"/>
  <c r="Z191" i="2"/>
  <c r="Z214" i="2"/>
  <c r="BP214" i="2"/>
  <c r="Z233" i="2"/>
  <c r="Z236" i="2"/>
  <c r="Z244" i="2"/>
  <c r="BP244" i="2"/>
  <c r="Z276" i="2"/>
  <c r="BP277" i="2"/>
  <c r="Z284" i="2"/>
  <c r="Z304" i="2"/>
  <c r="Z310" i="2"/>
  <c r="Z376" i="2"/>
  <c r="BP387" i="2"/>
  <c r="BP392" i="2"/>
  <c r="Z481" i="2"/>
  <c r="BP481" i="2"/>
  <c r="Z527" i="2"/>
  <c r="Z40" i="2"/>
  <c r="Z57" i="2"/>
  <c r="BN72" i="2"/>
  <c r="Z108" i="2"/>
  <c r="Y151" i="2"/>
  <c r="BP160" i="2"/>
  <c r="BP211" i="2"/>
  <c r="Z229" i="2"/>
  <c r="Z234" i="2"/>
  <c r="Y255" i="2"/>
  <c r="BN263" i="2"/>
  <c r="Z277" i="2"/>
  <c r="Z331" i="2"/>
  <c r="BN332" i="2"/>
  <c r="Z346" i="2"/>
  <c r="BN348" i="2"/>
  <c r="BP367" i="2"/>
  <c r="BN369" i="2"/>
  <c r="Z387" i="2"/>
  <c r="BN405" i="2"/>
  <c r="BN412" i="2"/>
  <c r="BP480" i="2"/>
  <c r="Y495" i="2"/>
  <c r="BN498" i="2"/>
  <c r="Z506" i="2"/>
  <c r="BN507" i="2"/>
  <c r="Z517" i="2"/>
  <c r="BP526" i="2"/>
  <c r="BN552" i="2"/>
  <c r="Z64" i="2"/>
  <c r="BN73" i="2"/>
  <c r="Z86" i="2"/>
  <c r="Z97" i="2"/>
  <c r="Z104" i="2"/>
  <c r="BP124" i="2"/>
  <c r="BP126" i="2"/>
  <c r="BP156" i="2"/>
  <c r="Y203" i="2"/>
  <c r="BP226" i="2"/>
  <c r="BN236" i="2"/>
  <c r="Z251" i="2"/>
  <c r="Z257" i="2"/>
  <c r="Z258" i="2" s="1"/>
  <c r="BP257" i="2"/>
  <c r="Z288" i="2"/>
  <c r="BN292" i="2"/>
  <c r="Z307" i="2"/>
  <c r="BN333" i="2"/>
  <c r="BP345" i="2"/>
  <c r="BN359" i="2"/>
  <c r="Y362" i="2"/>
  <c r="Z367" i="2"/>
  <c r="BN370" i="2"/>
  <c r="BN377" i="2"/>
  <c r="Z379" i="2"/>
  <c r="BN400" i="2"/>
  <c r="BN406" i="2"/>
  <c r="Z443" i="2"/>
  <c r="BP456" i="2"/>
  <c r="Z470" i="2"/>
  <c r="Z480" i="2"/>
  <c r="BN510" i="2"/>
  <c r="Z513" i="2"/>
  <c r="Z526" i="2"/>
  <c r="BN527" i="2"/>
  <c r="Z539" i="2"/>
  <c r="Z540" i="2" s="1"/>
  <c r="BP547" i="2"/>
  <c r="Z424" i="2"/>
  <c r="BP424" i="2"/>
  <c r="Y427" i="2"/>
  <c r="Y396" i="2"/>
  <c r="Z394" i="2"/>
  <c r="Y280" i="2"/>
  <c r="Z419" i="2"/>
  <c r="BN93" i="2"/>
  <c r="BN450" i="2"/>
  <c r="BP388" i="2"/>
  <c r="BN388" i="2"/>
  <c r="Z353" i="2"/>
  <c r="Z355" i="2" s="1"/>
  <c r="BP375" i="2"/>
  <c r="Y395" i="2"/>
  <c r="Z393" i="2"/>
  <c r="Z524" i="2"/>
  <c r="BN368" i="2"/>
  <c r="X562" i="2"/>
  <c r="BN436" i="2"/>
  <c r="X560" i="2"/>
  <c r="X564" i="2"/>
  <c r="BP517" i="2"/>
  <c r="AA570" i="2"/>
  <c r="X561" i="2"/>
  <c r="A10" i="2"/>
  <c r="BP29" i="2"/>
  <c r="Y32" i="2"/>
  <c r="BP38" i="2"/>
  <c r="BP50" i="2"/>
  <c r="BP71" i="2"/>
  <c r="BP133" i="2"/>
  <c r="BN157" i="2"/>
  <c r="BP157" i="2"/>
  <c r="BP183" i="2"/>
  <c r="BN187" i="2"/>
  <c r="BP187" i="2"/>
  <c r="BN188" i="2"/>
  <c r="Z188" i="2"/>
  <c r="BP213" i="2"/>
  <c r="BN227" i="2"/>
  <c r="BP227" i="2"/>
  <c r="Z227" i="2"/>
  <c r="BN283" i="2"/>
  <c r="Z283" i="2"/>
  <c r="BN349" i="2"/>
  <c r="Z349" i="2"/>
  <c r="BN378" i="2"/>
  <c r="BP378" i="2"/>
  <c r="Z378" i="2"/>
  <c r="BP411" i="2"/>
  <c r="BN411" i="2"/>
  <c r="Z411" i="2"/>
  <c r="BP466" i="2"/>
  <c r="Y467" i="2"/>
  <c r="Z466" i="2"/>
  <c r="Z467" i="2" s="1"/>
  <c r="H9" i="2"/>
  <c r="BP22" i="2"/>
  <c r="BN30" i="2"/>
  <c r="Z38" i="2"/>
  <c r="BP39" i="2"/>
  <c r="BP41" i="2"/>
  <c r="Y52" i="2"/>
  <c r="Z50" i="2"/>
  <c r="Z59" i="2"/>
  <c r="BP59" i="2"/>
  <c r="BP66" i="2"/>
  <c r="BN78" i="2"/>
  <c r="BP86" i="2"/>
  <c r="BP89" i="2"/>
  <c r="Y99" i="2"/>
  <c r="BP97" i="2"/>
  <c r="BN106" i="2"/>
  <c r="BP108" i="2"/>
  <c r="BP109" i="2"/>
  <c r="Z116" i="2"/>
  <c r="BP116" i="2"/>
  <c r="BN118" i="2"/>
  <c r="Y119" i="2"/>
  <c r="Z123" i="2"/>
  <c r="BP123" i="2"/>
  <c r="Z127" i="2"/>
  <c r="BP127" i="2"/>
  <c r="Z133" i="2"/>
  <c r="Y140" i="2"/>
  <c r="Y141" i="2"/>
  <c r="BN143" i="2"/>
  <c r="BN149" i="2"/>
  <c r="Y150" i="2"/>
  <c r="BP155" i="2"/>
  <c r="Z157" i="2"/>
  <c r="BP158" i="2"/>
  <c r="Z158" i="2"/>
  <c r="BN180" i="2"/>
  <c r="Y192" i="2"/>
  <c r="Z180" i="2"/>
  <c r="Z183" i="2"/>
  <c r="Z213" i="2"/>
  <c r="BP216" i="2"/>
  <c r="Y223" i="2"/>
  <c r="BP222" i="2"/>
  <c r="BN237" i="2"/>
  <c r="BP237" i="2"/>
  <c r="BP322" i="2"/>
  <c r="BN322" i="2"/>
  <c r="Z322" i="2"/>
  <c r="BN399" i="2"/>
  <c r="BP399" i="2"/>
  <c r="BN445" i="2"/>
  <c r="BP445" i="2"/>
  <c r="Y468" i="2"/>
  <c r="BP471" i="2"/>
  <c r="BN471" i="2"/>
  <c r="Z471" i="2"/>
  <c r="Z473" i="2" s="1"/>
  <c r="BP483" i="2"/>
  <c r="BN483" i="2"/>
  <c r="Z483" i="2"/>
  <c r="J9" i="2"/>
  <c r="BP28" i="2"/>
  <c r="BN29" i="2"/>
  <c r="Y33" i="2"/>
  <c r="BN71" i="2"/>
  <c r="BP87" i="2"/>
  <c r="BN88" i="2"/>
  <c r="G570" i="2"/>
  <c r="BP115" i="2"/>
  <c r="BP128" i="2"/>
  <c r="Y134" i="2"/>
  <c r="BN144" i="2"/>
  <c r="BP159" i="2"/>
  <c r="BP190" i="2"/>
  <c r="Z190" i="2"/>
  <c r="BN286" i="2"/>
  <c r="Z286" i="2"/>
  <c r="BN289" i="2"/>
  <c r="BP289" i="2"/>
  <c r="Z289" i="2"/>
  <c r="Y300" i="2"/>
  <c r="BN305" i="2"/>
  <c r="Z305" i="2"/>
  <c r="BN309" i="2"/>
  <c r="BP309" i="2"/>
  <c r="Z309" i="2"/>
  <c r="BP407" i="2"/>
  <c r="Y408" i="2"/>
  <c r="Z407" i="2"/>
  <c r="BN439" i="2"/>
  <c r="Z439" i="2"/>
  <c r="BN455" i="2"/>
  <c r="Y457" i="2"/>
  <c r="BP455" i="2"/>
  <c r="Z455" i="2"/>
  <c r="BP499" i="2"/>
  <c r="BN499" i="2"/>
  <c r="BP508" i="2"/>
  <c r="BN508" i="2"/>
  <c r="Z508" i="2"/>
  <c r="BN525" i="2"/>
  <c r="BP525" i="2"/>
  <c r="Z525" i="2"/>
  <c r="BP528" i="2"/>
  <c r="Z528" i="2"/>
  <c r="Z28" i="2"/>
  <c r="Z30" i="2"/>
  <c r="BP40" i="2"/>
  <c r="BN41" i="2"/>
  <c r="BP56" i="2"/>
  <c r="BP73" i="2"/>
  <c r="Z78" i="2"/>
  <c r="BP85" i="2"/>
  <c r="Y100" i="2"/>
  <c r="BP94" i="2"/>
  <c r="Z106" i="2"/>
  <c r="Z115" i="2"/>
  <c r="Z118" i="2"/>
  <c r="Y120" i="2"/>
  <c r="Z128" i="2"/>
  <c r="Z132" i="2"/>
  <c r="Z134" i="2" s="1"/>
  <c r="BP132" i="2"/>
  <c r="Y135" i="2"/>
  <c r="Z149" i="2"/>
  <c r="Z150" i="2" s="1"/>
  <c r="Z159" i="2"/>
  <c r="BP182" i="2"/>
  <c r="Z182" i="2"/>
  <c r="BP188" i="2"/>
  <c r="BP191" i="2"/>
  <c r="BN197" i="2"/>
  <c r="BP197" i="2"/>
  <c r="BN232" i="2"/>
  <c r="BP232" i="2"/>
  <c r="Y248" i="2"/>
  <c r="BP247" i="2"/>
  <c r="BN268" i="2"/>
  <c r="BP268" i="2"/>
  <c r="Z268" i="2"/>
  <c r="BN275" i="2"/>
  <c r="BP275" i="2"/>
  <c r="BP299" i="2"/>
  <c r="BN299" i="2"/>
  <c r="Z299" i="2"/>
  <c r="BP318" i="2"/>
  <c r="Y319" i="2"/>
  <c r="Z318" i="2"/>
  <c r="Z319" i="2" s="1"/>
  <c r="BN329" i="2"/>
  <c r="Y334" i="2"/>
  <c r="BP329" i="2"/>
  <c r="Y335" i="2"/>
  <c r="BN339" i="2"/>
  <c r="Z339" i="2"/>
  <c r="BN385" i="2"/>
  <c r="BP385" i="2"/>
  <c r="BP433" i="2"/>
  <c r="Z433" i="2"/>
  <c r="Z457" i="2"/>
  <c r="Y570" i="2"/>
  <c r="BP478" i="2"/>
  <c r="Y484" i="2"/>
  <c r="BP511" i="2"/>
  <c r="BN511" i="2"/>
  <c r="BN551" i="2"/>
  <c r="Z551" i="2"/>
  <c r="BP233" i="2"/>
  <c r="BN235" i="2"/>
  <c r="BP239" i="2"/>
  <c r="BP243" i="2"/>
  <c r="BN245" i="2"/>
  <c r="BP262" i="2"/>
  <c r="BN272" i="2"/>
  <c r="BP276" i="2"/>
  <c r="BN278" i="2"/>
  <c r="BP284" i="2"/>
  <c r="BN287" i="2"/>
  <c r="Y301" i="2"/>
  <c r="Y311" i="2"/>
  <c r="BP330" i="2"/>
  <c r="T570" i="2"/>
  <c r="BP366" i="2"/>
  <c r="BP386" i="2"/>
  <c r="BP479" i="2"/>
  <c r="BP487" i="2"/>
  <c r="J570" i="2"/>
  <c r="BP171" i="2"/>
  <c r="BP186" i="2"/>
  <c r="Y198" i="2"/>
  <c r="BP196" i="2"/>
  <c r="BP212" i="2"/>
  <c r="BP231" i="2"/>
  <c r="Z243" i="2"/>
  <c r="Z246" i="2"/>
  <c r="BP253" i="2"/>
  <c r="Z269" i="2"/>
  <c r="BP267" i="2"/>
  <c r="BP274" i="2"/>
  <c r="Y281" i="2"/>
  <c r="Z298" i="2"/>
  <c r="Z300" i="2" s="1"/>
  <c r="BP298" i="2"/>
  <c r="Z308" i="2"/>
  <c r="BN310" i="2"/>
  <c r="Z314" i="2"/>
  <c r="Z315" i="2" s="1"/>
  <c r="Z330" i="2"/>
  <c r="Z333" i="2"/>
  <c r="Z348" i="2"/>
  <c r="Z366" i="2"/>
  <c r="Z369" i="2"/>
  <c r="Z377" i="2"/>
  <c r="BN379" i="2"/>
  <c r="Z386" i="2"/>
  <c r="BN392" i="2"/>
  <c r="Z400" i="2"/>
  <c r="BP419" i="2"/>
  <c r="Y428" i="2"/>
  <c r="Z426" i="2"/>
  <c r="Z438" i="2"/>
  <c r="X570" i="2"/>
  <c r="Z462" i="2"/>
  <c r="Z479" i="2"/>
  <c r="Z482" i="2"/>
  <c r="Z487" i="2"/>
  <c r="BP488" i="2"/>
  <c r="Z570" i="2"/>
  <c r="BP498" i="2"/>
  <c r="BN505" i="2"/>
  <c r="Z507" i="2"/>
  <c r="BP510" i="2"/>
  <c r="Z518" i="2"/>
  <c r="Z520" i="2" s="1"/>
  <c r="BP524" i="2"/>
  <c r="BP535" i="2"/>
  <c r="BP539" i="2"/>
  <c r="Y559" i="2"/>
  <c r="Z169" i="2"/>
  <c r="BP176" i="2"/>
  <c r="Y178" i="2"/>
  <c r="BP181" i="2"/>
  <c r="Z184" i="2"/>
  <c r="Y193" i="2"/>
  <c r="Z186" i="2"/>
  <c r="BP189" i="2"/>
  <c r="Z196" i="2"/>
  <c r="Z212" i="2"/>
  <c r="Z215" i="2"/>
  <c r="Z231" i="2"/>
  <c r="Z235" i="2"/>
  <c r="BN239" i="2"/>
  <c r="Z245" i="2"/>
  <c r="Y254" i="2"/>
  <c r="BP251" i="2"/>
  <c r="Z253" i="2"/>
  <c r="BN262" i="2"/>
  <c r="Z272" i="2"/>
  <c r="Z274" i="2"/>
  <c r="Z278" i="2"/>
  <c r="Z287" i="2"/>
  <c r="BP292" i="2"/>
  <c r="BN293" i="2"/>
  <c r="BP307" i="2"/>
  <c r="Y312" i="2"/>
  <c r="Z332" i="2"/>
  <c r="Y341" i="2"/>
  <c r="BP361" i="2"/>
  <c r="Y363" i="2"/>
  <c r="Z368" i="2"/>
  <c r="BP376" i="2"/>
  <c r="BN380" i="2"/>
  <c r="BP394" i="2"/>
  <c r="W570" i="2"/>
  <c r="Z436" i="2"/>
  <c r="BP450" i="2"/>
  <c r="BN451" i="2"/>
  <c r="Z463" i="2"/>
  <c r="BN512" i="2"/>
  <c r="Y514" i="2"/>
  <c r="Z107" i="2"/>
  <c r="Z164" i="2"/>
  <c r="Z165" i="2" s="1"/>
  <c r="Z195" i="2"/>
  <c r="Z230" i="2"/>
  <c r="BN170" i="2"/>
  <c r="BN354" i="2"/>
  <c r="BN398" i="2"/>
  <c r="Y409" i="2"/>
  <c r="BN434" i="2"/>
  <c r="BN444" i="2"/>
  <c r="Y515" i="2"/>
  <c r="Y553" i="2"/>
  <c r="K570" i="2"/>
  <c r="H570" i="2"/>
  <c r="Y43" i="2"/>
  <c r="BN55" i="2"/>
  <c r="Y68" i="2"/>
  <c r="Z47" i="2"/>
  <c r="BP49" i="2"/>
  <c r="Z58" i="2"/>
  <c r="BN80" i="2"/>
  <c r="Z105" i="2"/>
  <c r="BP107" i="2"/>
  <c r="BN110" i="2"/>
  <c r="BP122" i="2"/>
  <c r="BN125" i="2"/>
  <c r="Z139" i="2"/>
  <c r="Z140" i="2" s="1"/>
  <c r="BP154" i="2"/>
  <c r="BP164" i="2"/>
  <c r="BN175" i="2"/>
  <c r="BP195" i="2"/>
  <c r="BN205" i="2"/>
  <c r="BN217" i="2"/>
  <c r="Z228" i="2"/>
  <c r="BP230" i="2"/>
  <c r="BN238" i="2"/>
  <c r="Y249" i="2"/>
  <c r="Y264" i="2"/>
  <c r="BP273" i="2"/>
  <c r="BP283" i="2"/>
  <c r="BN291" i="2"/>
  <c r="BP304" i="2"/>
  <c r="BP314" i="2"/>
  <c r="BN324" i="2"/>
  <c r="BP338" i="2"/>
  <c r="Z347" i="2"/>
  <c r="BP349" i="2"/>
  <c r="BN360" i="2"/>
  <c r="BN371" i="2"/>
  <c r="BN381" i="2"/>
  <c r="BP393" i="2"/>
  <c r="Z401" i="2"/>
  <c r="BN413" i="2"/>
  <c r="Z425" i="2"/>
  <c r="Z437" i="2"/>
  <c r="BP439" i="2"/>
  <c r="BN449" i="2"/>
  <c r="Y452" i="2"/>
  <c r="BP462" i="2"/>
  <c r="BN472" i="2"/>
  <c r="Y485" i="2"/>
  <c r="BN497" i="2"/>
  <c r="Y500" i="2"/>
  <c r="BN509" i="2"/>
  <c r="BN519" i="2"/>
  <c r="BN529" i="2"/>
  <c r="BN543" i="2"/>
  <c r="L570" i="2"/>
  <c r="Z185" i="2"/>
  <c r="BN96" i="2"/>
  <c r="BN185" i="2"/>
  <c r="Y320" i="2"/>
  <c r="BN23" i="2"/>
  <c r="BP37" i="2"/>
  <c r="BP60" i="2"/>
  <c r="F9" i="2"/>
  <c r="BP55" i="2"/>
  <c r="BP65" i="2"/>
  <c r="Z94" i="2"/>
  <c r="BP96" i="2"/>
  <c r="Z144" i="2"/>
  <c r="BP170" i="2"/>
  <c r="BP185" i="2"/>
  <c r="Y199" i="2"/>
  <c r="Y224" i="2"/>
  <c r="Y269" i="2"/>
  <c r="Z294" i="2"/>
  <c r="Y342" i="2"/>
  <c r="BP354" i="2"/>
  <c r="BN366" i="2"/>
  <c r="Y389" i="2"/>
  <c r="BP398" i="2"/>
  <c r="Z406" i="2"/>
  <c r="Z432" i="2"/>
  <c r="BP434" i="2"/>
  <c r="BP444" i="2"/>
  <c r="Y490" i="2"/>
  <c r="Z512" i="2"/>
  <c r="Y537" i="2"/>
  <c r="Y549" i="2"/>
  <c r="M570" i="2"/>
  <c r="Z60" i="2"/>
  <c r="BN65" i="2"/>
  <c r="BP23" i="2"/>
  <c r="BN47" i="2"/>
  <c r="BN58" i="2"/>
  <c r="Y61" i="2"/>
  <c r="Y69" i="2"/>
  <c r="BP80" i="2"/>
  <c r="BN105" i="2"/>
  <c r="BP110" i="2"/>
  <c r="BP125" i="2"/>
  <c r="BN139" i="2"/>
  <c r="Y165" i="2"/>
  <c r="BP175" i="2"/>
  <c r="BP205" i="2"/>
  <c r="BP217" i="2"/>
  <c r="BN228" i="2"/>
  <c r="BP238" i="2"/>
  <c r="BP291" i="2"/>
  <c r="Y315" i="2"/>
  <c r="BP324" i="2"/>
  <c r="BN347" i="2"/>
  <c r="Y350" i="2"/>
  <c r="BP360" i="2"/>
  <c r="BP371" i="2"/>
  <c r="BP381" i="2"/>
  <c r="BN401" i="2"/>
  <c r="BP413" i="2"/>
  <c r="BN425" i="2"/>
  <c r="BN437" i="2"/>
  <c r="Y440" i="2"/>
  <c r="BP449" i="2"/>
  <c r="Y463" i="2"/>
  <c r="BP472" i="2"/>
  <c r="BP497" i="2"/>
  <c r="BP509" i="2"/>
  <c r="BP519" i="2"/>
  <c r="BP529" i="2"/>
  <c r="BP543" i="2"/>
  <c r="Y554" i="2"/>
  <c r="O570" i="2"/>
  <c r="Y241" i="2"/>
  <c r="Y265" i="2"/>
  <c r="Y355" i="2"/>
  <c r="Y453" i="2"/>
  <c r="Y501" i="2"/>
  <c r="P570" i="2"/>
  <c r="Z126" i="2"/>
  <c r="Z171" i="2"/>
  <c r="Z201" i="2"/>
  <c r="Z202" i="2" s="1"/>
  <c r="Y206" i="2"/>
  <c r="Y218" i="2"/>
  <c r="Z226" i="2"/>
  <c r="Y325" i="2"/>
  <c r="Z345" i="2"/>
  <c r="Y372" i="2"/>
  <c r="Y382" i="2"/>
  <c r="Y390" i="2"/>
  <c r="Z399" i="2"/>
  <c r="Y414" i="2"/>
  <c r="Z435" i="2"/>
  <c r="Z445" i="2"/>
  <c r="Z446" i="2" s="1"/>
  <c r="Y473" i="2"/>
  <c r="Z493" i="2"/>
  <c r="Z494" i="2" s="1"/>
  <c r="Y520" i="2"/>
  <c r="Y530" i="2"/>
  <c r="Y544" i="2"/>
  <c r="Q570" i="2"/>
  <c r="Y62" i="2"/>
  <c r="Y129" i="2"/>
  <c r="Y166" i="2"/>
  <c r="BN251" i="2"/>
  <c r="Y316" i="2"/>
  <c r="Y351" i="2"/>
  <c r="Y420" i="2"/>
  <c r="BP432" i="2"/>
  <c r="Y441" i="2"/>
  <c r="Y464" i="2"/>
  <c r="BN487" i="2"/>
  <c r="Z557" i="2"/>
  <c r="Z558" i="2" s="1"/>
  <c r="R570" i="2"/>
  <c r="Z37" i="2"/>
  <c r="Z154" i="2"/>
  <c r="Y24" i="2"/>
  <c r="BP47" i="2"/>
  <c r="Z56" i="2"/>
  <c r="Z66" i="2"/>
  <c r="Y81" i="2"/>
  <c r="Z103" i="2"/>
  <c r="Y111" i="2"/>
  <c r="BN103" i="2"/>
  <c r="BN201" i="2"/>
  <c r="Y356" i="2"/>
  <c r="Y402" i="2"/>
  <c r="BN493" i="2"/>
  <c r="BN539" i="2"/>
  <c r="S570" i="2"/>
  <c r="Z49" i="2"/>
  <c r="Z122" i="2"/>
  <c r="Y25" i="2"/>
  <c r="Y74" i="2"/>
  <c r="Y82" i="2"/>
  <c r="Y90" i="2"/>
  <c r="Y112" i="2"/>
  <c r="Y145" i="2"/>
  <c r="Y207" i="2"/>
  <c r="Y219" i="2"/>
  <c r="Y295" i="2"/>
  <c r="Y326" i="2"/>
  <c r="Y373" i="2"/>
  <c r="Y383" i="2"/>
  <c r="Y415" i="2"/>
  <c r="Y474" i="2"/>
  <c r="Y521" i="2"/>
  <c r="Y531" i="2"/>
  <c r="Y545" i="2"/>
  <c r="BN557" i="2"/>
  <c r="Y161" i="2"/>
  <c r="Y421" i="2"/>
  <c r="B570" i="2"/>
  <c r="U570" i="2"/>
  <c r="Z109" i="2"/>
  <c r="Z124" i="2"/>
  <c r="Z216" i="2"/>
  <c r="Z237" i="2"/>
  <c r="Z247" i="2"/>
  <c r="Z248" i="2" s="1"/>
  <c r="Z290" i="2"/>
  <c r="Z323" i="2"/>
  <c r="Z325" i="2" s="1"/>
  <c r="Z359" i="2"/>
  <c r="Z362" i="2" s="1"/>
  <c r="Z370" i="2"/>
  <c r="Z372" i="2" s="1"/>
  <c r="Z380" i="2"/>
  <c r="Y403" i="2"/>
  <c r="Z412" i="2"/>
  <c r="BP557" i="2"/>
  <c r="C570" i="2"/>
  <c r="V570" i="2"/>
  <c r="Y130" i="2"/>
  <c r="Z22" i="2"/>
  <c r="Z24" i="2" s="1"/>
  <c r="Y51" i="2"/>
  <c r="Z79" i="2"/>
  <c r="Z81" i="2" s="1"/>
  <c r="Z27" i="2"/>
  <c r="Z39" i="2"/>
  <c r="BN64" i="2"/>
  <c r="Y75" i="2"/>
  <c r="Z85" i="2"/>
  <c r="Y91" i="2"/>
  <c r="BN95" i="2"/>
  <c r="Z98" i="2"/>
  <c r="Z114" i="2"/>
  <c r="Y146" i="2"/>
  <c r="Z156" i="2"/>
  <c r="BN169" i="2"/>
  <c r="Y172" i="2"/>
  <c r="BN184" i="2"/>
  <c r="Z187" i="2"/>
  <c r="Z197" i="2"/>
  <c r="Z211" i="2"/>
  <c r="Z222" i="2"/>
  <c r="Z223" i="2" s="1"/>
  <c r="Z232" i="2"/>
  <c r="Z252" i="2"/>
  <c r="Z254" i="2" s="1"/>
  <c r="Z275" i="2"/>
  <c r="Z285" i="2"/>
  <c r="Y296" i="2"/>
  <c r="Z306" i="2"/>
  <c r="Z311" i="2" s="1"/>
  <c r="BN318" i="2"/>
  <c r="Z329" i="2"/>
  <c r="Z334" i="2" s="1"/>
  <c r="Z340" i="2"/>
  <c r="BN353" i="2"/>
  <c r="Z375" i="2"/>
  <c r="Z385" i="2"/>
  <c r="Z389" i="2" s="1"/>
  <c r="BN407" i="2"/>
  <c r="Z418" i="2"/>
  <c r="BN433" i="2"/>
  <c r="BN443" i="2"/>
  <c r="Y446" i="2"/>
  <c r="BN466" i="2"/>
  <c r="Z478" i="2"/>
  <c r="Z488" i="2"/>
  <c r="Y494" i="2"/>
  <c r="BN513" i="2"/>
  <c r="Z523" i="2"/>
  <c r="Z535" i="2"/>
  <c r="Z536" i="2" s="1"/>
  <c r="Z547" i="2"/>
  <c r="Z548" i="2" s="1"/>
  <c r="D570" i="2"/>
  <c r="BN528" i="2"/>
  <c r="Z552" i="2"/>
  <c r="Z553" i="2" s="1"/>
  <c r="Y558" i="2"/>
  <c r="E570" i="2"/>
  <c r="Y162" i="2"/>
  <c r="Y240" i="2"/>
  <c r="BN247" i="2"/>
  <c r="BN290" i="2"/>
  <c r="BN323" i="2"/>
  <c r="Y42" i="2"/>
  <c r="Z72" i="2"/>
  <c r="Z74" i="2" s="1"/>
  <c r="BN85" i="2"/>
  <c r="Z88" i="2"/>
  <c r="BP95" i="2"/>
  <c r="Z143" i="2"/>
  <c r="BP169" i="2"/>
  <c r="BN222" i="2"/>
  <c r="Z263" i="2"/>
  <c r="Z264" i="2" s="1"/>
  <c r="Z293" i="2"/>
  <c r="Z405" i="2"/>
  <c r="Z451" i="2"/>
  <c r="Z452" i="2" s="1"/>
  <c r="BN478" i="2"/>
  <c r="Z499" i="2"/>
  <c r="Z500" i="2" s="1"/>
  <c r="Z511" i="2"/>
  <c r="Z514" i="2" s="1"/>
  <c r="BN535" i="2"/>
  <c r="BN547" i="2"/>
  <c r="Y447" i="2"/>
  <c r="I570" i="2"/>
  <c r="AB570" i="2"/>
  <c r="BN195" i="2"/>
  <c r="BN338" i="2"/>
  <c r="Z145" i="2" l="1"/>
  <c r="Z484" i="2"/>
  <c r="Z341" i="2"/>
  <c r="Z280" i="2"/>
  <c r="Z119" i="2"/>
  <c r="Z32" i="2"/>
  <c r="Z414" i="2"/>
  <c r="Z68" i="2"/>
  <c r="Z402" i="2"/>
  <c r="Z350" i="2"/>
  <c r="Z192" i="2"/>
  <c r="Z489" i="2"/>
  <c r="Z295" i="2"/>
  <c r="Z61" i="2"/>
  <c r="Z395" i="2"/>
  <c r="Z172" i="2"/>
  <c r="Z427" i="2"/>
  <c r="Z420" i="2"/>
  <c r="Z382" i="2"/>
  <c r="Z530" i="2"/>
  <c r="X563" i="2"/>
  <c r="Z42" i="2"/>
  <c r="Z99" i="2"/>
  <c r="Z218" i="2"/>
  <c r="Z90" i="2"/>
  <c r="Z440" i="2"/>
  <c r="Y562" i="2"/>
  <c r="Y561" i="2"/>
  <c r="Z161" i="2"/>
  <c r="Y564" i="2"/>
  <c r="Z198" i="2"/>
  <c r="Y560" i="2"/>
  <c r="Z129" i="2"/>
  <c r="Z51" i="2"/>
  <c r="Z408" i="2"/>
  <c r="Z111" i="2"/>
  <c r="Z240" i="2"/>
  <c r="Y563" i="2" l="1"/>
  <c r="Z565" i="2"/>
</calcChain>
</file>

<file path=xl/sharedStrings.xml><?xml version="1.0" encoding="utf-8"?>
<sst xmlns="http://schemas.openxmlformats.org/spreadsheetml/2006/main" count="4318" uniqueCount="905">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</sst>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4" t="s">
        <v>26</v>
      </c>
      <c r="E1" s="654"/>
      <c r="F1" s="654"/>
      <c r="G1" s="14" t="s">
        <v>67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68</v>
      </c>
      <c r="S1" s="656"/>
      <c r="T1" s="6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 t="s">
        <v>904</v>
      </c>
      <c r="I5" s="659"/>
      <c r="J5" s="659"/>
      <c r="K5" s="659"/>
      <c r="L5" s="659"/>
      <c r="M5" s="659"/>
      <c r="N5" s="72"/>
      <c r="P5" s="27" t="s">
        <v>4</v>
      </c>
      <c r="Q5" s="661">
        <v>46268</v>
      </c>
      <c r="R5" s="661"/>
      <c r="T5" s="662" t="s">
        <v>3</v>
      </c>
      <c r="U5" s="663"/>
      <c r="V5" s="664" t="s">
        <v>880</v>
      </c>
      <c r="W5" s="665"/>
      <c r="AB5" s="59"/>
      <c r="AC5" s="59"/>
      <c r="AD5" s="59"/>
      <c r="AE5" s="59"/>
    </row>
    <row r="6" spans="1:32" s="17" customFormat="1" ht="24" customHeight="1" x14ac:dyDescent="0.2">
      <c r="A6" s="658" t="s">
        <v>1</v>
      </c>
      <c r="B6" s="658"/>
      <c r="C6" s="658"/>
      <c r="D6" s="666" t="s">
        <v>887</v>
      </c>
      <c r="E6" s="666"/>
      <c r="F6" s="666"/>
      <c r="G6" s="666"/>
      <c r="H6" s="666"/>
      <c r="I6" s="666"/>
      <c r="J6" s="666"/>
      <c r="K6" s="666"/>
      <c r="L6" s="666"/>
      <c r="M6" s="666"/>
      <c r="N6" s="73"/>
      <c r="P6" s="27" t="s">
        <v>27</v>
      </c>
      <c r="Q6" s="667" t="str">
        <f>IF(Q5=0," ",CHOOSE(WEEKDAY(Q5,2),"Понедельник","Вторник","Среда","Четверг","Пятница","Суббота","Воскресенье"))</f>
        <v>Четверг</v>
      </c>
      <c r="R6" s="667"/>
      <c r="T6" s="668" t="s">
        <v>5</v>
      </c>
      <c r="U6" s="669"/>
      <c r="V6" s="670" t="s">
        <v>70</v>
      </c>
      <c r="W6" s="6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6" t="str">
        <f>IFERROR(VLOOKUP(DeliveryAddress,Table,3,0),1)</f>
        <v>3</v>
      </c>
      <c r="E7" s="677"/>
      <c r="F7" s="677"/>
      <c r="G7" s="677"/>
      <c r="H7" s="677"/>
      <c r="I7" s="677"/>
      <c r="J7" s="677"/>
      <c r="K7" s="677"/>
      <c r="L7" s="677"/>
      <c r="M7" s="678"/>
      <c r="N7" s="74"/>
      <c r="P7" s="29"/>
      <c r="Q7" s="48"/>
      <c r="R7" s="48"/>
      <c r="T7" s="668"/>
      <c r="U7" s="669"/>
      <c r="V7" s="672"/>
      <c r="W7" s="673"/>
      <c r="AB7" s="59"/>
      <c r="AC7" s="59"/>
      <c r="AD7" s="59"/>
      <c r="AE7" s="59"/>
    </row>
    <row r="8" spans="1:32" s="17" customFormat="1" ht="25.5" customHeight="1" x14ac:dyDescent="0.2">
      <c r="A8" s="679" t="s">
        <v>58</v>
      </c>
      <c r="B8" s="679"/>
      <c r="C8" s="679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75"/>
      <c r="P8" s="27" t="s">
        <v>11</v>
      </c>
      <c r="Q8" s="681">
        <v>0.45833333333333331</v>
      </c>
      <c r="R8" s="681"/>
      <c r="T8" s="668"/>
      <c r="U8" s="669"/>
      <c r="V8" s="672"/>
      <c r="W8" s="673"/>
      <c r="AB8" s="59"/>
      <c r="AC8" s="59"/>
      <c r="AD8" s="59"/>
      <c r="AE8" s="59"/>
    </row>
    <row r="9" spans="1:32" s="17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2"/>
      <c r="C9" s="682"/>
      <c r="D9" s="683" t="s">
        <v>46</v>
      </c>
      <c r="E9" s="684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2"/>
      <c r="H9" s="685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70"/>
      <c r="P9" s="31" t="s">
        <v>15</v>
      </c>
      <c r="Q9" s="686"/>
      <c r="R9" s="686"/>
      <c r="T9" s="668"/>
      <c r="U9" s="669"/>
      <c r="V9" s="674"/>
      <c r="W9" s="6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2"/>
      <c r="C10" s="682"/>
      <c r="D10" s="683"/>
      <c r="E10" s="684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2"/>
      <c r="H10" s="687" t="str">
        <f>IFERROR(VLOOKUP($D$10,Proxy,2,FALSE),"")</f>
        <v/>
      </c>
      <c r="I10" s="687"/>
      <c r="J10" s="687"/>
      <c r="K10" s="687"/>
      <c r="L10" s="687"/>
      <c r="M10" s="687"/>
      <c r="N10" s="71"/>
      <c r="P10" s="31" t="s">
        <v>32</v>
      </c>
      <c r="Q10" s="688"/>
      <c r="R10" s="688"/>
      <c r="U10" s="29" t="s">
        <v>12</v>
      </c>
      <c r="V10" s="689" t="s">
        <v>71</v>
      </c>
      <c r="W10" s="6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1"/>
      <c r="R11" s="691"/>
      <c r="U11" s="29" t="s">
        <v>28</v>
      </c>
      <c r="V11" s="692" t="s">
        <v>55</v>
      </c>
      <c r="W11" s="6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3" t="s">
        <v>72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6"/>
      <c r="P12" s="27" t="s">
        <v>30</v>
      </c>
      <c r="Q12" s="681"/>
      <c r="R12" s="681"/>
      <c r="S12" s="28"/>
      <c r="T12"/>
      <c r="U12" s="29" t="s">
        <v>46</v>
      </c>
      <c r="V12" s="694"/>
      <c r="W12" s="694"/>
      <c r="X12"/>
      <c r="AB12" s="59"/>
      <c r="AC12" s="59"/>
      <c r="AD12" s="59"/>
      <c r="AE12" s="59"/>
    </row>
    <row r="13" spans="1:32" s="17" customFormat="1" ht="23.25" customHeight="1" x14ac:dyDescent="0.2">
      <c r="A13" s="693" t="s">
        <v>73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6"/>
      <c r="O13" s="31"/>
      <c r="P13" s="31" t="s">
        <v>31</v>
      </c>
      <c r="Q13" s="692"/>
      <c r="R13" s="6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3" t="s">
        <v>74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5" t="s">
        <v>75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7"/>
      <c r="O15"/>
      <c r="P15" s="696" t="s">
        <v>61</v>
      </c>
      <c r="Q15" s="696"/>
      <c r="R15" s="696"/>
      <c r="S15" s="696"/>
      <c r="T15" s="6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0" t="s">
        <v>59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700" t="s">
        <v>24</v>
      </c>
      <c r="H17" s="700" t="s">
        <v>22</v>
      </c>
      <c r="I17" s="700" t="s">
        <v>23</v>
      </c>
      <c r="J17" s="700" t="s">
        <v>16</v>
      </c>
      <c r="K17" s="700" t="s">
        <v>66</v>
      </c>
      <c r="L17" s="700" t="s">
        <v>64</v>
      </c>
      <c r="M17" s="700" t="s">
        <v>2</v>
      </c>
      <c r="N17" s="700" t="s">
        <v>63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56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60</v>
      </c>
      <c r="AB17" s="714" t="s">
        <v>19</v>
      </c>
      <c r="AC17" s="714" t="s">
        <v>65</v>
      </c>
      <c r="AD17" s="716" t="s">
        <v>57</v>
      </c>
      <c r="AE17" s="717"/>
      <c r="AF17" s="718"/>
      <c r="AG17" s="82"/>
      <c r="BD17" s="81" t="s">
        <v>62</v>
      </c>
    </row>
    <row r="18" spans="1:68" ht="14.25" customHeight="1" x14ac:dyDescent="0.2">
      <c r="A18" s="701"/>
      <c r="B18" s="701"/>
      <c r="C18" s="703"/>
      <c r="D18" s="706"/>
      <c r="E18" s="707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83" t="s">
        <v>44</v>
      </c>
      <c r="V18" s="83" t="s">
        <v>43</v>
      </c>
      <c r="W18" s="701"/>
      <c r="X18" s="701"/>
      <c r="Y18" s="711"/>
      <c r="Z18" s="713"/>
      <c r="AA18" s="715"/>
      <c r="AB18" s="715"/>
      <c r="AC18" s="715"/>
      <c r="AD18" s="719"/>
      <c r="AE18" s="720"/>
      <c r="AF18" s="721"/>
      <c r="AG18" s="82"/>
      <c r="BD18" s="81"/>
    </row>
    <row r="19" spans="1:68" ht="27.75" hidden="1" customHeight="1" x14ac:dyDescent="0.2">
      <c r="A19" s="722" t="s">
        <v>76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4"/>
      <c r="AB19" s="54"/>
      <c r="AC19" s="54"/>
    </row>
    <row r="20" spans="1:68" ht="16.5" hidden="1" customHeight="1" x14ac:dyDescent="0.25">
      <c r="A20" s="723" t="s">
        <v>76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5"/>
      <c r="AB20" s="65"/>
      <c r="AC20" s="79"/>
    </row>
    <row r="21" spans="1:68" ht="14.25" hidden="1" customHeight="1" x14ac:dyDescent="0.25">
      <c r="A21" s="724" t="s">
        <v>77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5">
        <v>4680115886643</v>
      </c>
      <c r="E22" s="72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5">
        <v>4680115889071</v>
      </c>
      <c r="E23" s="72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4" t="s">
        <v>86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5">
        <v>4680115885912</v>
      </c>
      <c r="E27" s="7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5">
        <v>4607091388237</v>
      </c>
      <c r="E28" s="7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5">
        <v>4680115887350</v>
      </c>
      <c r="E29" s="7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5">
        <v>4680115885905</v>
      </c>
      <c r="E30" s="7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5">
        <v>4680115887619</v>
      </c>
      <c r="E31" s="7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4"/>
      <c r="AB34" s="54"/>
      <c r="AC34" s="54"/>
    </row>
    <row r="35" spans="1:68" ht="16.5" hidden="1" customHeight="1" x14ac:dyDescent="0.25">
      <c r="A35" s="723" t="s">
        <v>104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5"/>
      <c r="AB35" s="65"/>
      <c r="AC35" s="79"/>
    </row>
    <row r="36" spans="1:68" ht="14.25" hidden="1" customHeight="1" x14ac:dyDescent="0.25">
      <c r="A36" s="724" t="s">
        <v>86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5">
        <v>4680115889354</v>
      </c>
      <c r="E37" s="72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5">
        <v>4680115888463</v>
      </c>
      <c r="E38" s="72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5">
        <v>4680115889590</v>
      </c>
      <c r="E39" s="72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5">
        <v>4680115888272</v>
      </c>
      <c r="E40" s="72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5">
        <v>4680115888364</v>
      </c>
      <c r="E41" s="72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2" t="s">
        <v>120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4"/>
      <c r="AB44" s="54"/>
      <c r="AC44" s="54"/>
    </row>
    <row r="45" spans="1:68" ht="16.5" hidden="1" customHeight="1" x14ac:dyDescent="0.25">
      <c r="A45" s="723" t="s">
        <v>121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5"/>
      <c r="AB45" s="65"/>
      <c r="AC45" s="79"/>
    </row>
    <row r="46" spans="1:68" ht="14.25" hidden="1" customHeight="1" x14ac:dyDescent="0.25">
      <c r="A46" s="724" t="s">
        <v>122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25">
        <v>4607091385670</v>
      </c>
      <c r="E47" s="72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9" t="s">
        <v>46</v>
      </c>
      <c r="V47" s="39" t="s">
        <v>46</v>
      </c>
      <c r="W47" s="40" t="s">
        <v>0</v>
      </c>
      <c r="X47" s="58">
        <v>200</v>
      </c>
      <c r="Y47" s="55">
        <f>IFERROR(IF(X47="",0,CEILING((X47/$H47),1)*$H47),"")</f>
        <v>205.20000000000002</v>
      </c>
      <c r="Z47" s="41">
        <f>IFERROR(IF(Y47=0,"",ROUNDUP(Y47/H47,0)*0.01898),"")</f>
        <v>0.36062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207.59259259259258</v>
      </c>
      <c r="BN47" s="78">
        <f>IFERROR(Y47*I47/H47,"0")</f>
        <v>212.99</v>
      </c>
      <c r="BO47" s="78">
        <f>IFERROR(1/J47*(X47/H47),"0")</f>
        <v>0.28935185185185186</v>
      </c>
      <c r="BP47" s="78">
        <f>IFERROR(1/J47*(Y47/H47),"0")</f>
        <v>0.296875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5">
        <v>4680115887725</v>
      </c>
      <c r="E48" s="72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25">
        <v>4607091385687</v>
      </c>
      <c r="E49" s="72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9" t="s">
        <v>46</v>
      </c>
      <c r="V49" s="39" t="s">
        <v>46</v>
      </c>
      <c r="W49" s="40" t="s">
        <v>0</v>
      </c>
      <c r="X49" s="58">
        <v>80</v>
      </c>
      <c r="Y49" s="55">
        <f>IFERROR(IF(X49="",0,CEILING((X49/$H49),1)*$H49),"")</f>
        <v>80</v>
      </c>
      <c r="Z49" s="41">
        <f>IFERROR(IF(Y49=0,"",ROUNDUP(Y49/H49,0)*0.00902),"")</f>
        <v>0.1804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83.800000000000011</v>
      </c>
      <c r="BN49" s="78">
        <f>IFERROR(Y49*I49/H49,"0")</f>
        <v>83.800000000000011</v>
      </c>
      <c r="BO49" s="78">
        <f>IFERROR(1/J49*(X49/H49),"0")</f>
        <v>0.15151515151515152</v>
      </c>
      <c r="BP49" s="78">
        <f>IFERROR(1/J49*(Y49/H49),"0")</f>
        <v>0.15151515151515152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5">
        <v>4680115882539</v>
      </c>
      <c r="E50" s="72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2" t="s">
        <v>39</v>
      </c>
      <c r="X51" s="43">
        <f>IFERROR(X47/H47,"0")+IFERROR(X48/H48,"0")+IFERROR(X49/H49,"0")+IFERROR(X50/H50,"0")</f>
        <v>38.518518518518519</v>
      </c>
      <c r="Y51" s="43">
        <f>IFERROR(Y47/H47,"0")+IFERROR(Y48/H48,"0")+IFERROR(Y49/H49,"0")+IFERROR(Y50/H50,"0")</f>
        <v>39</v>
      </c>
      <c r="Z51" s="43">
        <f>IFERROR(IF(Z47="",0,Z47),"0")+IFERROR(IF(Z48="",0,Z48),"0")+IFERROR(IF(Z49="",0,Z49),"0")+IFERROR(IF(Z50="",0,Z50),"0")</f>
        <v>0.54102000000000006</v>
      </c>
      <c r="AA51" s="67"/>
      <c r="AB51" s="67"/>
      <c r="AC51" s="67"/>
    </row>
    <row r="52" spans="1:68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2" t="s">
        <v>0</v>
      </c>
      <c r="X52" s="43">
        <f>IFERROR(SUM(X47:X50),"0")</f>
        <v>280</v>
      </c>
      <c r="Y52" s="43">
        <f>IFERROR(SUM(Y47:Y50),"0")</f>
        <v>285.20000000000005</v>
      </c>
      <c r="Z52" s="42"/>
      <c r="AA52" s="67"/>
      <c r="AB52" s="67"/>
      <c r="AC52" s="67"/>
    </row>
    <row r="53" spans="1:68" ht="16.5" hidden="1" customHeight="1" x14ac:dyDescent="0.25">
      <c r="A53" s="723" t="s">
        <v>137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5"/>
      <c r="AB53" s="65"/>
      <c r="AC53" s="79"/>
    </row>
    <row r="54" spans="1:68" ht="14.25" hidden="1" customHeight="1" x14ac:dyDescent="0.25">
      <c r="A54" s="724" t="s">
        <v>122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5">
        <v>4680115885882</v>
      </c>
      <c r="E55" s="72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25">
        <v>4680115881426</v>
      </c>
      <c r="E56" s="72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25">
        <v>4680115880283</v>
      </c>
      <c r="E57" s="72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7"/>
      <c r="R57" s="727"/>
      <c r="S57" s="727"/>
      <c r="T57" s="72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25">
        <v>4680115881525</v>
      </c>
      <c r="E58" s="72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7"/>
      <c r="R58" s="727"/>
      <c r="S58" s="727"/>
      <c r="T58" s="72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25">
        <v>4680115885899</v>
      </c>
      <c r="E59" s="72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7"/>
      <c r="R59" s="727"/>
      <c r="S59" s="727"/>
      <c r="T59" s="72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725">
        <v>4680115881419</v>
      </c>
      <c r="E60" s="72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7"/>
      <c r="R60" s="727"/>
      <c r="S60" s="727"/>
      <c r="T60" s="72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4"/>
      <c r="P61" s="730" t="s">
        <v>40</v>
      </c>
      <c r="Q61" s="731"/>
      <c r="R61" s="731"/>
      <c r="S61" s="731"/>
      <c r="T61" s="731"/>
      <c r="U61" s="731"/>
      <c r="V61" s="732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4"/>
      <c r="P62" s="730" t="s">
        <v>40</v>
      </c>
      <c r="Q62" s="731"/>
      <c r="R62" s="731"/>
      <c r="S62" s="731"/>
      <c r="T62" s="731"/>
      <c r="U62" s="731"/>
      <c r="V62" s="732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24" t="s">
        <v>155</v>
      </c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4"/>
      <c r="P63" s="724"/>
      <c r="Q63" s="724"/>
      <c r="R63" s="724"/>
      <c r="S63" s="724"/>
      <c r="T63" s="724"/>
      <c r="U63" s="724"/>
      <c r="V63" s="724"/>
      <c r="W63" s="724"/>
      <c r="X63" s="724"/>
      <c r="Y63" s="724"/>
      <c r="Z63" s="724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725">
        <v>4680115881440</v>
      </c>
      <c r="E64" s="72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7"/>
      <c r="R64" s="727"/>
      <c r="S64" s="727"/>
      <c r="T64" s="72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25">
        <v>4680115885950</v>
      </c>
      <c r="E65" s="72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7"/>
      <c r="R65" s="727"/>
      <c r="S65" s="727"/>
      <c r="T65" s="72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25">
        <v>4680115887688</v>
      </c>
      <c r="E66" s="72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5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7"/>
      <c r="R66" s="727"/>
      <c r="S66" s="727"/>
      <c r="T66" s="72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725">
        <v>4680115881433</v>
      </c>
      <c r="E67" s="72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7"/>
      <c r="R67" s="727"/>
      <c r="S67" s="727"/>
      <c r="T67" s="72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4"/>
      <c r="P68" s="730" t="s">
        <v>40</v>
      </c>
      <c r="Q68" s="731"/>
      <c r="R68" s="731"/>
      <c r="S68" s="731"/>
      <c r="T68" s="731"/>
      <c r="U68" s="731"/>
      <c r="V68" s="732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4"/>
      <c r="P69" s="730" t="s">
        <v>40</v>
      </c>
      <c r="Q69" s="731"/>
      <c r="R69" s="731"/>
      <c r="S69" s="731"/>
      <c r="T69" s="731"/>
      <c r="U69" s="731"/>
      <c r="V69" s="732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24" t="s">
        <v>86</v>
      </c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4"/>
      <c r="P70" s="724"/>
      <c r="Q70" s="724"/>
      <c r="R70" s="724"/>
      <c r="S70" s="724"/>
      <c r="T70" s="724"/>
      <c r="U70" s="724"/>
      <c r="V70" s="724"/>
      <c r="W70" s="724"/>
      <c r="X70" s="724"/>
      <c r="Y70" s="724"/>
      <c r="Z70" s="724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25">
        <v>4680115884311</v>
      </c>
      <c r="E71" s="72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7"/>
      <c r="R71" s="727"/>
      <c r="S71" s="727"/>
      <c r="T71" s="72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25">
        <v>4680115884403</v>
      </c>
      <c r="E72" s="72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7"/>
      <c r="R72" s="727"/>
      <c r="S72" s="727"/>
      <c r="T72" s="72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25">
        <v>4680115884403</v>
      </c>
      <c r="E73" s="72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7"/>
      <c r="R73" s="727"/>
      <c r="S73" s="727"/>
      <c r="T73" s="72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4"/>
      <c r="P74" s="730" t="s">
        <v>40</v>
      </c>
      <c r="Q74" s="731"/>
      <c r="R74" s="731"/>
      <c r="S74" s="731"/>
      <c r="T74" s="731"/>
      <c r="U74" s="731"/>
      <c r="V74" s="732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4"/>
      <c r="P75" s="730" t="s">
        <v>40</v>
      </c>
      <c r="Q75" s="731"/>
      <c r="R75" s="731"/>
      <c r="S75" s="731"/>
      <c r="T75" s="731"/>
      <c r="U75" s="731"/>
      <c r="V75" s="732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4" t="s">
        <v>173</v>
      </c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724"/>
      <c r="S76" s="724"/>
      <c r="T76" s="724"/>
      <c r="U76" s="724"/>
      <c r="V76" s="724"/>
      <c r="W76" s="724"/>
      <c r="X76" s="724"/>
      <c r="Y76" s="724"/>
      <c r="Z76" s="724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25">
        <v>4680115881532</v>
      </c>
      <c r="E77" s="72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7"/>
      <c r="R77" s="727"/>
      <c r="S77" s="727"/>
      <c r="T77" s="72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25">
        <v>4680115881532</v>
      </c>
      <c r="E78" s="72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6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7"/>
      <c r="R78" s="727"/>
      <c r="S78" s="727"/>
      <c r="T78" s="72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25">
        <v>4680115881464</v>
      </c>
      <c r="E79" s="72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7"/>
      <c r="R79" s="727"/>
      <c r="S79" s="727"/>
      <c r="T79" s="72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25">
        <v>4680115881464</v>
      </c>
      <c r="E80" s="72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7"/>
      <c r="R80" s="727"/>
      <c r="S80" s="727"/>
      <c r="T80" s="72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4"/>
      <c r="P81" s="730" t="s">
        <v>40</v>
      </c>
      <c r="Q81" s="731"/>
      <c r="R81" s="731"/>
      <c r="S81" s="731"/>
      <c r="T81" s="731"/>
      <c r="U81" s="731"/>
      <c r="V81" s="732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4"/>
      <c r="P82" s="730" t="s">
        <v>40</v>
      </c>
      <c r="Q82" s="731"/>
      <c r="R82" s="731"/>
      <c r="S82" s="731"/>
      <c r="T82" s="731"/>
      <c r="U82" s="731"/>
      <c r="V82" s="732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23" t="s">
        <v>182</v>
      </c>
      <c r="B83" s="723"/>
      <c r="C83" s="723"/>
      <c r="D83" s="723"/>
      <c r="E83" s="723"/>
      <c r="F83" s="723"/>
      <c r="G83" s="723"/>
      <c r="H83" s="723"/>
      <c r="I83" s="723"/>
      <c r="J83" s="723"/>
      <c r="K83" s="723"/>
      <c r="L83" s="723"/>
      <c r="M83" s="723"/>
      <c r="N83" s="723"/>
      <c r="O83" s="723"/>
      <c r="P83" s="723"/>
      <c r="Q83" s="723"/>
      <c r="R83" s="723"/>
      <c r="S83" s="723"/>
      <c r="T83" s="723"/>
      <c r="U83" s="723"/>
      <c r="V83" s="723"/>
      <c r="W83" s="723"/>
      <c r="X83" s="723"/>
      <c r="Y83" s="723"/>
      <c r="Z83" s="723"/>
      <c r="AA83" s="65"/>
      <c r="AB83" s="65"/>
      <c r="AC83" s="79"/>
    </row>
    <row r="84" spans="1:68" ht="14.25" hidden="1" customHeight="1" x14ac:dyDescent="0.25">
      <c r="A84" s="724" t="s">
        <v>122</v>
      </c>
      <c r="B84" s="724"/>
      <c r="C84" s="724"/>
      <c r="D84" s="724"/>
      <c r="E84" s="724"/>
      <c r="F84" s="724"/>
      <c r="G84" s="724"/>
      <c r="H84" s="724"/>
      <c r="I84" s="724"/>
      <c r="J84" s="724"/>
      <c r="K84" s="724"/>
      <c r="L84" s="724"/>
      <c r="M84" s="724"/>
      <c r="N84" s="724"/>
      <c r="O84" s="724"/>
      <c r="P84" s="724"/>
      <c r="Q84" s="724"/>
      <c r="R84" s="724"/>
      <c r="S84" s="724"/>
      <c r="T84" s="724"/>
      <c r="U84" s="724"/>
      <c r="V84" s="724"/>
      <c r="W84" s="724"/>
      <c r="X84" s="724"/>
      <c r="Y84" s="724"/>
      <c r="Z84" s="724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725">
        <v>4680115881327</v>
      </c>
      <c r="E85" s="72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7"/>
      <c r="R85" s="727"/>
      <c r="S85" s="727"/>
      <c r="T85" s="72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25">
        <v>4680115887732</v>
      </c>
      <c r="E86" s="72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7"/>
      <c r="R86" s="727"/>
      <c r="S86" s="727"/>
      <c r="T86" s="72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25">
        <v>4680115887732</v>
      </c>
      <c r="E87" s="72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8" t="s">
        <v>190</v>
      </c>
      <c r="Q87" s="727"/>
      <c r="R87" s="727"/>
      <c r="S87" s="727"/>
      <c r="T87" s="72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25">
        <v>4680115881518</v>
      </c>
      <c r="E88" s="7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7"/>
      <c r="R88" s="727"/>
      <c r="S88" s="727"/>
      <c r="T88" s="72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725">
        <v>4680115881303</v>
      </c>
      <c r="E89" s="7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7"/>
      <c r="R89" s="727"/>
      <c r="S89" s="727"/>
      <c r="T89" s="728"/>
      <c r="U89" s="39" t="s">
        <v>46</v>
      </c>
      <c r="V89" s="39" t="s">
        <v>46</v>
      </c>
      <c r="W89" s="40" t="s">
        <v>0</v>
      </c>
      <c r="X89" s="58">
        <v>135</v>
      </c>
      <c r="Y89" s="55">
        <f>IFERROR(IF(X89="",0,CEILING((X89/$H89),1)*$H89),"")</f>
        <v>135</v>
      </c>
      <c r="Z89" s="41">
        <f>IFERROR(IF(Y89=0,"",ROUNDUP(Y89/H89,0)*0.00902),"")</f>
        <v>0.27060000000000001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140.70000000000002</v>
      </c>
      <c r="BN89" s="78">
        <f>IFERROR(Y89*I89/H89,"0")</f>
        <v>140.70000000000002</v>
      </c>
      <c r="BO89" s="78">
        <f>IFERROR(1/J89*(X89/H89),"0")</f>
        <v>0.22727272727272729</v>
      </c>
      <c r="BP89" s="78">
        <f>IFERROR(1/J89*(Y89/H89),"0")</f>
        <v>0.22727272727272729</v>
      </c>
    </row>
    <row r="90" spans="1:68" x14ac:dyDescent="0.2">
      <c r="A90" s="733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4"/>
      <c r="P90" s="730" t="s">
        <v>40</v>
      </c>
      <c r="Q90" s="731"/>
      <c r="R90" s="731"/>
      <c r="S90" s="731"/>
      <c r="T90" s="731"/>
      <c r="U90" s="731"/>
      <c r="V90" s="732"/>
      <c r="W90" s="42" t="s">
        <v>39</v>
      </c>
      <c r="X90" s="43">
        <f>IFERROR(X85/H85,"0")+IFERROR(X86/H86,"0")+IFERROR(X87/H87,"0")+IFERROR(X88/H88,"0")+IFERROR(X89/H89,"0")</f>
        <v>30</v>
      </c>
      <c r="Y90" s="43">
        <f>IFERROR(Y85/H85,"0")+IFERROR(Y86/H86,"0")+IFERROR(Y87/H87,"0")+IFERROR(Y88/H88,"0")+IFERROR(Y89/H89,"0")</f>
        <v>30</v>
      </c>
      <c r="Z90" s="43">
        <f>IFERROR(IF(Z85="",0,Z85),"0")+IFERROR(IF(Z86="",0,Z86),"0")+IFERROR(IF(Z87="",0,Z87),"0")+IFERROR(IF(Z88="",0,Z88),"0")+IFERROR(IF(Z89="",0,Z89),"0")</f>
        <v>0.27060000000000001</v>
      </c>
      <c r="AA90" s="67"/>
      <c r="AB90" s="67"/>
      <c r="AC90" s="67"/>
    </row>
    <row r="91" spans="1:68" x14ac:dyDescent="0.2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4"/>
      <c r="P91" s="730" t="s">
        <v>40</v>
      </c>
      <c r="Q91" s="731"/>
      <c r="R91" s="731"/>
      <c r="S91" s="731"/>
      <c r="T91" s="731"/>
      <c r="U91" s="731"/>
      <c r="V91" s="732"/>
      <c r="W91" s="42" t="s">
        <v>0</v>
      </c>
      <c r="X91" s="43">
        <f>IFERROR(SUM(X85:X89),"0")</f>
        <v>135</v>
      </c>
      <c r="Y91" s="43">
        <f>IFERROR(SUM(Y85:Y89),"0")</f>
        <v>135</v>
      </c>
      <c r="Z91" s="42"/>
      <c r="AA91" s="67"/>
      <c r="AB91" s="67"/>
      <c r="AC91" s="67"/>
    </row>
    <row r="92" spans="1:68" ht="14.25" hidden="1" customHeight="1" x14ac:dyDescent="0.25">
      <c r="A92" s="724" t="s">
        <v>86</v>
      </c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4"/>
      <c r="P92" s="724"/>
      <c r="Q92" s="724"/>
      <c r="R92" s="724"/>
      <c r="S92" s="724"/>
      <c r="T92" s="724"/>
      <c r="U92" s="724"/>
      <c r="V92" s="724"/>
      <c r="W92" s="724"/>
      <c r="X92" s="724"/>
      <c r="Y92" s="724"/>
      <c r="Z92" s="724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725">
        <v>4607091386967</v>
      </c>
      <c r="E93" s="7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7"/>
      <c r="R93" s="727"/>
      <c r="S93" s="727"/>
      <c r="T93" s="728"/>
      <c r="U93" s="39" t="s">
        <v>46</v>
      </c>
      <c r="V93" s="39" t="s">
        <v>46</v>
      </c>
      <c r="W93" s="40" t="s">
        <v>0</v>
      </c>
      <c r="X93" s="58">
        <v>200</v>
      </c>
      <c r="Y93" s="55">
        <f t="shared" ref="Y93:Y98" si="5">IFERROR(IF(X93="",0,CEILING((X93/$H93),1)*$H93),"")</f>
        <v>202.5</v>
      </c>
      <c r="Z93" s="41">
        <f>IFERROR(IF(Y93=0,"",ROUNDUP(Y93/H93,0)*0.01898),"")</f>
        <v>0.47450000000000003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212.19753086419755</v>
      </c>
      <c r="BN93" s="78">
        <f t="shared" ref="BN93:BN98" si="7">IFERROR(Y93*I93/H93,"0")</f>
        <v>214.85</v>
      </c>
      <c r="BO93" s="78">
        <f t="shared" ref="BO93:BO98" si="8">IFERROR(1/J93*(X93/H93),"0")</f>
        <v>0.38580246913580246</v>
      </c>
      <c r="BP93" s="78">
        <f t="shared" ref="BP93:BP98" si="9">IFERROR(1/J93*(Y93/H93),"0")</f>
        <v>0.390625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25">
        <v>4607091386967</v>
      </c>
      <c r="E94" s="72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72" t="s">
        <v>199</v>
      </c>
      <c r="Q94" s="727"/>
      <c r="R94" s="727"/>
      <c r="S94" s="727"/>
      <c r="T94" s="72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25">
        <v>4680115884953</v>
      </c>
      <c r="E95" s="72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7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7"/>
      <c r="R95" s="727"/>
      <c r="S95" s="727"/>
      <c r="T95" s="72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4301051718</v>
      </c>
      <c r="D96" s="725">
        <v>4607091385731</v>
      </c>
      <c r="E96" s="72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7"/>
      <c r="R96" s="727"/>
      <c r="S96" s="727"/>
      <c r="T96" s="72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202</v>
      </c>
      <c r="B97" s="63" t="s">
        <v>204</v>
      </c>
      <c r="C97" s="36">
        <v>4301052094</v>
      </c>
      <c r="D97" s="725">
        <v>4607091385731</v>
      </c>
      <c r="E97" s="72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75" t="s">
        <v>205</v>
      </c>
      <c r="Q97" s="727"/>
      <c r="R97" s="727"/>
      <c r="S97" s="727"/>
      <c r="T97" s="72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25">
        <v>4680115880894</v>
      </c>
      <c r="E98" s="72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7"/>
      <c r="R98" s="727"/>
      <c r="S98" s="727"/>
      <c r="T98" s="72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x14ac:dyDescent="0.2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4"/>
      <c r="P99" s="730" t="s">
        <v>40</v>
      </c>
      <c r="Q99" s="731"/>
      <c r="R99" s="731"/>
      <c r="S99" s="731"/>
      <c r="T99" s="731"/>
      <c r="U99" s="731"/>
      <c r="V99" s="732"/>
      <c r="W99" s="42" t="s">
        <v>39</v>
      </c>
      <c r="X99" s="43">
        <f>IFERROR(X93/H93,"0")+IFERROR(X94/H94,"0")+IFERROR(X95/H95,"0")+IFERROR(X96/H96,"0")+IFERROR(X97/H97,"0")+IFERROR(X98/H98,"0")</f>
        <v>24.691358024691358</v>
      </c>
      <c r="Y99" s="43">
        <f>IFERROR(Y93/H93,"0")+IFERROR(Y94/H94,"0")+IFERROR(Y95/H95,"0")+IFERROR(Y96/H96,"0")+IFERROR(Y97/H97,"0")+IFERROR(Y98/H98,"0")</f>
        <v>25</v>
      </c>
      <c r="Z99" s="43">
        <f>IFERROR(IF(Z93="",0,Z93),"0")+IFERROR(IF(Z94="",0,Z94),"0")+IFERROR(IF(Z95="",0,Z95),"0")+IFERROR(IF(Z96="",0,Z96),"0")+IFERROR(IF(Z97="",0,Z97),"0")+IFERROR(IF(Z98="",0,Z98),"0")</f>
        <v>0.47450000000000003</v>
      </c>
      <c r="AA99" s="67"/>
      <c r="AB99" s="67"/>
      <c r="AC99" s="67"/>
    </row>
    <row r="100" spans="1:68" x14ac:dyDescent="0.2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4"/>
      <c r="P100" s="730" t="s">
        <v>40</v>
      </c>
      <c r="Q100" s="731"/>
      <c r="R100" s="731"/>
      <c r="S100" s="731"/>
      <c r="T100" s="731"/>
      <c r="U100" s="731"/>
      <c r="V100" s="732"/>
      <c r="W100" s="42" t="s">
        <v>0</v>
      </c>
      <c r="X100" s="43">
        <f>IFERROR(SUM(X93:X98),"0")</f>
        <v>200</v>
      </c>
      <c r="Y100" s="43">
        <f>IFERROR(SUM(Y93:Y98),"0")</f>
        <v>202.5</v>
      </c>
      <c r="Z100" s="42"/>
      <c r="AA100" s="67"/>
      <c r="AB100" s="67"/>
      <c r="AC100" s="67"/>
    </row>
    <row r="101" spans="1:68" ht="16.5" hidden="1" customHeight="1" x14ac:dyDescent="0.25">
      <c r="A101" s="723" t="s">
        <v>209</v>
      </c>
      <c r="B101" s="723"/>
      <c r="C101" s="723"/>
      <c r="D101" s="723"/>
      <c r="E101" s="723"/>
      <c r="F101" s="723"/>
      <c r="G101" s="723"/>
      <c r="H101" s="723"/>
      <c r="I101" s="723"/>
      <c r="J101" s="723"/>
      <c r="K101" s="723"/>
      <c r="L101" s="723"/>
      <c r="M101" s="723"/>
      <c r="N101" s="723"/>
      <c r="O101" s="723"/>
      <c r="P101" s="723"/>
      <c r="Q101" s="723"/>
      <c r="R101" s="723"/>
      <c r="S101" s="723"/>
      <c r="T101" s="723"/>
      <c r="U101" s="723"/>
      <c r="V101" s="723"/>
      <c r="W101" s="723"/>
      <c r="X101" s="723"/>
      <c r="Y101" s="723"/>
      <c r="Z101" s="723"/>
      <c r="AA101" s="65"/>
      <c r="AB101" s="65"/>
      <c r="AC101" s="79"/>
    </row>
    <row r="102" spans="1:68" ht="14.25" hidden="1" customHeight="1" x14ac:dyDescent="0.25">
      <c r="A102" s="724" t="s">
        <v>122</v>
      </c>
      <c r="B102" s="724"/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4"/>
      <c r="W102" s="724"/>
      <c r="X102" s="724"/>
      <c r="Y102" s="724"/>
      <c r="Z102" s="724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25">
        <v>4680115882133</v>
      </c>
      <c r="E103" s="72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77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7"/>
      <c r="R103" s="727"/>
      <c r="S103" s="727"/>
      <c r="T103" s="72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25">
        <v>4680115887718</v>
      </c>
      <c r="E104" s="72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77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7"/>
      <c r="R104" s="727"/>
      <c r="S104" s="727"/>
      <c r="T104" s="72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25">
        <v>4680115887718</v>
      </c>
      <c r="E105" s="72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7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7"/>
      <c r="R105" s="727"/>
      <c r="S105" s="727"/>
      <c r="T105" s="72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213</v>
      </c>
      <c r="B106" s="63" t="s">
        <v>217</v>
      </c>
      <c r="C106" s="36">
        <v>4301012379</v>
      </c>
      <c r="D106" s="725">
        <v>4680115887718</v>
      </c>
      <c r="E106" s="72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7"/>
      <c r="R106" s="727"/>
      <c r="S106" s="727"/>
      <c r="T106" s="72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725">
        <v>4680115880269</v>
      </c>
      <c r="E107" s="72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7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7"/>
      <c r="R107" s="727"/>
      <c r="S107" s="727"/>
      <c r="T107" s="72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4301011415</v>
      </c>
      <c r="D108" s="725">
        <v>4680115880429</v>
      </c>
      <c r="E108" s="72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7"/>
      <c r="R108" s="727"/>
      <c r="S108" s="727"/>
      <c r="T108" s="72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220</v>
      </c>
      <c r="B109" s="63" t="s">
        <v>222</v>
      </c>
      <c r="C109" s="36">
        <v>4301012254</v>
      </c>
      <c r="D109" s="725">
        <v>4680115880429</v>
      </c>
      <c r="E109" s="72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783" t="s">
        <v>223</v>
      </c>
      <c r="Q109" s="727"/>
      <c r="R109" s="727"/>
      <c r="S109" s="727"/>
      <c r="T109" s="72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225</v>
      </c>
      <c r="B110" s="63" t="s">
        <v>226</v>
      </c>
      <c r="C110" s="36">
        <v>4301011462</v>
      </c>
      <c r="D110" s="725">
        <v>4680115881457</v>
      </c>
      <c r="E110" s="72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7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7"/>
      <c r="R110" s="727"/>
      <c r="S110" s="727"/>
      <c r="T110" s="72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733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4"/>
      <c r="P111" s="730" t="s">
        <v>40</v>
      </c>
      <c r="Q111" s="731"/>
      <c r="R111" s="731"/>
      <c r="S111" s="731"/>
      <c r="T111" s="731"/>
      <c r="U111" s="731"/>
      <c r="V111" s="732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4"/>
      <c r="P112" s="730" t="s">
        <v>40</v>
      </c>
      <c r="Q112" s="731"/>
      <c r="R112" s="731"/>
      <c r="S112" s="731"/>
      <c r="T112" s="731"/>
      <c r="U112" s="731"/>
      <c r="V112" s="732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724" t="s">
        <v>155</v>
      </c>
      <c r="B113" s="724"/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4"/>
      <c r="U113" s="724"/>
      <c r="V113" s="724"/>
      <c r="W113" s="724"/>
      <c r="X113" s="724"/>
      <c r="Y113" s="724"/>
      <c r="Z113" s="724"/>
      <c r="AA113" s="66"/>
      <c r="AB113" s="66"/>
      <c r="AC113" s="80"/>
    </row>
    <row r="114" spans="1:68" ht="27" hidden="1" customHeight="1" x14ac:dyDescent="0.25">
      <c r="A114" s="63" t="s">
        <v>227</v>
      </c>
      <c r="B114" s="63" t="s">
        <v>228</v>
      </c>
      <c r="C114" s="36">
        <v>4301020391</v>
      </c>
      <c r="D114" s="725">
        <v>4680115881488</v>
      </c>
      <c r="E114" s="72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7"/>
      <c r="R114" s="727"/>
      <c r="S114" s="727"/>
      <c r="T114" s="72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4301020186</v>
      </c>
      <c r="D115" s="725">
        <v>4680115887664</v>
      </c>
      <c r="E115" s="72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7"/>
      <c r="R115" s="727"/>
      <c r="S115" s="727"/>
      <c r="T115" s="72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234</v>
      </c>
      <c r="C116" s="36">
        <v>4301020430</v>
      </c>
      <c r="D116" s="725">
        <v>4680115887664</v>
      </c>
      <c r="E116" s="72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78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7"/>
      <c r="R116" s="727"/>
      <c r="S116" s="727"/>
      <c r="T116" s="72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4301020393</v>
      </c>
      <c r="D117" s="725">
        <v>4680115882775</v>
      </c>
      <c r="E117" s="72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78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7"/>
      <c r="R117" s="727"/>
      <c r="S117" s="727"/>
      <c r="T117" s="72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4301020392</v>
      </c>
      <c r="D118" s="725">
        <v>4680115880658</v>
      </c>
      <c r="E118" s="72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78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7"/>
      <c r="R118" s="727"/>
      <c r="S118" s="727"/>
      <c r="T118" s="72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4"/>
      <c r="P119" s="730" t="s">
        <v>40</v>
      </c>
      <c r="Q119" s="731"/>
      <c r="R119" s="731"/>
      <c r="S119" s="731"/>
      <c r="T119" s="731"/>
      <c r="U119" s="731"/>
      <c r="V119" s="732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4"/>
      <c r="P120" s="730" t="s">
        <v>40</v>
      </c>
      <c r="Q120" s="731"/>
      <c r="R120" s="731"/>
      <c r="S120" s="731"/>
      <c r="T120" s="731"/>
      <c r="U120" s="731"/>
      <c r="V120" s="732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4" t="s">
        <v>86</v>
      </c>
      <c r="B121" s="724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4"/>
      <c r="U121" s="724"/>
      <c r="V121" s="724"/>
      <c r="W121" s="724"/>
      <c r="X121" s="724"/>
      <c r="Y121" s="724"/>
      <c r="Z121" s="724"/>
      <c r="AA121" s="66"/>
      <c r="AB121" s="66"/>
      <c r="AC121" s="80"/>
    </row>
    <row r="122" spans="1:68" ht="27" customHeight="1" x14ac:dyDescent="0.25">
      <c r="A122" s="63" t="s">
        <v>239</v>
      </c>
      <c r="B122" s="63" t="s">
        <v>240</v>
      </c>
      <c r="C122" s="36">
        <v>4301051724</v>
      </c>
      <c r="D122" s="725">
        <v>4607091385168</v>
      </c>
      <c r="E122" s="72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7"/>
      <c r="R122" s="727"/>
      <c r="S122" s="727"/>
      <c r="T122" s="728"/>
      <c r="U122" s="39" t="s">
        <v>46</v>
      </c>
      <c r="V122" s="39" t="s">
        <v>46</v>
      </c>
      <c r="W122" s="40" t="s">
        <v>0</v>
      </c>
      <c r="X122" s="58">
        <v>700</v>
      </c>
      <c r="Y122" s="55">
        <f t="shared" ref="Y122:Y128" si="15">IFERROR(IF(X122="",0,CEILING((X122/$H122),1)*$H122),"")</f>
        <v>704.69999999999993</v>
      </c>
      <c r="Z122" s="41">
        <f>IFERROR(IF(Y122=0,"",ROUNDUP(Y122/H122,0)*0.01898),"")</f>
        <v>1.65126</v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742.17283950617275</v>
      </c>
      <c r="BN122" s="78">
        <f t="shared" ref="BN122:BN128" si="17">IFERROR(Y122*I122/H122,"0")</f>
        <v>747.15599999999995</v>
      </c>
      <c r="BO122" s="78">
        <f t="shared" ref="BO122:BO128" si="18">IFERROR(1/J122*(X122/H122),"0")</f>
        <v>1.3503086419753088</v>
      </c>
      <c r="BP122" s="78">
        <f t="shared" ref="BP122:BP128" si="19">IFERROR(1/J122*(Y122/H122),"0")</f>
        <v>1.359375</v>
      </c>
    </row>
    <row r="123" spans="1:68" ht="27" hidden="1" customHeight="1" x14ac:dyDescent="0.25">
      <c r="A123" s="63" t="s">
        <v>239</v>
      </c>
      <c r="B123" s="63" t="s">
        <v>242</v>
      </c>
      <c r="C123" s="36">
        <v>4301052088</v>
      </c>
      <c r="D123" s="725">
        <v>4607091385168</v>
      </c>
      <c r="E123" s="72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791" t="s">
        <v>243</v>
      </c>
      <c r="Q123" s="727"/>
      <c r="R123" s="727"/>
      <c r="S123" s="727"/>
      <c r="T123" s="72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4301051730</v>
      </c>
      <c r="D124" s="725">
        <v>4607091383256</v>
      </c>
      <c r="E124" s="72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7"/>
      <c r="R124" s="727"/>
      <c r="S124" s="727"/>
      <c r="T124" s="72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4301051721</v>
      </c>
      <c r="D125" s="725">
        <v>4607091385748</v>
      </c>
      <c r="E125" s="72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7"/>
      <c r="R125" s="727"/>
      <c r="S125" s="727"/>
      <c r="T125" s="72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4301052086</v>
      </c>
      <c r="D126" s="725">
        <v>4607091385748</v>
      </c>
      <c r="E126" s="72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794" t="s">
        <v>249</v>
      </c>
      <c r="Q126" s="727"/>
      <c r="R126" s="727"/>
      <c r="S126" s="727"/>
      <c r="T126" s="72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250</v>
      </c>
      <c r="B127" s="63" t="s">
        <v>251</v>
      </c>
      <c r="C127" s="36">
        <v>4301051740</v>
      </c>
      <c r="D127" s="725">
        <v>4680115884533</v>
      </c>
      <c r="E127" s="72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7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7"/>
      <c r="R127" s="727"/>
      <c r="S127" s="727"/>
      <c r="T127" s="72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250</v>
      </c>
      <c r="B128" s="63" t="s">
        <v>253</v>
      </c>
      <c r="C128" s="36">
        <v>4301052085</v>
      </c>
      <c r="D128" s="725">
        <v>4680115884533</v>
      </c>
      <c r="E128" s="72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796" t="s">
        <v>254</v>
      </c>
      <c r="Q128" s="727"/>
      <c r="R128" s="727"/>
      <c r="S128" s="727"/>
      <c r="T128" s="72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x14ac:dyDescent="0.2">
      <c r="A129" s="733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4"/>
      <c r="P129" s="730" t="s">
        <v>40</v>
      </c>
      <c r="Q129" s="731"/>
      <c r="R129" s="731"/>
      <c r="S129" s="731"/>
      <c r="T129" s="731"/>
      <c r="U129" s="731"/>
      <c r="V129" s="732"/>
      <c r="W129" s="42" t="s">
        <v>39</v>
      </c>
      <c r="X129" s="43">
        <f>IFERROR(X122/H122,"0")+IFERROR(X123/H123,"0")+IFERROR(X124/H124,"0")+IFERROR(X125/H125,"0")+IFERROR(X126/H126,"0")+IFERROR(X127/H127,"0")+IFERROR(X128/H128,"0")</f>
        <v>86.41975308641976</v>
      </c>
      <c r="Y129" s="43">
        <f>IFERROR(Y122/H122,"0")+IFERROR(Y123/H123,"0")+IFERROR(Y124/H124,"0")+IFERROR(Y125/H125,"0")+IFERROR(Y126/H126,"0")+IFERROR(Y127/H127,"0")+IFERROR(Y128/H128,"0")</f>
        <v>87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1.65126</v>
      </c>
      <c r="AA129" s="67"/>
      <c r="AB129" s="67"/>
      <c r="AC129" s="67"/>
    </row>
    <row r="130" spans="1:68" x14ac:dyDescent="0.2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4"/>
      <c r="P130" s="730" t="s">
        <v>40</v>
      </c>
      <c r="Q130" s="731"/>
      <c r="R130" s="731"/>
      <c r="S130" s="731"/>
      <c r="T130" s="731"/>
      <c r="U130" s="731"/>
      <c r="V130" s="732"/>
      <c r="W130" s="42" t="s">
        <v>0</v>
      </c>
      <c r="X130" s="43">
        <f>IFERROR(SUM(X122:X128),"0")</f>
        <v>700</v>
      </c>
      <c r="Y130" s="43">
        <f>IFERROR(SUM(Y122:Y128),"0")</f>
        <v>704.69999999999993</v>
      </c>
      <c r="Z130" s="42"/>
      <c r="AA130" s="67"/>
      <c r="AB130" s="67"/>
      <c r="AC130" s="67"/>
    </row>
    <row r="131" spans="1:68" ht="14.25" hidden="1" customHeight="1" x14ac:dyDescent="0.25">
      <c r="A131" s="724" t="s">
        <v>173</v>
      </c>
      <c r="B131" s="724"/>
      <c r="C131" s="724"/>
      <c r="D131" s="724"/>
      <c r="E131" s="724"/>
      <c r="F131" s="724"/>
      <c r="G131" s="724"/>
      <c r="H131" s="724"/>
      <c r="I131" s="724"/>
      <c r="J131" s="724"/>
      <c r="K131" s="724"/>
      <c r="L131" s="724"/>
      <c r="M131" s="724"/>
      <c r="N131" s="724"/>
      <c r="O131" s="724"/>
      <c r="P131" s="724"/>
      <c r="Q131" s="724"/>
      <c r="R131" s="724"/>
      <c r="S131" s="724"/>
      <c r="T131" s="724"/>
      <c r="U131" s="724"/>
      <c r="V131" s="724"/>
      <c r="W131" s="724"/>
      <c r="X131" s="724"/>
      <c r="Y131" s="724"/>
      <c r="Z131" s="724"/>
      <c r="AA131" s="66"/>
      <c r="AB131" s="66"/>
      <c r="AC131" s="80"/>
    </row>
    <row r="132" spans="1:68" ht="16.5" hidden="1" customHeight="1" x14ac:dyDescent="0.25">
      <c r="A132" s="63" t="s">
        <v>255</v>
      </c>
      <c r="B132" s="63" t="s">
        <v>256</v>
      </c>
      <c r="C132" s="36">
        <v>4301060317</v>
      </c>
      <c r="D132" s="725">
        <v>4680115880238</v>
      </c>
      <c r="E132" s="72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7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7"/>
      <c r="R132" s="727"/>
      <c r="S132" s="727"/>
      <c r="T132" s="72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255</v>
      </c>
      <c r="B133" s="63" t="s">
        <v>258</v>
      </c>
      <c r="C133" s="36">
        <v>4301060525</v>
      </c>
      <c r="D133" s="725">
        <v>4680115880238</v>
      </c>
      <c r="E133" s="72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798" t="s">
        <v>259</v>
      </c>
      <c r="Q133" s="727"/>
      <c r="R133" s="727"/>
      <c r="S133" s="727"/>
      <c r="T133" s="72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4"/>
      <c r="P134" s="730" t="s">
        <v>40</v>
      </c>
      <c r="Q134" s="731"/>
      <c r="R134" s="731"/>
      <c r="S134" s="731"/>
      <c r="T134" s="731"/>
      <c r="U134" s="731"/>
      <c r="V134" s="73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33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4"/>
      <c r="P135" s="730" t="s">
        <v>40</v>
      </c>
      <c r="Q135" s="731"/>
      <c r="R135" s="731"/>
      <c r="S135" s="731"/>
      <c r="T135" s="731"/>
      <c r="U135" s="731"/>
      <c r="V135" s="73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723" t="s">
        <v>260</v>
      </c>
      <c r="B136" s="723"/>
      <c r="C136" s="723"/>
      <c r="D136" s="723"/>
      <c r="E136" s="723"/>
      <c r="F136" s="723"/>
      <c r="G136" s="723"/>
      <c r="H136" s="723"/>
      <c r="I136" s="723"/>
      <c r="J136" s="723"/>
      <c r="K136" s="723"/>
      <c r="L136" s="723"/>
      <c r="M136" s="723"/>
      <c r="N136" s="723"/>
      <c r="O136" s="723"/>
      <c r="P136" s="723"/>
      <c r="Q136" s="723"/>
      <c r="R136" s="723"/>
      <c r="S136" s="723"/>
      <c r="T136" s="723"/>
      <c r="U136" s="723"/>
      <c r="V136" s="723"/>
      <c r="W136" s="723"/>
      <c r="X136" s="723"/>
      <c r="Y136" s="723"/>
      <c r="Z136" s="723"/>
      <c r="AA136" s="65"/>
      <c r="AB136" s="65"/>
      <c r="AC136" s="79"/>
    </row>
    <row r="137" spans="1:68" ht="14.25" hidden="1" customHeight="1" x14ac:dyDescent="0.25">
      <c r="A137" s="724" t="s">
        <v>122</v>
      </c>
      <c r="B137" s="724"/>
      <c r="C137" s="724"/>
      <c r="D137" s="724"/>
      <c r="E137" s="724"/>
      <c r="F137" s="724"/>
      <c r="G137" s="724"/>
      <c r="H137" s="724"/>
      <c r="I137" s="724"/>
      <c r="J137" s="724"/>
      <c r="K137" s="724"/>
      <c r="L137" s="724"/>
      <c r="M137" s="724"/>
      <c r="N137" s="724"/>
      <c r="O137" s="724"/>
      <c r="P137" s="724"/>
      <c r="Q137" s="724"/>
      <c r="R137" s="724"/>
      <c r="S137" s="724"/>
      <c r="T137" s="724"/>
      <c r="U137" s="724"/>
      <c r="V137" s="724"/>
      <c r="W137" s="724"/>
      <c r="X137" s="724"/>
      <c r="Y137" s="724"/>
      <c r="Z137" s="724"/>
      <c r="AA137" s="66"/>
      <c r="AB137" s="66"/>
      <c r="AC137" s="80"/>
    </row>
    <row r="138" spans="1:68" ht="27" hidden="1" customHeight="1" x14ac:dyDescent="0.25">
      <c r="A138" s="63" t="s">
        <v>261</v>
      </c>
      <c r="B138" s="63" t="s">
        <v>262</v>
      </c>
      <c r="C138" s="36">
        <v>4301011562</v>
      </c>
      <c r="D138" s="725">
        <v>4680115882577</v>
      </c>
      <c r="E138" s="72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79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7"/>
      <c r="R138" s="727"/>
      <c r="S138" s="727"/>
      <c r="T138" s="72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261</v>
      </c>
      <c r="B139" s="63" t="s">
        <v>265</v>
      </c>
      <c r="C139" s="36">
        <v>4301011564</v>
      </c>
      <c r="D139" s="725">
        <v>4680115882577</v>
      </c>
      <c r="E139" s="72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7"/>
      <c r="R139" s="727"/>
      <c r="S139" s="727"/>
      <c r="T139" s="72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3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4"/>
      <c r="P140" s="730" t="s">
        <v>40</v>
      </c>
      <c r="Q140" s="731"/>
      <c r="R140" s="731"/>
      <c r="S140" s="731"/>
      <c r="T140" s="731"/>
      <c r="U140" s="731"/>
      <c r="V140" s="7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4"/>
      <c r="P141" s="730" t="s">
        <v>40</v>
      </c>
      <c r="Q141" s="731"/>
      <c r="R141" s="731"/>
      <c r="S141" s="731"/>
      <c r="T141" s="731"/>
      <c r="U141" s="731"/>
      <c r="V141" s="7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4" t="s">
        <v>77</v>
      </c>
      <c r="B142" s="724"/>
      <c r="C142" s="724"/>
      <c r="D142" s="724"/>
      <c r="E142" s="724"/>
      <c r="F142" s="724"/>
      <c r="G142" s="724"/>
      <c r="H142" s="724"/>
      <c r="I142" s="724"/>
      <c r="J142" s="724"/>
      <c r="K142" s="724"/>
      <c r="L142" s="724"/>
      <c r="M142" s="724"/>
      <c r="N142" s="724"/>
      <c r="O142" s="724"/>
      <c r="P142" s="724"/>
      <c r="Q142" s="724"/>
      <c r="R142" s="724"/>
      <c r="S142" s="724"/>
      <c r="T142" s="724"/>
      <c r="U142" s="724"/>
      <c r="V142" s="724"/>
      <c r="W142" s="724"/>
      <c r="X142" s="724"/>
      <c r="Y142" s="724"/>
      <c r="Z142" s="724"/>
      <c r="AA142" s="66"/>
      <c r="AB142" s="66"/>
      <c r="AC142" s="80"/>
    </row>
    <row r="143" spans="1:68" ht="27" hidden="1" customHeight="1" x14ac:dyDescent="0.25">
      <c r="A143" s="63" t="s">
        <v>266</v>
      </c>
      <c r="B143" s="63" t="s">
        <v>267</v>
      </c>
      <c r="C143" s="36">
        <v>4301031234</v>
      </c>
      <c r="D143" s="725">
        <v>4680115883444</v>
      </c>
      <c r="E143" s="72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7"/>
      <c r="R143" s="727"/>
      <c r="S143" s="727"/>
      <c r="T143" s="72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266</v>
      </c>
      <c r="B144" s="63" t="s">
        <v>269</v>
      </c>
      <c r="C144" s="36">
        <v>4301031235</v>
      </c>
      <c r="D144" s="725">
        <v>4680115883444</v>
      </c>
      <c r="E144" s="72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0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7"/>
      <c r="R144" s="727"/>
      <c r="S144" s="727"/>
      <c r="T144" s="72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3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4"/>
      <c r="P145" s="730" t="s">
        <v>40</v>
      </c>
      <c r="Q145" s="731"/>
      <c r="R145" s="731"/>
      <c r="S145" s="731"/>
      <c r="T145" s="731"/>
      <c r="U145" s="731"/>
      <c r="V145" s="732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4"/>
      <c r="P146" s="730" t="s">
        <v>40</v>
      </c>
      <c r="Q146" s="731"/>
      <c r="R146" s="731"/>
      <c r="S146" s="731"/>
      <c r="T146" s="731"/>
      <c r="U146" s="731"/>
      <c r="V146" s="732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724" t="s">
        <v>86</v>
      </c>
      <c r="B147" s="724"/>
      <c r="C147" s="724"/>
      <c r="D147" s="724"/>
      <c r="E147" s="724"/>
      <c r="F147" s="724"/>
      <c r="G147" s="724"/>
      <c r="H147" s="724"/>
      <c r="I147" s="724"/>
      <c r="J147" s="724"/>
      <c r="K147" s="724"/>
      <c r="L147" s="724"/>
      <c r="M147" s="724"/>
      <c r="N147" s="724"/>
      <c r="O147" s="724"/>
      <c r="P147" s="724"/>
      <c r="Q147" s="724"/>
      <c r="R147" s="724"/>
      <c r="S147" s="724"/>
      <c r="T147" s="724"/>
      <c r="U147" s="724"/>
      <c r="V147" s="724"/>
      <c r="W147" s="724"/>
      <c r="X147" s="724"/>
      <c r="Y147" s="724"/>
      <c r="Z147" s="724"/>
      <c r="AA147" s="66"/>
      <c r="AB147" s="66"/>
      <c r="AC147" s="80"/>
    </row>
    <row r="148" spans="1:68" ht="16.5" hidden="1" customHeight="1" x14ac:dyDescent="0.25">
      <c r="A148" s="63" t="s">
        <v>270</v>
      </c>
      <c r="B148" s="63" t="s">
        <v>271</v>
      </c>
      <c r="C148" s="36">
        <v>4301051476</v>
      </c>
      <c r="D148" s="725">
        <v>4680115882584</v>
      </c>
      <c r="E148" s="72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7"/>
      <c r="R148" s="727"/>
      <c r="S148" s="727"/>
      <c r="T148" s="72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270</v>
      </c>
      <c r="B149" s="63" t="s">
        <v>272</v>
      </c>
      <c r="C149" s="36">
        <v>4301051477</v>
      </c>
      <c r="D149" s="725">
        <v>4680115882584</v>
      </c>
      <c r="E149" s="72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7"/>
      <c r="R149" s="727"/>
      <c r="S149" s="727"/>
      <c r="T149" s="72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33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4"/>
      <c r="P150" s="730" t="s">
        <v>40</v>
      </c>
      <c r="Q150" s="731"/>
      <c r="R150" s="731"/>
      <c r="S150" s="731"/>
      <c r="T150" s="731"/>
      <c r="U150" s="731"/>
      <c r="V150" s="732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733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4"/>
      <c r="P151" s="730" t="s">
        <v>40</v>
      </c>
      <c r="Q151" s="731"/>
      <c r="R151" s="731"/>
      <c r="S151" s="731"/>
      <c r="T151" s="731"/>
      <c r="U151" s="731"/>
      <c r="V151" s="732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23" t="s">
        <v>273</v>
      </c>
      <c r="B152" s="723"/>
      <c r="C152" s="723"/>
      <c r="D152" s="723"/>
      <c r="E152" s="723"/>
      <c r="F152" s="723"/>
      <c r="G152" s="723"/>
      <c r="H152" s="723"/>
      <c r="I152" s="723"/>
      <c r="J152" s="723"/>
      <c r="K152" s="723"/>
      <c r="L152" s="723"/>
      <c r="M152" s="723"/>
      <c r="N152" s="723"/>
      <c r="O152" s="723"/>
      <c r="P152" s="723"/>
      <c r="Q152" s="723"/>
      <c r="R152" s="723"/>
      <c r="S152" s="723"/>
      <c r="T152" s="723"/>
      <c r="U152" s="723"/>
      <c r="V152" s="723"/>
      <c r="W152" s="723"/>
      <c r="X152" s="723"/>
      <c r="Y152" s="723"/>
      <c r="Z152" s="723"/>
      <c r="AA152" s="65"/>
      <c r="AB152" s="65"/>
      <c r="AC152" s="79"/>
    </row>
    <row r="153" spans="1:68" ht="14.25" hidden="1" customHeight="1" x14ac:dyDescent="0.25">
      <c r="A153" s="724" t="s">
        <v>86</v>
      </c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4"/>
      <c r="P153" s="724"/>
      <c r="Q153" s="724"/>
      <c r="R153" s="724"/>
      <c r="S153" s="724"/>
      <c r="T153" s="724"/>
      <c r="U153" s="724"/>
      <c r="V153" s="724"/>
      <c r="W153" s="724"/>
      <c r="X153" s="724"/>
      <c r="Y153" s="724"/>
      <c r="Z153" s="724"/>
      <c r="AA153" s="66"/>
      <c r="AB153" s="66"/>
      <c r="AC153" s="80"/>
    </row>
    <row r="154" spans="1:68" ht="27" hidden="1" customHeight="1" x14ac:dyDescent="0.25">
      <c r="A154" s="63" t="s">
        <v>274</v>
      </c>
      <c r="B154" s="63" t="s">
        <v>275</v>
      </c>
      <c r="C154" s="36">
        <v>4301052254</v>
      </c>
      <c r="D154" s="725">
        <v>4680115888203</v>
      </c>
      <c r="E154" s="72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7"/>
      <c r="R154" s="727"/>
      <c r="S154" s="727"/>
      <c r="T154" s="72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4301052172</v>
      </c>
      <c r="D155" s="725">
        <v>4680115888180</v>
      </c>
      <c r="E155" s="72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0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7"/>
      <c r="R155" s="727"/>
      <c r="S155" s="727"/>
      <c r="T155" s="72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4301052252</v>
      </c>
      <c r="D156" s="725">
        <v>4680115888180</v>
      </c>
      <c r="E156" s="72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0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7"/>
      <c r="R156" s="727"/>
      <c r="S156" s="727"/>
      <c r="T156" s="72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4301052173</v>
      </c>
      <c r="D157" s="725">
        <v>4680115888197</v>
      </c>
      <c r="E157" s="72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7"/>
      <c r="R157" s="727"/>
      <c r="S157" s="727"/>
      <c r="T157" s="72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4301052253</v>
      </c>
      <c r="D158" s="725">
        <v>4680115888197</v>
      </c>
      <c r="E158" s="72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0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7"/>
      <c r="R158" s="727"/>
      <c r="S158" s="727"/>
      <c r="T158" s="72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4301052175</v>
      </c>
      <c r="D159" s="725">
        <v>4680115888210</v>
      </c>
      <c r="E159" s="72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7"/>
      <c r="R159" s="727"/>
      <c r="S159" s="727"/>
      <c r="T159" s="72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4301052255</v>
      </c>
      <c r="D160" s="725">
        <v>4680115888210</v>
      </c>
      <c r="E160" s="72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7"/>
      <c r="R160" s="727"/>
      <c r="S160" s="727"/>
      <c r="T160" s="72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4"/>
      <c r="P161" s="730" t="s">
        <v>40</v>
      </c>
      <c r="Q161" s="731"/>
      <c r="R161" s="731"/>
      <c r="S161" s="731"/>
      <c r="T161" s="731"/>
      <c r="U161" s="731"/>
      <c r="V161" s="732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3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4"/>
      <c r="P162" s="730" t="s">
        <v>40</v>
      </c>
      <c r="Q162" s="731"/>
      <c r="R162" s="731"/>
      <c r="S162" s="731"/>
      <c r="T162" s="731"/>
      <c r="U162" s="731"/>
      <c r="V162" s="732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4" t="s">
        <v>289</v>
      </c>
      <c r="B163" s="724"/>
      <c r="C163" s="724"/>
      <c r="D163" s="724"/>
      <c r="E163" s="724"/>
      <c r="F163" s="724"/>
      <c r="G163" s="724"/>
      <c r="H163" s="724"/>
      <c r="I163" s="724"/>
      <c r="J163" s="724"/>
      <c r="K163" s="724"/>
      <c r="L163" s="724"/>
      <c r="M163" s="724"/>
      <c r="N163" s="724"/>
      <c r="O163" s="724"/>
      <c r="P163" s="724"/>
      <c r="Q163" s="724"/>
      <c r="R163" s="724"/>
      <c r="S163" s="724"/>
      <c r="T163" s="724"/>
      <c r="U163" s="724"/>
      <c r="V163" s="724"/>
      <c r="W163" s="724"/>
      <c r="X163" s="724"/>
      <c r="Y163" s="724"/>
      <c r="Z163" s="72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4301032067</v>
      </c>
      <c r="D164" s="725">
        <v>4680115889132</v>
      </c>
      <c r="E164" s="72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7"/>
      <c r="R164" s="727"/>
      <c r="S164" s="727"/>
      <c r="T164" s="72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4"/>
      <c r="P165" s="730" t="s">
        <v>40</v>
      </c>
      <c r="Q165" s="731"/>
      <c r="R165" s="731"/>
      <c r="S165" s="731"/>
      <c r="T165" s="731"/>
      <c r="U165" s="731"/>
      <c r="V165" s="732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3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4"/>
      <c r="P166" s="730" t="s">
        <v>40</v>
      </c>
      <c r="Q166" s="731"/>
      <c r="R166" s="731"/>
      <c r="S166" s="731"/>
      <c r="T166" s="731"/>
      <c r="U166" s="731"/>
      <c r="V166" s="732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3" t="s">
        <v>120</v>
      </c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3"/>
      <c r="P167" s="723"/>
      <c r="Q167" s="723"/>
      <c r="R167" s="723"/>
      <c r="S167" s="723"/>
      <c r="T167" s="723"/>
      <c r="U167" s="723"/>
      <c r="V167" s="723"/>
      <c r="W167" s="723"/>
      <c r="X167" s="723"/>
      <c r="Y167" s="723"/>
      <c r="Z167" s="723"/>
      <c r="AA167" s="65"/>
      <c r="AB167" s="65"/>
      <c r="AC167" s="79"/>
    </row>
    <row r="168" spans="1:68" ht="14.25" hidden="1" customHeight="1" x14ac:dyDescent="0.25">
      <c r="A168" s="724" t="s">
        <v>122</v>
      </c>
      <c r="B168" s="724"/>
      <c r="C168" s="724"/>
      <c r="D168" s="724"/>
      <c r="E168" s="724"/>
      <c r="F168" s="724"/>
      <c r="G168" s="724"/>
      <c r="H168" s="724"/>
      <c r="I168" s="724"/>
      <c r="J168" s="724"/>
      <c r="K168" s="724"/>
      <c r="L168" s="724"/>
      <c r="M168" s="724"/>
      <c r="N168" s="724"/>
      <c r="O168" s="724"/>
      <c r="P168" s="724"/>
      <c r="Q168" s="724"/>
      <c r="R168" s="724"/>
      <c r="S168" s="724"/>
      <c r="T168" s="724"/>
      <c r="U168" s="724"/>
      <c r="V168" s="724"/>
      <c r="W168" s="724"/>
      <c r="X168" s="724"/>
      <c r="Y168" s="724"/>
      <c r="Z168" s="724"/>
      <c r="AA168" s="66"/>
      <c r="AB168" s="66"/>
      <c r="AC168" s="80"/>
    </row>
    <row r="169" spans="1:68" ht="27" hidden="1" customHeight="1" x14ac:dyDescent="0.25">
      <c r="A169" s="63" t="s">
        <v>296</v>
      </c>
      <c r="B169" s="63" t="s">
        <v>297</v>
      </c>
      <c r="C169" s="36">
        <v>4301012338</v>
      </c>
      <c r="D169" s="725">
        <v>4680115887374</v>
      </c>
      <c r="E169" s="72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1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7"/>
      <c r="R169" s="727"/>
      <c r="S169" s="727"/>
      <c r="T169" s="72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299</v>
      </c>
      <c r="B170" s="63" t="s">
        <v>300</v>
      </c>
      <c r="C170" s="36">
        <v>4301011705</v>
      </c>
      <c r="D170" s="725">
        <v>4607091384604</v>
      </c>
      <c r="E170" s="72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7"/>
      <c r="R170" s="727"/>
      <c r="S170" s="727"/>
      <c r="T170" s="72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4301012344</v>
      </c>
      <c r="D171" s="725">
        <v>4680115888876</v>
      </c>
      <c r="E171" s="72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1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7"/>
      <c r="R171" s="727"/>
      <c r="S171" s="727"/>
      <c r="T171" s="72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3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4"/>
      <c r="P172" s="730" t="s">
        <v>40</v>
      </c>
      <c r="Q172" s="731"/>
      <c r="R172" s="731"/>
      <c r="S172" s="731"/>
      <c r="T172" s="731"/>
      <c r="U172" s="731"/>
      <c r="V172" s="732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4"/>
      <c r="P173" s="730" t="s">
        <v>40</v>
      </c>
      <c r="Q173" s="731"/>
      <c r="R173" s="731"/>
      <c r="S173" s="731"/>
      <c r="T173" s="731"/>
      <c r="U173" s="731"/>
      <c r="V173" s="732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4" t="s">
        <v>155</v>
      </c>
      <c r="B174" s="724"/>
      <c r="C174" s="724"/>
      <c r="D174" s="724"/>
      <c r="E174" s="724"/>
      <c r="F174" s="724"/>
      <c r="G174" s="724"/>
      <c r="H174" s="724"/>
      <c r="I174" s="724"/>
      <c r="J174" s="724"/>
      <c r="K174" s="724"/>
      <c r="L174" s="724"/>
      <c r="M174" s="724"/>
      <c r="N174" s="724"/>
      <c r="O174" s="724"/>
      <c r="P174" s="724"/>
      <c r="Q174" s="724"/>
      <c r="R174" s="724"/>
      <c r="S174" s="724"/>
      <c r="T174" s="724"/>
      <c r="U174" s="724"/>
      <c r="V174" s="724"/>
      <c r="W174" s="724"/>
      <c r="X174" s="724"/>
      <c r="Y174" s="724"/>
      <c r="Z174" s="724"/>
      <c r="AA174" s="66"/>
      <c r="AB174" s="66"/>
      <c r="AC174" s="80"/>
    </row>
    <row r="175" spans="1:68" ht="16.5" hidden="1" customHeight="1" x14ac:dyDescent="0.25">
      <c r="A175" s="63" t="s">
        <v>305</v>
      </c>
      <c r="B175" s="63" t="s">
        <v>306</v>
      </c>
      <c r="C175" s="36">
        <v>4301020410</v>
      </c>
      <c r="D175" s="725">
        <v>4680115887695</v>
      </c>
      <c r="E175" s="72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1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7"/>
      <c r="R175" s="727"/>
      <c r="S175" s="727"/>
      <c r="T175" s="72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308</v>
      </c>
      <c r="B176" s="63" t="s">
        <v>309</v>
      </c>
      <c r="C176" s="36">
        <v>4301020439</v>
      </c>
      <c r="D176" s="725">
        <v>4680115889491</v>
      </c>
      <c r="E176" s="72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1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7"/>
      <c r="R176" s="727"/>
      <c r="S176" s="727"/>
      <c r="T176" s="72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3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4"/>
      <c r="P177" s="730" t="s">
        <v>40</v>
      </c>
      <c r="Q177" s="731"/>
      <c r="R177" s="731"/>
      <c r="S177" s="731"/>
      <c r="T177" s="731"/>
      <c r="U177" s="731"/>
      <c r="V177" s="732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3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4"/>
      <c r="P178" s="730" t="s">
        <v>40</v>
      </c>
      <c r="Q178" s="731"/>
      <c r="R178" s="731"/>
      <c r="S178" s="731"/>
      <c r="T178" s="731"/>
      <c r="U178" s="731"/>
      <c r="V178" s="732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4" t="s">
        <v>77</v>
      </c>
      <c r="B179" s="724"/>
      <c r="C179" s="724"/>
      <c r="D179" s="724"/>
      <c r="E179" s="724"/>
      <c r="F179" s="724"/>
      <c r="G179" s="724"/>
      <c r="H179" s="724"/>
      <c r="I179" s="724"/>
      <c r="J179" s="724"/>
      <c r="K179" s="724"/>
      <c r="L179" s="724"/>
      <c r="M179" s="724"/>
      <c r="N179" s="724"/>
      <c r="O179" s="724"/>
      <c r="P179" s="724"/>
      <c r="Q179" s="724"/>
      <c r="R179" s="724"/>
      <c r="S179" s="724"/>
      <c r="T179" s="724"/>
      <c r="U179" s="724"/>
      <c r="V179" s="724"/>
      <c r="W179" s="724"/>
      <c r="X179" s="724"/>
      <c r="Y179" s="724"/>
      <c r="Z179" s="724"/>
      <c r="AA179" s="66"/>
      <c r="AB179" s="66"/>
      <c r="AC179" s="80"/>
    </row>
    <row r="180" spans="1:68" ht="27" customHeight="1" x14ac:dyDescent="0.25">
      <c r="A180" s="63" t="s">
        <v>311</v>
      </c>
      <c r="B180" s="63" t="s">
        <v>312</v>
      </c>
      <c r="C180" s="36">
        <v>4301031496</v>
      </c>
      <c r="D180" s="725">
        <v>4680115887428</v>
      </c>
      <c r="E180" s="72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1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7"/>
      <c r="R180" s="727"/>
      <c r="S180" s="727"/>
      <c r="T180" s="728"/>
      <c r="U180" s="39" t="s">
        <v>46</v>
      </c>
      <c r="V180" s="39" t="s">
        <v>46</v>
      </c>
      <c r="W180" s="40" t="s">
        <v>0</v>
      </c>
      <c r="X180" s="58">
        <v>60</v>
      </c>
      <c r="Y180" s="55">
        <f t="shared" ref="Y180:Y191" si="26">IFERROR(IF(X180="",0,CEILING((X180/$H180),1)*$H180),"")</f>
        <v>63</v>
      </c>
      <c r="Z180" s="41">
        <f>IFERROR(IF(Y180=0,"",ROUNDUP(Y180/H180,0)*0.00902),"")</f>
        <v>0.16236</v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63.25714285714286</v>
      </c>
      <c r="BN180" s="78">
        <f t="shared" ref="BN180:BN191" si="28">IFERROR(Y180*I180/H180,"0")</f>
        <v>66.42</v>
      </c>
      <c r="BO180" s="78">
        <f t="shared" ref="BO180:BO191" si="29">IFERROR(1/J180*(X180/H180),"0")</f>
        <v>0.12987012987012986</v>
      </c>
      <c r="BP180" s="78">
        <f t="shared" ref="BP180:BP191" si="30">IFERROR(1/J180*(Y180/H180),"0")</f>
        <v>0.13636363636363635</v>
      </c>
    </row>
    <row r="181" spans="1:68" ht="27" customHeight="1" x14ac:dyDescent="0.25">
      <c r="A181" s="63" t="s">
        <v>314</v>
      </c>
      <c r="B181" s="63" t="s">
        <v>315</v>
      </c>
      <c r="C181" s="36">
        <v>4301031509</v>
      </c>
      <c r="D181" s="725">
        <v>4680115889170</v>
      </c>
      <c r="E181" s="72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1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7"/>
      <c r="R181" s="727"/>
      <c r="S181" s="727"/>
      <c r="T181" s="728"/>
      <c r="U181" s="39" t="s">
        <v>46</v>
      </c>
      <c r="V181" s="39" t="s">
        <v>46</v>
      </c>
      <c r="W181" s="40" t="s">
        <v>0</v>
      </c>
      <c r="X181" s="58">
        <v>100</v>
      </c>
      <c r="Y181" s="55">
        <f t="shared" si="26"/>
        <v>101.5</v>
      </c>
      <c r="Z181" s="41">
        <f>IFERROR(IF(Y181=0,"",ROUNDUP(Y181/H181,0)*0.00902),"")</f>
        <v>0.26158000000000003</v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107.57142857142857</v>
      </c>
      <c r="BN181" s="78">
        <f t="shared" si="28"/>
        <v>109.18500000000002</v>
      </c>
      <c r="BO181" s="78">
        <f t="shared" si="29"/>
        <v>0.21645021645021648</v>
      </c>
      <c r="BP181" s="78">
        <f t="shared" si="30"/>
        <v>0.2196969696969697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4301031498</v>
      </c>
      <c r="D182" s="725">
        <v>4680115887398</v>
      </c>
      <c r="E182" s="72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7"/>
      <c r="R182" s="727"/>
      <c r="S182" s="727"/>
      <c r="T182" s="72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4301031497</v>
      </c>
      <c r="D183" s="725">
        <v>4680115887336</v>
      </c>
      <c r="E183" s="72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2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7"/>
      <c r="R183" s="727"/>
      <c r="S183" s="727"/>
      <c r="T183" s="72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320</v>
      </c>
      <c r="B184" s="63" t="s">
        <v>323</v>
      </c>
      <c r="C184" s="36">
        <v>4301031520</v>
      </c>
      <c r="D184" s="725">
        <v>4680115887336</v>
      </c>
      <c r="E184" s="72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22" t="s">
        <v>324</v>
      </c>
      <c r="Q184" s="727"/>
      <c r="R184" s="727"/>
      <c r="S184" s="727"/>
      <c r="T184" s="72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326</v>
      </c>
      <c r="B185" s="63" t="s">
        <v>327</v>
      </c>
      <c r="C185" s="36">
        <v>4301032049</v>
      </c>
      <c r="D185" s="725">
        <v>4680115887787</v>
      </c>
      <c r="E185" s="72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2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7"/>
      <c r="R185" s="727"/>
      <c r="S185" s="727"/>
      <c r="T185" s="72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326</v>
      </c>
      <c r="B186" s="63" t="s">
        <v>329</v>
      </c>
      <c r="C186" s="36">
        <v>4301031528</v>
      </c>
      <c r="D186" s="725">
        <v>4680115887787</v>
      </c>
      <c r="E186" s="72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24" t="s">
        <v>330</v>
      </c>
      <c r="Q186" s="727"/>
      <c r="R186" s="727"/>
      <c r="S186" s="727"/>
      <c r="T186" s="72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4301031448</v>
      </c>
      <c r="D187" s="725">
        <v>4680115887503</v>
      </c>
      <c r="E187" s="72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7"/>
      <c r="R187" s="727"/>
      <c r="S187" s="727"/>
      <c r="T187" s="72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333</v>
      </c>
      <c r="B188" s="63" t="s">
        <v>334</v>
      </c>
      <c r="C188" s="36">
        <v>4301031389</v>
      </c>
      <c r="D188" s="725">
        <v>4680115887763</v>
      </c>
      <c r="E188" s="72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2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7"/>
      <c r="R188" s="727"/>
      <c r="S188" s="727"/>
      <c r="T188" s="72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336</v>
      </c>
      <c r="B189" s="63" t="s">
        <v>337</v>
      </c>
      <c r="C189" s="36">
        <v>4301031454</v>
      </c>
      <c r="D189" s="725">
        <v>4680115887480</v>
      </c>
      <c r="E189" s="72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2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7"/>
      <c r="R189" s="727"/>
      <c r="S189" s="727"/>
      <c r="T189" s="72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4301031434</v>
      </c>
      <c r="D190" s="725">
        <v>4680115888067</v>
      </c>
      <c r="E190" s="72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2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7"/>
      <c r="R190" s="727"/>
      <c r="S190" s="727"/>
      <c r="T190" s="72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4301031519</v>
      </c>
      <c r="D191" s="725">
        <v>4680115887435</v>
      </c>
      <c r="E191" s="72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2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7"/>
      <c r="R191" s="727"/>
      <c r="S191" s="727"/>
      <c r="T191" s="72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x14ac:dyDescent="0.2">
      <c r="A192" s="733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4"/>
      <c r="P192" s="730" t="s">
        <v>40</v>
      </c>
      <c r="Q192" s="731"/>
      <c r="R192" s="731"/>
      <c r="S192" s="731"/>
      <c r="T192" s="731"/>
      <c r="U192" s="731"/>
      <c r="V192" s="732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45.714285714285715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47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0.42394000000000004</v>
      </c>
      <c r="AA192" s="67"/>
      <c r="AB192" s="67"/>
      <c r="AC192" s="67"/>
    </row>
    <row r="193" spans="1:68" x14ac:dyDescent="0.2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4"/>
      <c r="P193" s="730" t="s">
        <v>40</v>
      </c>
      <c r="Q193" s="731"/>
      <c r="R193" s="731"/>
      <c r="S193" s="731"/>
      <c r="T193" s="731"/>
      <c r="U193" s="731"/>
      <c r="V193" s="732"/>
      <c r="W193" s="42" t="s">
        <v>0</v>
      </c>
      <c r="X193" s="43">
        <f>IFERROR(SUM(X180:X191),"0")</f>
        <v>160</v>
      </c>
      <c r="Y193" s="43">
        <f>IFERROR(SUM(Y180:Y191),"0")</f>
        <v>164.5</v>
      </c>
      <c r="Z193" s="42"/>
      <c r="AA193" s="67"/>
      <c r="AB193" s="67"/>
      <c r="AC193" s="67"/>
    </row>
    <row r="194" spans="1:68" ht="14.25" hidden="1" customHeight="1" x14ac:dyDescent="0.25">
      <c r="A194" s="724" t="s">
        <v>86</v>
      </c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4"/>
      <c r="P194" s="724"/>
      <c r="Q194" s="724"/>
      <c r="R194" s="724"/>
      <c r="S194" s="724"/>
      <c r="T194" s="724"/>
      <c r="U194" s="724"/>
      <c r="V194" s="724"/>
      <c r="W194" s="724"/>
      <c r="X194" s="724"/>
      <c r="Y194" s="724"/>
      <c r="Z194" s="724"/>
      <c r="AA194" s="66"/>
      <c r="AB194" s="66"/>
      <c r="AC194" s="80"/>
    </row>
    <row r="195" spans="1:68" ht="16.5" hidden="1" customHeight="1" x14ac:dyDescent="0.25">
      <c r="A195" s="63" t="s">
        <v>343</v>
      </c>
      <c r="B195" s="63" t="s">
        <v>344</v>
      </c>
      <c r="C195" s="36">
        <v>4301052193</v>
      </c>
      <c r="D195" s="725">
        <v>4680115888395</v>
      </c>
      <c r="E195" s="72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3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7"/>
      <c r="R195" s="727"/>
      <c r="S195" s="727"/>
      <c r="T195" s="72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346</v>
      </c>
      <c r="B196" s="63" t="s">
        <v>347</v>
      </c>
      <c r="C196" s="36">
        <v>4301052191</v>
      </c>
      <c r="D196" s="725">
        <v>4680115888371</v>
      </c>
      <c r="E196" s="72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7"/>
      <c r="R196" s="727"/>
      <c r="S196" s="727"/>
      <c r="T196" s="72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349</v>
      </c>
      <c r="B197" s="63" t="s">
        <v>350</v>
      </c>
      <c r="C197" s="36">
        <v>4301052064</v>
      </c>
      <c r="D197" s="725">
        <v>4680115887459</v>
      </c>
      <c r="E197" s="72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3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7"/>
      <c r="R197" s="727"/>
      <c r="S197" s="727"/>
      <c r="T197" s="72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4"/>
      <c r="P199" s="730" t="s">
        <v>40</v>
      </c>
      <c r="Q199" s="731"/>
      <c r="R199" s="731"/>
      <c r="S199" s="731"/>
      <c r="T199" s="731"/>
      <c r="U199" s="731"/>
      <c r="V199" s="732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4" t="s">
        <v>289</v>
      </c>
      <c r="B200" s="724"/>
      <c r="C200" s="724"/>
      <c r="D200" s="724"/>
      <c r="E200" s="724"/>
      <c r="F200" s="724"/>
      <c r="G200" s="724"/>
      <c r="H200" s="724"/>
      <c r="I200" s="724"/>
      <c r="J200" s="724"/>
      <c r="K200" s="724"/>
      <c r="L200" s="724"/>
      <c r="M200" s="724"/>
      <c r="N200" s="724"/>
      <c r="O200" s="724"/>
      <c r="P200" s="724"/>
      <c r="Q200" s="724"/>
      <c r="R200" s="724"/>
      <c r="S200" s="724"/>
      <c r="T200" s="724"/>
      <c r="U200" s="724"/>
      <c r="V200" s="724"/>
      <c r="W200" s="724"/>
      <c r="X200" s="724"/>
      <c r="Y200" s="724"/>
      <c r="Z200" s="724"/>
      <c r="AA200" s="66"/>
      <c r="AB200" s="66"/>
      <c r="AC200" s="80"/>
    </row>
    <row r="201" spans="1:68" ht="16.5" hidden="1" customHeight="1" x14ac:dyDescent="0.25">
      <c r="A201" s="63" t="s">
        <v>352</v>
      </c>
      <c r="B201" s="63" t="s">
        <v>353</v>
      </c>
      <c r="C201" s="36">
        <v>4301032058</v>
      </c>
      <c r="D201" s="725">
        <v>4680115889026</v>
      </c>
      <c r="E201" s="72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7"/>
      <c r="R201" s="727"/>
      <c r="S201" s="727"/>
      <c r="T201" s="72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4"/>
      <c r="P202" s="730" t="s">
        <v>40</v>
      </c>
      <c r="Q202" s="731"/>
      <c r="R202" s="731"/>
      <c r="S202" s="731"/>
      <c r="T202" s="731"/>
      <c r="U202" s="731"/>
      <c r="V202" s="732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3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4"/>
      <c r="P203" s="730" t="s">
        <v>40</v>
      </c>
      <c r="Q203" s="731"/>
      <c r="R203" s="731"/>
      <c r="S203" s="731"/>
      <c r="T203" s="731"/>
      <c r="U203" s="731"/>
      <c r="V203" s="732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4" t="s">
        <v>356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66"/>
      <c r="AB204" s="66"/>
      <c r="AC204" s="80"/>
    </row>
    <row r="205" spans="1:68" ht="27" hidden="1" customHeight="1" x14ac:dyDescent="0.25">
      <c r="A205" s="63" t="s">
        <v>357</v>
      </c>
      <c r="B205" s="63" t="s">
        <v>358</v>
      </c>
      <c r="C205" s="36">
        <v>4301041009</v>
      </c>
      <c r="D205" s="725">
        <v>4680115889033</v>
      </c>
      <c r="E205" s="72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3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7"/>
      <c r="R205" s="727"/>
      <c r="S205" s="727"/>
      <c r="T205" s="72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3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4"/>
      <c r="P206" s="730" t="s">
        <v>40</v>
      </c>
      <c r="Q206" s="731"/>
      <c r="R206" s="731"/>
      <c r="S206" s="731"/>
      <c r="T206" s="731"/>
      <c r="U206" s="731"/>
      <c r="V206" s="732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3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4"/>
      <c r="P207" s="730" t="s">
        <v>40</v>
      </c>
      <c r="Q207" s="731"/>
      <c r="R207" s="731"/>
      <c r="S207" s="731"/>
      <c r="T207" s="731"/>
      <c r="U207" s="731"/>
      <c r="V207" s="732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2" t="s">
        <v>360</v>
      </c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2"/>
      <c r="P208" s="722"/>
      <c r="Q208" s="722"/>
      <c r="R208" s="722"/>
      <c r="S208" s="722"/>
      <c r="T208" s="722"/>
      <c r="U208" s="722"/>
      <c r="V208" s="722"/>
      <c r="W208" s="722"/>
      <c r="X208" s="722"/>
      <c r="Y208" s="722"/>
      <c r="Z208" s="722"/>
      <c r="AA208" s="54"/>
      <c r="AB208" s="54"/>
      <c r="AC208" s="54"/>
    </row>
    <row r="209" spans="1:68" ht="16.5" hidden="1" customHeight="1" x14ac:dyDescent="0.25">
      <c r="A209" s="723" t="s">
        <v>361</v>
      </c>
      <c r="B209" s="723"/>
      <c r="C209" s="723"/>
      <c r="D209" s="723"/>
      <c r="E209" s="723"/>
      <c r="F209" s="723"/>
      <c r="G209" s="723"/>
      <c r="H209" s="723"/>
      <c r="I209" s="723"/>
      <c r="J209" s="723"/>
      <c r="K209" s="723"/>
      <c r="L209" s="723"/>
      <c r="M209" s="723"/>
      <c r="N209" s="723"/>
      <c r="O209" s="723"/>
      <c r="P209" s="723"/>
      <c r="Q209" s="723"/>
      <c r="R209" s="723"/>
      <c r="S209" s="723"/>
      <c r="T209" s="723"/>
      <c r="U209" s="723"/>
      <c r="V209" s="723"/>
      <c r="W209" s="723"/>
      <c r="X209" s="723"/>
      <c r="Y209" s="723"/>
      <c r="Z209" s="723"/>
      <c r="AA209" s="65"/>
      <c r="AB209" s="65"/>
      <c r="AC209" s="79"/>
    </row>
    <row r="210" spans="1:68" ht="14.25" hidden="1" customHeight="1" x14ac:dyDescent="0.25">
      <c r="A210" s="724" t="s">
        <v>122</v>
      </c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4"/>
      <c r="P210" s="724"/>
      <c r="Q210" s="724"/>
      <c r="R210" s="724"/>
      <c r="S210" s="724"/>
      <c r="T210" s="724"/>
      <c r="U210" s="724"/>
      <c r="V210" s="724"/>
      <c r="W210" s="724"/>
      <c r="X210" s="724"/>
      <c r="Y210" s="724"/>
      <c r="Z210" s="724"/>
      <c r="AA210" s="66"/>
      <c r="AB210" s="66"/>
      <c r="AC210" s="80"/>
    </row>
    <row r="211" spans="1:68" ht="27" hidden="1" customHeight="1" x14ac:dyDescent="0.25">
      <c r="A211" s="63" t="s">
        <v>362</v>
      </c>
      <c r="B211" s="63" t="s">
        <v>363</v>
      </c>
      <c r="C211" s="36">
        <v>4301011223</v>
      </c>
      <c r="D211" s="725">
        <v>4607091383423</v>
      </c>
      <c r="E211" s="72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7"/>
      <c r="R211" s="727"/>
      <c r="S211" s="727"/>
      <c r="T211" s="72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4301012340</v>
      </c>
      <c r="D212" s="725">
        <v>4680115888760</v>
      </c>
      <c r="E212" s="72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7"/>
      <c r="R212" s="727"/>
      <c r="S212" s="727"/>
      <c r="T212" s="72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367</v>
      </c>
      <c r="B213" s="63" t="s">
        <v>368</v>
      </c>
      <c r="C213" s="36">
        <v>4301012341</v>
      </c>
      <c r="D213" s="725">
        <v>4680115888807</v>
      </c>
      <c r="E213" s="72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7"/>
      <c r="R213" s="727"/>
      <c r="S213" s="727"/>
      <c r="T213" s="72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370</v>
      </c>
      <c r="B214" s="63" t="s">
        <v>371</v>
      </c>
      <c r="C214" s="36">
        <v>4301012342</v>
      </c>
      <c r="D214" s="725">
        <v>4680115888852</v>
      </c>
      <c r="E214" s="72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7"/>
      <c r="R214" s="727"/>
      <c r="S214" s="727"/>
      <c r="T214" s="72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373</v>
      </c>
      <c r="B215" s="63" t="s">
        <v>374</v>
      </c>
      <c r="C215" s="36">
        <v>4301012370</v>
      </c>
      <c r="D215" s="725">
        <v>4680115886957</v>
      </c>
      <c r="E215" s="72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7"/>
      <c r="R215" s="727"/>
      <c r="S215" s="727"/>
      <c r="T215" s="72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376</v>
      </c>
      <c r="B216" s="63" t="s">
        <v>377</v>
      </c>
      <c r="C216" s="36">
        <v>4301012098</v>
      </c>
      <c r="D216" s="725">
        <v>4680115885660</v>
      </c>
      <c r="E216" s="72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7"/>
      <c r="R216" s="727"/>
      <c r="S216" s="727"/>
      <c r="T216" s="72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379</v>
      </c>
      <c r="B217" s="63" t="s">
        <v>380</v>
      </c>
      <c r="C217" s="36">
        <v>4301012369</v>
      </c>
      <c r="D217" s="725">
        <v>4680115886773</v>
      </c>
      <c r="E217" s="72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7"/>
      <c r="R217" s="727"/>
      <c r="S217" s="727"/>
      <c r="T217" s="72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4"/>
      <c r="P218" s="730" t="s">
        <v>40</v>
      </c>
      <c r="Q218" s="731"/>
      <c r="R218" s="731"/>
      <c r="S218" s="731"/>
      <c r="T218" s="731"/>
      <c r="U218" s="731"/>
      <c r="V218" s="732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4"/>
      <c r="P219" s="730" t="s">
        <v>40</v>
      </c>
      <c r="Q219" s="731"/>
      <c r="R219" s="731"/>
      <c r="S219" s="731"/>
      <c r="T219" s="731"/>
      <c r="U219" s="731"/>
      <c r="V219" s="732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3" t="s">
        <v>382</v>
      </c>
      <c r="B220" s="723"/>
      <c r="C220" s="723"/>
      <c r="D220" s="723"/>
      <c r="E220" s="723"/>
      <c r="F220" s="723"/>
      <c r="G220" s="723"/>
      <c r="H220" s="723"/>
      <c r="I220" s="723"/>
      <c r="J220" s="723"/>
      <c r="K220" s="723"/>
      <c r="L220" s="723"/>
      <c r="M220" s="723"/>
      <c r="N220" s="723"/>
      <c r="O220" s="723"/>
      <c r="P220" s="723"/>
      <c r="Q220" s="723"/>
      <c r="R220" s="723"/>
      <c r="S220" s="723"/>
      <c r="T220" s="723"/>
      <c r="U220" s="723"/>
      <c r="V220" s="723"/>
      <c r="W220" s="723"/>
      <c r="X220" s="723"/>
      <c r="Y220" s="723"/>
      <c r="Z220" s="723"/>
      <c r="AA220" s="65"/>
      <c r="AB220" s="65"/>
      <c r="AC220" s="79"/>
    </row>
    <row r="221" spans="1:68" ht="14.25" hidden="1" customHeight="1" x14ac:dyDescent="0.25">
      <c r="A221" s="724" t="s">
        <v>155</v>
      </c>
      <c r="B221" s="724"/>
      <c r="C221" s="724"/>
      <c r="D221" s="724"/>
      <c r="E221" s="724"/>
      <c r="F221" s="724"/>
      <c r="G221" s="724"/>
      <c r="H221" s="724"/>
      <c r="I221" s="724"/>
      <c r="J221" s="724"/>
      <c r="K221" s="724"/>
      <c r="L221" s="724"/>
      <c r="M221" s="724"/>
      <c r="N221" s="724"/>
      <c r="O221" s="724"/>
      <c r="P221" s="724"/>
      <c r="Q221" s="724"/>
      <c r="R221" s="724"/>
      <c r="S221" s="724"/>
      <c r="T221" s="724"/>
      <c r="U221" s="724"/>
      <c r="V221" s="724"/>
      <c r="W221" s="724"/>
      <c r="X221" s="724"/>
      <c r="Y221" s="724"/>
      <c r="Z221" s="724"/>
      <c r="AA221" s="66"/>
      <c r="AB221" s="66"/>
      <c r="AC221" s="80"/>
    </row>
    <row r="222" spans="1:68" ht="27" hidden="1" customHeight="1" x14ac:dyDescent="0.25">
      <c r="A222" s="63" t="s">
        <v>383</v>
      </c>
      <c r="B222" s="63" t="s">
        <v>384</v>
      </c>
      <c r="C222" s="36">
        <v>4301020323</v>
      </c>
      <c r="D222" s="725">
        <v>4680115886223</v>
      </c>
      <c r="E222" s="72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7"/>
      <c r="R222" s="727"/>
      <c r="S222" s="727"/>
      <c r="T222" s="72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3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4"/>
      <c r="P223" s="730" t="s">
        <v>40</v>
      </c>
      <c r="Q223" s="731"/>
      <c r="R223" s="731"/>
      <c r="S223" s="731"/>
      <c r="T223" s="731"/>
      <c r="U223" s="731"/>
      <c r="V223" s="732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3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4"/>
      <c r="P224" s="730" t="s">
        <v>40</v>
      </c>
      <c r="Q224" s="731"/>
      <c r="R224" s="731"/>
      <c r="S224" s="731"/>
      <c r="T224" s="731"/>
      <c r="U224" s="731"/>
      <c r="V224" s="732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4" t="s">
        <v>77</v>
      </c>
      <c r="B225" s="724"/>
      <c r="C225" s="724"/>
      <c r="D225" s="724"/>
      <c r="E225" s="724"/>
      <c r="F225" s="724"/>
      <c r="G225" s="724"/>
      <c r="H225" s="724"/>
      <c r="I225" s="724"/>
      <c r="J225" s="724"/>
      <c r="K225" s="724"/>
      <c r="L225" s="724"/>
      <c r="M225" s="724"/>
      <c r="N225" s="724"/>
      <c r="O225" s="724"/>
      <c r="P225" s="724"/>
      <c r="Q225" s="724"/>
      <c r="R225" s="724"/>
      <c r="S225" s="724"/>
      <c r="T225" s="724"/>
      <c r="U225" s="724"/>
      <c r="V225" s="724"/>
      <c r="W225" s="724"/>
      <c r="X225" s="724"/>
      <c r="Y225" s="724"/>
      <c r="Z225" s="724"/>
      <c r="AA225" s="66"/>
      <c r="AB225" s="66"/>
      <c r="AC225" s="80"/>
    </row>
    <row r="226" spans="1:68" ht="27" hidden="1" customHeight="1" x14ac:dyDescent="0.25">
      <c r="A226" s="63" t="s">
        <v>386</v>
      </c>
      <c r="B226" s="63" t="s">
        <v>387</v>
      </c>
      <c r="C226" s="36">
        <v>4301031191</v>
      </c>
      <c r="D226" s="725">
        <v>4680115880993</v>
      </c>
      <c r="E226" s="72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7"/>
      <c r="R226" s="727"/>
      <c r="S226" s="727"/>
      <c r="T226" s="72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4301031204</v>
      </c>
      <c r="D227" s="725">
        <v>4680115881761</v>
      </c>
      <c r="E227" s="72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7"/>
      <c r="R227" s="727"/>
      <c r="S227" s="727"/>
      <c r="T227" s="72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392</v>
      </c>
      <c r="B228" s="63" t="s">
        <v>393</v>
      </c>
      <c r="C228" s="36">
        <v>4301031201</v>
      </c>
      <c r="D228" s="725">
        <v>4680115881563</v>
      </c>
      <c r="E228" s="72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7"/>
      <c r="R228" s="727"/>
      <c r="S228" s="727"/>
      <c r="T228" s="72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395</v>
      </c>
      <c r="B229" s="63" t="s">
        <v>396</v>
      </c>
      <c r="C229" s="36">
        <v>4301031447</v>
      </c>
      <c r="D229" s="725">
        <v>4680115887565</v>
      </c>
      <c r="E229" s="72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7"/>
      <c r="R229" s="727"/>
      <c r="S229" s="727"/>
      <c r="T229" s="72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4301031199</v>
      </c>
      <c r="D230" s="725">
        <v>4680115880986</v>
      </c>
      <c r="E230" s="72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7"/>
      <c r="R230" s="727"/>
      <c r="S230" s="727"/>
      <c r="T230" s="72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4301031443</v>
      </c>
      <c r="D231" s="725">
        <v>4680115887213</v>
      </c>
      <c r="E231" s="72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7"/>
      <c r="R231" s="727"/>
      <c r="S231" s="727"/>
      <c r="T231" s="72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403</v>
      </c>
      <c r="B232" s="63" t="s">
        <v>404</v>
      </c>
      <c r="C232" s="36">
        <v>4301031205</v>
      </c>
      <c r="D232" s="725">
        <v>4680115881785</v>
      </c>
      <c r="E232" s="72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7"/>
      <c r="R232" s="727"/>
      <c r="S232" s="727"/>
      <c r="T232" s="72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4301031499</v>
      </c>
      <c r="D233" s="725">
        <v>4680115888432</v>
      </c>
      <c r="E233" s="72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7"/>
      <c r="R233" s="727"/>
      <c r="S233" s="727"/>
      <c r="T233" s="72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4301031427</v>
      </c>
      <c r="D234" s="725">
        <v>4680115888104</v>
      </c>
      <c r="E234" s="72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5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7"/>
      <c r="R234" s="727"/>
      <c r="S234" s="727"/>
      <c r="T234" s="72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411</v>
      </c>
      <c r="B235" s="63" t="s">
        <v>412</v>
      </c>
      <c r="C235" s="36">
        <v>4301031399</v>
      </c>
      <c r="D235" s="725">
        <v>4680115886537</v>
      </c>
      <c r="E235" s="72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5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7"/>
      <c r="R235" s="727"/>
      <c r="S235" s="727"/>
      <c r="T235" s="72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414</v>
      </c>
      <c r="B236" s="63" t="s">
        <v>415</v>
      </c>
      <c r="C236" s="36">
        <v>4301031279</v>
      </c>
      <c r="D236" s="725">
        <v>4680115887596</v>
      </c>
      <c r="E236" s="72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5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7"/>
      <c r="R236" s="727"/>
      <c r="S236" s="727"/>
      <c r="T236" s="72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417</v>
      </c>
      <c r="B237" s="63" t="s">
        <v>418</v>
      </c>
      <c r="C237" s="36">
        <v>4301031202</v>
      </c>
      <c r="D237" s="725">
        <v>4680115881679</v>
      </c>
      <c r="E237" s="72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5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7"/>
      <c r="R237" s="727"/>
      <c r="S237" s="727"/>
      <c r="T237" s="72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4301031158</v>
      </c>
      <c r="D238" s="725">
        <v>4680115880191</v>
      </c>
      <c r="E238" s="72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7"/>
      <c r="R238" s="727"/>
      <c r="S238" s="727"/>
      <c r="T238" s="72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4301031245</v>
      </c>
      <c r="D239" s="725">
        <v>4680115883963</v>
      </c>
      <c r="E239" s="72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5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7"/>
      <c r="R239" s="727"/>
      <c r="S239" s="727"/>
      <c r="T239" s="72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733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4"/>
      <c r="P240" s="730" t="s">
        <v>40</v>
      </c>
      <c r="Q240" s="731"/>
      <c r="R240" s="731"/>
      <c r="S240" s="731"/>
      <c r="T240" s="731"/>
      <c r="U240" s="731"/>
      <c r="V240" s="732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33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4"/>
      <c r="P241" s="730" t="s">
        <v>40</v>
      </c>
      <c r="Q241" s="731"/>
      <c r="R241" s="731"/>
      <c r="S241" s="731"/>
      <c r="T241" s="731"/>
      <c r="U241" s="731"/>
      <c r="V241" s="732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24" t="s">
        <v>86</v>
      </c>
      <c r="B242" s="724"/>
      <c r="C242" s="724"/>
      <c r="D242" s="724"/>
      <c r="E242" s="724"/>
      <c r="F242" s="724"/>
      <c r="G242" s="724"/>
      <c r="H242" s="724"/>
      <c r="I242" s="724"/>
      <c r="J242" s="724"/>
      <c r="K242" s="724"/>
      <c r="L242" s="724"/>
      <c r="M242" s="724"/>
      <c r="N242" s="724"/>
      <c r="O242" s="724"/>
      <c r="P242" s="724"/>
      <c r="Q242" s="724"/>
      <c r="R242" s="724"/>
      <c r="S242" s="724"/>
      <c r="T242" s="724"/>
      <c r="U242" s="724"/>
      <c r="V242" s="724"/>
      <c r="W242" s="724"/>
      <c r="X242" s="724"/>
      <c r="Y242" s="724"/>
      <c r="Z242" s="724"/>
      <c r="AA242" s="66"/>
      <c r="AB242" s="66"/>
      <c r="AC242" s="80"/>
    </row>
    <row r="243" spans="1:68" ht="16.5" hidden="1" customHeight="1" x14ac:dyDescent="0.25">
      <c r="A243" s="63" t="s">
        <v>424</v>
      </c>
      <c r="B243" s="63" t="s">
        <v>425</v>
      </c>
      <c r="C243" s="36">
        <v>4301052209</v>
      </c>
      <c r="D243" s="725">
        <v>4680115888692</v>
      </c>
      <c r="E243" s="72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5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7"/>
      <c r="R243" s="727"/>
      <c r="S243" s="727"/>
      <c r="T243" s="72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427</v>
      </c>
      <c r="B244" s="63" t="s">
        <v>428</v>
      </c>
      <c r="C244" s="36">
        <v>4301052213</v>
      </c>
      <c r="D244" s="725">
        <v>4680115888722</v>
      </c>
      <c r="E244" s="72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7"/>
      <c r="R244" s="727"/>
      <c r="S244" s="727"/>
      <c r="T244" s="72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4301052177</v>
      </c>
      <c r="D245" s="725">
        <v>4680115888951</v>
      </c>
      <c r="E245" s="72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7"/>
      <c r="R245" s="727"/>
      <c r="S245" s="727"/>
      <c r="T245" s="72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4301052178</v>
      </c>
      <c r="D246" s="725">
        <v>4680115888975</v>
      </c>
      <c r="E246" s="72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6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7"/>
      <c r="R246" s="727"/>
      <c r="S246" s="727"/>
      <c r="T246" s="72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436</v>
      </c>
      <c r="B247" s="63" t="s">
        <v>437</v>
      </c>
      <c r="C247" s="36">
        <v>4301052176</v>
      </c>
      <c r="D247" s="725">
        <v>4680115888982</v>
      </c>
      <c r="E247" s="72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6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7"/>
      <c r="R247" s="727"/>
      <c r="S247" s="727"/>
      <c r="T247" s="72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4"/>
      <c r="P248" s="730" t="s">
        <v>40</v>
      </c>
      <c r="Q248" s="731"/>
      <c r="R248" s="731"/>
      <c r="S248" s="731"/>
      <c r="T248" s="731"/>
      <c r="U248" s="731"/>
      <c r="V248" s="732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4"/>
      <c r="P249" s="730" t="s">
        <v>40</v>
      </c>
      <c r="Q249" s="731"/>
      <c r="R249" s="731"/>
      <c r="S249" s="731"/>
      <c r="T249" s="731"/>
      <c r="U249" s="731"/>
      <c r="V249" s="732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4" t="s">
        <v>289</v>
      </c>
      <c r="B250" s="724"/>
      <c r="C250" s="724"/>
      <c r="D250" s="724"/>
      <c r="E250" s="724"/>
      <c r="F250" s="724"/>
      <c r="G250" s="724"/>
      <c r="H250" s="724"/>
      <c r="I250" s="724"/>
      <c r="J250" s="724"/>
      <c r="K250" s="724"/>
      <c r="L250" s="724"/>
      <c r="M250" s="724"/>
      <c r="N250" s="724"/>
      <c r="O250" s="724"/>
      <c r="P250" s="724"/>
      <c r="Q250" s="724"/>
      <c r="R250" s="724"/>
      <c r="S250" s="724"/>
      <c r="T250" s="724"/>
      <c r="U250" s="724"/>
      <c r="V250" s="724"/>
      <c r="W250" s="724"/>
      <c r="X250" s="724"/>
      <c r="Y250" s="724"/>
      <c r="Z250" s="724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4301032053</v>
      </c>
      <c r="D251" s="725">
        <v>4680115886780</v>
      </c>
      <c r="E251" s="72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6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7"/>
      <c r="R251" s="727"/>
      <c r="S251" s="727"/>
      <c r="T251" s="72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441</v>
      </c>
      <c r="B252" s="63" t="s">
        <v>442</v>
      </c>
      <c r="C252" s="36">
        <v>4301032051</v>
      </c>
      <c r="D252" s="725">
        <v>4680115886742</v>
      </c>
      <c r="E252" s="72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7"/>
      <c r="R252" s="727"/>
      <c r="S252" s="727"/>
      <c r="T252" s="72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444</v>
      </c>
      <c r="B253" s="63" t="s">
        <v>445</v>
      </c>
      <c r="C253" s="36">
        <v>4301032052</v>
      </c>
      <c r="D253" s="725">
        <v>4680115886766</v>
      </c>
      <c r="E253" s="72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7"/>
      <c r="R253" s="727"/>
      <c r="S253" s="727"/>
      <c r="T253" s="72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4"/>
      <c r="P254" s="730" t="s">
        <v>40</v>
      </c>
      <c r="Q254" s="731"/>
      <c r="R254" s="731"/>
      <c r="S254" s="731"/>
      <c r="T254" s="731"/>
      <c r="U254" s="731"/>
      <c r="V254" s="73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4" t="s">
        <v>446</v>
      </c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4"/>
      <c r="P256" s="724"/>
      <c r="Q256" s="724"/>
      <c r="R256" s="724"/>
      <c r="S256" s="724"/>
      <c r="T256" s="724"/>
      <c r="U256" s="724"/>
      <c r="V256" s="724"/>
      <c r="W256" s="724"/>
      <c r="X256" s="724"/>
      <c r="Y256" s="724"/>
      <c r="Z256" s="724"/>
      <c r="AA256" s="66"/>
      <c r="AB256" s="66"/>
      <c r="AC256" s="80"/>
    </row>
    <row r="257" spans="1:68" ht="27" hidden="1" customHeight="1" x14ac:dyDescent="0.25">
      <c r="A257" s="63" t="s">
        <v>447</v>
      </c>
      <c r="B257" s="63" t="s">
        <v>448</v>
      </c>
      <c r="C257" s="36">
        <v>4301170013</v>
      </c>
      <c r="D257" s="725">
        <v>4680115886797</v>
      </c>
      <c r="E257" s="72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7"/>
      <c r="R257" s="727"/>
      <c r="S257" s="727"/>
      <c r="T257" s="72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4"/>
      <c r="P258" s="730" t="s">
        <v>40</v>
      </c>
      <c r="Q258" s="731"/>
      <c r="R258" s="731"/>
      <c r="S258" s="731"/>
      <c r="T258" s="731"/>
      <c r="U258" s="731"/>
      <c r="V258" s="73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4"/>
      <c r="P259" s="730" t="s">
        <v>40</v>
      </c>
      <c r="Q259" s="731"/>
      <c r="R259" s="731"/>
      <c r="S259" s="731"/>
      <c r="T259" s="731"/>
      <c r="U259" s="731"/>
      <c r="V259" s="73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3" t="s">
        <v>449</v>
      </c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3"/>
      <c r="P260" s="723"/>
      <c r="Q260" s="723"/>
      <c r="R260" s="723"/>
      <c r="S260" s="723"/>
      <c r="T260" s="723"/>
      <c r="U260" s="723"/>
      <c r="V260" s="723"/>
      <c r="W260" s="723"/>
      <c r="X260" s="723"/>
      <c r="Y260" s="723"/>
      <c r="Z260" s="723"/>
      <c r="AA260" s="65"/>
      <c r="AB260" s="65"/>
      <c r="AC260" s="79"/>
    </row>
    <row r="261" spans="1:68" ht="14.25" hidden="1" customHeight="1" x14ac:dyDescent="0.25">
      <c r="A261" s="724" t="s">
        <v>122</v>
      </c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724"/>
      <c r="U261" s="724"/>
      <c r="V261" s="724"/>
      <c r="W261" s="724"/>
      <c r="X261" s="724"/>
      <c r="Y261" s="724"/>
      <c r="Z261" s="724"/>
      <c r="AA261" s="66"/>
      <c r="AB261" s="66"/>
      <c r="AC261" s="80"/>
    </row>
    <row r="262" spans="1:68" ht="27" hidden="1" customHeight="1" x14ac:dyDescent="0.25">
      <c r="A262" s="63" t="s">
        <v>450</v>
      </c>
      <c r="B262" s="63" t="s">
        <v>451</v>
      </c>
      <c r="C262" s="36">
        <v>4301011450</v>
      </c>
      <c r="D262" s="725">
        <v>4680115881402</v>
      </c>
      <c r="E262" s="7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7"/>
      <c r="R262" s="727"/>
      <c r="S262" s="727"/>
      <c r="T262" s="72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453</v>
      </c>
      <c r="B263" s="63" t="s">
        <v>454</v>
      </c>
      <c r="C263" s="36">
        <v>4301011768</v>
      </c>
      <c r="D263" s="725">
        <v>4680115881396</v>
      </c>
      <c r="E263" s="72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7"/>
      <c r="R263" s="727"/>
      <c r="S263" s="727"/>
      <c r="T263" s="72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4"/>
      <c r="P264" s="730" t="s">
        <v>40</v>
      </c>
      <c r="Q264" s="731"/>
      <c r="R264" s="731"/>
      <c r="S264" s="731"/>
      <c r="T264" s="731"/>
      <c r="U264" s="731"/>
      <c r="V264" s="73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4"/>
      <c r="P265" s="730" t="s">
        <v>40</v>
      </c>
      <c r="Q265" s="731"/>
      <c r="R265" s="731"/>
      <c r="S265" s="731"/>
      <c r="T265" s="731"/>
      <c r="U265" s="731"/>
      <c r="V265" s="73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4" t="s">
        <v>155</v>
      </c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66"/>
      <c r="AB266" s="66"/>
      <c r="AC266" s="80"/>
    </row>
    <row r="267" spans="1:68" ht="16.5" hidden="1" customHeight="1" x14ac:dyDescent="0.25">
      <c r="A267" s="63" t="s">
        <v>455</v>
      </c>
      <c r="B267" s="63" t="s">
        <v>456</v>
      </c>
      <c r="C267" s="36">
        <v>4301020261</v>
      </c>
      <c r="D267" s="725">
        <v>4680115882935</v>
      </c>
      <c r="E267" s="72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7"/>
      <c r="R267" s="727"/>
      <c r="S267" s="727"/>
      <c r="T267" s="72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458</v>
      </c>
      <c r="B268" s="63" t="s">
        <v>459</v>
      </c>
      <c r="C268" s="36">
        <v>4301020220</v>
      </c>
      <c r="D268" s="725">
        <v>4680115880764</v>
      </c>
      <c r="E268" s="72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7"/>
      <c r="R268" s="727"/>
      <c r="S268" s="727"/>
      <c r="T268" s="72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4"/>
      <c r="P269" s="730" t="s">
        <v>40</v>
      </c>
      <c r="Q269" s="731"/>
      <c r="R269" s="731"/>
      <c r="S269" s="731"/>
      <c r="T269" s="731"/>
      <c r="U269" s="731"/>
      <c r="V269" s="73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4"/>
      <c r="P270" s="730" t="s">
        <v>40</v>
      </c>
      <c r="Q270" s="731"/>
      <c r="R270" s="731"/>
      <c r="S270" s="731"/>
      <c r="T270" s="731"/>
      <c r="U270" s="731"/>
      <c r="V270" s="73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4" t="s">
        <v>77</v>
      </c>
      <c r="B271" s="724"/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724"/>
      <c r="U271" s="724"/>
      <c r="V271" s="724"/>
      <c r="W271" s="724"/>
      <c r="X271" s="724"/>
      <c r="Y271" s="724"/>
      <c r="Z271" s="724"/>
      <c r="AA271" s="66"/>
      <c r="AB271" s="66"/>
      <c r="AC271" s="80"/>
    </row>
    <row r="272" spans="1:68" ht="27" customHeight="1" x14ac:dyDescent="0.25">
      <c r="A272" s="63" t="s">
        <v>460</v>
      </c>
      <c r="B272" s="63" t="s">
        <v>461</v>
      </c>
      <c r="C272" s="36">
        <v>4301031224</v>
      </c>
      <c r="D272" s="725">
        <v>4680115882683</v>
      </c>
      <c r="E272" s="72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7"/>
      <c r="R272" s="727"/>
      <c r="S272" s="727"/>
      <c r="T272" s="728"/>
      <c r="U272" s="39" t="s">
        <v>46</v>
      </c>
      <c r="V272" s="39" t="s">
        <v>46</v>
      </c>
      <c r="W272" s="40" t="s">
        <v>0</v>
      </c>
      <c r="X272" s="58">
        <v>250</v>
      </c>
      <c r="Y272" s="55">
        <f t="shared" ref="Y272:Y279" si="43">IFERROR(IF(X272="",0,CEILING((X272/$H272),1)*$H272),"")</f>
        <v>253.8</v>
      </c>
      <c r="Z272" s="41">
        <f>IFERROR(IF(Y272=0,"",ROUNDUP(Y272/H272,0)*0.00902),"")</f>
        <v>0.42393999999999998</v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258.7962962962963</v>
      </c>
      <c r="BN272" s="78">
        <f t="shared" ref="BN272:BN279" si="45">IFERROR(Y272*I272/H272,"0")</f>
        <v>262.72999999999996</v>
      </c>
      <c r="BO272" s="78">
        <f t="shared" ref="BO272:BO279" si="46">IFERROR(1/J272*(X272/H272),"0")</f>
        <v>0.35072951739618402</v>
      </c>
      <c r="BP272" s="78">
        <f t="shared" ref="BP272:BP279" si="47">IFERROR(1/J272*(Y272/H272),"0")</f>
        <v>0.35606060606060608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4301031230</v>
      </c>
      <c r="D273" s="725">
        <v>4680115882690</v>
      </c>
      <c r="E273" s="72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7"/>
      <c r="R273" s="727"/>
      <c r="S273" s="727"/>
      <c r="T273" s="72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466</v>
      </c>
      <c r="B274" s="63" t="s">
        <v>467</v>
      </c>
      <c r="C274" s="36">
        <v>4301031220</v>
      </c>
      <c r="D274" s="725">
        <v>4680115882669</v>
      </c>
      <c r="E274" s="72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7"/>
      <c r="R274" s="727"/>
      <c r="S274" s="727"/>
      <c r="T274" s="72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4301031221</v>
      </c>
      <c r="D275" s="725">
        <v>4680115882676</v>
      </c>
      <c r="E275" s="72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7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7"/>
      <c r="R275" s="727"/>
      <c r="S275" s="727"/>
      <c r="T275" s="728"/>
      <c r="U275" s="39" t="s">
        <v>46</v>
      </c>
      <c r="V275" s="39" t="s">
        <v>46</v>
      </c>
      <c r="W275" s="40" t="s">
        <v>0</v>
      </c>
      <c r="X275" s="58">
        <v>100</v>
      </c>
      <c r="Y275" s="55">
        <f t="shared" si="43"/>
        <v>102.60000000000001</v>
      </c>
      <c r="Z275" s="41">
        <f>IFERROR(IF(Y275=0,"",ROUNDUP(Y275/H275,0)*0.00902),"")</f>
        <v>0.17138</v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103.5185185185185</v>
      </c>
      <c r="BN275" s="78">
        <f t="shared" si="45"/>
        <v>106.21</v>
      </c>
      <c r="BO275" s="78">
        <f t="shared" si="46"/>
        <v>0.14029180695847362</v>
      </c>
      <c r="BP275" s="78">
        <f t="shared" si="47"/>
        <v>0.14393939393939395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4301031223</v>
      </c>
      <c r="D276" s="725">
        <v>4680115884014</v>
      </c>
      <c r="E276" s="72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7"/>
      <c r="R276" s="727"/>
      <c r="S276" s="727"/>
      <c r="T276" s="72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4301031222</v>
      </c>
      <c r="D277" s="725">
        <v>4680115884007</v>
      </c>
      <c r="E277" s="72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7"/>
      <c r="R277" s="727"/>
      <c r="S277" s="727"/>
      <c r="T277" s="72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4301031229</v>
      </c>
      <c r="D278" s="725">
        <v>4680115884038</v>
      </c>
      <c r="E278" s="72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7"/>
      <c r="R278" s="727"/>
      <c r="S278" s="727"/>
      <c r="T278" s="72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4301031225</v>
      </c>
      <c r="D279" s="725">
        <v>4680115884021</v>
      </c>
      <c r="E279" s="72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7"/>
      <c r="R279" s="727"/>
      <c r="S279" s="727"/>
      <c r="T279" s="72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x14ac:dyDescent="0.2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4"/>
      <c r="P280" s="730" t="s">
        <v>40</v>
      </c>
      <c r="Q280" s="731"/>
      <c r="R280" s="731"/>
      <c r="S280" s="731"/>
      <c r="T280" s="731"/>
      <c r="U280" s="731"/>
      <c r="V280" s="73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64.81481481481481</v>
      </c>
      <c r="Y280" s="43">
        <f>IFERROR(Y272/H272,"0")+IFERROR(Y273/H273,"0")+IFERROR(Y274/H274,"0")+IFERROR(Y275/H275,"0")+IFERROR(Y276/H276,"0")+IFERROR(Y277/H277,"0")+IFERROR(Y278/H278,"0")+IFERROR(Y279/H279,"0")</f>
        <v>66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0.59531999999999996</v>
      </c>
      <c r="AA280" s="67"/>
      <c r="AB280" s="67"/>
      <c r="AC280" s="67"/>
    </row>
    <row r="281" spans="1:68" x14ac:dyDescent="0.2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4"/>
      <c r="P281" s="730" t="s">
        <v>40</v>
      </c>
      <c r="Q281" s="731"/>
      <c r="R281" s="731"/>
      <c r="S281" s="731"/>
      <c r="T281" s="731"/>
      <c r="U281" s="731"/>
      <c r="V281" s="732"/>
      <c r="W281" s="42" t="s">
        <v>0</v>
      </c>
      <c r="X281" s="43">
        <f>IFERROR(SUM(X272:X279),"0")</f>
        <v>350</v>
      </c>
      <c r="Y281" s="43">
        <f>IFERROR(SUM(Y272:Y279),"0")</f>
        <v>356.40000000000003</v>
      </c>
      <c r="Z281" s="42"/>
      <c r="AA281" s="67"/>
      <c r="AB281" s="67"/>
      <c r="AC281" s="67"/>
    </row>
    <row r="282" spans="1:68" ht="14.25" hidden="1" customHeight="1" x14ac:dyDescent="0.25">
      <c r="A282" s="724" t="s">
        <v>86</v>
      </c>
      <c r="B282" s="724"/>
      <c r="C282" s="724"/>
      <c r="D282" s="724"/>
      <c r="E282" s="724"/>
      <c r="F282" s="724"/>
      <c r="G282" s="724"/>
      <c r="H282" s="724"/>
      <c r="I282" s="724"/>
      <c r="J282" s="724"/>
      <c r="K282" s="724"/>
      <c r="L282" s="724"/>
      <c r="M282" s="724"/>
      <c r="N282" s="724"/>
      <c r="O282" s="724"/>
      <c r="P282" s="724"/>
      <c r="Q282" s="724"/>
      <c r="R282" s="724"/>
      <c r="S282" s="724"/>
      <c r="T282" s="724"/>
      <c r="U282" s="724"/>
      <c r="V282" s="724"/>
      <c r="W282" s="724"/>
      <c r="X282" s="724"/>
      <c r="Y282" s="724"/>
      <c r="Z282" s="724"/>
      <c r="AA282" s="66"/>
      <c r="AB282" s="66"/>
      <c r="AC282" s="80"/>
    </row>
    <row r="283" spans="1:68" ht="27" hidden="1" customHeight="1" x14ac:dyDescent="0.25">
      <c r="A283" s="63" t="s">
        <v>480</v>
      </c>
      <c r="B283" s="63" t="s">
        <v>481</v>
      </c>
      <c r="C283" s="36">
        <v>4301051408</v>
      </c>
      <c r="D283" s="725">
        <v>4680115881594</v>
      </c>
      <c r="E283" s="72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7"/>
      <c r="R283" s="727"/>
      <c r="S283" s="727"/>
      <c r="T283" s="72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4301051411</v>
      </c>
      <c r="D284" s="725">
        <v>4680115881617</v>
      </c>
      <c r="E284" s="72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7"/>
      <c r="R284" s="727"/>
      <c r="S284" s="727"/>
      <c r="T284" s="72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4301051656</v>
      </c>
      <c r="D285" s="725">
        <v>4680115880573</v>
      </c>
      <c r="E285" s="72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7"/>
      <c r="R285" s="727"/>
      <c r="S285" s="727"/>
      <c r="T285" s="72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489</v>
      </c>
      <c r="B286" s="63" t="s">
        <v>490</v>
      </c>
      <c r="C286" s="36">
        <v>4301051407</v>
      </c>
      <c r="D286" s="725">
        <v>4680115882195</v>
      </c>
      <c r="E286" s="72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7"/>
      <c r="R286" s="727"/>
      <c r="S286" s="727"/>
      <c r="T286" s="72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491</v>
      </c>
      <c r="B287" s="63" t="s">
        <v>492</v>
      </c>
      <c r="C287" s="36">
        <v>4301051752</v>
      </c>
      <c r="D287" s="725">
        <v>4680115882607</v>
      </c>
      <c r="E287" s="72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7"/>
      <c r="R287" s="727"/>
      <c r="S287" s="727"/>
      <c r="T287" s="72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4301052143</v>
      </c>
      <c r="D288" s="725">
        <v>4680115882607</v>
      </c>
      <c r="E288" s="72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7"/>
      <c r="R288" s="727"/>
      <c r="S288" s="727"/>
      <c r="T288" s="72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4301051666</v>
      </c>
      <c r="D289" s="725">
        <v>4680115880092</v>
      </c>
      <c r="E289" s="72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7"/>
      <c r="R289" s="727"/>
      <c r="S289" s="727"/>
      <c r="T289" s="72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4301052214</v>
      </c>
      <c r="D290" s="725">
        <v>4680115889064</v>
      </c>
      <c r="E290" s="72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7"/>
      <c r="R290" s="727"/>
      <c r="S290" s="727"/>
      <c r="T290" s="72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500</v>
      </c>
      <c r="B291" s="63" t="s">
        <v>501</v>
      </c>
      <c r="C291" s="36">
        <v>4301051668</v>
      </c>
      <c r="D291" s="725">
        <v>4680115880221</v>
      </c>
      <c r="E291" s="72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7"/>
      <c r="R291" s="727"/>
      <c r="S291" s="727"/>
      <c r="T291" s="72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502</v>
      </c>
      <c r="B292" s="63" t="s">
        <v>503</v>
      </c>
      <c r="C292" s="36">
        <v>4301051945</v>
      </c>
      <c r="D292" s="725">
        <v>4680115880504</v>
      </c>
      <c r="E292" s="72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7"/>
      <c r="R292" s="727"/>
      <c r="S292" s="727"/>
      <c r="T292" s="72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4301051410</v>
      </c>
      <c r="D293" s="725">
        <v>4680115882164</v>
      </c>
      <c r="E293" s="72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7"/>
      <c r="R293" s="727"/>
      <c r="S293" s="727"/>
      <c r="T293" s="72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4301052180</v>
      </c>
      <c r="D294" s="725">
        <v>4680115888340</v>
      </c>
      <c r="E294" s="72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7"/>
      <c r="R294" s="727"/>
      <c r="S294" s="727"/>
      <c r="T294" s="72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4"/>
      <c r="P295" s="730" t="s">
        <v>40</v>
      </c>
      <c r="Q295" s="731"/>
      <c r="R295" s="731"/>
      <c r="S295" s="731"/>
      <c r="T295" s="731"/>
      <c r="U295" s="731"/>
      <c r="V295" s="73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4"/>
      <c r="P296" s="730" t="s">
        <v>40</v>
      </c>
      <c r="Q296" s="731"/>
      <c r="R296" s="731"/>
      <c r="S296" s="731"/>
      <c r="T296" s="731"/>
      <c r="U296" s="731"/>
      <c r="V296" s="73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4" t="s">
        <v>173</v>
      </c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4"/>
      <c r="P297" s="724"/>
      <c r="Q297" s="724"/>
      <c r="R297" s="724"/>
      <c r="S297" s="724"/>
      <c r="T297" s="724"/>
      <c r="U297" s="724"/>
      <c r="V297" s="724"/>
      <c r="W297" s="724"/>
      <c r="X297" s="724"/>
      <c r="Y297" s="724"/>
      <c r="Z297" s="724"/>
      <c r="AA297" s="66"/>
      <c r="AB297" s="66"/>
      <c r="AC297" s="80"/>
    </row>
    <row r="298" spans="1:68" ht="27" hidden="1" customHeight="1" x14ac:dyDescent="0.25">
      <c r="A298" s="63" t="s">
        <v>511</v>
      </c>
      <c r="B298" s="63" t="s">
        <v>512</v>
      </c>
      <c r="C298" s="36">
        <v>4301060463</v>
      </c>
      <c r="D298" s="725">
        <v>4680115880818</v>
      </c>
      <c r="E298" s="72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8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7"/>
      <c r="R298" s="727"/>
      <c r="S298" s="727"/>
      <c r="T298" s="72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514</v>
      </c>
      <c r="B299" s="63" t="s">
        <v>515</v>
      </c>
      <c r="C299" s="36">
        <v>4301060389</v>
      </c>
      <c r="D299" s="725">
        <v>4680115880801</v>
      </c>
      <c r="E299" s="72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8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7"/>
      <c r="R299" s="727"/>
      <c r="S299" s="727"/>
      <c r="T299" s="72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4"/>
      <c r="P300" s="730" t="s">
        <v>40</v>
      </c>
      <c r="Q300" s="731"/>
      <c r="R300" s="731"/>
      <c r="S300" s="731"/>
      <c r="T300" s="731"/>
      <c r="U300" s="731"/>
      <c r="V300" s="73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4"/>
      <c r="P301" s="730" t="s">
        <v>40</v>
      </c>
      <c r="Q301" s="731"/>
      <c r="R301" s="731"/>
      <c r="S301" s="731"/>
      <c r="T301" s="731"/>
      <c r="U301" s="731"/>
      <c r="V301" s="73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3" t="s">
        <v>517</v>
      </c>
      <c r="B302" s="723"/>
      <c r="C302" s="723"/>
      <c r="D302" s="723"/>
      <c r="E302" s="723"/>
      <c r="F302" s="723"/>
      <c r="G302" s="723"/>
      <c r="H302" s="723"/>
      <c r="I302" s="723"/>
      <c r="J302" s="723"/>
      <c r="K302" s="723"/>
      <c r="L302" s="723"/>
      <c r="M302" s="723"/>
      <c r="N302" s="723"/>
      <c r="O302" s="723"/>
      <c r="P302" s="723"/>
      <c r="Q302" s="723"/>
      <c r="R302" s="723"/>
      <c r="S302" s="723"/>
      <c r="T302" s="723"/>
      <c r="U302" s="723"/>
      <c r="V302" s="723"/>
      <c r="W302" s="723"/>
      <c r="X302" s="723"/>
      <c r="Y302" s="723"/>
      <c r="Z302" s="723"/>
      <c r="AA302" s="65"/>
      <c r="AB302" s="65"/>
      <c r="AC302" s="79"/>
    </row>
    <row r="303" spans="1:68" ht="14.25" hidden="1" customHeight="1" x14ac:dyDescent="0.25">
      <c r="A303" s="724" t="s">
        <v>122</v>
      </c>
      <c r="B303" s="724"/>
      <c r="C303" s="724"/>
      <c r="D303" s="724"/>
      <c r="E303" s="724"/>
      <c r="F303" s="724"/>
      <c r="G303" s="724"/>
      <c r="H303" s="724"/>
      <c r="I303" s="724"/>
      <c r="J303" s="724"/>
      <c r="K303" s="724"/>
      <c r="L303" s="724"/>
      <c r="M303" s="724"/>
      <c r="N303" s="724"/>
      <c r="O303" s="724"/>
      <c r="P303" s="724"/>
      <c r="Q303" s="724"/>
      <c r="R303" s="724"/>
      <c r="S303" s="724"/>
      <c r="T303" s="724"/>
      <c r="U303" s="724"/>
      <c r="V303" s="724"/>
      <c r="W303" s="724"/>
      <c r="X303" s="724"/>
      <c r="Y303" s="724"/>
      <c r="Z303" s="724"/>
      <c r="AA303" s="66"/>
      <c r="AB303" s="66"/>
      <c r="AC303" s="80"/>
    </row>
    <row r="304" spans="1:68" ht="27" hidden="1" customHeight="1" x14ac:dyDescent="0.25">
      <c r="A304" s="63" t="s">
        <v>518</v>
      </c>
      <c r="B304" s="63" t="s">
        <v>519</v>
      </c>
      <c r="C304" s="36">
        <v>4301011826</v>
      </c>
      <c r="D304" s="725">
        <v>4680115884137</v>
      </c>
      <c r="E304" s="72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7"/>
      <c r="R304" s="727"/>
      <c r="S304" s="727"/>
      <c r="T304" s="72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521</v>
      </c>
      <c r="B305" s="63" t="s">
        <v>522</v>
      </c>
      <c r="C305" s="36">
        <v>4301011724</v>
      </c>
      <c r="D305" s="725">
        <v>4680115884236</v>
      </c>
      <c r="E305" s="72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7"/>
      <c r="R305" s="727"/>
      <c r="S305" s="727"/>
      <c r="T305" s="72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524</v>
      </c>
      <c r="B306" s="63" t="s">
        <v>525</v>
      </c>
      <c r="C306" s="36">
        <v>4301011721</v>
      </c>
      <c r="D306" s="725">
        <v>4680115884175</v>
      </c>
      <c r="E306" s="72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7"/>
      <c r="R306" s="727"/>
      <c r="S306" s="727"/>
      <c r="T306" s="72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526</v>
      </c>
      <c r="B307" s="63" t="s">
        <v>527</v>
      </c>
      <c r="C307" s="36">
        <v>4301011824</v>
      </c>
      <c r="D307" s="725">
        <v>4680115884144</v>
      </c>
      <c r="E307" s="72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7"/>
      <c r="R307" s="727"/>
      <c r="S307" s="727"/>
      <c r="T307" s="72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528</v>
      </c>
      <c r="B308" s="63" t="s">
        <v>529</v>
      </c>
      <c r="C308" s="36">
        <v>4301012149</v>
      </c>
      <c r="D308" s="725">
        <v>4680115886551</v>
      </c>
      <c r="E308" s="72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7"/>
      <c r="R308" s="727"/>
      <c r="S308" s="727"/>
      <c r="T308" s="72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4301012228</v>
      </c>
      <c r="D309" s="725">
        <v>4680115887282</v>
      </c>
      <c r="E309" s="72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8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7"/>
      <c r="R309" s="727"/>
      <c r="S309" s="727"/>
      <c r="T309" s="72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4301011722</v>
      </c>
      <c r="D310" s="725">
        <v>4680115884205</v>
      </c>
      <c r="E310" s="72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8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7"/>
      <c r="R310" s="727"/>
      <c r="S310" s="727"/>
      <c r="T310" s="72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4"/>
      <c r="P311" s="730" t="s">
        <v>40</v>
      </c>
      <c r="Q311" s="731"/>
      <c r="R311" s="731"/>
      <c r="S311" s="731"/>
      <c r="T311" s="731"/>
      <c r="U311" s="731"/>
      <c r="V311" s="73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4" t="s">
        <v>155</v>
      </c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4"/>
      <c r="P313" s="724"/>
      <c r="Q313" s="724"/>
      <c r="R313" s="724"/>
      <c r="S313" s="724"/>
      <c r="T313" s="724"/>
      <c r="U313" s="724"/>
      <c r="V313" s="724"/>
      <c r="W313" s="724"/>
      <c r="X313" s="724"/>
      <c r="Y313" s="724"/>
      <c r="Z313" s="724"/>
      <c r="AA313" s="66"/>
      <c r="AB313" s="66"/>
      <c r="AC313" s="80"/>
    </row>
    <row r="314" spans="1:68" ht="27" hidden="1" customHeight="1" x14ac:dyDescent="0.25">
      <c r="A314" s="63" t="s">
        <v>536</v>
      </c>
      <c r="B314" s="63" t="s">
        <v>537</v>
      </c>
      <c r="C314" s="36">
        <v>4301020377</v>
      </c>
      <c r="D314" s="725">
        <v>4680115885981</v>
      </c>
      <c r="E314" s="72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7"/>
      <c r="R314" s="727"/>
      <c r="S314" s="727"/>
      <c r="T314" s="72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4"/>
      <c r="P315" s="730" t="s">
        <v>40</v>
      </c>
      <c r="Q315" s="731"/>
      <c r="R315" s="731"/>
      <c r="S315" s="731"/>
      <c r="T315" s="731"/>
      <c r="U315" s="731"/>
      <c r="V315" s="73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4" t="s">
        <v>539</v>
      </c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4"/>
      <c r="P317" s="724"/>
      <c r="Q317" s="724"/>
      <c r="R317" s="724"/>
      <c r="S317" s="724"/>
      <c r="T317" s="724"/>
      <c r="U317" s="724"/>
      <c r="V317" s="724"/>
      <c r="W317" s="724"/>
      <c r="X317" s="724"/>
      <c r="Y317" s="724"/>
      <c r="Z317" s="724"/>
      <c r="AA317" s="66"/>
      <c r="AB317" s="66"/>
      <c r="AC317" s="80"/>
    </row>
    <row r="318" spans="1:68" ht="27" hidden="1" customHeight="1" x14ac:dyDescent="0.25">
      <c r="A318" s="63" t="s">
        <v>540</v>
      </c>
      <c r="B318" s="63" t="s">
        <v>541</v>
      </c>
      <c r="C318" s="36">
        <v>4301040362</v>
      </c>
      <c r="D318" s="725">
        <v>4680115886803</v>
      </c>
      <c r="E318" s="72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9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7"/>
      <c r="R318" s="727"/>
      <c r="S318" s="727"/>
      <c r="T318" s="72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4"/>
      <c r="P319" s="730" t="s">
        <v>40</v>
      </c>
      <c r="Q319" s="731"/>
      <c r="R319" s="731"/>
      <c r="S319" s="731"/>
      <c r="T319" s="731"/>
      <c r="U319" s="731"/>
      <c r="V319" s="73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4"/>
      <c r="P320" s="730" t="s">
        <v>40</v>
      </c>
      <c r="Q320" s="731"/>
      <c r="R320" s="731"/>
      <c r="S320" s="731"/>
      <c r="T320" s="731"/>
      <c r="U320" s="731"/>
      <c r="V320" s="73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4" t="s">
        <v>356</v>
      </c>
      <c r="B321" s="724"/>
      <c r="C321" s="724"/>
      <c r="D321" s="724"/>
      <c r="E321" s="724"/>
      <c r="F321" s="724"/>
      <c r="G321" s="724"/>
      <c r="H321" s="724"/>
      <c r="I321" s="724"/>
      <c r="J321" s="724"/>
      <c r="K321" s="724"/>
      <c r="L321" s="724"/>
      <c r="M321" s="724"/>
      <c r="N321" s="724"/>
      <c r="O321" s="724"/>
      <c r="P321" s="724"/>
      <c r="Q321" s="724"/>
      <c r="R321" s="724"/>
      <c r="S321" s="724"/>
      <c r="T321" s="724"/>
      <c r="U321" s="724"/>
      <c r="V321" s="724"/>
      <c r="W321" s="724"/>
      <c r="X321" s="724"/>
      <c r="Y321" s="724"/>
      <c r="Z321" s="724"/>
      <c r="AA321" s="66"/>
      <c r="AB321" s="66"/>
      <c r="AC321" s="80"/>
    </row>
    <row r="322" spans="1:68" ht="27" hidden="1" customHeight="1" x14ac:dyDescent="0.25">
      <c r="A322" s="63" t="s">
        <v>543</v>
      </c>
      <c r="B322" s="63" t="s">
        <v>544</v>
      </c>
      <c r="C322" s="36">
        <v>4301041004</v>
      </c>
      <c r="D322" s="725">
        <v>4680115886704</v>
      </c>
      <c r="E322" s="72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9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7"/>
      <c r="R322" s="727"/>
      <c r="S322" s="727"/>
      <c r="T322" s="72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546</v>
      </c>
      <c r="B323" s="63" t="s">
        <v>547</v>
      </c>
      <c r="C323" s="36">
        <v>4301041008</v>
      </c>
      <c r="D323" s="725">
        <v>4680115886681</v>
      </c>
      <c r="E323" s="72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9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7"/>
      <c r="R323" s="727"/>
      <c r="S323" s="727"/>
      <c r="T323" s="72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4301041007</v>
      </c>
      <c r="D324" s="725">
        <v>4680115886735</v>
      </c>
      <c r="E324" s="72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9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7"/>
      <c r="R324" s="727"/>
      <c r="S324" s="727"/>
      <c r="T324" s="72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3"/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4"/>
      <c r="P325" s="730" t="s">
        <v>40</v>
      </c>
      <c r="Q325" s="731"/>
      <c r="R325" s="731"/>
      <c r="S325" s="731"/>
      <c r="T325" s="731"/>
      <c r="U325" s="731"/>
      <c r="V325" s="732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3"/>
      <c r="B326" s="733"/>
      <c r="C326" s="733"/>
      <c r="D326" s="733"/>
      <c r="E326" s="733"/>
      <c r="F326" s="733"/>
      <c r="G326" s="733"/>
      <c r="H326" s="733"/>
      <c r="I326" s="733"/>
      <c r="J326" s="733"/>
      <c r="K326" s="733"/>
      <c r="L326" s="733"/>
      <c r="M326" s="733"/>
      <c r="N326" s="733"/>
      <c r="O326" s="734"/>
      <c r="P326" s="730" t="s">
        <v>40</v>
      </c>
      <c r="Q326" s="731"/>
      <c r="R326" s="731"/>
      <c r="S326" s="731"/>
      <c r="T326" s="731"/>
      <c r="U326" s="731"/>
      <c r="V326" s="732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3" t="s">
        <v>550</v>
      </c>
      <c r="B327" s="723"/>
      <c r="C327" s="723"/>
      <c r="D327" s="723"/>
      <c r="E327" s="723"/>
      <c r="F327" s="723"/>
      <c r="G327" s="723"/>
      <c r="H327" s="723"/>
      <c r="I327" s="723"/>
      <c r="J327" s="723"/>
      <c r="K327" s="723"/>
      <c r="L327" s="723"/>
      <c r="M327" s="723"/>
      <c r="N327" s="723"/>
      <c r="O327" s="723"/>
      <c r="P327" s="723"/>
      <c r="Q327" s="723"/>
      <c r="R327" s="723"/>
      <c r="S327" s="723"/>
      <c r="T327" s="723"/>
      <c r="U327" s="723"/>
      <c r="V327" s="723"/>
      <c r="W327" s="723"/>
      <c r="X327" s="723"/>
      <c r="Y327" s="723"/>
      <c r="Z327" s="723"/>
      <c r="AA327" s="65"/>
      <c r="AB327" s="65"/>
      <c r="AC327" s="79"/>
    </row>
    <row r="328" spans="1:68" ht="14.25" hidden="1" customHeight="1" x14ac:dyDescent="0.25">
      <c r="A328" s="724" t="s">
        <v>122</v>
      </c>
      <c r="B328" s="724"/>
      <c r="C328" s="724"/>
      <c r="D328" s="724"/>
      <c r="E328" s="724"/>
      <c r="F328" s="724"/>
      <c r="G328" s="724"/>
      <c r="H328" s="724"/>
      <c r="I328" s="724"/>
      <c r="J328" s="724"/>
      <c r="K328" s="724"/>
      <c r="L328" s="724"/>
      <c r="M328" s="724"/>
      <c r="N328" s="724"/>
      <c r="O328" s="724"/>
      <c r="P328" s="724"/>
      <c r="Q328" s="724"/>
      <c r="R328" s="724"/>
      <c r="S328" s="724"/>
      <c r="T328" s="724"/>
      <c r="U328" s="724"/>
      <c r="V328" s="724"/>
      <c r="W328" s="724"/>
      <c r="X328" s="724"/>
      <c r="Y328" s="724"/>
      <c r="Z328" s="724"/>
      <c r="AA328" s="66"/>
      <c r="AB328" s="66"/>
      <c r="AC328" s="80"/>
    </row>
    <row r="329" spans="1:68" ht="27" hidden="1" customHeight="1" x14ac:dyDescent="0.25">
      <c r="A329" s="63" t="s">
        <v>551</v>
      </c>
      <c r="B329" s="63" t="s">
        <v>552</v>
      </c>
      <c r="C329" s="36">
        <v>4301011855</v>
      </c>
      <c r="D329" s="725">
        <v>4680115885837</v>
      </c>
      <c r="E329" s="72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7"/>
      <c r="R329" s="727"/>
      <c r="S329" s="727"/>
      <c r="T329" s="72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4301012234</v>
      </c>
      <c r="D330" s="725">
        <v>4680115887237</v>
      </c>
      <c r="E330" s="72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90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7"/>
      <c r="R330" s="727"/>
      <c r="S330" s="727"/>
      <c r="T330" s="72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557</v>
      </c>
      <c r="B331" s="63" t="s">
        <v>558</v>
      </c>
      <c r="C331" s="36">
        <v>4301011850</v>
      </c>
      <c r="D331" s="725">
        <v>4680115885806</v>
      </c>
      <c r="E331" s="72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90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7"/>
      <c r="R331" s="727"/>
      <c r="S331" s="727"/>
      <c r="T331" s="72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560</v>
      </c>
      <c r="B332" s="63" t="s">
        <v>561</v>
      </c>
      <c r="C332" s="36">
        <v>4301011852</v>
      </c>
      <c r="D332" s="725">
        <v>4680115885844</v>
      </c>
      <c r="E332" s="72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90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7"/>
      <c r="R332" s="727"/>
      <c r="S332" s="727"/>
      <c r="T332" s="72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563</v>
      </c>
      <c r="B333" s="63" t="s">
        <v>564</v>
      </c>
      <c r="C333" s="36">
        <v>4301011851</v>
      </c>
      <c r="D333" s="725">
        <v>4680115885820</v>
      </c>
      <c r="E333" s="72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9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7"/>
      <c r="R333" s="727"/>
      <c r="S333" s="727"/>
      <c r="T333" s="72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4"/>
      <c r="P334" s="730" t="s">
        <v>40</v>
      </c>
      <c r="Q334" s="731"/>
      <c r="R334" s="731"/>
      <c r="S334" s="731"/>
      <c r="T334" s="731"/>
      <c r="U334" s="731"/>
      <c r="V334" s="732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3"/>
      <c r="B335" s="733"/>
      <c r="C335" s="733"/>
      <c r="D335" s="733"/>
      <c r="E335" s="733"/>
      <c r="F335" s="733"/>
      <c r="G335" s="733"/>
      <c r="H335" s="733"/>
      <c r="I335" s="733"/>
      <c r="J335" s="733"/>
      <c r="K335" s="733"/>
      <c r="L335" s="733"/>
      <c r="M335" s="733"/>
      <c r="N335" s="733"/>
      <c r="O335" s="734"/>
      <c r="P335" s="730" t="s">
        <v>40</v>
      </c>
      <c r="Q335" s="731"/>
      <c r="R335" s="731"/>
      <c r="S335" s="731"/>
      <c r="T335" s="731"/>
      <c r="U335" s="731"/>
      <c r="V335" s="732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3" t="s">
        <v>566</v>
      </c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3"/>
      <c r="P336" s="723"/>
      <c r="Q336" s="723"/>
      <c r="R336" s="723"/>
      <c r="S336" s="723"/>
      <c r="T336" s="723"/>
      <c r="U336" s="723"/>
      <c r="V336" s="723"/>
      <c r="W336" s="723"/>
      <c r="X336" s="723"/>
      <c r="Y336" s="723"/>
      <c r="Z336" s="723"/>
      <c r="AA336" s="65"/>
      <c r="AB336" s="65"/>
      <c r="AC336" s="79"/>
    </row>
    <row r="337" spans="1:68" ht="14.25" hidden="1" customHeight="1" x14ac:dyDescent="0.25">
      <c r="A337" s="724" t="s">
        <v>86</v>
      </c>
      <c r="B337" s="724"/>
      <c r="C337" s="724"/>
      <c r="D337" s="724"/>
      <c r="E337" s="724"/>
      <c r="F337" s="724"/>
      <c r="G337" s="724"/>
      <c r="H337" s="724"/>
      <c r="I337" s="724"/>
      <c r="J337" s="724"/>
      <c r="K337" s="724"/>
      <c r="L337" s="724"/>
      <c r="M337" s="724"/>
      <c r="N337" s="724"/>
      <c r="O337" s="724"/>
      <c r="P337" s="724"/>
      <c r="Q337" s="724"/>
      <c r="R337" s="724"/>
      <c r="S337" s="724"/>
      <c r="T337" s="724"/>
      <c r="U337" s="724"/>
      <c r="V337" s="724"/>
      <c r="W337" s="724"/>
      <c r="X337" s="724"/>
      <c r="Y337" s="724"/>
      <c r="Z337" s="724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4301051893</v>
      </c>
      <c r="D338" s="725">
        <v>4680115886186</v>
      </c>
      <c r="E338" s="72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7"/>
      <c r="R338" s="727"/>
      <c r="S338" s="727"/>
      <c r="T338" s="72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4301051795</v>
      </c>
      <c r="D339" s="725">
        <v>4680115881228</v>
      </c>
      <c r="E339" s="72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9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7"/>
      <c r="R339" s="727"/>
      <c r="S339" s="727"/>
      <c r="T339" s="72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4301051388</v>
      </c>
      <c r="D340" s="725">
        <v>4680115881211</v>
      </c>
      <c r="E340" s="72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9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7"/>
      <c r="R340" s="727"/>
      <c r="S340" s="727"/>
      <c r="T340" s="72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4"/>
      <c r="P341" s="730" t="s">
        <v>40</v>
      </c>
      <c r="Q341" s="731"/>
      <c r="R341" s="731"/>
      <c r="S341" s="731"/>
      <c r="T341" s="731"/>
      <c r="U341" s="731"/>
      <c r="V341" s="73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3"/>
      <c r="B342" s="733"/>
      <c r="C342" s="733"/>
      <c r="D342" s="733"/>
      <c r="E342" s="733"/>
      <c r="F342" s="733"/>
      <c r="G342" s="733"/>
      <c r="H342" s="733"/>
      <c r="I342" s="733"/>
      <c r="J342" s="733"/>
      <c r="K342" s="733"/>
      <c r="L342" s="733"/>
      <c r="M342" s="733"/>
      <c r="N342" s="733"/>
      <c r="O342" s="734"/>
      <c r="P342" s="730" t="s">
        <v>40</v>
      </c>
      <c r="Q342" s="731"/>
      <c r="R342" s="731"/>
      <c r="S342" s="731"/>
      <c r="T342" s="731"/>
      <c r="U342" s="731"/>
      <c r="V342" s="73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3" t="s">
        <v>575</v>
      </c>
      <c r="B343" s="723"/>
      <c r="C343" s="723"/>
      <c r="D343" s="723"/>
      <c r="E343" s="723"/>
      <c r="F343" s="723"/>
      <c r="G343" s="723"/>
      <c r="H343" s="723"/>
      <c r="I343" s="723"/>
      <c r="J343" s="723"/>
      <c r="K343" s="723"/>
      <c r="L343" s="723"/>
      <c r="M343" s="723"/>
      <c r="N343" s="723"/>
      <c r="O343" s="723"/>
      <c r="P343" s="723"/>
      <c r="Q343" s="723"/>
      <c r="R343" s="723"/>
      <c r="S343" s="723"/>
      <c r="T343" s="723"/>
      <c r="U343" s="723"/>
      <c r="V343" s="723"/>
      <c r="W343" s="723"/>
      <c r="X343" s="723"/>
      <c r="Y343" s="723"/>
      <c r="Z343" s="723"/>
      <c r="AA343" s="65"/>
      <c r="AB343" s="65"/>
      <c r="AC343" s="79"/>
    </row>
    <row r="344" spans="1:68" ht="14.25" hidden="1" customHeight="1" x14ac:dyDescent="0.25">
      <c r="A344" s="724" t="s">
        <v>77</v>
      </c>
      <c r="B344" s="724"/>
      <c r="C344" s="724"/>
      <c r="D344" s="724"/>
      <c r="E344" s="724"/>
      <c r="F344" s="724"/>
      <c r="G344" s="724"/>
      <c r="H344" s="724"/>
      <c r="I344" s="724"/>
      <c r="J344" s="724"/>
      <c r="K344" s="724"/>
      <c r="L344" s="724"/>
      <c r="M344" s="724"/>
      <c r="N344" s="724"/>
      <c r="O344" s="724"/>
      <c r="P344" s="724"/>
      <c r="Q344" s="724"/>
      <c r="R344" s="724"/>
      <c r="S344" s="724"/>
      <c r="T344" s="724"/>
      <c r="U344" s="724"/>
      <c r="V344" s="724"/>
      <c r="W344" s="724"/>
      <c r="X344" s="724"/>
      <c r="Y344" s="724"/>
      <c r="Z344" s="724"/>
      <c r="AA344" s="66"/>
      <c r="AB344" s="66"/>
      <c r="AC344" s="80"/>
    </row>
    <row r="345" spans="1:68" ht="27" hidden="1" customHeight="1" x14ac:dyDescent="0.25">
      <c r="A345" s="63" t="s">
        <v>576</v>
      </c>
      <c r="B345" s="63" t="s">
        <v>577</v>
      </c>
      <c r="C345" s="36">
        <v>4301031445</v>
      </c>
      <c r="D345" s="725">
        <v>4680115888319</v>
      </c>
      <c r="E345" s="72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9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7"/>
      <c r="R345" s="727"/>
      <c r="S345" s="727"/>
      <c r="T345" s="72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4301031502</v>
      </c>
      <c r="D346" s="725">
        <v>4680115884700</v>
      </c>
      <c r="E346" s="72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1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7"/>
      <c r="R346" s="727"/>
      <c r="S346" s="727"/>
      <c r="T346" s="72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581</v>
      </c>
      <c r="B347" s="63" t="s">
        <v>582</v>
      </c>
      <c r="C347" s="36">
        <v>4301031307</v>
      </c>
      <c r="D347" s="725">
        <v>4680115880344</v>
      </c>
      <c r="E347" s="72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7"/>
      <c r="R347" s="727"/>
      <c r="S347" s="727"/>
      <c r="T347" s="72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584</v>
      </c>
      <c r="B348" s="63" t="s">
        <v>585</v>
      </c>
      <c r="C348" s="36">
        <v>4301031501</v>
      </c>
      <c r="D348" s="725">
        <v>4680115886919</v>
      </c>
      <c r="E348" s="72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91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7"/>
      <c r="R348" s="727"/>
      <c r="S348" s="727"/>
      <c r="T348" s="72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587</v>
      </c>
      <c r="B349" s="63" t="s">
        <v>588</v>
      </c>
      <c r="C349" s="36">
        <v>4301031246</v>
      </c>
      <c r="D349" s="725">
        <v>4680115883970</v>
      </c>
      <c r="E349" s="72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91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7"/>
      <c r="R349" s="727"/>
      <c r="S349" s="727"/>
      <c r="T349" s="72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4"/>
      <c r="P350" s="730" t="s">
        <v>40</v>
      </c>
      <c r="Q350" s="731"/>
      <c r="R350" s="731"/>
      <c r="S350" s="731"/>
      <c r="T350" s="731"/>
      <c r="U350" s="731"/>
      <c r="V350" s="73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3"/>
      <c r="B351" s="733"/>
      <c r="C351" s="733"/>
      <c r="D351" s="733"/>
      <c r="E351" s="733"/>
      <c r="F351" s="733"/>
      <c r="G351" s="733"/>
      <c r="H351" s="733"/>
      <c r="I351" s="733"/>
      <c r="J351" s="733"/>
      <c r="K351" s="733"/>
      <c r="L351" s="733"/>
      <c r="M351" s="733"/>
      <c r="N351" s="733"/>
      <c r="O351" s="734"/>
      <c r="P351" s="730" t="s">
        <v>40</v>
      </c>
      <c r="Q351" s="731"/>
      <c r="R351" s="731"/>
      <c r="S351" s="731"/>
      <c r="T351" s="731"/>
      <c r="U351" s="731"/>
      <c r="V351" s="73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4" t="s">
        <v>86</v>
      </c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4"/>
      <c r="P352" s="724"/>
      <c r="Q352" s="724"/>
      <c r="R352" s="724"/>
      <c r="S352" s="724"/>
      <c r="T352" s="724"/>
      <c r="U352" s="724"/>
      <c r="V352" s="724"/>
      <c r="W352" s="724"/>
      <c r="X352" s="724"/>
      <c r="Y352" s="724"/>
      <c r="Z352" s="724"/>
      <c r="AA352" s="66"/>
      <c r="AB352" s="66"/>
      <c r="AC352" s="80"/>
    </row>
    <row r="353" spans="1:68" ht="27" customHeight="1" x14ac:dyDescent="0.25">
      <c r="A353" s="63" t="s">
        <v>590</v>
      </c>
      <c r="B353" s="63" t="s">
        <v>591</v>
      </c>
      <c r="C353" s="36">
        <v>4301051782</v>
      </c>
      <c r="D353" s="725">
        <v>4680115884618</v>
      </c>
      <c r="E353" s="72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91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7"/>
      <c r="R353" s="727"/>
      <c r="S353" s="727"/>
      <c r="T353" s="728"/>
      <c r="U353" s="39" t="s">
        <v>46</v>
      </c>
      <c r="V353" s="39" t="s">
        <v>46</v>
      </c>
      <c r="W353" s="40" t="s">
        <v>0</v>
      </c>
      <c r="X353" s="58">
        <v>36</v>
      </c>
      <c r="Y353" s="55">
        <f>IFERROR(IF(X353="",0,CEILING((X353/$H353),1)*$H353),"")</f>
        <v>36</v>
      </c>
      <c r="Z353" s="41">
        <f>IFERROR(IF(Y353=0,"",ROUNDUP(Y353/H353,0)*0.00902),"")</f>
        <v>9.0200000000000002E-2</v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37.9</v>
      </c>
      <c r="BN353" s="78">
        <f>IFERROR(Y353*I353/H353,"0")</f>
        <v>37.9</v>
      </c>
      <c r="BO353" s="78">
        <f>IFERROR(1/J353*(X353/H353),"0")</f>
        <v>7.575757575757576E-2</v>
      </c>
      <c r="BP353" s="78">
        <f>IFERROR(1/J353*(Y353/H353),"0")</f>
        <v>7.575757575757576E-2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4301052057</v>
      </c>
      <c r="D354" s="725">
        <v>4680115887114</v>
      </c>
      <c r="E354" s="72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91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7"/>
      <c r="R354" s="727"/>
      <c r="S354" s="727"/>
      <c r="T354" s="72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4"/>
      <c r="P355" s="730" t="s">
        <v>40</v>
      </c>
      <c r="Q355" s="731"/>
      <c r="R355" s="731"/>
      <c r="S355" s="731"/>
      <c r="T355" s="731"/>
      <c r="U355" s="731"/>
      <c r="V355" s="732"/>
      <c r="W355" s="42" t="s">
        <v>39</v>
      </c>
      <c r="X355" s="43">
        <f>IFERROR(X353/H353,"0")+IFERROR(X354/H354,"0")</f>
        <v>10</v>
      </c>
      <c r="Y355" s="43">
        <f>IFERROR(Y353/H353,"0")+IFERROR(Y354/H354,"0")</f>
        <v>10</v>
      </c>
      <c r="Z355" s="43">
        <f>IFERROR(IF(Z353="",0,Z353),"0")+IFERROR(IF(Z354="",0,Z354),"0")</f>
        <v>9.0200000000000002E-2</v>
      </c>
      <c r="AA355" s="67"/>
      <c r="AB355" s="67"/>
      <c r="AC355" s="67"/>
    </row>
    <row r="356" spans="1:68" x14ac:dyDescent="0.2">
      <c r="A356" s="733"/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4"/>
      <c r="P356" s="730" t="s">
        <v>40</v>
      </c>
      <c r="Q356" s="731"/>
      <c r="R356" s="731"/>
      <c r="S356" s="731"/>
      <c r="T356" s="731"/>
      <c r="U356" s="731"/>
      <c r="V356" s="732"/>
      <c r="W356" s="42" t="s">
        <v>0</v>
      </c>
      <c r="X356" s="43">
        <f>IFERROR(SUM(X353:X354),"0")</f>
        <v>36</v>
      </c>
      <c r="Y356" s="43">
        <f>IFERROR(SUM(Y353:Y354),"0")</f>
        <v>36</v>
      </c>
      <c r="Z356" s="42"/>
      <c r="AA356" s="67"/>
      <c r="AB356" s="67"/>
      <c r="AC356" s="67"/>
    </row>
    <row r="357" spans="1:68" ht="16.5" hidden="1" customHeight="1" x14ac:dyDescent="0.25">
      <c r="A357" s="723" t="s">
        <v>596</v>
      </c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3"/>
      <c r="P357" s="723"/>
      <c r="Q357" s="723"/>
      <c r="R357" s="723"/>
      <c r="S357" s="723"/>
      <c r="T357" s="723"/>
      <c r="U357" s="723"/>
      <c r="V357" s="723"/>
      <c r="W357" s="723"/>
      <c r="X357" s="723"/>
      <c r="Y357" s="723"/>
      <c r="Z357" s="723"/>
      <c r="AA357" s="65"/>
      <c r="AB357" s="65"/>
      <c r="AC357" s="79"/>
    </row>
    <row r="358" spans="1:68" ht="14.25" hidden="1" customHeight="1" x14ac:dyDescent="0.25">
      <c r="A358" s="724" t="s">
        <v>122</v>
      </c>
      <c r="B358" s="724"/>
      <c r="C358" s="724"/>
      <c r="D358" s="724"/>
      <c r="E358" s="724"/>
      <c r="F358" s="724"/>
      <c r="G358" s="724"/>
      <c r="H358" s="724"/>
      <c r="I358" s="724"/>
      <c r="J358" s="724"/>
      <c r="K358" s="724"/>
      <c r="L358" s="724"/>
      <c r="M358" s="724"/>
      <c r="N358" s="724"/>
      <c r="O358" s="724"/>
      <c r="P358" s="724"/>
      <c r="Q358" s="724"/>
      <c r="R358" s="724"/>
      <c r="S358" s="724"/>
      <c r="T358" s="724"/>
      <c r="U358" s="724"/>
      <c r="V358" s="724"/>
      <c r="W358" s="724"/>
      <c r="X358" s="724"/>
      <c r="Y358" s="724"/>
      <c r="Z358" s="724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4301012324</v>
      </c>
      <c r="D359" s="725">
        <v>4680115887947</v>
      </c>
      <c r="E359" s="72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1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7"/>
      <c r="R359" s="727"/>
      <c r="S359" s="727"/>
      <c r="T359" s="72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599</v>
      </c>
      <c r="B360" s="63" t="s">
        <v>600</v>
      </c>
      <c r="C360" s="36">
        <v>4301012325</v>
      </c>
      <c r="D360" s="725">
        <v>4680115887978</v>
      </c>
      <c r="E360" s="72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92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7"/>
      <c r="R360" s="727"/>
      <c r="S360" s="727"/>
      <c r="T360" s="72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602</v>
      </c>
      <c r="B361" s="63" t="s">
        <v>603</v>
      </c>
      <c r="C361" s="36">
        <v>4301012327</v>
      </c>
      <c r="D361" s="725">
        <v>4680115887992</v>
      </c>
      <c r="E361" s="72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7"/>
      <c r="R361" s="727"/>
      <c r="S361" s="727"/>
      <c r="T361" s="72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4"/>
      <c r="P362" s="730" t="s">
        <v>40</v>
      </c>
      <c r="Q362" s="731"/>
      <c r="R362" s="731"/>
      <c r="S362" s="731"/>
      <c r="T362" s="731"/>
      <c r="U362" s="731"/>
      <c r="V362" s="73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3"/>
      <c r="B363" s="733"/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  <c r="O363" s="734"/>
      <c r="P363" s="730" t="s">
        <v>40</v>
      </c>
      <c r="Q363" s="731"/>
      <c r="R363" s="731"/>
      <c r="S363" s="731"/>
      <c r="T363" s="731"/>
      <c r="U363" s="731"/>
      <c r="V363" s="73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3" t="s">
        <v>605</v>
      </c>
      <c r="B364" s="723"/>
      <c r="C364" s="723"/>
      <c r="D364" s="723"/>
      <c r="E364" s="723"/>
      <c r="F364" s="723"/>
      <c r="G364" s="723"/>
      <c r="H364" s="723"/>
      <c r="I364" s="723"/>
      <c r="J364" s="723"/>
      <c r="K364" s="723"/>
      <c r="L364" s="723"/>
      <c r="M364" s="723"/>
      <c r="N364" s="723"/>
      <c r="O364" s="723"/>
      <c r="P364" s="723"/>
      <c r="Q364" s="723"/>
      <c r="R364" s="723"/>
      <c r="S364" s="723"/>
      <c r="T364" s="723"/>
      <c r="U364" s="723"/>
      <c r="V364" s="723"/>
      <c r="W364" s="723"/>
      <c r="X364" s="723"/>
      <c r="Y364" s="723"/>
      <c r="Z364" s="723"/>
      <c r="AA364" s="65"/>
      <c r="AB364" s="65"/>
      <c r="AC364" s="79"/>
    </row>
    <row r="365" spans="1:68" ht="14.25" hidden="1" customHeight="1" x14ac:dyDescent="0.25">
      <c r="A365" s="724" t="s">
        <v>122</v>
      </c>
      <c r="B365" s="724"/>
      <c r="C365" s="724"/>
      <c r="D365" s="724"/>
      <c r="E365" s="724"/>
      <c r="F365" s="724"/>
      <c r="G365" s="724"/>
      <c r="H365" s="724"/>
      <c r="I365" s="724"/>
      <c r="J365" s="724"/>
      <c r="K365" s="724"/>
      <c r="L365" s="724"/>
      <c r="M365" s="724"/>
      <c r="N365" s="724"/>
      <c r="O365" s="724"/>
      <c r="P365" s="724"/>
      <c r="Q365" s="724"/>
      <c r="R365" s="724"/>
      <c r="S365" s="724"/>
      <c r="T365" s="724"/>
      <c r="U365" s="724"/>
      <c r="V365" s="724"/>
      <c r="W365" s="724"/>
      <c r="X365" s="724"/>
      <c r="Y365" s="724"/>
      <c r="Z365" s="724"/>
      <c r="AA365" s="66"/>
      <c r="AB365" s="66"/>
      <c r="AC365" s="80"/>
    </row>
    <row r="366" spans="1:68" ht="27" hidden="1" customHeight="1" x14ac:dyDescent="0.25">
      <c r="A366" s="63" t="s">
        <v>606</v>
      </c>
      <c r="B366" s="63" t="s">
        <v>607</v>
      </c>
      <c r="C366" s="36">
        <v>4301012126</v>
      </c>
      <c r="D366" s="725">
        <v>4607091386004</v>
      </c>
      <c r="E366" s="72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7"/>
      <c r="R366" s="727"/>
      <c r="S366" s="727"/>
      <c r="T366" s="72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4301012235</v>
      </c>
      <c r="D367" s="725">
        <v>4680115887190</v>
      </c>
      <c r="E367" s="72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7"/>
      <c r="R367" s="727"/>
      <c r="S367" s="727"/>
      <c r="T367" s="72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customHeight="1" x14ac:dyDescent="0.25">
      <c r="A368" s="63" t="s">
        <v>612</v>
      </c>
      <c r="B368" s="63" t="s">
        <v>613</v>
      </c>
      <c r="C368" s="36">
        <v>4301012233</v>
      </c>
      <c r="D368" s="725">
        <v>4680115887138</v>
      </c>
      <c r="E368" s="72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9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7"/>
      <c r="R368" s="727"/>
      <c r="S368" s="727"/>
      <c r="T368" s="728"/>
      <c r="U368" s="39" t="s">
        <v>46</v>
      </c>
      <c r="V368" s="39" t="s">
        <v>46</v>
      </c>
      <c r="W368" s="40" t="s">
        <v>0</v>
      </c>
      <c r="X368" s="58">
        <v>200</v>
      </c>
      <c r="Y368" s="55">
        <f t="shared" si="58"/>
        <v>205.20000000000002</v>
      </c>
      <c r="Z368" s="41">
        <f>IFERROR(IF(Y368=0,"",ROUNDUP(Y368/H368,0)*0.01898),"")</f>
        <v>0.36062</v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207.59259259259258</v>
      </c>
      <c r="BN368" s="78">
        <f t="shared" si="60"/>
        <v>212.99</v>
      </c>
      <c r="BO368" s="78">
        <f t="shared" si="61"/>
        <v>0.28935185185185186</v>
      </c>
      <c r="BP368" s="78">
        <f t="shared" si="62"/>
        <v>0.296875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4301012016</v>
      </c>
      <c r="D369" s="725">
        <v>4680115885554</v>
      </c>
      <c r="E369" s="72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7"/>
      <c r="R369" s="727"/>
      <c r="S369" s="727"/>
      <c r="T369" s="72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617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4301012236</v>
      </c>
      <c r="D370" s="725">
        <v>4680115887220</v>
      </c>
      <c r="E370" s="72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9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7"/>
      <c r="R370" s="727"/>
      <c r="S370" s="727"/>
      <c r="T370" s="72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611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customHeight="1" x14ac:dyDescent="0.25">
      <c r="A371" s="63" t="s">
        <v>620</v>
      </c>
      <c r="B371" s="63" t="s">
        <v>621</v>
      </c>
      <c r="C371" s="36">
        <v>4301011859</v>
      </c>
      <c r="D371" s="725">
        <v>4680115885608</v>
      </c>
      <c r="E371" s="72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9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7"/>
      <c r="R371" s="727"/>
      <c r="S371" s="727"/>
      <c r="T371" s="728"/>
      <c r="U371" s="39" t="s">
        <v>46</v>
      </c>
      <c r="V371" s="39" t="s">
        <v>46</v>
      </c>
      <c r="W371" s="40" t="s">
        <v>0</v>
      </c>
      <c r="X371" s="58">
        <v>240</v>
      </c>
      <c r="Y371" s="55">
        <f t="shared" si="58"/>
        <v>240</v>
      </c>
      <c r="Z371" s="41">
        <f>IFERROR(IF(Y371=0,"",ROUNDUP(Y371/H371,0)*0.00902),"")</f>
        <v>0.54120000000000001</v>
      </c>
      <c r="AA371" s="68" t="s">
        <v>46</v>
      </c>
      <c r="AB371" s="69" t="s">
        <v>46</v>
      </c>
      <c r="AC371" s="474" t="s">
        <v>622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251.40000000000003</v>
      </c>
      <c r="BN371" s="78">
        <f t="shared" si="60"/>
        <v>251.40000000000003</v>
      </c>
      <c r="BO371" s="78">
        <f t="shared" si="61"/>
        <v>0.45454545454545459</v>
      </c>
      <c r="BP371" s="78">
        <f t="shared" si="62"/>
        <v>0.45454545454545459</v>
      </c>
    </row>
    <row r="372" spans="1:68" x14ac:dyDescent="0.2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4"/>
      <c r="P372" s="730" t="s">
        <v>40</v>
      </c>
      <c r="Q372" s="731"/>
      <c r="R372" s="731"/>
      <c r="S372" s="731"/>
      <c r="T372" s="731"/>
      <c r="U372" s="731"/>
      <c r="V372" s="732"/>
      <c r="W372" s="42" t="s">
        <v>39</v>
      </c>
      <c r="X372" s="43">
        <f>IFERROR(X366/H366,"0")+IFERROR(X367/H367,"0")+IFERROR(X368/H368,"0")+IFERROR(X369/H369,"0")+IFERROR(X370/H370,"0")+IFERROR(X371/H371,"0")</f>
        <v>78.518518518518519</v>
      </c>
      <c r="Y372" s="43">
        <f>IFERROR(Y366/H366,"0")+IFERROR(Y367/H367,"0")+IFERROR(Y368/H368,"0")+IFERROR(Y369/H369,"0")+IFERROR(Y370/H370,"0")+IFERROR(Y371/H371,"0")</f>
        <v>79</v>
      </c>
      <c r="Z372" s="43">
        <f>IFERROR(IF(Z366="",0,Z366),"0")+IFERROR(IF(Z367="",0,Z367),"0")+IFERROR(IF(Z368="",0,Z368),"0")+IFERROR(IF(Z369="",0,Z369),"0")+IFERROR(IF(Z370="",0,Z370),"0")+IFERROR(IF(Z371="",0,Z371),"0")</f>
        <v>0.90182000000000007</v>
      </c>
      <c r="AA372" s="67"/>
      <c r="AB372" s="67"/>
      <c r="AC372" s="67"/>
    </row>
    <row r="373" spans="1:68" x14ac:dyDescent="0.2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4"/>
      <c r="P373" s="730" t="s">
        <v>40</v>
      </c>
      <c r="Q373" s="731"/>
      <c r="R373" s="731"/>
      <c r="S373" s="731"/>
      <c r="T373" s="731"/>
      <c r="U373" s="731"/>
      <c r="V373" s="732"/>
      <c r="W373" s="42" t="s">
        <v>0</v>
      </c>
      <c r="X373" s="43">
        <f>IFERROR(SUM(X366:X371),"0")</f>
        <v>440</v>
      </c>
      <c r="Y373" s="43">
        <f>IFERROR(SUM(Y366:Y371),"0")</f>
        <v>445.20000000000005</v>
      </c>
      <c r="Z373" s="42"/>
      <c r="AA373" s="67"/>
      <c r="AB373" s="67"/>
      <c r="AC373" s="67"/>
    </row>
    <row r="374" spans="1:68" ht="14.25" hidden="1" customHeight="1" x14ac:dyDescent="0.25">
      <c r="A374" s="724" t="s">
        <v>77</v>
      </c>
      <c r="B374" s="724"/>
      <c r="C374" s="724"/>
      <c r="D374" s="724"/>
      <c r="E374" s="724"/>
      <c r="F374" s="724"/>
      <c r="G374" s="724"/>
      <c r="H374" s="724"/>
      <c r="I374" s="724"/>
      <c r="J374" s="724"/>
      <c r="K374" s="724"/>
      <c r="L374" s="724"/>
      <c r="M374" s="724"/>
      <c r="N374" s="724"/>
      <c r="O374" s="724"/>
      <c r="P374" s="724"/>
      <c r="Q374" s="724"/>
      <c r="R374" s="724"/>
      <c r="S374" s="724"/>
      <c r="T374" s="724"/>
      <c r="U374" s="724"/>
      <c r="V374" s="724"/>
      <c r="W374" s="724"/>
      <c r="X374" s="724"/>
      <c r="Y374" s="724"/>
      <c r="Z374" s="724"/>
      <c r="AA374" s="66"/>
      <c r="AB374" s="66"/>
      <c r="AC374" s="80"/>
    </row>
    <row r="375" spans="1:68" ht="27" customHeight="1" x14ac:dyDescent="0.25">
      <c r="A375" s="63" t="s">
        <v>623</v>
      </c>
      <c r="B375" s="63" t="s">
        <v>624</v>
      </c>
      <c r="C375" s="36">
        <v>4301030878</v>
      </c>
      <c r="D375" s="725">
        <v>4607091387193</v>
      </c>
      <c r="E375" s="72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9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7"/>
      <c r="R375" s="727"/>
      <c r="S375" s="727"/>
      <c r="T375" s="728"/>
      <c r="U375" s="39" t="s">
        <v>46</v>
      </c>
      <c r="V375" s="39" t="s">
        <v>46</v>
      </c>
      <c r="W375" s="40" t="s">
        <v>0</v>
      </c>
      <c r="X375" s="58">
        <v>600</v>
      </c>
      <c r="Y375" s="55">
        <f t="shared" ref="Y375:Y381" si="63">IFERROR(IF(X375="",0,CEILING((X375/$H375),1)*$H375),"")</f>
        <v>600.6</v>
      </c>
      <c r="Z375" s="41">
        <f>IFERROR(IF(Y375=0,"",ROUNDUP(Y375/H375,0)*0.00902),"")</f>
        <v>1.28986</v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4">IFERROR(X375*I375/H375,"0")</f>
        <v>635.71428571428567</v>
      </c>
      <c r="BN375" s="78">
        <f t="shared" ref="BN375:BN381" si="65">IFERROR(Y375*I375/H375,"0")</f>
        <v>636.35</v>
      </c>
      <c r="BO375" s="78">
        <f t="shared" ref="BO375:BO381" si="66">IFERROR(1/J375*(X375/H375),"0")</f>
        <v>1.0822510822510822</v>
      </c>
      <c r="BP375" s="78">
        <f t="shared" ref="BP375:BP381" si="67">IFERROR(1/J375*(Y375/H375),"0")</f>
        <v>1.0833333333333333</v>
      </c>
    </row>
    <row r="376" spans="1:68" ht="27" customHeight="1" x14ac:dyDescent="0.25">
      <c r="A376" s="63" t="s">
        <v>626</v>
      </c>
      <c r="B376" s="63" t="s">
        <v>627</v>
      </c>
      <c r="C376" s="36">
        <v>4301031153</v>
      </c>
      <c r="D376" s="725">
        <v>4607091387230</v>
      </c>
      <c r="E376" s="7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9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7"/>
      <c r="R376" s="727"/>
      <c r="S376" s="727"/>
      <c r="T376" s="728"/>
      <c r="U376" s="39" t="s">
        <v>46</v>
      </c>
      <c r="V376" s="39" t="s">
        <v>46</v>
      </c>
      <c r="W376" s="40" t="s">
        <v>0</v>
      </c>
      <c r="X376" s="58">
        <v>200</v>
      </c>
      <c r="Y376" s="55">
        <f t="shared" si="63"/>
        <v>201.60000000000002</v>
      </c>
      <c r="Z376" s="41">
        <f>IFERROR(IF(Y376=0,"",ROUNDUP(Y376/H376,0)*0.00902),"")</f>
        <v>0.43296000000000001</v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211.9047619047619</v>
      </c>
      <c r="BN376" s="78">
        <f t="shared" si="65"/>
        <v>213.60000000000002</v>
      </c>
      <c r="BO376" s="78">
        <f t="shared" si="66"/>
        <v>0.36075036075036077</v>
      </c>
      <c r="BP376" s="78">
        <f t="shared" si="67"/>
        <v>0.36363636363636365</v>
      </c>
    </row>
    <row r="377" spans="1:68" ht="27" hidden="1" customHeight="1" x14ac:dyDescent="0.25">
      <c r="A377" s="63" t="s">
        <v>629</v>
      </c>
      <c r="B377" s="63" t="s">
        <v>630</v>
      </c>
      <c r="C377" s="36">
        <v>4301031154</v>
      </c>
      <c r="D377" s="725">
        <v>4607091387292</v>
      </c>
      <c r="E377" s="7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9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7"/>
      <c r="R377" s="727"/>
      <c r="S377" s="727"/>
      <c r="T377" s="72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631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customHeight="1" x14ac:dyDescent="0.25">
      <c r="A378" s="63" t="s">
        <v>632</v>
      </c>
      <c r="B378" s="63" t="s">
        <v>633</v>
      </c>
      <c r="C378" s="36">
        <v>4301031152</v>
      </c>
      <c r="D378" s="725">
        <v>4607091387285</v>
      </c>
      <c r="E378" s="72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9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7"/>
      <c r="R378" s="727"/>
      <c r="S378" s="727"/>
      <c r="T378" s="728"/>
      <c r="U378" s="39" t="s">
        <v>46</v>
      </c>
      <c r="V378" s="39" t="s">
        <v>46</v>
      </c>
      <c r="W378" s="40" t="s">
        <v>0</v>
      </c>
      <c r="X378" s="58">
        <v>35</v>
      </c>
      <c r="Y378" s="55">
        <f t="shared" si="63"/>
        <v>35.700000000000003</v>
      </c>
      <c r="Z378" s="41">
        <f>IFERROR(IF(Y378=0,"",ROUNDUP(Y378/H378,0)*0.00502),"")</f>
        <v>8.5339999999999999E-2</v>
      </c>
      <c r="AA378" s="68" t="s">
        <v>46</v>
      </c>
      <c r="AB378" s="69" t="s">
        <v>46</v>
      </c>
      <c r="AC378" s="482" t="s">
        <v>628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37.166666666666664</v>
      </c>
      <c r="BN378" s="78">
        <f t="shared" si="65"/>
        <v>37.910000000000004</v>
      </c>
      <c r="BO378" s="78">
        <f t="shared" si="66"/>
        <v>7.1225071225071226E-2</v>
      </c>
      <c r="BP378" s="78">
        <f t="shared" si="67"/>
        <v>7.2649572649572655E-2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4301031305</v>
      </c>
      <c r="D379" s="725">
        <v>4607091389845</v>
      </c>
      <c r="E379" s="72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9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7"/>
      <c r="R379" s="727"/>
      <c r="S379" s="727"/>
      <c r="T379" s="72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636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4301031460</v>
      </c>
      <c r="D380" s="725">
        <v>4680115887442</v>
      </c>
      <c r="E380" s="72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9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7"/>
      <c r="R380" s="727"/>
      <c r="S380" s="727"/>
      <c r="T380" s="72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631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4301031066</v>
      </c>
      <c r="D381" s="725">
        <v>4607091383836</v>
      </c>
      <c r="E381" s="72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7"/>
      <c r="R381" s="727"/>
      <c r="S381" s="727"/>
      <c r="T381" s="72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x14ac:dyDescent="0.2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4"/>
      <c r="P382" s="730" t="s">
        <v>40</v>
      </c>
      <c r="Q382" s="731"/>
      <c r="R382" s="731"/>
      <c r="S382" s="731"/>
      <c r="T382" s="731"/>
      <c r="U382" s="731"/>
      <c r="V382" s="732"/>
      <c r="W382" s="42" t="s">
        <v>39</v>
      </c>
      <c r="X382" s="43">
        <f>IFERROR(X375/H375,"0")+IFERROR(X376/H376,"0")+IFERROR(X377/H377,"0")+IFERROR(X378/H378,"0")+IFERROR(X379/H379,"0")+IFERROR(X380/H380,"0")+IFERROR(X381/H381,"0")</f>
        <v>207.14285714285714</v>
      </c>
      <c r="Y382" s="43">
        <f>IFERROR(Y375/H375,"0")+IFERROR(Y376/H376,"0")+IFERROR(Y377/H377,"0")+IFERROR(Y378/H378,"0")+IFERROR(Y379/H379,"0")+IFERROR(Y380/H380,"0")+IFERROR(Y381/H381,"0")</f>
        <v>208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1.80816</v>
      </c>
      <c r="AA382" s="67"/>
      <c r="AB382" s="67"/>
      <c r="AC382" s="67"/>
    </row>
    <row r="383" spans="1:68" x14ac:dyDescent="0.2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4"/>
      <c r="P383" s="730" t="s">
        <v>40</v>
      </c>
      <c r="Q383" s="731"/>
      <c r="R383" s="731"/>
      <c r="S383" s="731"/>
      <c r="T383" s="731"/>
      <c r="U383" s="731"/>
      <c r="V383" s="732"/>
      <c r="W383" s="42" t="s">
        <v>0</v>
      </c>
      <c r="X383" s="43">
        <f>IFERROR(SUM(X375:X381),"0")</f>
        <v>835</v>
      </c>
      <c r="Y383" s="43">
        <f>IFERROR(SUM(Y375:Y381),"0")</f>
        <v>837.90000000000009</v>
      </c>
      <c r="Z383" s="42"/>
      <c r="AA383" s="67"/>
      <c r="AB383" s="67"/>
      <c r="AC383" s="67"/>
    </row>
    <row r="384" spans="1:68" ht="14.25" hidden="1" customHeight="1" x14ac:dyDescent="0.25">
      <c r="A384" s="724" t="s">
        <v>86</v>
      </c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4"/>
      <c r="P384" s="724"/>
      <c r="Q384" s="724"/>
      <c r="R384" s="724"/>
      <c r="S384" s="724"/>
      <c r="T384" s="724"/>
      <c r="U384" s="724"/>
      <c r="V384" s="724"/>
      <c r="W384" s="724"/>
      <c r="X384" s="724"/>
      <c r="Y384" s="724"/>
      <c r="Z384" s="724"/>
      <c r="AA384" s="66"/>
      <c r="AB384" s="66"/>
      <c r="AC384" s="80"/>
    </row>
    <row r="385" spans="1:68" ht="27" customHeight="1" x14ac:dyDescent="0.25">
      <c r="A385" s="63" t="s">
        <v>642</v>
      </c>
      <c r="B385" s="63" t="s">
        <v>643</v>
      </c>
      <c r="C385" s="36">
        <v>4301051100</v>
      </c>
      <c r="D385" s="725">
        <v>4607091387766</v>
      </c>
      <c r="E385" s="72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7"/>
      <c r="R385" s="727"/>
      <c r="S385" s="727"/>
      <c r="T385" s="728"/>
      <c r="U385" s="39" t="s">
        <v>46</v>
      </c>
      <c r="V385" s="39" t="s">
        <v>46</v>
      </c>
      <c r="W385" s="40" t="s">
        <v>0</v>
      </c>
      <c r="X385" s="58">
        <v>800</v>
      </c>
      <c r="Y385" s="55">
        <f>IFERROR(IF(X385="",0,CEILING((X385/$H385),1)*$H385),"")</f>
        <v>803.4</v>
      </c>
      <c r="Z385" s="41">
        <f>IFERROR(IF(Y385=0,"",ROUNDUP(Y385/H385,0)*0.01898),"")</f>
        <v>1.9549400000000001</v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850.0512820512821</v>
      </c>
      <c r="BN385" s="78">
        <f>IFERROR(Y385*I385/H385,"0")</f>
        <v>853.66399999999999</v>
      </c>
      <c r="BO385" s="78">
        <f>IFERROR(1/J385*(X385/H385),"0")</f>
        <v>1.6025641025641026</v>
      </c>
      <c r="BP385" s="78">
        <f>IFERROR(1/J385*(Y385/H385),"0")</f>
        <v>1.609375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4301051818</v>
      </c>
      <c r="D386" s="725">
        <v>4607091387957</v>
      </c>
      <c r="E386" s="72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7"/>
      <c r="R386" s="727"/>
      <c r="S386" s="727"/>
      <c r="T386" s="72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4301051819</v>
      </c>
      <c r="D387" s="725">
        <v>4607091387964</v>
      </c>
      <c r="E387" s="72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9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7"/>
      <c r="R387" s="727"/>
      <c r="S387" s="727"/>
      <c r="T387" s="72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650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651</v>
      </c>
      <c r="B388" s="63" t="s">
        <v>652</v>
      </c>
      <c r="C388" s="36">
        <v>4301051734</v>
      </c>
      <c r="D388" s="725">
        <v>4680115884588</v>
      </c>
      <c r="E388" s="72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9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7"/>
      <c r="R388" s="727"/>
      <c r="S388" s="727"/>
      <c r="T388" s="728"/>
      <c r="U388" s="39" t="s">
        <v>46</v>
      </c>
      <c r="V388" s="39" t="s">
        <v>46</v>
      </c>
      <c r="W388" s="40" t="s">
        <v>0</v>
      </c>
      <c r="X388" s="58">
        <v>105</v>
      </c>
      <c r="Y388" s="55">
        <f>IFERROR(IF(X388="",0,CEILING((X388/$H388),1)*$H388),"")</f>
        <v>105</v>
      </c>
      <c r="Z388" s="41">
        <f>IFERROR(IF(Y388=0,"",ROUNDUP(Y388/H388,0)*0.00651),"")</f>
        <v>0.22785</v>
      </c>
      <c r="AA388" s="68" t="s">
        <v>46</v>
      </c>
      <c r="AB388" s="69" t="s">
        <v>46</v>
      </c>
      <c r="AC388" s="496" t="s">
        <v>644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113.61</v>
      </c>
      <c r="BN388" s="78">
        <f>IFERROR(Y388*I388/H388,"0")</f>
        <v>113.61</v>
      </c>
      <c r="BO388" s="78">
        <f>IFERROR(1/J388*(X388/H388),"0")</f>
        <v>0.19230769230769232</v>
      </c>
      <c r="BP388" s="78">
        <f>IFERROR(1/J388*(Y388/H388),"0")</f>
        <v>0.19230769230769232</v>
      </c>
    </row>
    <row r="389" spans="1:68" x14ac:dyDescent="0.2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4"/>
      <c r="P389" s="730" t="s">
        <v>40</v>
      </c>
      <c r="Q389" s="731"/>
      <c r="R389" s="731"/>
      <c r="S389" s="731"/>
      <c r="T389" s="731"/>
      <c r="U389" s="731"/>
      <c r="V389" s="732"/>
      <c r="W389" s="42" t="s">
        <v>39</v>
      </c>
      <c r="X389" s="43">
        <f>IFERROR(X385/H385,"0")+IFERROR(X386/H386,"0")+IFERROR(X387/H387,"0")+IFERROR(X388/H388,"0")</f>
        <v>137.56410256410257</v>
      </c>
      <c r="Y389" s="43">
        <f>IFERROR(Y385/H385,"0")+IFERROR(Y386/H386,"0")+IFERROR(Y387/H387,"0")+IFERROR(Y388/H388,"0")</f>
        <v>138</v>
      </c>
      <c r="Z389" s="43">
        <f>IFERROR(IF(Z385="",0,Z385),"0")+IFERROR(IF(Z386="",0,Z386),"0")+IFERROR(IF(Z387="",0,Z387),"0")+IFERROR(IF(Z388="",0,Z388),"0")</f>
        <v>2.1827900000000002</v>
      </c>
      <c r="AA389" s="67"/>
      <c r="AB389" s="67"/>
      <c r="AC389" s="67"/>
    </row>
    <row r="390" spans="1:68" x14ac:dyDescent="0.2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4"/>
      <c r="P390" s="730" t="s">
        <v>40</v>
      </c>
      <c r="Q390" s="731"/>
      <c r="R390" s="731"/>
      <c r="S390" s="731"/>
      <c r="T390" s="731"/>
      <c r="U390" s="731"/>
      <c r="V390" s="732"/>
      <c r="W390" s="42" t="s">
        <v>0</v>
      </c>
      <c r="X390" s="43">
        <f>IFERROR(SUM(X385:X388),"0")</f>
        <v>905</v>
      </c>
      <c r="Y390" s="43">
        <f>IFERROR(SUM(Y385:Y388),"0")</f>
        <v>908.4</v>
      </c>
      <c r="Z390" s="42"/>
      <c r="AA390" s="67"/>
      <c r="AB390" s="67"/>
      <c r="AC390" s="67"/>
    </row>
    <row r="391" spans="1:68" ht="14.25" hidden="1" customHeight="1" x14ac:dyDescent="0.25">
      <c r="A391" s="724" t="s">
        <v>173</v>
      </c>
      <c r="B391" s="724"/>
      <c r="C391" s="724"/>
      <c r="D391" s="724"/>
      <c r="E391" s="724"/>
      <c r="F391" s="724"/>
      <c r="G391" s="724"/>
      <c r="H391" s="724"/>
      <c r="I391" s="724"/>
      <c r="J391" s="724"/>
      <c r="K391" s="724"/>
      <c r="L391" s="724"/>
      <c r="M391" s="724"/>
      <c r="N391" s="724"/>
      <c r="O391" s="724"/>
      <c r="P391" s="724"/>
      <c r="Q391" s="724"/>
      <c r="R391" s="724"/>
      <c r="S391" s="724"/>
      <c r="T391" s="724"/>
      <c r="U391" s="724"/>
      <c r="V391" s="724"/>
      <c r="W391" s="724"/>
      <c r="X391" s="724"/>
      <c r="Y391" s="724"/>
      <c r="Z391" s="724"/>
      <c r="AA391" s="66"/>
      <c r="AB391" s="66"/>
      <c r="AC391" s="80"/>
    </row>
    <row r="392" spans="1:68" ht="27" hidden="1" customHeight="1" x14ac:dyDescent="0.25">
      <c r="A392" s="63" t="s">
        <v>653</v>
      </c>
      <c r="B392" s="63" t="s">
        <v>654</v>
      </c>
      <c r="C392" s="36">
        <v>4301060387</v>
      </c>
      <c r="D392" s="725">
        <v>4607091380880</v>
      </c>
      <c r="E392" s="72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9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7"/>
      <c r="R392" s="727"/>
      <c r="S392" s="727"/>
      <c r="T392" s="72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656</v>
      </c>
      <c r="B393" s="63" t="s">
        <v>657</v>
      </c>
      <c r="C393" s="36">
        <v>4301060406</v>
      </c>
      <c r="D393" s="725">
        <v>4607091384482</v>
      </c>
      <c r="E393" s="72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9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7"/>
      <c r="R393" s="727"/>
      <c r="S393" s="727"/>
      <c r="T393" s="728"/>
      <c r="U393" s="39" t="s">
        <v>46</v>
      </c>
      <c r="V393" s="39" t="s">
        <v>46</v>
      </c>
      <c r="W393" s="40" t="s">
        <v>0</v>
      </c>
      <c r="X393" s="58">
        <v>800</v>
      </c>
      <c r="Y393" s="55">
        <f>IFERROR(IF(X393="",0,CEILING((X393/$H393),1)*$H393),"")</f>
        <v>803.4</v>
      </c>
      <c r="Z393" s="41">
        <f>IFERROR(IF(Y393=0,"",ROUNDUP(Y393/H393,0)*0.01898),"")</f>
        <v>1.9549400000000001</v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850.66666666666674</v>
      </c>
      <c r="BN393" s="78">
        <f>IFERROR(Y393*I393/H393,"0")</f>
        <v>854.28200000000015</v>
      </c>
      <c r="BO393" s="78">
        <f>IFERROR(1/J393*(X393/H393),"0")</f>
        <v>1.6025641025641026</v>
      </c>
      <c r="BP393" s="78">
        <f>IFERROR(1/J393*(Y393/H393),"0")</f>
        <v>1.609375</v>
      </c>
    </row>
    <row r="394" spans="1:68" ht="27" customHeight="1" x14ac:dyDescent="0.25">
      <c r="A394" s="63" t="s">
        <v>659</v>
      </c>
      <c r="B394" s="63" t="s">
        <v>660</v>
      </c>
      <c r="C394" s="36">
        <v>4301060484</v>
      </c>
      <c r="D394" s="725">
        <v>4607091380897</v>
      </c>
      <c r="E394" s="72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7"/>
      <c r="R394" s="727"/>
      <c r="S394" s="727"/>
      <c r="T394" s="728"/>
      <c r="U394" s="39" t="s">
        <v>46</v>
      </c>
      <c r="V394" s="39" t="s">
        <v>46</v>
      </c>
      <c r="W394" s="40" t="s">
        <v>0</v>
      </c>
      <c r="X394" s="58">
        <v>200</v>
      </c>
      <c r="Y394" s="55">
        <f>IFERROR(IF(X394="",0,CEILING((X394/$H394),1)*$H394),"")</f>
        <v>201.60000000000002</v>
      </c>
      <c r="Z394" s="41">
        <f>IFERROR(IF(Y394=0,"",ROUNDUP(Y394/H394,0)*0.01898),"")</f>
        <v>0.45552000000000004</v>
      </c>
      <c r="AA394" s="68" t="s">
        <v>46</v>
      </c>
      <c r="AB394" s="69" t="s">
        <v>46</v>
      </c>
      <c r="AC394" s="502" t="s">
        <v>661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211.76190476190476</v>
      </c>
      <c r="BN394" s="78">
        <f>IFERROR(Y394*I394/H394,"0")</f>
        <v>213.45600000000002</v>
      </c>
      <c r="BO394" s="78">
        <f>IFERROR(1/J394*(X394/H394),"0")</f>
        <v>0.37202380952380953</v>
      </c>
      <c r="BP394" s="78">
        <f>IFERROR(1/J394*(Y394/H394),"0")</f>
        <v>0.375</v>
      </c>
    </row>
    <row r="395" spans="1:68" x14ac:dyDescent="0.2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4"/>
      <c r="P395" s="730" t="s">
        <v>40</v>
      </c>
      <c r="Q395" s="731"/>
      <c r="R395" s="731"/>
      <c r="S395" s="731"/>
      <c r="T395" s="731"/>
      <c r="U395" s="731"/>
      <c r="V395" s="732"/>
      <c r="W395" s="42" t="s">
        <v>39</v>
      </c>
      <c r="X395" s="43">
        <f>IFERROR(X392/H392,"0")+IFERROR(X393/H393,"0")+IFERROR(X394/H394,"0")</f>
        <v>126.37362637362638</v>
      </c>
      <c r="Y395" s="43">
        <f>IFERROR(Y392/H392,"0")+IFERROR(Y393/H393,"0")+IFERROR(Y394/H394,"0")</f>
        <v>127</v>
      </c>
      <c r="Z395" s="43">
        <f>IFERROR(IF(Z392="",0,Z392),"0")+IFERROR(IF(Z393="",0,Z393),"0")+IFERROR(IF(Z394="",0,Z394),"0")</f>
        <v>2.41046</v>
      </c>
      <c r="AA395" s="67"/>
      <c r="AB395" s="67"/>
      <c r="AC395" s="67"/>
    </row>
    <row r="396" spans="1:68" x14ac:dyDescent="0.2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4"/>
      <c r="P396" s="730" t="s">
        <v>40</v>
      </c>
      <c r="Q396" s="731"/>
      <c r="R396" s="731"/>
      <c r="S396" s="731"/>
      <c r="T396" s="731"/>
      <c r="U396" s="731"/>
      <c r="V396" s="732"/>
      <c r="W396" s="42" t="s">
        <v>0</v>
      </c>
      <c r="X396" s="43">
        <f>IFERROR(SUM(X392:X394),"0")</f>
        <v>1000</v>
      </c>
      <c r="Y396" s="43">
        <f>IFERROR(SUM(Y392:Y394),"0")</f>
        <v>1005</v>
      </c>
      <c r="Z396" s="42"/>
      <c r="AA396" s="67"/>
      <c r="AB396" s="67"/>
      <c r="AC396" s="67"/>
    </row>
    <row r="397" spans="1:68" ht="14.25" hidden="1" customHeight="1" x14ac:dyDescent="0.25">
      <c r="A397" s="724" t="s">
        <v>289</v>
      </c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4"/>
      <c r="P397" s="724"/>
      <c r="Q397" s="724"/>
      <c r="R397" s="724"/>
      <c r="S397" s="724"/>
      <c r="T397" s="724"/>
      <c r="U397" s="724"/>
      <c r="V397" s="724"/>
      <c r="W397" s="724"/>
      <c r="X397" s="724"/>
      <c r="Y397" s="724"/>
      <c r="Z397" s="724"/>
      <c r="AA397" s="66"/>
      <c r="AB397" s="66"/>
      <c r="AC397" s="80"/>
    </row>
    <row r="398" spans="1:68" ht="27" hidden="1" customHeight="1" x14ac:dyDescent="0.25">
      <c r="A398" s="63" t="s">
        <v>662</v>
      </c>
      <c r="B398" s="63" t="s">
        <v>663</v>
      </c>
      <c r="C398" s="36">
        <v>4301030235</v>
      </c>
      <c r="D398" s="725">
        <v>4607091388381</v>
      </c>
      <c r="E398" s="72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9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7"/>
      <c r="R398" s="727"/>
      <c r="S398" s="727"/>
      <c r="T398" s="72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664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4301030232</v>
      </c>
      <c r="D399" s="725">
        <v>4607091388374</v>
      </c>
      <c r="E399" s="72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264</v>
      </c>
      <c r="N399" s="38"/>
      <c r="O399" s="37">
        <v>180</v>
      </c>
      <c r="P399" s="9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7"/>
      <c r="R399" s="727"/>
      <c r="S399" s="727"/>
      <c r="T399" s="72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4301032015</v>
      </c>
      <c r="D400" s="725">
        <v>4607091383102</v>
      </c>
      <c r="E400" s="72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9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7"/>
      <c r="R400" s="727"/>
      <c r="S400" s="727"/>
      <c r="T400" s="72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4301030233</v>
      </c>
      <c r="D401" s="725">
        <v>4607091388404</v>
      </c>
      <c r="E401" s="72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264</v>
      </c>
      <c r="N401" s="38"/>
      <c r="O401" s="37">
        <v>180</v>
      </c>
      <c r="P401" s="9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7"/>
      <c r="R401" s="727"/>
      <c r="S401" s="727"/>
      <c r="T401" s="72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4"/>
      <c r="P402" s="730" t="s">
        <v>40</v>
      </c>
      <c r="Q402" s="731"/>
      <c r="R402" s="731"/>
      <c r="S402" s="731"/>
      <c r="T402" s="731"/>
      <c r="U402" s="731"/>
      <c r="V402" s="732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4"/>
      <c r="P403" s="730" t="s">
        <v>40</v>
      </c>
      <c r="Q403" s="731"/>
      <c r="R403" s="731"/>
      <c r="S403" s="731"/>
      <c r="T403" s="731"/>
      <c r="U403" s="731"/>
      <c r="V403" s="732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24" t="s">
        <v>671</v>
      </c>
      <c r="B404" s="724"/>
      <c r="C404" s="724"/>
      <c r="D404" s="724"/>
      <c r="E404" s="724"/>
      <c r="F404" s="724"/>
      <c r="G404" s="724"/>
      <c r="H404" s="724"/>
      <c r="I404" s="724"/>
      <c r="J404" s="724"/>
      <c r="K404" s="724"/>
      <c r="L404" s="724"/>
      <c r="M404" s="724"/>
      <c r="N404" s="724"/>
      <c r="O404" s="724"/>
      <c r="P404" s="724"/>
      <c r="Q404" s="724"/>
      <c r="R404" s="724"/>
      <c r="S404" s="724"/>
      <c r="T404" s="724"/>
      <c r="U404" s="724"/>
      <c r="V404" s="724"/>
      <c r="W404" s="724"/>
      <c r="X404" s="724"/>
      <c r="Y404" s="724"/>
      <c r="Z404" s="724"/>
      <c r="AA404" s="66"/>
      <c r="AB404" s="66"/>
      <c r="AC404" s="80"/>
    </row>
    <row r="405" spans="1:68" ht="16.5" hidden="1" customHeight="1" x14ac:dyDescent="0.25">
      <c r="A405" s="63" t="s">
        <v>672</v>
      </c>
      <c r="B405" s="63" t="s">
        <v>673</v>
      </c>
      <c r="C405" s="36">
        <v>4301180007</v>
      </c>
      <c r="D405" s="725">
        <v>4680115881808</v>
      </c>
      <c r="E405" s="72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675</v>
      </c>
      <c r="N405" s="38"/>
      <c r="O405" s="37">
        <v>731</v>
      </c>
      <c r="P405" s="9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7"/>
      <c r="R405" s="727"/>
      <c r="S405" s="727"/>
      <c r="T405" s="72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674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4301180006</v>
      </c>
      <c r="D406" s="725">
        <v>4680115881822</v>
      </c>
      <c r="E406" s="72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675</v>
      </c>
      <c r="N406" s="38"/>
      <c r="O406" s="37">
        <v>731</v>
      </c>
      <c r="P406" s="9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7"/>
      <c r="R406" s="727"/>
      <c r="S406" s="727"/>
      <c r="T406" s="72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678</v>
      </c>
      <c r="B407" s="63" t="s">
        <v>679</v>
      </c>
      <c r="C407" s="36">
        <v>4301180001</v>
      </c>
      <c r="D407" s="725">
        <v>4680115880016</v>
      </c>
      <c r="E407" s="72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675</v>
      </c>
      <c r="N407" s="38"/>
      <c r="O407" s="37">
        <v>731</v>
      </c>
      <c r="P407" s="94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7"/>
      <c r="R407" s="727"/>
      <c r="S407" s="727"/>
      <c r="T407" s="72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4"/>
      <c r="P408" s="730" t="s">
        <v>40</v>
      </c>
      <c r="Q408" s="731"/>
      <c r="R408" s="731"/>
      <c r="S408" s="731"/>
      <c r="T408" s="731"/>
      <c r="U408" s="731"/>
      <c r="V408" s="732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4"/>
      <c r="P409" s="730" t="s">
        <v>40</v>
      </c>
      <c r="Q409" s="731"/>
      <c r="R409" s="731"/>
      <c r="S409" s="731"/>
      <c r="T409" s="731"/>
      <c r="U409" s="731"/>
      <c r="V409" s="732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24" t="s">
        <v>680</v>
      </c>
      <c r="B410" s="724"/>
      <c r="C410" s="724"/>
      <c r="D410" s="724"/>
      <c r="E410" s="724"/>
      <c r="F410" s="724"/>
      <c r="G410" s="724"/>
      <c r="H410" s="724"/>
      <c r="I410" s="724"/>
      <c r="J410" s="724"/>
      <c r="K410" s="724"/>
      <c r="L410" s="724"/>
      <c r="M410" s="724"/>
      <c r="N410" s="724"/>
      <c r="O410" s="724"/>
      <c r="P410" s="724"/>
      <c r="Q410" s="724"/>
      <c r="R410" s="724"/>
      <c r="S410" s="724"/>
      <c r="T410" s="724"/>
      <c r="U410" s="724"/>
      <c r="V410" s="724"/>
      <c r="W410" s="724"/>
      <c r="X410" s="724"/>
      <c r="Y410" s="724"/>
      <c r="Z410" s="724"/>
      <c r="AA410" s="66"/>
      <c r="AB410" s="66"/>
      <c r="AC410" s="80"/>
    </row>
    <row r="411" spans="1:68" ht="27" hidden="1" customHeight="1" x14ac:dyDescent="0.25">
      <c r="A411" s="63" t="s">
        <v>681</v>
      </c>
      <c r="B411" s="63" t="s">
        <v>682</v>
      </c>
      <c r="C411" s="36">
        <v>4301220003</v>
      </c>
      <c r="D411" s="725">
        <v>4680115888678</v>
      </c>
      <c r="E411" s="72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675</v>
      </c>
      <c r="N411" s="38"/>
      <c r="O411" s="37">
        <v>1096</v>
      </c>
      <c r="P411" s="94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7"/>
      <c r="R411" s="727"/>
      <c r="S411" s="727"/>
      <c r="T411" s="72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684</v>
      </c>
      <c r="B412" s="63" t="s">
        <v>685</v>
      </c>
      <c r="C412" s="36">
        <v>4301220001</v>
      </c>
      <c r="D412" s="725">
        <v>4680115888654</v>
      </c>
      <c r="E412" s="72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675</v>
      </c>
      <c r="N412" s="38"/>
      <c r="O412" s="37">
        <v>1096</v>
      </c>
      <c r="P412" s="95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7"/>
      <c r="R412" s="727"/>
      <c r="S412" s="727"/>
      <c r="T412" s="72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686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687</v>
      </c>
      <c r="B413" s="63" t="s">
        <v>688</v>
      </c>
      <c r="C413" s="36">
        <v>4301220002</v>
      </c>
      <c r="D413" s="725">
        <v>4680115888753</v>
      </c>
      <c r="E413" s="72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675</v>
      </c>
      <c r="N413" s="38"/>
      <c r="O413" s="37">
        <v>1096</v>
      </c>
      <c r="P413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7"/>
      <c r="R413" s="727"/>
      <c r="S413" s="727"/>
      <c r="T413" s="72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683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4"/>
      <c r="P414" s="730" t="s">
        <v>40</v>
      </c>
      <c r="Q414" s="731"/>
      <c r="R414" s="731"/>
      <c r="S414" s="731"/>
      <c r="T414" s="731"/>
      <c r="U414" s="731"/>
      <c r="V414" s="732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4"/>
      <c r="P415" s="730" t="s">
        <v>40</v>
      </c>
      <c r="Q415" s="731"/>
      <c r="R415" s="731"/>
      <c r="S415" s="731"/>
      <c r="T415" s="731"/>
      <c r="U415" s="731"/>
      <c r="V415" s="732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3" t="s">
        <v>689</v>
      </c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3"/>
      <c r="P416" s="723"/>
      <c r="Q416" s="723"/>
      <c r="R416" s="723"/>
      <c r="S416" s="723"/>
      <c r="T416" s="723"/>
      <c r="U416" s="723"/>
      <c r="V416" s="723"/>
      <c r="W416" s="723"/>
      <c r="X416" s="723"/>
      <c r="Y416" s="723"/>
      <c r="Z416" s="723"/>
      <c r="AA416" s="65"/>
      <c r="AB416" s="65"/>
      <c r="AC416" s="79"/>
    </row>
    <row r="417" spans="1:68" ht="14.25" hidden="1" customHeight="1" x14ac:dyDescent="0.25">
      <c r="A417" s="724" t="s">
        <v>86</v>
      </c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4"/>
      <c r="P417" s="724"/>
      <c r="Q417" s="724"/>
      <c r="R417" s="724"/>
      <c r="S417" s="724"/>
      <c r="T417" s="724"/>
      <c r="U417" s="724"/>
      <c r="V417" s="724"/>
      <c r="W417" s="724"/>
      <c r="X417" s="724"/>
      <c r="Y417" s="724"/>
      <c r="Z417" s="724"/>
      <c r="AA417" s="66"/>
      <c r="AB417" s="66"/>
      <c r="AC417" s="80"/>
    </row>
    <row r="418" spans="1:68" ht="16.5" customHeight="1" x14ac:dyDescent="0.25">
      <c r="A418" s="63" t="s">
        <v>690</v>
      </c>
      <c r="B418" s="63" t="s">
        <v>691</v>
      </c>
      <c r="C418" s="36">
        <v>4301052235</v>
      </c>
      <c r="D418" s="725">
        <v>4680115889415</v>
      </c>
      <c r="E418" s="72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7"/>
      <c r="R418" s="727"/>
      <c r="S418" s="727"/>
      <c r="T418" s="728"/>
      <c r="U418" s="39" t="s">
        <v>46</v>
      </c>
      <c r="V418" s="39" t="s">
        <v>46</v>
      </c>
      <c r="W418" s="40" t="s">
        <v>0</v>
      </c>
      <c r="X418" s="58">
        <v>1000</v>
      </c>
      <c r="Y418" s="55">
        <f>IFERROR(IF(X418="",0,CEILING((X418/$H418),1)*$H418),"")</f>
        <v>1006.1999999999999</v>
      </c>
      <c r="Z418" s="41">
        <f>IFERROR(IF(Y418=0,"",ROUNDUP(Y418/H418,0)*0.01898),"")</f>
        <v>2.44842</v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1052.5641025641025</v>
      </c>
      <c r="BN418" s="78">
        <f>IFERROR(Y418*I418/H418,"0")</f>
        <v>1059.0899999999999</v>
      </c>
      <c r="BO418" s="78">
        <f>IFERROR(1/J418*(X418/H418),"0")</f>
        <v>2.0032051282051282</v>
      </c>
      <c r="BP418" s="78">
        <f>IFERROR(1/J418*(Y418/H418),"0")</f>
        <v>2.015625</v>
      </c>
    </row>
    <row r="419" spans="1:68" ht="16.5" customHeight="1" x14ac:dyDescent="0.25">
      <c r="A419" s="63" t="s">
        <v>693</v>
      </c>
      <c r="B419" s="63" t="s">
        <v>694</v>
      </c>
      <c r="C419" s="36">
        <v>4301052236</v>
      </c>
      <c r="D419" s="725">
        <v>4680115889422</v>
      </c>
      <c r="E419" s="72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95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7"/>
      <c r="R419" s="727"/>
      <c r="S419" s="727"/>
      <c r="T419" s="728"/>
      <c r="U419" s="39" t="s">
        <v>46</v>
      </c>
      <c r="V419" s="39" t="s">
        <v>46</v>
      </c>
      <c r="W419" s="40" t="s">
        <v>0</v>
      </c>
      <c r="X419" s="58">
        <v>1000</v>
      </c>
      <c r="Y419" s="55">
        <f>IFERROR(IF(X419="",0,CEILING((X419/$H419),1)*$H419),"")</f>
        <v>1006.1999999999999</v>
      </c>
      <c r="Z419" s="41">
        <f>IFERROR(IF(Y419=0,"",ROUNDUP(Y419/H419,0)*0.01898),"")</f>
        <v>2.44842</v>
      </c>
      <c r="AA419" s="68" t="s">
        <v>46</v>
      </c>
      <c r="AB419" s="69" t="s">
        <v>46</v>
      </c>
      <c r="AC419" s="526" t="s">
        <v>695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1052.5641025641025</v>
      </c>
      <c r="BN419" s="78">
        <f>IFERROR(Y419*I419/H419,"0")</f>
        <v>1059.0899999999999</v>
      </c>
      <c r="BO419" s="78">
        <f>IFERROR(1/J419*(X419/H419),"0")</f>
        <v>2.0032051282051282</v>
      </c>
      <c r="BP419" s="78">
        <f>IFERROR(1/J419*(Y419/H419),"0")</f>
        <v>2.015625</v>
      </c>
    </row>
    <row r="420" spans="1:68" x14ac:dyDescent="0.2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4"/>
      <c r="P420" s="730" t="s">
        <v>40</v>
      </c>
      <c r="Q420" s="731"/>
      <c r="R420" s="731"/>
      <c r="S420" s="731"/>
      <c r="T420" s="731"/>
      <c r="U420" s="731"/>
      <c r="V420" s="732"/>
      <c r="W420" s="42" t="s">
        <v>39</v>
      </c>
      <c r="X420" s="43">
        <f>IFERROR(X418/H418,"0")+IFERROR(X419/H419,"0")</f>
        <v>256.41025641025641</v>
      </c>
      <c r="Y420" s="43">
        <f>IFERROR(Y418/H418,"0")+IFERROR(Y419/H419,"0")</f>
        <v>258</v>
      </c>
      <c r="Z420" s="43">
        <f>IFERROR(IF(Z418="",0,Z418),"0")+IFERROR(IF(Z419="",0,Z419),"0")</f>
        <v>4.8968400000000001</v>
      </c>
      <c r="AA420" s="67"/>
      <c r="AB420" s="67"/>
      <c r="AC420" s="67"/>
    </row>
    <row r="421" spans="1:68" x14ac:dyDescent="0.2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4"/>
      <c r="P421" s="730" t="s">
        <v>40</v>
      </c>
      <c r="Q421" s="731"/>
      <c r="R421" s="731"/>
      <c r="S421" s="731"/>
      <c r="T421" s="731"/>
      <c r="U421" s="731"/>
      <c r="V421" s="732"/>
      <c r="W421" s="42" t="s">
        <v>0</v>
      </c>
      <c r="X421" s="43">
        <f>IFERROR(SUM(X418:X419),"0")</f>
        <v>2000</v>
      </c>
      <c r="Y421" s="43">
        <f>IFERROR(SUM(Y418:Y419),"0")</f>
        <v>2012.3999999999999</v>
      </c>
      <c r="Z421" s="42"/>
      <c r="AA421" s="67"/>
      <c r="AB421" s="67"/>
      <c r="AC421" s="67"/>
    </row>
    <row r="422" spans="1:68" ht="16.5" hidden="1" customHeight="1" x14ac:dyDescent="0.25">
      <c r="A422" s="723" t="s">
        <v>696</v>
      </c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3"/>
      <c r="P422" s="723"/>
      <c r="Q422" s="723"/>
      <c r="R422" s="723"/>
      <c r="S422" s="723"/>
      <c r="T422" s="723"/>
      <c r="U422" s="723"/>
      <c r="V422" s="723"/>
      <c r="W422" s="723"/>
      <c r="X422" s="723"/>
      <c r="Y422" s="723"/>
      <c r="Z422" s="723"/>
      <c r="AA422" s="65"/>
      <c r="AB422" s="65"/>
      <c r="AC422" s="79"/>
    </row>
    <row r="423" spans="1:68" ht="14.25" hidden="1" customHeight="1" x14ac:dyDescent="0.25">
      <c r="A423" s="724" t="s">
        <v>86</v>
      </c>
      <c r="B423" s="724"/>
      <c r="C423" s="724"/>
      <c r="D423" s="724"/>
      <c r="E423" s="724"/>
      <c r="F423" s="724"/>
      <c r="G423" s="724"/>
      <c r="H423" s="724"/>
      <c r="I423" s="724"/>
      <c r="J423" s="724"/>
      <c r="K423" s="724"/>
      <c r="L423" s="724"/>
      <c r="M423" s="724"/>
      <c r="N423" s="724"/>
      <c r="O423" s="724"/>
      <c r="P423" s="724"/>
      <c r="Q423" s="724"/>
      <c r="R423" s="724"/>
      <c r="S423" s="724"/>
      <c r="T423" s="724"/>
      <c r="U423" s="724"/>
      <c r="V423" s="724"/>
      <c r="W423" s="724"/>
      <c r="X423" s="724"/>
      <c r="Y423" s="724"/>
      <c r="Z423" s="724"/>
      <c r="AA423" s="66"/>
      <c r="AB423" s="66"/>
      <c r="AC423" s="80"/>
    </row>
    <row r="424" spans="1:68" ht="27" customHeight="1" x14ac:dyDescent="0.25">
      <c r="A424" s="63" t="s">
        <v>697</v>
      </c>
      <c r="B424" s="63" t="s">
        <v>698</v>
      </c>
      <c r="C424" s="36">
        <v>4301051489</v>
      </c>
      <c r="D424" s="725">
        <v>4607091387919</v>
      </c>
      <c r="E424" s="72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9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7"/>
      <c r="R424" s="727"/>
      <c r="S424" s="727"/>
      <c r="T424" s="728"/>
      <c r="U424" s="39" t="s">
        <v>46</v>
      </c>
      <c r="V424" s="39" t="s">
        <v>46</v>
      </c>
      <c r="W424" s="40" t="s">
        <v>0</v>
      </c>
      <c r="X424" s="58">
        <v>1300</v>
      </c>
      <c r="Y424" s="55">
        <f>IFERROR(IF(X424="",0,CEILING((X424/$H424),1)*$H424),"")</f>
        <v>1304.0999999999999</v>
      </c>
      <c r="Z424" s="41">
        <f>IFERROR(IF(Y424=0,"",ROUNDUP(Y424/H424,0)*0.01898),"")</f>
        <v>3.0557799999999999</v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1379.2839506172838</v>
      </c>
      <c r="BN424" s="78">
        <f>IFERROR(Y424*I424/H424,"0")</f>
        <v>1383.6339999999998</v>
      </c>
      <c r="BO424" s="78">
        <f>IFERROR(1/J424*(X424/H424),"0")</f>
        <v>2.507716049382716</v>
      </c>
      <c r="BP424" s="78">
        <f>IFERROR(1/J424*(Y424/H424),"0")</f>
        <v>2.515625</v>
      </c>
    </row>
    <row r="425" spans="1:68" ht="27" hidden="1" customHeight="1" x14ac:dyDescent="0.25">
      <c r="A425" s="63" t="s">
        <v>700</v>
      </c>
      <c r="B425" s="63" t="s">
        <v>701</v>
      </c>
      <c r="C425" s="36">
        <v>4301051461</v>
      </c>
      <c r="D425" s="725">
        <v>4680115883604</v>
      </c>
      <c r="E425" s="72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7"/>
      <c r="R425" s="727"/>
      <c r="S425" s="727"/>
      <c r="T425" s="72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703</v>
      </c>
      <c r="B426" s="63" t="s">
        <v>704</v>
      </c>
      <c r="C426" s="36">
        <v>4301051864</v>
      </c>
      <c r="D426" s="725">
        <v>4680115883567</v>
      </c>
      <c r="E426" s="72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9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7"/>
      <c r="R426" s="727"/>
      <c r="S426" s="727"/>
      <c r="T426" s="72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705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4"/>
      <c r="P427" s="730" t="s">
        <v>40</v>
      </c>
      <c r="Q427" s="731"/>
      <c r="R427" s="731"/>
      <c r="S427" s="731"/>
      <c r="T427" s="731"/>
      <c r="U427" s="731"/>
      <c r="V427" s="732"/>
      <c r="W427" s="42" t="s">
        <v>39</v>
      </c>
      <c r="X427" s="43">
        <f>IFERROR(X424/H424,"0")+IFERROR(X425/H425,"0")+IFERROR(X426/H426,"0")</f>
        <v>160.49382716049382</v>
      </c>
      <c r="Y427" s="43">
        <f>IFERROR(Y424/H424,"0")+IFERROR(Y425/H425,"0")+IFERROR(Y426/H426,"0")</f>
        <v>161</v>
      </c>
      <c r="Z427" s="43">
        <f>IFERROR(IF(Z424="",0,Z424),"0")+IFERROR(IF(Z425="",0,Z425),"0")+IFERROR(IF(Z426="",0,Z426),"0")</f>
        <v>3.0557799999999999</v>
      </c>
      <c r="AA427" s="67"/>
      <c r="AB427" s="67"/>
      <c r="AC427" s="67"/>
    </row>
    <row r="428" spans="1:68" x14ac:dyDescent="0.2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4"/>
      <c r="P428" s="730" t="s">
        <v>40</v>
      </c>
      <c r="Q428" s="731"/>
      <c r="R428" s="731"/>
      <c r="S428" s="731"/>
      <c r="T428" s="731"/>
      <c r="U428" s="731"/>
      <c r="V428" s="732"/>
      <c r="W428" s="42" t="s">
        <v>0</v>
      </c>
      <c r="X428" s="43">
        <f>IFERROR(SUM(X424:X426),"0")</f>
        <v>1300</v>
      </c>
      <c r="Y428" s="43">
        <f>IFERROR(SUM(Y424:Y426),"0")</f>
        <v>1304.0999999999999</v>
      </c>
      <c r="Z428" s="42"/>
      <c r="AA428" s="67"/>
      <c r="AB428" s="67"/>
      <c r="AC428" s="67"/>
    </row>
    <row r="429" spans="1:68" ht="27.75" hidden="1" customHeight="1" x14ac:dyDescent="0.2">
      <c r="A429" s="722" t="s">
        <v>706</v>
      </c>
      <c r="B429" s="722"/>
      <c r="C429" s="722"/>
      <c r="D429" s="722"/>
      <c r="E429" s="722"/>
      <c r="F429" s="722"/>
      <c r="G429" s="722"/>
      <c r="H429" s="722"/>
      <c r="I429" s="722"/>
      <c r="J429" s="722"/>
      <c r="K429" s="722"/>
      <c r="L429" s="722"/>
      <c r="M429" s="722"/>
      <c r="N429" s="722"/>
      <c r="O429" s="722"/>
      <c r="P429" s="722"/>
      <c r="Q429" s="722"/>
      <c r="R429" s="722"/>
      <c r="S429" s="722"/>
      <c r="T429" s="722"/>
      <c r="U429" s="722"/>
      <c r="V429" s="722"/>
      <c r="W429" s="722"/>
      <c r="X429" s="722"/>
      <c r="Y429" s="722"/>
      <c r="Z429" s="722"/>
      <c r="AA429" s="54"/>
      <c r="AB429" s="54"/>
      <c r="AC429" s="54"/>
    </row>
    <row r="430" spans="1:68" ht="16.5" hidden="1" customHeight="1" x14ac:dyDescent="0.25">
      <c r="A430" s="723" t="s">
        <v>707</v>
      </c>
      <c r="B430" s="723"/>
      <c r="C430" s="723"/>
      <c r="D430" s="723"/>
      <c r="E430" s="723"/>
      <c r="F430" s="723"/>
      <c r="G430" s="723"/>
      <c r="H430" s="723"/>
      <c r="I430" s="723"/>
      <c r="J430" s="723"/>
      <c r="K430" s="723"/>
      <c r="L430" s="723"/>
      <c r="M430" s="723"/>
      <c r="N430" s="723"/>
      <c r="O430" s="723"/>
      <c r="P430" s="723"/>
      <c r="Q430" s="723"/>
      <c r="R430" s="723"/>
      <c r="S430" s="723"/>
      <c r="T430" s="723"/>
      <c r="U430" s="723"/>
      <c r="V430" s="723"/>
      <c r="W430" s="723"/>
      <c r="X430" s="723"/>
      <c r="Y430" s="723"/>
      <c r="Z430" s="723"/>
      <c r="AA430" s="65"/>
      <c r="AB430" s="65"/>
      <c r="AC430" s="79"/>
    </row>
    <row r="431" spans="1:68" ht="14.25" hidden="1" customHeight="1" x14ac:dyDescent="0.25">
      <c r="A431" s="724" t="s">
        <v>122</v>
      </c>
      <c r="B431" s="724"/>
      <c r="C431" s="724"/>
      <c r="D431" s="724"/>
      <c r="E431" s="724"/>
      <c r="F431" s="724"/>
      <c r="G431" s="724"/>
      <c r="H431" s="724"/>
      <c r="I431" s="724"/>
      <c r="J431" s="724"/>
      <c r="K431" s="724"/>
      <c r="L431" s="724"/>
      <c r="M431" s="724"/>
      <c r="N431" s="724"/>
      <c r="O431" s="724"/>
      <c r="P431" s="724"/>
      <c r="Q431" s="724"/>
      <c r="R431" s="724"/>
      <c r="S431" s="724"/>
      <c r="T431" s="724"/>
      <c r="U431" s="724"/>
      <c r="V431" s="724"/>
      <c r="W431" s="724"/>
      <c r="X431" s="724"/>
      <c r="Y431" s="724"/>
      <c r="Z431" s="724"/>
      <c r="AA431" s="66"/>
      <c r="AB431" s="66"/>
      <c r="AC431" s="80"/>
    </row>
    <row r="432" spans="1:68" ht="27" hidden="1" customHeight="1" x14ac:dyDescent="0.25">
      <c r="A432" s="63" t="s">
        <v>708</v>
      </c>
      <c r="B432" s="63" t="s">
        <v>709</v>
      </c>
      <c r="C432" s="36">
        <v>4301012332</v>
      </c>
      <c r="D432" s="725">
        <v>4680115888401</v>
      </c>
      <c r="E432" s="72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9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7"/>
      <c r="R432" s="727"/>
      <c r="S432" s="727"/>
      <c r="T432" s="72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711</v>
      </c>
      <c r="B433" s="63" t="s">
        <v>712</v>
      </c>
      <c r="C433" s="36">
        <v>4301011869</v>
      </c>
      <c r="D433" s="725">
        <v>4680115884847</v>
      </c>
      <c r="E433" s="72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9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7"/>
      <c r="R433" s="727"/>
      <c r="S433" s="727"/>
      <c r="T433" s="728"/>
      <c r="U433" s="39" t="s">
        <v>46</v>
      </c>
      <c r="V433" s="39" t="s">
        <v>46</v>
      </c>
      <c r="W433" s="40" t="s">
        <v>0</v>
      </c>
      <c r="X433" s="58">
        <v>750</v>
      </c>
      <c r="Y433" s="55">
        <f t="shared" si="68"/>
        <v>750</v>
      </c>
      <c r="Z433" s="41">
        <f>IFERROR(IF(Y433=0,"",ROUNDUP(Y433/H433,0)*0.02175),"")</f>
        <v>1.0874999999999999</v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773.5</v>
      </c>
      <c r="BN433" s="78">
        <f t="shared" si="70"/>
        <v>773.5</v>
      </c>
      <c r="BO433" s="78">
        <f t="shared" si="71"/>
        <v>1.0416666666666665</v>
      </c>
      <c r="BP433" s="78">
        <f t="shared" si="72"/>
        <v>1.0416666666666665</v>
      </c>
    </row>
    <row r="434" spans="1:68" ht="27" customHeight="1" x14ac:dyDescent="0.25">
      <c r="A434" s="63" t="s">
        <v>714</v>
      </c>
      <c r="B434" s="63" t="s">
        <v>715</v>
      </c>
      <c r="C434" s="36">
        <v>4301012083</v>
      </c>
      <c r="D434" s="725">
        <v>4680115884854</v>
      </c>
      <c r="E434" s="72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9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7"/>
      <c r="R434" s="727"/>
      <c r="S434" s="727"/>
      <c r="T434" s="728"/>
      <c r="U434" s="39" t="s">
        <v>46</v>
      </c>
      <c r="V434" s="39" t="s">
        <v>46</v>
      </c>
      <c r="W434" s="40" t="s">
        <v>0</v>
      </c>
      <c r="X434" s="58">
        <v>1500</v>
      </c>
      <c r="Y434" s="55">
        <f t="shared" si="68"/>
        <v>1500</v>
      </c>
      <c r="Z434" s="41">
        <f>IFERROR(IF(Y434=0,"",ROUNDUP(Y434/H434,0)*0.02175),"")</f>
        <v>2.1749999999999998</v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1547</v>
      </c>
      <c r="BN434" s="78">
        <f t="shared" si="70"/>
        <v>1547</v>
      </c>
      <c r="BO434" s="78">
        <f t="shared" si="71"/>
        <v>2.083333333333333</v>
      </c>
      <c r="BP434" s="78">
        <f t="shared" si="72"/>
        <v>2.083333333333333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4301011867</v>
      </c>
      <c r="D435" s="725">
        <v>4680115884830</v>
      </c>
      <c r="E435" s="72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9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7"/>
      <c r="R435" s="727"/>
      <c r="S435" s="727"/>
      <c r="T435" s="728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customHeight="1" x14ac:dyDescent="0.25">
      <c r="A436" s="63" t="s">
        <v>720</v>
      </c>
      <c r="B436" s="63" t="s">
        <v>721</v>
      </c>
      <c r="C436" s="36">
        <v>4301012356</v>
      </c>
      <c r="D436" s="725">
        <v>4680115889231</v>
      </c>
      <c r="E436" s="72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7"/>
      <c r="R436" s="727"/>
      <c r="S436" s="727"/>
      <c r="T436" s="728"/>
      <c r="U436" s="39" t="s">
        <v>46</v>
      </c>
      <c r="V436" s="39" t="s">
        <v>46</v>
      </c>
      <c r="W436" s="40" t="s">
        <v>0</v>
      </c>
      <c r="X436" s="58">
        <v>3000</v>
      </c>
      <c r="Y436" s="55">
        <f t="shared" si="68"/>
        <v>3000</v>
      </c>
      <c r="Z436" s="41">
        <f>IFERROR(IF(Y436=0,"",ROUNDUP(Y436/H436,0)*0.02175),"")</f>
        <v>4.3499999999999996</v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3094</v>
      </c>
      <c r="BN436" s="78">
        <f t="shared" si="70"/>
        <v>3094</v>
      </c>
      <c r="BO436" s="78">
        <f t="shared" si="71"/>
        <v>4.1666666666666661</v>
      </c>
      <c r="BP436" s="78">
        <f t="shared" si="72"/>
        <v>4.1666666666666661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4301011433</v>
      </c>
      <c r="D437" s="725">
        <v>4680115882638</v>
      </c>
      <c r="E437" s="72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9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7"/>
      <c r="R437" s="727"/>
      <c r="S437" s="727"/>
      <c r="T437" s="72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726</v>
      </c>
      <c r="B438" s="63" t="s">
        <v>727</v>
      </c>
      <c r="C438" s="36">
        <v>4301011952</v>
      </c>
      <c r="D438" s="725">
        <v>4680115884922</v>
      </c>
      <c r="E438" s="72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9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7"/>
      <c r="R438" s="727"/>
      <c r="S438" s="727"/>
      <c r="T438" s="72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729</v>
      </c>
      <c r="B439" s="63" t="s">
        <v>730</v>
      </c>
      <c r="C439" s="36">
        <v>4301011868</v>
      </c>
      <c r="D439" s="725">
        <v>4680115884861</v>
      </c>
      <c r="E439" s="72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9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7"/>
      <c r="R439" s="727"/>
      <c r="S439" s="727"/>
      <c r="T439" s="72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731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4"/>
      <c r="P440" s="730" t="s">
        <v>40</v>
      </c>
      <c r="Q440" s="731"/>
      <c r="R440" s="731"/>
      <c r="S440" s="731"/>
      <c r="T440" s="731"/>
      <c r="U440" s="731"/>
      <c r="V440" s="732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350</v>
      </c>
      <c r="Y440" s="43">
        <f>IFERROR(Y432/H432,"0")+IFERROR(Y433/H433,"0")+IFERROR(Y434/H434,"0")+IFERROR(Y435/H435,"0")+IFERROR(Y436/H436,"0")+IFERROR(Y437/H437,"0")+IFERROR(Y438/H438,"0")+IFERROR(Y439/H439,"0")</f>
        <v>350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7.6124999999999989</v>
      </c>
      <c r="AA440" s="67"/>
      <c r="AB440" s="67"/>
      <c r="AC440" s="67"/>
    </row>
    <row r="441" spans="1:68" x14ac:dyDescent="0.2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4"/>
      <c r="P441" s="730" t="s">
        <v>40</v>
      </c>
      <c r="Q441" s="731"/>
      <c r="R441" s="731"/>
      <c r="S441" s="731"/>
      <c r="T441" s="731"/>
      <c r="U441" s="731"/>
      <c r="V441" s="732"/>
      <c r="W441" s="42" t="s">
        <v>0</v>
      </c>
      <c r="X441" s="43">
        <f>IFERROR(SUM(X432:X439),"0")</f>
        <v>5250</v>
      </c>
      <c r="Y441" s="43">
        <f>IFERROR(SUM(Y432:Y439),"0")</f>
        <v>5250</v>
      </c>
      <c r="Z441" s="42"/>
      <c r="AA441" s="67"/>
      <c r="AB441" s="67"/>
      <c r="AC441" s="67"/>
    </row>
    <row r="442" spans="1:68" ht="14.25" hidden="1" customHeight="1" x14ac:dyDescent="0.25">
      <c r="A442" s="724" t="s">
        <v>155</v>
      </c>
      <c r="B442" s="724"/>
      <c r="C442" s="724"/>
      <c r="D442" s="724"/>
      <c r="E442" s="724"/>
      <c r="F442" s="724"/>
      <c r="G442" s="724"/>
      <c r="H442" s="724"/>
      <c r="I442" s="724"/>
      <c r="J442" s="724"/>
      <c r="K442" s="724"/>
      <c r="L442" s="724"/>
      <c r="M442" s="724"/>
      <c r="N442" s="724"/>
      <c r="O442" s="724"/>
      <c r="P442" s="724"/>
      <c r="Q442" s="724"/>
      <c r="R442" s="724"/>
      <c r="S442" s="724"/>
      <c r="T442" s="724"/>
      <c r="U442" s="724"/>
      <c r="V442" s="724"/>
      <c r="W442" s="724"/>
      <c r="X442" s="724"/>
      <c r="Y442" s="724"/>
      <c r="Z442" s="724"/>
      <c r="AA442" s="66"/>
      <c r="AB442" s="66"/>
      <c r="AC442" s="80"/>
    </row>
    <row r="443" spans="1:68" ht="27" hidden="1" customHeight="1" x14ac:dyDescent="0.25">
      <c r="A443" s="63" t="s">
        <v>732</v>
      </c>
      <c r="B443" s="63" t="s">
        <v>733</v>
      </c>
      <c r="C443" s="36">
        <v>4301020178</v>
      </c>
      <c r="D443" s="725">
        <v>4607091383980</v>
      </c>
      <c r="E443" s="72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9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7"/>
      <c r="R443" s="727"/>
      <c r="S443" s="727"/>
      <c r="T443" s="72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735</v>
      </c>
      <c r="B444" s="63" t="s">
        <v>736</v>
      </c>
      <c r="C444" s="36">
        <v>4301020355</v>
      </c>
      <c r="D444" s="725">
        <v>4680115888425</v>
      </c>
      <c r="E444" s="72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9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7"/>
      <c r="R444" s="727"/>
      <c r="S444" s="727"/>
      <c r="T444" s="72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738</v>
      </c>
      <c r="B445" s="63" t="s">
        <v>739</v>
      </c>
      <c r="C445" s="36">
        <v>4301020179</v>
      </c>
      <c r="D445" s="725">
        <v>4607091384178</v>
      </c>
      <c r="E445" s="72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9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7"/>
      <c r="R445" s="727"/>
      <c r="S445" s="727"/>
      <c r="T445" s="72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740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4"/>
      <c r="P446" s="730" t="s">
        <v>40</v>
      </c>
      <c r="Q446" s="731"/>
      <c r="R446" s="731"/>
      <c r="S446" s="731"/>
      <c r="T446" s="731"/>
      <c r="U446" s="731"/>
      <c r="V446" s="732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4"/>
      <c r="P447" s="730" t="s">
        <v>40</v>
      </c>
      <c r="Q447" s="731"/>
      <c r="R447" s="731"/>
      <c r="S447" s="731"/>
      <c r="T447" s="731"/>
      <c r="U447" s="731"/>
      <c r="V447" s="732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724" t="s">
        <v>86</v>
      </c>
      <c r="B448" s="724"/>
      <c r="C448" s="724"/>
      <c r="D448" s="724"/>
      <c r="E448" s="724"/>
      <c r="F448" s="724"/>
      <c r="G448" s="724"/>
      <c r="H448" s="724"/>
      <c r="I448" s="724"/>
      <c r="J448" s="724"/>
      <c r="K448" s="724"/>
      <c r="L448" s="724"/>
      <c r="M448" s="724"/>
      <c r="N448" s="724"/>
      <c r="O448" s="724"/>
      <c r="P448" s="724"/>
      <c r="Q448" s="724"/>
      <c r="R448" s="724"/>
      <c r="S448" s="724"/>
      <c r="T448" s="724"/>
      <c r="U448" s="724"/>
      <c r="V448" s="724"/>
      <c r="W448" s="724"/>
      <c r="X448" s="724"/>
      <c r="Y448" s="724"/>
      <c r="Z448" s="724"/>
      <c r="AA448" s="66"/>
      <c r="AB448" s="66"/>
      <c r="AC448" s="80"/>
    </row>
    <row r="449" spans="1:68" ht="27" customHeight="1" x14ac:dyDescent="0.25">
      <c r="A449" s="63" t="s">
        <v>741</v>
      </c>
      <c r="B449" s="63" t="s">
        <v>742</v>
      </c>
      <c r="C449" s="36">
        <v>4301051903</v>
      </c>
      <c r="D449" s="725">
        <v>4607091383928</v>
      </c>
      <c r="E449" s="72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9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7"/>
      <c r="R449" s="727"/>
      <c r="S449" s="727"/>
      <c r="T449" s="728"/>
      <c r="U449" s="39" t="s">
        <v>46</v>
      </c>
      <c r="V449" s="39" t="s">
        <v>46</v>
      </c>
      <c r="W449" s="40" t="s">
        <v>0</v>
      </c>
      <c r="X449" s="58">
        <v>900</v>
      </c>
      <c r="Y449" s="55">
        <f>IFERROR(IF(X449="",0,CEILING((X449/$H449),1)*$H449),"")</f>
        <v>900</v>
      </c>
      <c r="Z449" s="41">
        <f>IFERROR(IF(Y449=0,"",ROUNDUP(Y449/H449,0)*0.01898),"")</f>
        <v>1.8980000000000001</v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950</v>
      </c>
      <c r="BN449" s="78">
        <f>IFERROR(Y449*I449/H449,"0")</f>
        <v>950</v>
      </c>
      <c r="BO449" s="78">
        <f>IFERROR(1/J449*(X449/H449),"0")</f>
        <v>1.5625</v>
      </c>
      <c r="BP449" s="78">
        <f>IFERROR(1/J449*(Y449/H449),"0")</f>
        <v>1.5625</v>
      </c>
    </row>
    <row r="450" spans="1:68" ht="27" customHeight="1" x14ac:dyDescent="0.25">
      <c r="A450" s="63" t="s">
        <v>744</v>
      </c>
      <c r="B450" s="63" t="s">
        <v>745</v>
      </c>
      <c r="C450" s="36">
        <v>4301051897</v>
      </c>
      <c r="D450" s="725">
        <v>4607091384260</v>
      </c>
      <c r="E450" s="72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7"/>
      <c r="R450" s="727"/>
      <c r="S450" s="727"/>
      <c r="T450" s="728"/>
      <c r="U450" s="39" t="s">
        <v>46</v>
      </c>
      <c r="V450" s="39" t="s">
        <v>46</v>
      </c>
      <c r="W450" s="40" t="s">
        <v>0</v>
      </c>
      <c r="X450" s="58">
        <v>180</v>
      </c>
      <c r="Y450" s="55">
        <f>IFERROR(IF(X450="",0,CEILING((X450/$H450),1)*$H450),"")</f>
        <v>180</v>
      </c>
      <c r="Z450" s="41">
        <f>IFERROR(IF(Y450=0,"",ROUNDUP(Y450/H450,0)*0.01898),"")</f>
        <v>0.37959999999999999</v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189.88</v>
      </c>
      <c r="BN450" s="78">
        <f>IFERROR(Y450*I450/H450,"0")</f>
        <v>189.88</v>
      </c>
      <c r="BO450" s="78">
        <f>IFERROR(1/J450*(X450/H450),"0")</f>
        <v>0.3125</v>
      </c>
      <c r="BP450" s="78">
        <f>IFERROR(1/J450*(Y450/H450),"0")</f>
        <v>0.3125</v>
      </c>
    </row>
    <row r="451" spans="1:68" ht="27" hidden="1" customHeight="1" x14ac:dyDescent="0.25">
      <c r="A451" s="63" t="s">
        <v>747</v>
      </c>
      <c r="B451" s="63" t="s">
        <v>748</v>
      </c>
      <c r="C451" s="36">
        <v>4301052220</v>
      </c>
      <c r="D451" s="725">
        <v>4680115889538</v>
      </c>
      <c r="E451" s="72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97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7"/>
      <c r="R451" s="727"/>
      <c r="S451" s="727"/>
      <c r="T451" s="72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749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4"/>
      <c r="P452" s="730" t="s">
        <v>40</v>
      </c>
      <c r="Q452" s="731"/>
      <c r="R452" s="731"/>
      <c r="S452" s="731"/>
      <c r="T452" s="731"/>
      <c r="U452" s="731"/>
      <c r="V452" s="732"/>
      <c r="W452" s="42" t="s">
        <v>39</v>
      </c>
      <c r="X452" s="43">
        <f>IFERROR(X449/H449,"0")+IFERROR(X450/H450,"0")+IFERROR(X451/H451,"0")</f>
        <v>120</v>
      </c>
      <c r="Y452" s="43">
        <f>IFERROR(Y449/H449,"0")+IFERROR(Y450/H450,"0")+IFERROR(Y451/H451,"0")</f>
        <v>120</v>
      </c>
      <c r="Z452" s="43">
        <f>IFERROR(IF(Z449="",0,Z449),"0")+IFERROR(IF(Z450="",0,Z450),"0")+IFERROR(IF(Z451="",0,Z451),"0")</f>
        <v>2.2776000000000001</v>
      </c>
      <c r="AA452" s="67"/>
      <c r="AB452" s="67"/>
      <c r="AC452" s="67"/>
    </row>
    <row r="453" spans="1:68" x14ac:dyDescent="0.2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4"/>
      <c r="P453" s="730" t="s">
        <v>40</v>
      </c>
      <c r="Q453" s="731"/>
      <c r="R453" s="731"/>
      <c r="S453" s="731"/>
      <c r="T453" s="731"/>
      <c r="U453" s="731"/>
      <c r="V453" s="732"/>
      <c r="W453" s="42" t="s">
        <v>0</v>
      </c>
      <c r="X453" s="43">
        <f>IFERROR(SUM(X449:X451),"0")</f>
        <v>1080</v>
      </c>
      <c r="Y453" s="43">
        <f>IFERROR(SUM(Y449:Y451),"0")</f>
        <v>1080</v>
      </c>
      <c r="Z453" s="42"/>
      <c r="AA453" s="67"/>
      <c r="AB453" s="67"/>
      <c r="AC453" s="67"/>
    </row>
    <row r="454" spans="1:68" ht="14.25" hidden="1" customHeight="1" x14ac:dyDescent="0.25">
      <c r="A454" s="724" t="s">
        <v>173</v>
      </c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4"/>
      <c r="P454" s="724"/>
      <c r="Q454" s="724"/>
      <c r="R454" s="724"/>
      <c r="S454" s="724"/>
      <c r="T454" s="724"/>
      <c r="U454" s="724"/>
      <c r="V454" s="724"/>
      <c r="W454" s="724"/>
      <c r="X454" s="724"/>
      <c r="Y454" s="724"/>
      <c r="Z454" s="724"/>
      <c r="AA454" s="66"/>
      <c r="AB454" s="66"/>
      <c r="AC454" s="80"/>
    </row>
    <row r="455" spans="1:68" ht="27" hidden="1" customHeight="1" x14ac:dyDescent="0.25">
      <c r="A455" s="63" t="s">
        <v>750</v>
      </c>
      <c r="B455" s="63" t="s">
        <v>751</v>
      </c>
      <c r="C455" s="36">
        <v>4301060537</v>
      </c>
      <c r="D455" s="725">
        <v>4680115889545</v>
      </c>
      <c r="E455" s="72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9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7"/>
      <c r="R455" s="727"/>
      <c r="S455" s="727"/>
      <c r="T455" s="72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753</v>
      </c>
      <c r="B456" s="63" t="s">
        <v>754</v>
      </c>
      <c r="C456" s="36">
        <v>4301060524</v>
      </c>
      <c r="D456" s="725">
        <v>4607091384673</v>
      </c>
      <c r="E456" s="72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97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7"/>
      <c r="R456" s="727"/>
      <c r="S456" s="727"/>
      <c r="T456" s="72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755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4"/>
      <c r="P457" s="730" t="s">
        <v>40</v>
      </c>
      <c r="Q457" s="731"/>
      <c r="R457" s="731"/>
      <c r="S457" s="731"/>
      <c r="T457" s="731"/>
      <c r="U457" s="731"/>
      <c r="V457" s="732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4"/>
      <c r="P458" s="730" t="s">
        <v>40</v>
      </c>
      <c r="Q458" s="731"/>
      <c r="R458" s="731"/>
      <c r="S458" s="731"/>
      <c r="T458" s="731"/>
      <c r="U458" s="731"/>
      <c r="V458" s="732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723" t="s">
        <v>756</v>
      </c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3"/>
      <c r="P459" s="723"/>
      <c r="Q459" s="723"/>
      <c r="R459" s="723"/>
      <c r="S459" s="723"/>
      <c r="T459" s="723"/>
      <c r="U459" s="723"/>
      <c r="V459" s="723"/>
      <c r="W459" s="723"/>
      <c r="X459" s="723"/>
      <c r="Y459" s="723"/>
      <c r="Z459" s="723"/>
      <c r="AA459" s="65"/>
      <c r="AB459" s="65"/>
      <c r="AC459" s="79"/>
    </row>
    <row r="460" spans="1:68" ht="14.25" hidden="1" customHeight="1" x14ac:dyDescent="0.25">
      <c r="A460" s="724" t="s">
        <v>122</v>
      </c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4"/>
      <c r="P460" s="724"/>
      <c r="Q460" s="724"/>
      <c r="R460" s="724"/>
      <c r="S460" s="724"/>
      <c r="T460" s="724"/>
      <c r="U460" s="724"/>
      <c r="V460" s="724"/>
      <c r="W460" s="724"/>
      <c r="X460" s="724"/>
      <c r="Y460" s="724"/>
      <c r="Z460" s="724"/>
      <c r="AA460" s="66"/>
      <c r="AB460" s="66"/>
      <c r="AC460" s="80"/>
    </row>
    <row r="461" spans="1:68" ht="27" hidden="1" customHeight="1" x14ac:dyDescent="0.25">
      <c r="A461" s="63" t="s">
        <v>757</v>
      </c>
      <c r="B461" s="63" t="s">
        <v>758</v>
      </c>
      <c r="C461" s="36">
        <v>4301011875</v>
      </c>
      <c r="D461" s="725">
        <v>4680115884885</v>
      </c>
      <c r="E461" s="72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7"/>
      <c r="R461" s="727"/>
      <c r="S461" s="727"/>
      <c r="T461" s="72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759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760</v>
      </c>
      <c r="B462" s="63" t="s">
        <v>761</v>
      </c>
      <c r="C462" s="36">
        <v>4301011871</v>
      </c>
      <c r="D462" s="725">
        <v>4680115884908</v>
      </c>
      <c r="E462" s="72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9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7"/>
      <c r="R462" s="727"/>
      <c r="S462" s="727"/>
      <c r="T462" s="72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4"/>
      <c r="P463" s="730" t="s">
        <v>40</v>
      </c>
      <c r="Q463" s="731"/>
      <c r="R463" s="731"/>
      <c r="S463" s="731"/>
      <c r="T463" s="731"/>
      <c r="U463" s="731"/>
      <c r="V463" s="732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724" t="s">
        <v>77</v>
      </c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724"/>
      <c r="Q465" s="724"/>
      <c r="R465" s="724"/>
      <c r="S465" s="724"/>
      <c r="T465" s="724"/>
      <c r="U465" s="724"/>
      <c r="V465" s="724"/>
      <c r="W465" s="724"/>
      <c r="X465" s="724"/>
      <c r="Y465" s="724"/>
      <c r="Z465" s="724"/>
      <c r="AA465" s="66"/>
      <c r="AB465" s="66"/>
      <c r="AC465" s="80"/>
    </row>
    <row r="466" spans="1:68" ht="27" hidden="1" customHeight="1" x14ac:dyDescent="0.25">
      <c r="A466" s="63" t="s">
        <v>762</v>
      </c>
      <c r="B466" s="63" t="s">
        <v>763</v>
      </c>
      <c r="C466" s="36">
        <v>4301031457</v>
      </c>
      <c r="D466" s="725">
        <v>4607091384802</v>
      </c>
      <c r="E466" s="72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9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7"/>
      <c r="R466" s="727"/>
      <c r="S466" s="727"/>
      <c r="T466" s="72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764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4"/>
      <c r="P467" s="730" t="s">
        <v>40</v>
      </c>
      <c r="Q467" s="731"/>
      <c r="R467" s="731"/>
      <c r="S467" s="731"/>
      <c r="T467" s="731"/>
      <c r="U467" s="731"/>
      <c r="V467" s="732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4"/>
      <c r="P468" s="730" t="s">
        <v>40</v>
      </c>
      <c r="Q468" s="731"/>
      <c r="R468" s="731"/>
      <c r="S468" s="731"/>
      <c r="T468" s="731"/>
      <c r="U468" s="731"/>
      <c r="V468" s="732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4" t="s">
        <v>86</v>
      </c>
      <c r="B469" s="724"/>
      <c r="C469" s="724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724"/>
      <c r="Q469" s="724"/>
      <c r="R469" s="724"/>
      <c r="S469" s="724"/>
      <c r="T469" s="724"/>
      <c r="U469" s="724"/>
      <c r="V469" s="724"/>
      <c r="W469" s="724"/>
      <c r="X469" s="724"/>
      <c r="Y469" s="724"/>
      <c r="Z469" s="724"/>
      <c r="AA469" s="66"/>
      <c r="AB469" s="66"/>
      <c r="AC469" s="80"/>
    </row>
    <row r="470" spans="1:68" ht="27" customHeight="1" x14ac:dyDescent="0.25">
      <c r="A470" s="63" t="s">
        <v>765</v>
      </c>
      <c r="B470" s="63" t="s">
        <v>766</v>
      </c>
      <c r="C470" s="36">
        <v>4301051899</v>
      </c>
      <c r="D470" s="725">
        <v>4607091384246</v>
      </c>
      <c r="E470" s="72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9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7"/>
      <c r="R470" s="727"/>
      <c r="S470" s="727"/>
      <c r="T470" s="728"/>
      <c r="U470" s="39" t="s">
        <v>46</v>
      </c>
      <c r="V470" s="39" t="s">
        <v>46</v>
      </c>
      <c r="W470" s="40" t="s">
        <v>0</v>
      </c>
      <c r="X470" s="58">
        <v>40</v>
      </c>
      <c r="Y470" s="55">
        <f>IFERROR(IF(X470="",0,CEILING((X470/$H470),1)*$H470),"")</f>
        <v>45</v>
      </c>
      <c r="Z470" s="41">
        <f>IFERROR(IF(Y470=0,"",ROUNDUP(Y470/H470,0)*0.01898),"")</f>
        <v>9.4899999999999998E-2</v>
      </c>
      <c r="AA470" s="68" t="s">
        <v>46</v>
      </c>
      <c r="AB470" s="69" t="s">
        <v>46</v>
      </c>
      <c r="AC470" s="572" t="s">
        <v>767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42.195555555555558</v>
      </c>
      <c r="BN470" s="78">
        <f>IFERROR(Y470*I470/H470,"0")</f>
        <v>47.47</v>
      </c>
      <c r="BO470" s="78">
        <f>IFERROR(1/J470*(X470/H470),"0")</f>
        <v>6.9444444444444448E-2</v>
      </c>
      <c r="BP470" s="78">
        <f>IFERROR(1/J470*(Y470/H470),"0")</f>
        <v>7.8125E-2</v>
      </c>
    </row>
    <row r="471" spans="1:68" ht="27" hidden="1" customHeight="1" x14ac:dyDescent="0.25">
      <c r="A471" s="63" t="s">
        <v>768</v>
      </c>
      <c r="B471" s="63" t="s">
        <v>769</v>
      </c>
      <c r="C471" s="36">
        <v>4301051660</v>
      </c>
      <c r="D471" s="725">
        <v>4607091384253</v>
      </c>
      <c r="E471" s="72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9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7"/>
      <c r="R471" s="727"/>
      <c r="S471" s="727"/>
      <c r="T471" s="72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768</v>
      </c>
      <c r="B472" s="63" t="s">
        <v>770</v>
      </c>
      <c r="C472" s="36">
        <v>4301052069</v>
      </c>
      <c r="D472" s="725">
        <v>4607091384253</v>
      </c>
      <c r="E472" s="72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9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7"/>
      <c r="R472" s="727"/>
      <c r="S472" s="727"/>
      <c r="T472" s="72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771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4"/>
      <c r="P473" s="730" t="s">
        <v>40</v>
      </c>
      <c r="Q473" s="731"/>
      <c r="R473" s="731"/>
      <c r="S473" s="731"/>
      <c r="T473" s="731"/>
      <c r="U473" s="731"/>
      <c r="V473" s="732"/>
      <c r="W473" s="42" t="s">
        <v>39</v>
      </c>
      <c r="X473" s="43">
        <f>IFERROR(X470/H470,"0")+IFERROR(X471/H471,"0")+IFERROR(X472/H472,"0")</f>
        <v>4.4444444444444446</v>
      </c>
      <c r="Y473" s="43">
        <f>IFERROR(Y470/H470,"0")+IFERROR(Y471/H471,"0")+IFERROR(Y472/H472,"0")</f>
        <v>5</v>
      </c>
      <c r="Z473" s="43">
        <f>IFERROR(IF(Z470="",0,Z470),"0")+IFERROR(IF(Z471="",0,Z471),"0")+IFERROR(IF(Z472="",0,Z472),"0")</f>
        <v>9.4899999999999998E-2</v>
      </c>
      <c r="AA473" s="67"/>
      <c r="AB473" s="67"/>
      <c r="AC473" s="67"/>
    </row>
    <row r="474" spans="1:68" x14ac:dyDescent="0.2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4"/>
      <c r="P474" s="730" t="s">
        <v>40</v>
      </c>
      <c r="Q474" s="731"/>
      <c r="R474" s="731"/>
      <c r="S474" s="731"/>
      <c r="T474" s="731"/>
      <c r="U474" s="731"/>
      <c r="V474" s="732"/>
      <c r="W474" s="42" t="s">
        <v>0</v>
      </c>
      <c r="X474" s="43">
        <f>IFERROR(SUM(X470:X472),"0")</f>
        <v>40</v>
      </c>
      <c r="Y474" s="43">
        <f>IFERROR(SUM(Y470:Y472),"0")</f>
        <v>45</v>
      </c>
      <c r="Z474" s="42"/>
      <c r="AA474" s="67"/>
      <c r="AB474" s="67"/>
      <c r="AC474" s="67"/>
    </row>
    <row r="475" spans="1:68" ht="27.75" hidden="1" customHeight="1" x14ac:dyDescent="0.2">
      <c r="A475" s="722" t="s">
        <v>772</v>
      </c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2"/>
      <c r="P475" s="722"/>
      <c r="Q475" s="722"/>
      <c r="R475" s="722"/>
      <c r="S475" s="722"/>
      <c r="T475" s="722"/>
      <c r="U475" s="722"/>
      <c r="V475" s="722"/>
      <c r="W475" s="722"/>
      <c r="X475" s="722"/>
      <c r="Y475" s="722"/>
      <c r="Z475" s="722"/>
      <c r="AA475" s="54"/>
      <c r="AB475" s="54"/>
      <c r="AC475" s="54"/>
    </row>
    <row r="476" spans="1:68" ht="16.5" hidden="1" customHeight="1" x14ac:dyDescent="0.25">
      <c r="A476" s="723" t="s">
        <v>773</v>
      </c>
      <c r="B476" s="723"/>
      <c r="C476" s="723"/>
      <c r="D476" s="723"/>
      <c r="E476" s="723"/>
      <c r="F476" s="723"/>
      <c r="G476" s="723"/>
      <c r="H476" s="723"/>
      <c r="I476" s="723"/>
      <c r="J476" s="723"/>
      <c r="K476" s="723"/>
      <c r="L476" s="723"/>
      <c r="M476" s="723"/>
      <c r="N476" s="723"/>
      <c r="O476" s="723"/>
      <c r="P476" s="723"/>
      <c r="Q476" s="723"/>
      <c r="R476" s="723"/>
      <c r="S476" s="723"/>
      <c r="T476" s="723"/>
      <c r="U476" s="723"/>
      <c r="V476" s="723"/>
      <c r="W476" s="723"/>
      <c r="X476" s="723"/>
      <c r="Y476" s="723"/>
      <c r="Z476" s="723"/>
      <c r="AA476" s="65"/>
      <c r="AB476" s="65"/>
      <c r="AC476" s="79"/>
    </row>
    <row r="477" spans="1:68" ht="14.25" hidden="1" customHeight="1" x14ac:dyDescent="0.25">
      <c r="A477" s="724" t="s">
        <v>77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66"/>
      <c r="AB477" s="66"/>
      <c r="AC477" s="80"/>
    </row>
    <row r="478" spans="1:68" ht="27" hidden="1" customHeight="1" x14ac:dyDescent="0.25">
      <c r="A478" s="63" t="s">
        <v>774</v>
      </c>
      <c r="B478" s="63" t="s">
        <v>775</v>
      </c>
      <c r="C478" s="36">
        <v>4301031405</v>
      </c>
      <c r="D478" s="725">
        <v>4680115886100</v>
      </c>
      <c r="E478" s="72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9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7"/>
      <c r="R478" s="727"/>
      <c r="S478" s="727"/>
      <c r="T478" s="72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777</v>
      </c>
      <c r="B479" s="63" t="s">
        <v>778</v>
      </c>
      <c r="C479" s="36">
        <v>4301031402</v>
      </c>
      <c r="D479" s="725">
        <v>4680115886124</v>
      </c>
      <c r="E479" s="72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9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7"/>
      <c r="R479" s="727"/>
      <c r="S479" s="727"/>
      <c r="T479" s="72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779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780</v>
      </c>
      <c r="B480" s="63" t="s">
        <v>781</v>
      </c>
      <c r="C480" s="36">
        <v>4301031362</v>
      </c>
      <c r="D480" s="725">
        <v>4607091384338</v>
      </c>
      <c r="E480" s="72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8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7"/>
      <c r="R480" s="727"/>
      <c r="S480" s="727"/>
      <c r="T480" s="72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776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4301031364</v>
      </c>
      <c r="D481" s="725">
        <v>4680115883161</v>
      </c>
      <c r="E481" s="72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7"/>
      <c r="R481" s="727"/>
      <c r="S481" s="727"/>
      <c r="T481" s="72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785</v>
      </c>
      <c r="B482" s="63" t="s">
        <v>786</v>
      </c>
      <c r="C482" s="36">
        <v>4301031358</v>
      </c>
      <c r="D482" s="725">
        <v>4607091389531</v>
      </c>
      <c r="E482" s="72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7"/>
      <c r="R482" s="727"/>
      <c r="S482" s="727"/>
      <c r="T482" s="72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787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788</v>
      </c>
      <c r="B483" s="63" t="s">
        <v>789</v>
      </c>
      <c r="C483" s="36">
        <v>4301031360</v>
      </c>
      <c r="D483" s="725">
        <v>4607091384345</v>
      </c>
      <c r="E483" s="72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7"/>
      <c r="R483" s="727"/>
      <c r="S483" s="727"/>
      <c r="T483" s="72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784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4"/>
      <c r="P484" s="730" t="s">
        <v>40</v>
      </c>
      <c r="Q484" s="731"/>
      <c r="R484" s="731"/>
      <c r="S484" s="731"/>
      <c r="T484" s="731"/>
      <c r="U484" s="731"/>
      <c r="V484" s="732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4"/>
      <c r="P485" s="730" t="s">
        <v>40</v>
      </c>
      <c r="Q485" s="731"/>
      <c r="R485" s="731"/>
      <c r="S485" s="731"/>
      <c r="T485" s="731"/>
      <c r="U485" s="731"/>
      <c r="V485" s="732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24" t="s">
        <v>86</v>
      </c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4"/>
      <c r="P486" s="724"/>
      <c r="Q486" s="724"/>
      <c r="R486" s="724"/>
      <c r="S486" s="724"/>
      <c r="T486" s="724"/>
      <c r="U486" s="724"/>
      <c r="V486" s="724"/>
      <c r="W486" s="724"/>
      <c r="X486" s="724"/>
      <c r="Y486" s="724"/>
      <c r="Z486" s="724"/>
      <c r="AA486" s="66"/>
      <c r="AB486" s="66"/>
      <c r="AC486" s="80"/>
    </row>
    <row r="487" spans="1:68" ht="27" hidden="1" customHeight="1" x14ac:dyDescent="0.25">
      <c r="A487" s="63" t="s">
        <v>790</v>
      </c>
      <c r="B487" s="63" t="s">
        <v>791</v>
      </c>
      <c r="C487" s="36">
        <v>4301051284</v>
      </c>
      <c r="D487" s="725">
        <v>4607091384352</v>
      </c>
      <c r="E487" s="72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9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7"/>
      <c r="R487" s="727"/>
      <c r="S487" s="727"/>
      <c r="T487" s="72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793</v>
      </c>
      <c r="B488" s="63" t="s">
        <v>794</v>
      </c>
      <c r="C488" s="36">
        <v>4301051431</v>
      </c>
      <c r="D488" s="725">
        <v>4607091389654</v>
      </c>
      <c r="E488" s="72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9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7"/>
      <c r="R488" s="727"/>
      <c r="S488" s="727"/>
      <c r="T488" s="72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795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4"/>
      <c r="P489" s="730" t="s">
        <v>40</v>
      </c>
      <c r="Q489" s="731"/>
      <c r="R489" s="731"/>
      <c r="S489" s="731"/>
      <c r="T489" s="731"/>
      <c r="U489" s="731"/>
      <c r="V489" s="73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4"/>
      <c r="P490" s="730" t="s">
        <v>40</v>
      </c>
      <c r="Q490" s="731"/>
      <c r="R490" s="731"/>
      <c r="S490" s="731"/>
      <c r="T490" s="731"/>
      <c r="U490" s="731"/>
      <c r="V490" s="73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3" t="s">
        <v>796</v>
      </c>
      <c r="B491" s="723"/>
      <c r="C491" s="723"/>
      <c r="D491" s="723"/>
      <c r="E491" s="723"/>
      <c r="F491" s="723"/>
      <c r="G491" s="723"/>
      <c r="H491" s="723"/>
      <c r="I491" s="723"/>
      <c r="J491" s="723"/>
      <c r="K491" s="723"/>
      <c r="L491" s="723"/>
      <c r="M491" s="723"/>
      <c r="N491" s="723"/>
      <c r="O491" s="723"/>
      <c r="P491" s="723"/>
      <c r="Q491" s="723"/>
      <c r="R491" s="723"/>
      <c r="S491" s="723"/>
      <c r="T491" s="723"/>
      <c r="U491" s="723"/>
      <c r="V491" s="723"/>
      <c r="W491" s="723"/>
      <c r="X491" s="723"/>
      <c r="Y491" s="723"/>
      <c r="Z491" s="723"/>
      <c r="AA491" s="65"/>
      <c r="AB491" s="65"/>
      <c r="AC491" s="79"/>
    </row>
    <row r="492" spans="1:68" ht="14.25" hidden="1" customHeight="1" x14ac:dyDescent="0.25">
      <c r="A492" s="724" t="s">
        <v>155</v>
      </c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4"/>
      <c r="P492" s="724"/>
      <c r="Q492" s="724"/>
      <c r="R492" s="724"/>
      <c r="S492" s="724"/>
      <c r="T492" s="724"/>
      <c r="U492" s="724"/>
      <c r="V492" s="724"/>
      <c r="W492" s="724"/>
      <c r="X492" s="724"/>
      <c r="Y492" s="724"/>
      <c r="Z492" s="724"/>
      <c r="AA492" s="66"/>
      <c r="AB492" s="66"/>
      <c r="AC492" s="80"/>
    </row>
    <row r="493" spans="1:68" ht="27" hidden="1" customHeight="1" x14ac:dyDescent="0.25">
      <c r="A493" s="63" t="s">
        <v>797</v>
      </c>
      <c r="B493" s="63" t="s">
        <v>798</v>
      </c>
      <c r="C493" s="36">
        <v>4301020416</v>
      </c>
      <c r="D493" s="725">
        <v>4680115885240</v>
      </c>
      <c r="E493" s="72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9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7"/>
      <c r="R493" s="727"/>
      <c r="S493" s="727"/>
      <c r="T493" s="72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799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4"/>
      <c r="P494" s="730" t="s">
        <v>40</v>
      </c>
      <c r="Q494" s="731"/>
      <c r="R494" s="731"/>
      <c r="S494" s="731"/>
      <c r="T494" s="731"/>
      <c r="U494" s="731"/>
      <c r="V494" s="73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4"/>
      <c r="P495" s="730" t="s">
        <v>40</v>
      </c>
      <c r="Q495" s="731"/>
      <c r="R495" s="731"/>
      <c r="S495" s="731"/>
      <c r="T495" s="731"/>
      <c r="U495" s="731"/>
      <c r="V495" s="73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4" t="s">
        <v>77</v>
      </c>
      <c r="B496" s="724"/>
      <c r="C496" s="724"/>
      <c r="D496" s="724"/>
      <c r="E496" s="724"/>
      <c r="F496" s="724"/>
      <c r="G496" s="724"/>
      <c r="H496" s="724"/>
      <c r="I496" s="724"/>
      <c r="J496" s="724"/>
      <c r="K496" s="724"/>
      <c r="L496" s="724"/>
      <c r="M496" s="724"/>
      <c r="N496" s="724"/>
      <c r="O496" s="724"/>
      <c r="P496" s="724"/>
      <c r="Q496" s="724"/>
      <c r="R496" s="724"/>
      <c r="S496" s="724"/>
      <c r="T496" s="724"/>
      <c r="U496" s="724"/>
      <c r="V496" s="724"/>
      <c r="W496" s="724"/>
      <c r="X496" s="724"/>
      <c r="Y496" s="724"/>
      <c r="Z496" s="724"/>
      <c r="AA496" s="66"/>
      <c r="AB496" s="66"/>
      <c r="AC496" s="80"/>
    </row>
    <row r="497" spans="1:68" ht="27" hidden="1" customHeight="1" x14ac:dyDescent="0.25">
      <c r="A497" s="63" t="s">
        <v>800</v>
      </c>
      <c r="B497" s="63" t="s">
        <v>801</v>
      </c>
      <c r="C497" s="36">
        <v>4301031407</v>
      </c>
      <c r="D497" s="725">
        <v>4680115886094</v>
      </c>
      <c r="E497" s="72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9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7"/>
      <c r="R497" s="727"/>
      <c r="S497" s="727"/>
      <c r="T497" s="72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803</v>
      </c>
      <c r="B498" s="63" t="s">
        <v>804</v>
      </c>
      <c r="C498" s="36">
        <v>4301031373</v>
      </c>
      <c r="D498" s="725">
        <v>4680115880771</v>
      </c>
      <c r="E498" s="72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9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7"/>
      <c r="R498" s="727"/>
      <c r="S498" s="727"/>
      <c r="T498" s="72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805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806</v>
      </c>
      <c r="B499" s="63" t="s">
        <v>807</v>
      </c>
      <c r="C499" s="36">
        <v>4301031359</v>
      </c>
      <c r="D499" s="725">
        <v>4607091389500</v>
      </c>
      <c r="E499" s="72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9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7"/>
      <c r="R499" s="727"/>
      <c r="S499" s="727"/>
      <c r="T499" s="72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4"/>
      <c r="P500" s="730" t="s">
        <v>40</v>
      </c>
      <c r="Q500" s="731"/>
      <c r="R500" s="731"/>
      <c r="S500" s="731"/>
      <c r="T500" s="731"/>
      <c r="U500" s="731"/>
      <c r="V500" s="732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4"/>
      <c r="P501" s="730" t="s">
        <v>40</v>
      </c>
      <c r="Q501" s="731"/>
      <c r="R501" s="731"/>
      <c r="S501" s="731"/>
      <c r="T501" s="731"/>
      <c r="U501" s="731"/>
      <c r="V501" s="732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722" t="s">
        <v>808</v>
      </c>
      <c r="B502" s="722"/>
      <c r="C502" s="722"/>
      <c r="D502" s="722"/>
      <c r="E502" s="722"/>
      <c r="F502" s="722"/>
      <c r="G502" s="722"/>
      <c r="H502" s="722"/>
      <c r="I502" s="722"/>
      <c r="J502" s="722"/>
      <c r="K502" s="722"/>
      <c r="L502" s="722"/>
      <c r="M502" s="722"/>
      <c r="N502" s="722"/>
      <c r="O502" s="722"/>
      <c r="P502" s="722"/>
      <c r="Q502" s="722"/>
      <c r="R502" s="722"/>
      <c r="S502" s="722"/>
      <c r="T502" s="722"/>
      <c r="U502" s="722"/>
      <c r="V502" s="722"/>
      <c r="W502" s="722"/>
      <c r="X502" s="722"/>
      <c r="Y502" s="722"/>
      <c r="Z502" s="722"/>
      <c r="AA502" s="54"/>
      <c r="AB502" s="54"/>
      <c r="AC502" s="54"/>
    </row>
    <row r="503" spans="1:68" ht="16.5" hidden="1" customHeight="1" x14ac:dyDescent="0.25">
      <c r="A503" s="723" t="s">
        <v>808</v>
      </c>
      <c r="B503" s="723"/>
      <c r="C503" s="723"/>
      <c r="D503" s="723"/>
      <c r="E503" s="723"/>
      <c r="F503" s="723"/>
      <c r="G503" s="723"/>
      <c r="H503" s="723"/>
      <c r="I503" s="723"/>
      <c r="J503" s="723"/>
      <c r="K503" s="723"/>
      <c r="L503" s="723"/>
      <c r="M503" s="723"/>
      <c r="N503" s="723"/>
      <c r="O503" s="723"/>
      <c r="P503" s="723"/>
      <c r="Q503" s="723"/>
      <c r="R503" s="723"/>
      <c r="S503" s="723"/>
      <c r="T503" s="723"/>
      <c r="U503" s="723"/>
      <c r="V503" s="723"/>
      <c r="W503" s="723"/>
      <c r="X503" s="723"/>
      <c r="Y503" s="723"/>
      <c r="Z503" s="723"/>
      <c r="AA503" s="65"/>
      <c r="AB503" s="65"/>
      <c r="AC503" s="79"/>
    </row>
    <row r="504" spans="1:68" ht="14.25" hidden="1" customHeight="1" x14ac:dyDescent="0.25">
      <c r="A504" s="724" t="s">
        <v>122</v>
      </c>
      <c r="B504" s="724"/>
      <c r="C504" s="724"/>
      <c r="D504" s="724"/>
      <c r="E504" s="724"/>
      <c r="F504" s="724"/>
      <c r="G504" s="724"/>
      <c r="H504" s="724"/>
      <c r="I504" s="724"/>
      <c r="J504" s="724"/>
      <c r="K504" s="724"/>
      <c r="L504" s="724"/>
      <c r="M504" s="724"/>
      <c r="N504" s="724"/>
      <c r="O504" s="724"/>
      <c r="P504" s="724"/>
      <c r="Q504" s="724"/>
      <c r="R504" s="724"/>
      <c r="S504" s="724"/>
      <c r="T504" s="724"/>
      <c r="U504" s="724"/>
      <c r="V504" s="724"/>
      <c r="W504" s="724"/>
      <c r="X504" s="724"/>
      <c r="Y504" s="724"/>
      <c r="Z504" s="724"/>
      <c r="AA504" s="66"/>
      <c r="AB504" s="66"/>
      <c r="AC504" s="80"/>
    </row>
    <row r="505" spans="1:68" ht="27" hidden="1" customHeight="1" x14ac:dyDescent="0.25">
      <c r="A505" s="63" t="s">
        <v>809</v>
      </c>
      <c r="B505" s="63" t="s">
        <v>810</v>
      </c>
      <c r="C505" s="36">
        <v>4301011769</v>
      </c>
      <c r="D505" s="725">
        <v>4607091389067</v>
      </c>
      <c r="E505" s="72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9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7"/>
      <c r="R505" s="727"/>
      <c r="S505" s="727"/>
      <c r="T505" s="72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4301012380</v>
      </c>
      <c r="D506" s="725">
        <v>4680115889576</v>
      </c>
      <c r="E506" s="72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9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7"/>
      <c r="R506" s="727"/>
      <c r="S506" s="727"/>
      <c r="T506" s="72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814</v>
      </c>
      <c r="B507" s="63" t="s">
        <v>815</v>
      </c>
      <c r="C507" s="36">
        <v>4301011961</v>
      </c>
      <c r="D507" s="725">
        <v>4680115885271</v>
      </c>
      <c r="E507" s="72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7"/>
      <c r="R507" s="727"/>
      <c r="S507" s="727"/>
      <c r="T507" s="72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customHeight="1" x14ac:dyDescent="0.25">
      <c r="A508" s="63" t="s">
        <v>817</v>
      </c>
      <c r="B508" s="63" t="s">
        <v>818</v>
      </c>
      <c r="C508" s="36">
        <v>4301011369</v>
      </c>
      <c r="D508" s="725">
        <v>4680115885226</v>
      </c>
      <c r="E508" s="72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9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7"/>
      <c r="R508" s="727"/>
      <c r="S508" s="727"/>
      <c r="T508" s="728"/>
      <c r="U508" s="39" t="s">
        <v>46</v>
      </c>
      <c r="V508" s="39" t="s">
        <v>46</v>
      </c>
      <c r="W508" s="40" t="s">
        <v>0</v>
      </c>
      <c r="X508" s="58">
        <v>1100</v>
      </c>
      <c r="Y508" s="55">
        <f t="shared" si="78"/>
        <v>1103.52</v>
      </c>
      <c r="Z508" s="41">
        <f t="shared" si="79"/>
        <v>2.4996399999999999</v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1172.9166666666665</v>
      </c>
      <c r="BN508" s="78">
        <f t="shared" si="81"/>
        <v>1176.6699999999998</v>
      </c>
      <c r="BO508" s="78">
        <f t="shared" si="82"/>
        <v>2.0032051282051282</v>
      </c>
      <c r="BP508" s="78">
        <f t="shared" si="83"/>
        <v>2.0096153846153846</v>
      </c>
    </row>
    <row r="509" spans="1:68" ht="16.5" hidden="1" customHeight="1" x14ac:dyDescent="0.25">
      <c r="A509" s="63" t="s">
        <v>820</v>
      </c>
      <c r="B509" s="63" t="s">
        <v>821</v>
      </c>
      <c r="C509" s="36">
        <v>4301011797</v>
      </c>
      <c r="D509" s="725">
        <v>4680115884502</v>
      </c>
      <c r="E509" s="72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9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7"/>
      <c r="R509" s="727"/>
      <c r="S509" s="727"/>
      <c r="T509" s="72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823</v>
      </c>
      <c r="B510" s="63" t="s">
        <v>824</v>
      </c>
      <c r="C510" s="36">
        <v>4301011771</v>
      </c>
      <c r="D510" s="725">
        <v>4607091389104</v>
      </c>
      <c r="E510" s="72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9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7"/>
      <c r="R510" s="727"/>
      <c r="S510" s="727"/>
      <c r="T510" s="72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826</v>
      </c>
      <c r="B511" s="63" t="s">
        <v>827</v>
      </c>
      <c r="C511" s="36">
        <v>4301012125</v>
      </c>
      <c r="D511" s="725">
        <v>4680115886391</v>
      </c>
      <c r="E511" s="72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9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7"/>
      <c r="R511" s="727"/>
      <c r="S511" s="727"/>
      <c r="T511" s="72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828</v>
      </c>
      <c r="B512" s="63" t="s">
        <v>829</v>
      </c>
      <c r="C512" s="36">
        <v>4301012048</v>
      </c>
      <c r="D512" s="725">
        <v>4680115880603</v>
      </c>
      <c r="E512" s="72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9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7"/>
      <c r="R512" s="727"/>
      <c r="S512" s="727"/>
      <c r="T512" s="72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830</v>
      </c>
      <c r="B513" s="63" t="s">
        <v>831</v>
      </c>
      <c r="C513" s="36">
        <v>4301012034</v>
      </c>
      <c r="D513" s="725">
        <v>4607091389982</v>
      </c>
      <c r="E513" s="72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7"/>
      <c r="R513" s="727"/>
      <c r="S513" s="727"/>
      <c r="T513" s="72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x14ac:dyDescent="0.2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4"/>
      <c r="P514" s="730" t="s">
        <v>40</v>
      </c>
      <c r="Q514" s="731"/>
      <c r="R514" s="731"/>
      <c r="S514" s="731"/>
      <c r="T514" s="731"/>
      <c r="U514" s="731"/>
      <c r="V514" s="732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208.33333333333331</v>
      </c>
      <c r="Y514" s="43">
        <f>IFERROR(Y505/H505,"0")+IFERROR(Y506/H506,"0")+IFERROR(Y507/H507,"0")+IFERROR(Y508/H508,"0")+IFERROR(Y509/H509,"0")+IFERROR(Y510/H510,"0")+IFERROR(Y511/H511,"0")+IFERROR(Y512/H512,"0")+IFERROR(Y513/H513,"0")</f>
        <v>209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2.4996399999999999</v>
      </c>
      <c r="AA514" s="67"/>
      <c r="AB514" s="67"/>
      <c r="AC514" s="67"/>
    </row>
    <row r="515" spans="1:68" x14ac:dyDescent="0.2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4"/>
      <c r="P515" s="730" t="s">
        <v>40</v>
      </c>
      <c r="Q515" s="731"/>
      <c r="R515" s="731"/>
      <c r="S515" s="731"/>
      <c r="T515" s="731"/>
      <c r="U515" s="731"/>
      <c r="V515" s="732"/>
      <c r="W515" s="42" t="s">
        <v>0</v>
      </c>
      <c r="X515" s="43">
        <f>IFERROR(SUM(X505:X513),"0")</f>
        <v>1100</v>
      </c>
      <c r="Y515" s="43">
        <f>IFERROR(SUM(Y505:Y513),"0")</f>
        <v>1103.52</v>
      </c>
      <c r="Z515" s="42"/>
      <c r="AA515" s="67"/>
      <c r="AB515" s="67"/>
      <c r="AC515" s="67"/>
    </row>
    <row r="516" spans="1:68" ht="14.25" hidden="1" customHeight="1" x14ac:dyDescent="0.25">
      <c r="A516" s="724" t="s">
        <v>155</v>
      </c>
      <c r="B516" s="724"/>
      <c r="C516" s="724"/>
      <c r="D516" s="724"/>
      <c r="E516" s="724"/>
      <c r="F516" s="724"/>
      <c r="G516" s="724"/>
      <c r="H516" s="724"/>
      <c r="I516" s="724"/>
      <c r="J516" s="724"/>
      <c r="K516" s="724"/>
      <c r="L516" s="724"/>
      <c r="M516" s="724"/>
      <c r="N516" s="724"/>
      <c r="O516" s="724"/>
      <c r="P516" s="724"/>
      <c r="Q516" s="724"/>
      <c r="R516" s="724"/>
      <c r="S516" s="724"/>
      <c r="T516" s="724"/>
      <c r="U516" s="724"/>
      <c r="V516" s="724"/>
      <c r="W516" s="724"/>
      <c r="X516" s="724"/>
      <c r="Y516" s="724"/>
      <c r="Z516" s="724"/>
      <c r="AA516" s="66"/>
      <c r="AB516" s="66"/>
      <c r="AC516" s="80"/>
    </row>
    <row r="517" spans="1:68" ht="16.5" customHeight="1" x14ac:dyDescent="0.25">
      <c r="A517" s="63" t="s">
        <v>832</v>
      </c>
      <c r="B517" s="63" t="s">
        <v>833</v>
      </c>
      <c r="C517" s="36">
        <v>4301020334</v>
      </c>
      <c r="D517" s="725">
        <v>4607091388930</v>
      </c>
      <c r="E517" s="72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10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7"/>
      <c r="R517" s="727"/>
      <c r="S517" s="727"/>
      <c r="T517" s="728"/>
      <c r="U517" s="39" t="s">
        <v>46</v>
      </c>
      <c r="V517" s="39" t="s">
        <v>46</v>
      </c>
      <c r="W517" s="40" t="s">
        <v>0</v>
      </c>
      <c r="X517" s="58">
        <v>550</v>
      </c>
      <c r="Y517" s="55">
        <f>IFERROR(IF(X517="",0,CEILING((X517/$H517),1)*$H517),"")</f>
        <v>554.4</v>
      </c>
      <c r="Z517" s="41">
        <f>IFERROR(IF(Y517=0,"",ROUNDUP(Y517/H517,0)*0.01196),"")</f>
        <v>1.2558</v>
      </c>
      <c r="AA517" s="68" t="s">
        <v>46</v>
      </c>
      <c r="AB517" s="69" t="s">
        <v>46</v>
      </c>
      <c r="AC517" s="620" t="s">
        <v>834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586.45833333333326</v>
      </c>
      <c r="BN517" s="78">
        <f>IFERROR(Y517*I517/H517,"0")</f>
        <v>591.15</v>
      </c>
      <c r="BO517" s="78">
        <f>IFERROR(1/J517*(X517/H517),"0")</f>
        <v>1.0016025641025641</v>
      </c>
      <c r="BP517" s="78">
        <f>IFERROR(1/J517*(Y517/H517),"0")</f>
        <v>1.0096153846153846</v>
      </c>
    </row>
    <row r="518" spans="1:68" ht="16.5" hidden="1" customHeight="1" x14ac:dyDescent="0.25">
      <c r="A518" s="63" t="s">
        <v>835</v>
      </c>
      <c r="B518" s="63" t="s">
        <v>836</v>
      </c>
      <c r="C518" s="36">
        <v>4301020374</v>
      </c>
      <c r="D518" s="725">
        <v>4680115886407</v>
      </c>
      <c r="E518" s="72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10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7"/>
      <c r="R518" s="727"/>
      <c r="S518" s="727"/>
      <c r="T518" s="72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837</v>
      </c>
      <c r="B519" s="63" t="s">
        <v>838</v>
      </c>
      <c r="C519" s="36">
        <v>4301020385</v>
      </c>
      <c r="D519" s="725">
        <v>4680115880054</v>
      </c>
      <c r="E519" s="72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10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7"/>
      <c r="R519" s="727"/>
      <c r="S519" s="727"/>
      <c r="T519" s="72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x14ac:dyDescent="0.2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4"/>
      <c r="P520" s="730" t="s">
        <v>40</v>
      </c>
      <c r="Q520" s="731"/>
      <c r="R520" s="731"/>
      <c r="S520" s="731"/>
      <c r="T520" s="731"/>
      <c r="U520" s="731"/>
      <c r="V520" s="732"/>
      <c r="W520" s="42" t="s">
        <v>39</v>
      </c>
      <c r="X520" s="43">
        <f>IFERROR(X517/H517,"0")+IFERROR(X518/H518,"0")+IFERROR(X519/H519,"0")</f>
        <v>104.16666666666666</v>
      </c>
      <c r="Y520" s="43">
        <f>IFERROR(Y517/H517,"0")+IFERROR(Y518/H518,"0")+IFERROR(Y519/H519,"0")</f>
        <v>104.99999999999999</v>
      </c>
      <c r="Z520" s="43">
        <f>IFERROR(IF(Z517="",0,Z517),"0")+IFERROR(IF(Z518="",0,Z518),"0")+IFERROR(IF(Z519="",0,Z519),"0")</f>
        <v>1.2558</v>
      </c>
      <c r="AA520" s="67"/>
      <c r="AB520" s="67"/>
      <c r="AC520" s="67"/>
    </row>
    <row r="521" spans="1:68" x14ac:dyDescent="0.2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4"/>
      <c r="P521" s="730" t="s">
        <v>40</v>
      </c>
      <c r="Q521" s="731"/>
      <c r="R521" s="731"/>
      <c r="S521" s="731"/>
      <c r="T521" s="731"/>
      <c r="U521" s="731"/>
      <c r="V521" s="732"/>
      <c r="W521" s="42" t="s">
        <v>0</v>
      </c>
      <c r="X521" s="43">
        <f>IFERROR(SUM(X517:X519),"0")</f>
        <v>550</v>
      </c>
      <c r="Y521" s="43">
        <f>IFERROR(SUM(Y517:Y519),"0")</f>
        <v>554.4</v>
      </c>
      <c r="Z521" s="42"/>
      <c r="AA521" s="67"/>
      <c r="AB521" s="67"/>
      <c r="AC521" s="67"/>
    </row>
    <row r="522" spans="1:68" ht="14.25" hidden="1" customHeight="1" x14ac:dyDescent="0.25">
      <c r="A522" s="724" t="s">
        <v>77</v>
      </c>
      <c r="B522" s="724"/>
      <c r="C522" s="724"/>
      <c r="D522" s="724"/>
      <c r="E522" s="724"/>
      <c r="F522" s="724"/>
      <c r="G522" s="724"/>
      <c r="H522" s="724"/>
      <c r="I522" s="724"/>
      <c r="J522" s="724"/>
      <c r="K522" s="724"/>
      <c r="L522" s="724"/>
      <c r="M522" s="724"/>
      <c r="N522" s="724"/>
      <c r="O522" s="724"/>
      <c r="P522" s="724"/>
      <c r="Q522" s="724"/>
      <c r="R522" s="724"/>
      <c r="S522" s="724"/>
      <c r="T522" s="724"/>
      <c r="U522" s="724"/>
      <c r="V522" s="724"/>
      <c r="W522" s="724"/>
      <c r="X522" s="724"/>
      <c r="Y522" s="724"/>
      <c r="Z522" s="724"/>
      <c r="AA522" s="66"/>
      <c r="AB522" s="66"/>
      <c r="AC522" s="80"/>
    </row>
    <row r="523" spans="1:68" ht="27" hidden="1" customHeight="1" x14ac:dyDescent="0.25">
      <c r="A523" s="63" t="s">
        <v>839</v>
      </c>
      <c r="B523" s="63" t="s">
        <v>840</v>
      </c>
      <c r="C523" s="36">
        <v>4301031349</v>
      </c>
      <c r="D523" s="725">
        <v>4680115883116</v>
      </c>
      <c r="E523" s="72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10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7"/>
      <c r="R523" s="727"/>
      <c r="S523" s="727"/>
      <c r="T523" s="72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customHeight="1" x14ac:dyDescent="0.25">
      <c r="A524" s="63" t="s">
        <v>842</v>
      </c>
      <c r="B524" s="63" t="s">
        <v>843</v>
      </c>
      <c r="C524" s="36">
        <v>4301031350</v>
      </c>
      <c r="D524" s="725">
        <v>4680115883093</v>
      </c>
      <c r="E524" s="72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10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7"/>
      <c r="R524" s="727"/>
      <c r="S524" s="727"/>
      <c r="T524" s="728"/>
      <c r="U524" s="39" t="s">
        <v>46</v>
      </c>
      <c r="V524" s="39" t="s">
        <v>46</v>
      </c>
      <c r="W524" s="40" t="s">
        <v>0</v>
      </c>
      <c r="X524" s="58">
        <v>200</v>
      </c>
      <c r="Y524" s="55">
        <f t="shared" si="84"/>
        <v>200.64000000000001</v>
      </c>
      <c r="Z524" s="41">
        <f>IFERROR(IF(Y524=0,"",ROUNDUP(Y524/H524,0)*0.01196),"")</f>
        <v>0.45448</v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213.25757575757575</v>
      </c>
      <c r="BN524" s="78">
        <f t="shared" si="86"/>
        <v>213.94</v>
      </c>
      <c r="BO524" s="78">
        <f t="shared" si="87"/>
        <v>0.36421911421911418</v>
      </c>
      <c r="BP524" s="78">
        <f t="shared" si="88"/>
        <v>0.36538461538461542</v>
      </c>
    </row>
    <row r="525" spans="1:68" ht="27" customHeight="1" x14ac:dyDescent="0.25">
      <c r="A525" s="63" t="s">
        <v>845</v>
      </c>
      <c r="B525" s="63" t="s">
        <v>846</v>
      </c>
      <c r="C525" s="36">
        <v>4301031353</v>
      </c>
      <c r="D525" s="725">
        <v>4680115883109</v>
      </c>
      <c r="E525" s="72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100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7"/>
      <c r="R525" s="727"/>
      <c r="S525" s="727"/>
      <c r="T525" s="728"/>
      <c r="U525" s="39" t="s">
        <v>46</v>
      </c>
      <c r="V525" s="39" t="s">
        <v>46</v>
      </c>
      <c r="W525" s="40" t="s">
        <v>0</v>
      </c>
      <c r="X525" s="58">
        <v>100</v>
      </c>
      <c r="Y525" s="55">
        <f t="shared" si="84"/>
        <v>100.32000000000001</v>
      </c>
      <c r="Z525" s="41">
        <f>IFERROR(IF(Y525=0,"",ROUNDUP(Y525/H525,0)*0.01196),"")</f>
        <v>0.22724</v>
      </c>
      <c r="AA525" s="68" t="s">
        <v>46</v>
      </c>
      <c r="AB525" s="69" t="s">
        <v>46</v>
      </c>
      <c r="AC525" s="630" t="s">
        <v>847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106.62878787878788</v>
      </c>
      <c r="BN525" s="78">
        <f t="shared" si="86"/>
        <v>106.97</v>
      </c>
      <c r="BO525" s="78">
        <f t="shared" si="87"/>
        <v>0.18210955710955709</v>
      </c>
      <c r="BP525" s="78">
        <f t="shared" si="88"/>
        <v>0.18269230769230771</v>
      </c>
    </row>
    <row r="526" spans="1:68" ht="27" hidden="1" customHeight="1" x14ac:dyDescent="0.25">
      <c r="A526" s="63" t="s">
        <v>848</v>
      </c>
      <c r="B526" s="63" t="s">
        <v>849</v>
      </c>
      <c r="C526" s="36">
        <v>4301031419</v>
      </c>
      <c r="D526" s="725">
        <v>4680115882072</v>
      </c>
      <c r="E526" s="72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10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7"/>
      <c r="R526" s="727"/>
      <c r="S526" s="727"/>
      <c r="T526" s="72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850</v>
      </c>
      <c r="B527" s="63" t="s">
        <v>851</v>
      </c>
      <c r="C527" s="36">
        <v>4301031352</v>
      </c>
      <c r="D527" s="725">
        <v>4680115882102</v>
      </c>
      <c r="E527" s="72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10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7"/>
      <c r="R527" s="727"/>
      <c r="S527" s="727"/>
      <c r="T527" s="72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844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850</v>
      </c>
      <c r="B528" s="63" t="s">
        <v>852</v>
      </c>
      <c r="C528" s="36">
        <v>4301031418</v>
      </c>
      <c r="D528" s="725">
        <v>4680115882102</v>
      </c>
      <c r="E528" s="72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0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7"/>
      <c r="R528" s="727"/>
      <c r="S528" s="727"/>
      <c r="T528" s="72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853</v>
      </c>
      <c r="B529" s="63" t="s">
        <v>854</v>
      </c>
      <c r="C529" s="36">
        <v>4301031417</v>
      </c>
      <c r="D529" s="725">
        <v>4680115882096</v>
      </c>
      <c r="E529" s="72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100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7"/>
      <c r="R529" s="727"/>
      <c r="S529" s="727"/>
      <c r="T529" s="72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847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x14ac:dyDescent="0.2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4"/>
      <c r="P530" s="730" t="s">
        <v>40</v>
      </c>
      <c r="Q530" s="731"/>
      <c r="R530" s="731"/>
      <c r="S530" s="731"/>
      <c r="T530" s="731"/>
      <c r="U530" s="731"/>
      <c r="V530" s="732"/>
      <c r="W530" s="42" t="s">
        <v>39</v>
      </c>
      <c r="X530" s="43">
        <f>IFERROR(X523/H523,"0")+IFERROR(X524/H524,"0")+IFERROR(X525/H525,"0")+IFERROR(X526/H526,"0")+IFERROR(X527/H527,"0")+IFERROR(X528/H528,"0")+IFERROR(X529/H529,"0")</f>
        <v>56.818181818181813</v>
      </c>
      <c r="Y530" s="43">
        <f>IFERROR(Y523/H523,"0")+IFERROR(Y524/H524,"0")+IFERROR(Y525/H525,"0")+IFERROR(Y526/H526,"0")+IFERROR(Y527/H527,"0")+IFERROR(Y528/H528,"0")+IFERROR(Y529/H529,"0")</f>
        <v>57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0.68171999999999999</v>
      </c>
      <c r="AA530" s="67"/>
      <c r="AB530" s="67"/>
      <c r="AC530" s="67"/>
    </row>
    <row r="531" spans="1:68" x14ac:dyDescent="0.2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4"/>
      <c r="P531" s="730" t="s">
        <v>40</v>
      </c>
      <c r="Q531" s="731"/>
      <c r="R531" s="731"/>
      <c r="S531" s="731"/>
      <c r="T531" s="731"/>
      <c r="U531" s="731"/>
      <c r="V531" s="732"/>
      <c r="W531" s="42" t="s">
        <v>0</v>
      </c>
      <c r="X531" s="43">
        <f>IFERROR(SUM(X523:X529),"0")</f>
        <v>300</v>
      </c>
      <c r="Y531" s="43">
        <f>IFERROR(SUM(Y523:Y529),"0")</f>
        <v>300.96000000000004</v>
      </c>
      <c r="Z531" s="42"/>
      <c r="AA531" s="67"/>
      <c r="AB531" s="67"/>
      <c r="AC531" s="67"/>
    </row>
    <row r="532" spans="1:68" ht="27.75" hidden="1" customHeight="1" x14ac:dyDescent="0.2">
      <c r="A532" s="722" t="s">
        <v>855</v>
      </c>
      <c r="B532" s="722"/>
      <c r="C532" s="722"/>
      <c r="D532" s="722"/>
      <c r="E532" s="722"/>
      <c r="F532" s="722"/>
      <c r="G532" s="722"/>
      <c r="H532" s="722"/>
      <c r="I532" s="722"/>
      <c r="J532" s="722"/>
      <c r="K532" s="722"/>
      <c r="L532" s="722"/>
      <c r="M532" s="722"/>
      <c r="N532" s="722"/>
      <c r="O532" s="722"/>
      <c r="P532" s="722"/>
      <c r="Q532" s="722"/>
      <c r="R532" s="722"/>
      <c r="S532" s="722"/>
      <c r="T532" s="722"/>
      <c r="U532" s="722"/>
      <c r="V532" s="722"/>
      <c r="W532" s="722"/>
      <c r="X532" s="722"/>
      <c r="Y532" s="722"/>
      <c r="Z532" s="722"/>
      <c r="AA532" s="54"/>
      <c r="AB532" s="54"/>
      <c r="AC532" s="54"/>
    </row>
    <row r="533" spans="1:68" ht="16.5" hidden="1" customHeight="1" x14ac:dyDescent="0.25">
      <c r="A533" s="723" t="s">
        <v>855</v>
      </c>
      <c r="B533" s="723"/>
      <c r="C533" s="723"/>
      <c r="D533" s="723"/>
      <c r="E533" s="723"/>
      <c r="F533" s="723"/>
      <c r="G533" s="723"/>
      <c r="H533" s="723"/>
      <c r="I533" s="723"/>
      <c r="J533" s="723"/>
      <c r="K533" s="723"/>
      <c r="L533" s="723"/>
      <c r="M533" s="723"/>
      <c r="N533" s="723"/>
      <c r="O533" s="723"/>
      <c r="P533" s="723"/>
      <c r="Q533" s="723"/>
      <c r="R533" s="723"/>
      <c r="S533" s="723"/>
      <c r="T533" s="723"/>
      <c r="U533" s="723"/>
      <c r="V533" s="723"/>
      <c r="W533" s="723"/>
      <c r="X533" s="723"/>
      <c r="Y533" s="723"/>
      <c r="Z533" s="723"/>
      <c r="AA533" s="65"/>
      <c r="AB533" s="65"/>
      <c r="AC533" s="79"/>
    </row>
    <row r="534" spans="1:68" ht="14.25" hidden="1" customHeight="1" x14ac:dyDescent="0.25">
      <c r="A534" s="724" t="s">
        <v>122</v>
      </c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4"/>
      <c r="P534" s="724"/>
      <c r="Q534" s="724"/>
      <c r="R534" s="724"/>
      <c r="S534" s="724"/>
      <c r="T534" s="724"/>
      <c r="U534" s="724"/>
      <c r="V534" s="724"/>
      <c r="W534" s="724"/>
      <c r="X534" s="724"/>
      <c r="Y534" s="724"/>
      <c r="Z534" s="724"/>
      <c r="AA534" s="66"/>
      <c r="AB534" s="66"/>
      <c r="AC534" s="80"/>
    </row>
    <row r="535" spans="1:68" ht="27" hidden="1" customHeight="1" x14ac:dyDescent="0.25">
      <c r="A535" s="63" t="s">
        <v>856</v>
      </c>
      <c r="B535" s="63" t="s">
        <v>857</v>
      </c>
      <c r="C535" s="36">
        <v>4301011584</v>
      </c>
      <c r="D535" s="725">
        <v>4640242180564</v>
      </c>
      <c r="E535" s="72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101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7"/>
      <c r="R535" s="727"/>
      <c r="S535" s="727"/>
      <c r="T535" s="72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858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4"/>
      <c r="P536" s="730" t="s">
        <v>40</v>
      </c>
      <c r="Q536" s="731"/>
      <c r="R536" s="731"/>
      <c r="S536" s="731"/>
      <c r="T536" s="731"/>
      <c r="U536" s="731"/>
      <c r="V536" s="732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724" t="s">
        <v>155</v>
      </c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4"/>
      <c r="P538" s="724"/>
      <c r="Q538" s="724"/>
      <c r="R538" s="724"/>
      <c r="S538" s="724"/>
      <c r="T538" s="724"/>
      <c r="U538" s="724"/>
      <c r="V538" s="724"/>
      <c r="W538" s="724"/>
      <c r="X538" s="724"/>
      <c r="Y538" s="724"/>
      <c r="Z538" s="724"/>
      <c r="AA538" s="66"/>
      <c r="AB538" s="66"/>
      <c r="AC538" s="80"/>
    </row>
    <row r="539" spans="1:68" ht="27" hidden="1" customHeight="1" x14ac:dyDescent="0.25">
      <c r="A539" s="63" t="s">
        <v>859</v>
      </c>
      <c r="B539" s="63" t="s">
        <v>860</v>
      </c>
      <c r="C539" s="36">
        <v>4301020400</v>
      </c>
      <c r="D539" s="725">
        <v>4640242180519</v>
      </c>
      <c r="E539" s="72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7"/>
      <c r="R539" s="727"/>
      <c r="S539" s="727"/>
      <c r="T539" s="72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861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4"/>
      <c r="P540" s="730" t="s">
        <v>40</v>
      </c>
      <c r="Q540" s="731"/>
      <c r="R540" s="731"/>
      <c r="S540" s="731"/>
      <c r="T540" s="731"/>
      <c r="U540" s="731"/>
      <c r="V540" s="732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4" t="s">
        <v>77</v>
      </c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4"/>
      <c r="P542" s="724"/>
      <c r="Q542" s="724"/>
      <c r="R542" s="724"/>
      <c r="S542" s="724"/>
      <c r="T542" s="724"/>
      <c r="U542" s="724"/>
      <c r="V542" s="724"/>
      <c r="W542" s="724"/>
      <c r="X542" s="724"/>
      <c r="Y542" s="724"/>
      <c r="Z542" s="724"/>
      <c r="AA542" s="66"/>
      <c r="AB542" s="66"/>
      <c r="AC542" s="80"/>
    </row>
    <row r="543" spans="1:68" ht="27" customHeight="1" x14ac:dyDescent="0.25">
      <c r="A543" s="63" t="s">
        <v>862</v>
      </c>
      <c r="B543" s="63" t="s">
        <v>863</v>
      </c>
      <c r="C543" s="36">
        <v>4301031500</v>
      </c>
      <c r="D543" s="725">
        <v>4640242180595</v>
      </c>
      <c r="E543" s="72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134</v>
      </c>
      <c r="L543" s="37" t="s">
        <v>46</v>
      </c>
      <c r="M543" s="38" t="s">
        <v>81</v>
      </c>
      <c r="N543" s="38"/>
      <c r="O543" s="37">
        <v>40</v>
      </c>
      <c r="P543" s="10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7"/>
      <c r="R543" s="727"/>
      <c r="S543" s="727"/>
      <c r="T543" s="728"/>
      <c r="U543" s="39" t="s">
        <v>46</v>
      </c>
      <c r="V543" s="39" t="s">
        <v>46</v>
      </c>
      <c r="W543" s="40" t="s">
        <v>0</v>
      </c>
      <c r="X543" s="58">
        <v>1300</v>
      </c>
      <c r="Y543" s="55">
        <f>IFERROR(IF(X543="",0,CEILING((X543/$H543),1)*$H543),"")</f>
        <v>1302</v>
      </c>
      <c r="Z543" s="41">
        <f>IFERROR(IF(Y543=0,"",ROUNDUP(Y543/H543,0)*0.00902),"")</f>
        <v>2.7962000000000002</v>
      </c>
      <c r="AA543" s="68" t="s">
        <v>46</v>
      </c>
      <c r="AB543" s="69" t="s">
        <v>46</v>
      </c>
      <c r="AC543" s="644" t="s">
        <v>864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1377.3809523809523</v>
      </c>
      <c r="BN543" s="78">
        <f>IFERROR(Y543*I543/H543,"0")</f>
        <v>1379.5</v>
      </c>
      <c r="BO543" s="78">
        <f>IFERROR(1/J543*(X543/H543),"0")</f>
        <v>2.3448773448773448</v>
      </c>
      <c r="BP543" s="78">
        <f>IFERROR(1/J543*(Y543/H543),"0")</f>
        <v>2.3484848484848486</v>
      </c>
    </row>
    <row r="544" spans="1:68" x14ac:dyDescent="0.2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4"/>
      <c r="P544" s="730" t="s">
        <v>40</v>
      </c>
      <c r="Q544" s="731"/>
      <c r="R544" s="731"/>
      <c r="S544" s="731"/>
      <c r="T544" s="731"/>
      <c r="U544" s="731"/>
      <c r="V544" s="732"/>
      <c r="W544" s="42" t="s">
        <v>39</v>
      </c>
      <c r="X544" s="43">
        <f>IFERROR(X543/H543,"0")</f>
        <v>309.52380952380952</v>
      </c>
      <c r="Y544" s="43">
        <f>IFERROR(Y543/H543,"0")</f>
        <v>310</v>
      </c>
      <c r="Z544" s="43">
        <f>IFERROR(IF(Z543="",0,Z543),"0")</f>
        <v>2.7962000000000002</v>
      </c>
      <c r="AA544" s="67"/>
      <c r="AB544" s="67"/>
      <c r="AC544" s="67"/>
    </row>
    <row r="545" spans="1:68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2" t="s">
        <v>0</v>
      </c>
      <c r="X545" s="43">
        <f>IFERROR(SUM(X543:X543),"0")</f>
        <v>1300</v>
      </c>
      <c r="Y545" s="43">
        <f>IFERROR(SUM(Y543:Y543),"0")</f>
        <v>1302</v>
      </c>
      <c r="Z545" s="42"/>
      <c r="AA545" s="67"/>
      <c r="AB545" s="67"/>
      <c r="AC545" s="67"/>
    </row>
    <row r="546" spans="1:68" ht="14.25" hidden="1" customHeight="1" x14ac:dyDescent="0.25">
      <c r="A546" s="724" t="s">
        <v>86</v>
      </c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4"/>
      <c r="P546" s="724"/>
      <c r="Q546" s="724"/>
      <c r="R546" s="724"/>
      <c r="S546" s="724"/>
      <c r="T546" s="724"/>
      <c r="U546" s="724"/>
      <c r="V546" s="724"/>
      <c r="W546" s="724"/>
      <c r="X546" s="724"/>
      <c r="Y546" s="724"/>
      <c r="Z546" s="724"/>
      <c r="AA546" s="66"/>
      <c r="AB546" s="66"/>
      <c r="AC546" s="80"/>
    </row>
    <row r="547" spans="1:68" ht="27" hidden="1" customHeight="1" x14ac:dyDescent="0.25">
      <c r="A547" s="63" t="s">
        <v>865</v>
      </c>
      <c r="B547" s="63" t="s">
        <v>866</v>
      </c>
      <c r="C547" s="36">
        <v>4301052043</v>
      </c>
      <c r="D547" s="725">
        <v>4640242180533</v>
      </c>
      <c r="E547" s="72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45</v>
      </c>
      <c r="P547" s="10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7"/>
      <c r="R547" s="727"/>
      <c r="S547" s="727"/>
      <c r="T547" s="72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867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4"/>
      <c r="P548" s="730" t="s">
        <v>40</v>
      </c>
      <c r="Q548" s="731"/>
      <c r="R548" s="731"/>
      <c r="S548" s="731"/>
      <c r="T548" s="731"/>
      <c r="U548" s="731"/>
      <c r="V548" s="73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4"/>
      <c r="P549" s="730" t="s">
        <v>40</v>
      </c>
      <c r="Q549" s="731"/>
      <c r="R549" s="731"/>
      <c r="S549" s="731"/>
      <c r="T549" s="731"/>
      <c r="U549" s="731"/>
      <c r="V549" s="73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24" t="s">
        <v>173</v>
      </c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4"/>
      <c r="P550" s="724"/>
      <c r="Q550" s="724"/>
      <c r="R550" s="724"/>
      <c r="S550" s="724"/>
      <c r="T550" s="724"/>
      <c r="U550" s="724"/>
      <c r="V550" s="724"/>
      <c r="W550" s="724"/>
      <c r="X550" s="724"/>
      <c r="Y550" s="724"/>
      <c r="Z550" s="724"/>
      <c r="AA550" s="66"/>
      <c r="AB550" s="66"/>
      <c r="AC550" s="80"/>
    </row>
    <row r="551" spans="1:68" ht="27" hidden="1" customHeight="1" x14ac:dyDescent="0.25">
      <c r="A551" s="63" t="s">
        <v>868</v>
      </c>
      <c r="B551" s="63" t="s">
        <v>869</v>
      </c>
      <c r="C551" s="36">
        <v>4301060535</v>
      </c>
      <c r="D551" s="725">
        <v>4640242180120</v>
      </c>
      <c r="E551" s="72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10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7"/>
      <c r="R551" s="727"/>
      <c r="S551" s="727"/>
      <c r="T551" s="72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871</v>
      </c>
      <c r="B552" s="63" t="s">
        <v>872</v>
      </c>
      <c r="C552" s="36">
        <v>4301060536</v>
      </c>
      <c r="D552" s="725">
        <v>4640242180137</v>
      </c>
      <c r="E552" s="72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10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7"/>
      <c r="R552" s="727"/>
      <c r="S552" s="727"/>
      <c r="T552" s="72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873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4"/>
      <c r="P553" s="730" t="s">
        <v>40</v>
      </c>
      <c r="Q553" s="731"/>
      <c r="R553" s="731"/>
      <c r="S553" s="731"/>
      <c r="T553" s="731"/>
      <c r="U553" s="731"/>
      <c r="V553" s="732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4"/>
      <c r="P554" s="730" t="s">
        <v>40</v>
      </c>
      <c r="Q554" s="731"/>
      <c r="R554" s="731"/>
      <c r="S554" s="731"/>
      <c r="T554" s="731"/>
      <c r="U554" s="731"/>
      <c r="V554" s="732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723" t="s">
        <v>874</v>
      </c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723"/>
      <c r="P555" s="723"/>
      <c r="Q555" s="723"/>
      <c r="R555" s="723"/>
      <c r="S555" s="723"/>
      <c r="T555" s="723"/>
      <c r="U555" s="723"/>
      <c r="V555" s="723"/>
      <c r="W555" s="723"/>
      <c r="X555" s="723"/>
      <c r="Y555" s="723"/>
      <c r="Z555" s="723"/>
      <c r="AA555" s="65"/>
      <c r="AB555" s="65"/>
      <c r="AC555" s="79"/>
    </row>
    <row r="556" spans="1:68" ht="14.25" hidden="1" customHeight="1" x14ac:dyDescent="0.25">
      <c r="A556" s="724" t="s">
        <v>155</v>
      </c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4"/>
      <c r="P556" s="724"/>
      <c r="Q556" s="724"/>
      <c r="R556" s="724"/>
      <c r="S556" s="724"/>
      <c r="T556" s="724"/>
      <c r="U556" s="724"/>
      <c r="V556" s="724"/>
      <c r="W556" s="724"/>
      <c r="X556" s="724"/>
      <c r="Y556" s="724"/>
      <c r="Z556" s="724"/>
      <c r="AA556" s="66"/>
      <c r="AB556" s="66"/>
      <c r="AC556" s="80"/>
    </row>
    <row r="557" spans="1:68" ht="27" hidden="1" customHeight="1" x14ac:dyDescent="0.25">
      <c r="A557" s="63" t="s">
        <v>875</v>
      </c>
      <c r="B557" s="63" t="s">
        <v>876</v>
      </c>
      <c r="C557" s="36">
        <v>4301020428</v>
      </c>
      <c r="D557" s="725">
        <v>4640242180090</v>
      </c>
      <c r="E557" s="72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127</v>
      </c>
      <c r="L557" s="37" t="s">
        <v>46</v>
      </c>
      <c r="M557" s="38" t="s">
        <v>126</v>
      </c>
      <c r="N557" s="38"/>
      <c r="O557" s="37">
        <v>50</v>
      </c>
      <c r="P557" s="101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7"/>
      <c r="R557" s="727"/>
      <c r="S557" s="727"/>
      <c r="T557" s="72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877</v>
      </c>
      <c r="AG557" s="78"/>
      <c r="AJ557" s="84" t="s">
        <v>46</v>
      </c>
      <c r="AK557" s="84">
        <v>0</v>
      </c>
      <c r="BB557" s="653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4"/>
      <c r="P558" s="730" t="s">
        <v>40</v>
      </c>
      <c r="Q558" s="731"/>
      <c r="R558" s="731"/>
      <c r="S558" s="731"/>
      <c r="T558" s="731"/>
      <c r="U558" s="731"/>
      <c r="V558" s="732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4"/>
      <c r="P559" s="730" t="s">
        <v>40</v>
      </c>
      <c r="Q559" s="731"/>
      <c r="R559" s="731"/>
      <c r="S559" s="731"/>
      <c r="T559" s="731"/>
      <c r="U559" s="731"/>
      <c r="V559" s="732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21"/>
      <c r="P560" s="1018" t="s">
        <v>33</v>
      </c>
      <c r="Q560" s="1019"/>
      <c r="R560" s="1019"/>
      <c r="S560" s="1019"/>
      <c r="T560" s="1019"/>
      <c r="U560" s="1019"/>
      <c r="V560" s="1020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17961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18033.18</v>
      </c>
      <c r="Z560" s="42"/>
      <c r="AA560" s="67"/>
      <c r="AB560" s="67"/>
      <c r="AC560" s="67"/>
    </row>
    <row r="561" spans="1:32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21"/>
      <c r="P561" s="1018" t="s">
        <v>34</v>
      </c>
      <c r="Q561" s="1019"/>
      <c r="R561" s="1019"/>
      <c r="S561" s="1019"/>
      <c r="T561" s="1019"/>
      <c r="U561" s="1019"/>
      <c r="V561" s="1020"/>
      <c r="W561" s="42" t="s">
        <v>0</v>
      </c>
      <c r="X561" s="43">
        <f>IFERROR(SUM(BM22:BM557),"0")</f>
        <v>18865.004536882865</v>
      </c>
      <c r="Y561" s="43">
        <f>IFERROR(SUM(BN22:BN557),"0")</f>
        <v>18941.096999999998</v>
      </c>
      <c r="Z561" s="42"/>
      <c r="AA561" s="67"/>
      <c r="AB561" s="67"/>
      <c r="AC561" s="67"/>
    </row>
    <row r="562" spans="1:32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21"/>
      <c r="P562" s="1018" t="s">
        <v>35</v>
      </c>
      <c r="Q562" s="1019"/>
      <c r="R562" s="1019"/>
      <c r="S562" s="1019"/>
      <c r="T562" s="1019"/>
      <c r="U562" s="1019"/>
      <c r="V562" s="1020"/>
      <c r="W562" s="42" t="s">
        <v>20</v>
      </c>
      <c r="X562" s="44">
        <f>ROUNDUP(SUM(BO22:BO557),0)</f>
        <v>31</v>
      </c>
      <c r="Y562" s="44">
        <f>ROUNDUP(SUM(BP22:BP557),0)</f>
        <v>32</v>
      </c>
      <c r="Z562" s="42"/>
      <c r="AA562" s="67"/>
      <c r="AB562" s="67"/>
      <c r="AC562" s="67"/>
    </row>
    <row r="563" spans="1:32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21"/>
      <c r="P563" s="1018" t="s">
        <v>36</v>
      </c>
      <c r="Q563" s="1019"/>
      <c r="R563" s="1019"/>
      <c r="S563" s="1019"/>
      <c r="T563" s="1019"/>
      <c r="U563" s="1019"/>
      <c r="V563" s="1020"/>
      <c r="W563" s="42" t="s">
        <v>0</v>
      </c>
      <c r="X563" s="43">
        <f>GrossWeightTotal+PalletQtyTotal*25</f>
        <v>19640.004536882865</v>
      </c>
      <c r="Y563" s="43">
        <f>GrossWeightTotalR+PalletQtyTotalR*25</f>
        <v>19741.096999999998</v>
      </c>
      <c r="Z563" s="42"/>
      <c r="AA563" s="67"/>
      <c r="AB563" s="67"/>
      <c r="AC563" s="67"/>
    </row>
    <row r="564" spans="1:32" x14ac:dyDescent="0.2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1021"/>
      <c r="P564" s="1018" t="s">
        <v>37</v>
      </c>
      <c r="Q564" s="1019"/>
      <c r="R564" s="1019"/>
      <c r="S564" s="1019"/>
      <c r="T564" s="1019"/>
      <c r="U564" s="1019"/>
      <c r="V564" s="1020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2419.9483541150207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2431</v>
      </c>
      <c r="Z564" s="42"/>
      <c r="AA564" s="67"/>
      <c r="AB564" s="67"/>
      <c r="AC564" s="67"/>
    </row>
    <row r="565" spans="1:32" ht="14.25" hidden="1" x14ac:dyDescent="0.2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1021"/>
      <c r="P565" s="1018" t="s">
        <v>38</v>
      </c>
      <c r="Q565" s="1019"/>
      <c r="R565" s="1019"/>
      <c r="S565" s="1019"/>
      <c r="T565" s="1019"/>
      <c r="U565" s="1019"/>
      <c r="V565" s="1020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36.521049999999988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76</v>
      </c>
      <c r="C567" s="85" t="s">
        <v>45</v>
      </c>
      <c r="D567" s="1016" t="s">
        <v>120</v>
      </c>
      <c r="E567" s="1016" t="s">
        <v>120</v>
      </c>
      <c r="F567" s="1016" t="s">
        <v>120</v>
      </c>
      <c r="G567" s="1016" t="s">
        <v>120</v>
      </c>
      <c r="H567" s="1016" t="s">
        <v>120</v>
      </c>
      <c r="I567" s="1016" t="s">
        <v>120</v>
      </c>
      <c r="J567" s="1016" t="s">
        <v>120</v>
      </c>
      <c r="K567" s="1016" t="s">
        <v>360</v>
      </c>
      <c r="L567" s="1016" t="s">
        <v>360</v>
      </c>
      <c r="M567" s="1016" t="s">
        <v>360</v>
      </c>
      <c r="N567" s="1022"/>
      <c r="O567" s="1016" t="s">
        <v>360</v>
      </c>
      <c r="P567" s="1016" t="s">
        <v>360</v>
      </c>
      <c r="Q567" s="1016" t="s">
        <v>360</v>
      </c>
      <c r="R567" s="1016" t="s">
        <v>360</v>
      </c>
      <c r="S567" s="1016" t="s">
        <v>360</v>
      </c>
      <c r="T567" s="1016" t="s">
        <v>360</v>
      </c>
      <c r="U567" s="1016" t="s">
        <v>360</v>
      </c>
      <c r="V567" s="1016" t="s">
        <v>360</v>
      </c>
      <c r="W567" s="1016" t="s">
        <v>706</v>
      </c>
      <c r="X567" s="1016" t="s">
        <v>706</v>
      </c>
      <c r="Y567" s="1016" t="s">
        <v>772</v>
      </c>
      <c r="Z567" s="1016" t="s">
        <v>772</v>
      </c>
      <c r="AA567" s="85" t="s">
        <v>808</v>
      </c>
      <c r="AB567" s="1016" t="s">
        <v>855</v>
      </c>
      <c r="AC567" s="1016" t="s">
        <v>855</v>
      </c>
      <c r="AF567" s="1"/>
    </row>
    <row r="568" spans="1:32" ht="14.25" customHeight="1" thickTop="1" x14ac:dyDescent="0.2">
      <c r="A568" s="1023" t="s">
        <v>10</v>
      </c>
      <c r="B568" s="1016" t="s">
        <v>76</v>
      </c>
      <c r="C568" s="1016" t="s">
        <v>104</v>
      </c>
      <c r="D568" s="1016" t="s">
        <v>121</v>
      </c>
      <c r="E568" s="1016" t="s">
        <v>137</v>
      </c>
      <c r="F568" s="1016" t="s">
        <v>182</v>
      </c>
      <c r="G568" s="1016" t="s">
        <v>209</v>
      </c>
      <c r="H568" s="1016" t="s">
        <v>260</v>
      </c>
      <c r="I568" s="1016" t="s">
        <v>273</v>
      </c>
      <c r="J568" s="1016" t="s">
        <v>120</v>
      </c>
      <c r="K568" s="1016" t="s">
        <v>361</v>
      </c>
      <c r="L568" s="1016" t="s">
        <v>382</v>
      </c>
      <c r="M568" s="1016" t="s">
        <v>449</v>
      </c>
      <c r="N568" s="1"/>
      <c r="O568" s="1016" t="s">
        <v>517</v>
      </c>
      <c r="P568" s="1016" t="s">
        <v>550</v>
      </c>
      <c r="Q568" s="1016" t="s">
        <v>566</v>
      </c>
      <c r="R568" s="1016" t="s">
        <v>575</v>
      </c>
      <c r="S568" s="1016" t="s">
        <v>596</v>
      </c>
      <c r="T568" s="1016" t="s">
        <v>605</v>
      </c>
      <c r="U568" s="1016" t="s">
        <v>689</v>
      </c>
      <c r="V568" s="1016" t="s">
        <v>696</v>
      </c>
      <c r="W568" s="1016" t="s">
        <v>707</v>
      </c>
      <c r="X568" s="1016" t="s">
        <v>756</v>
      </c>
      <c r="Y568" s="1016" t="s">
        <v>773</v>
      </c>
      <c r="Z568" s="1016" t="s">
        <v>796</v>
      </c>
      <c r="AA568" s="1016" t="s">
        <v>808</v>
      </c>
      <c r="AB568" s="1016" t="s">
        <v>855</v>
      </c>
      <c r="AC568" s="1016" t="s">
        <v>874</v>
      </c>
      <c r="AF568" s="1"/>
    </row>
    <row r="569" spans="1:32" ht="13.5" thickBot="1" x14ac:dyDescent="0.25">
      <c r="A569" s="1024"/>
      <c r="B569" s="1016"/>
      <c r="C569" s="1016"/>
      <c r="D569" s="1016"/>
      <c r="E569" s="1016"/>
      <c r="F569" s="1016"/>
      <c r="G569" s="1016"/>
      <c r="H569" s="1016"/>
      <c r="I569" s="1016"/>
      <c r="J569" s="1016"/>
      <c r="K569" s="1016"/>
      <c r="L569" s="1016"/>
      <c r="M569" s="1016"/>
      <c r="N569" s="1"/>
      <c r="O569" s="1016"/>
      <c r="P569" s="1016"/>
      <c r="Q569" s="1016"/>
      <c r="R569" s="1016"/>
      <c r="S569" s="1016"/>
      <c r="T569" s="1016"/>
      <c r="U569" s="1016"/>
      <c r="V569" s="1016"/>
      <c r="W569" s="1016"/>
      <c r="X569" s="1016"/>
      <c r="Y569" s="1016"/>
      <c r="Z569" s="1016"/>
      <c r="AA569" s="1016"/>
      <c r="AB569" s="1016"/>
      <c r="AC569" s="1016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285.20000000000005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337.5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704.69999999999993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164.5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356.40000000000003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36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3196.5</v>
      </c>
      <c r="U570" s="52">
        <f>IFERROR(Y418*1,"0")+IFERROR(Y419*1,"0")</f>
        <v>2012.3999999999999</v>
      </c>
      <c r="V570" s="52">
        <f>IFERROR(Y424*1,"0")+IFERROR(Y425*1,"0")+IFERROR(Y426*1,"0")</f>
        <v>1304.0999999999999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6330</v>
      </c>
      <c r="X570" s="52">
        <f>IFERROR(Y461*1,"0")+IFERROR(Y462*1,"0")+IFERROR(Y466*1,"0")+IFERROR(Y470*1,"0")+IFERROR(Y471*1,"0")+IFERROR(Y472*1,"0")</f>
        <v>45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1958.88</v>
      </c>
      <c r="AB570" s="52">
        <f>IFERROR(Y535*1,"0")+IFERROR(Y539*1,"0")+IFERROR(Y543*1,"0")+IFERROR(Y547*1,"0")+IFERROR(Y551*1,"0")+IFERROR(Y552*1,"0")</f>
        <v>1302</v>
      </c>
      <c r="AC570" s="52">
        <f>IFERROR(Y557*1,"0")</f>
        <v>0</v>
      </c>
      <c r="AF570" s="1"/>
    </row>
  </sheetData>
  <sheetProtection algorithmName="SHA-512" hashValue="uSRBYg9xXxrqv8C90DM9Oa/rj+1Bqi3tPUiyCoNW5CabgOmyR0nnyTmgsnQfcB03dcsrj3mCZtUJ4KlxAYg7TQ==" saltValue="qaAKLlgLjq8YotU9e/xdJA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80,00"/>
        <filter val="1 100,00"/>
        <filter val="1 300,00"/>
        <filter val="1 500,00"/>
        <filter val="10,00"/>
        <filter val="100,00"/>
        <filter val="104,17"/>
        <filter val="105,00"/>
        <filter val="120,00"/>
        <filter val="126,37"/>
        <filter val="135,00"/>
        <filter val="137,56"/>
        <filter val="160,00"/>
        <filter val="160,49"/>
        <filter val="17 961,00"/>
        <filter val="18 865,00"/>
        <filter val="180,00"/>
        <filter val="19 640,00"/>
        <filter val="2 000,00"/>
        <filter val="2 419,95"/>
        <filter val="200,00"/>
        <filter val="207,14"/>
        <filter val="208,33"/>
        <filter val="24,69"/>
        <filter val="240,00"/>
        <filter val="250,00"/>
        <filter val="256,41"/>
        <filter val="280,00"/>
        <filter val="3 000,00"/>
        <filter val="30,00"/>
        <filter val="300,00"/>
        <filter val="309,52"/>
        <filter val="31"/>
        <filter val="35,00"/>
        <filter val="350,00"/>
        <filter val="36,00"/>
        <filter val="38,52"/>
        <filter val="4,44"/>
        <filter val="40,00"/>
        <filter val="440,00"/>
        <filter val="45,71"/>
        <filter val="5 250,00"/>
        <filter val="550,00"/>
        <filter val="56,82"/>
        <filter val="60,00"/>
        <filter val="600,00"/>
        <filter val="64,81"/>
        <filter val="700,00"/>
        <filter val="750,00"/>
        <filter val="78,52"/>
        <filter val="80,00"/>
        <filter val="800,00"/>
        <filter val="835,00"/>
        <filter val="86,42"/>
        <filter val="900,00"/>
        <filter val="905,00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878</v>
      </c>
      <c r="H1" s="9"/>
    </row>
    <row r="3" spans="2:8" x14ac:dyDescent="0.2">
      <c r="B3" s="53" t="s">
        <v>879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881</v>
      </c>
      <c r="C6" s="53" t="s">
        <v>882</v>
      </c>
      <c r="D6" s="53" t="s">
        <v>883</v>
      </c>
      <c r="E6" s="53" t="s">
        <v>46</v>
      </c>
    </row>
    <row r="7" spans="2:8" x14ac:dyDescent="0.2">
      <c r="B7" s="53" t="s">
        <v>884</v>
      </c>
      <c r="C7" s="53" t="s">
        <v>885</v>
      </c>
      <c r="D7" s="53" t="s">
        <v>886</v>
      </c>
      <c r="E7" s="53" t="s">
        <v>46</v>
      </c>
    </row>
    <row r="8" spans="2:8" x14ac:dyDescent="0.2">
      <c r="B8" s="53" t="s">
        <v>887</v>
      </c>
      <c r="C8" s="53" t="s">
        <v>888</v>
      </c>
      <c r="D8" s="53" t="s">
        <v>889</v>
      </c>
      <c r="E8" s="53" t="s">
        <v>46</v>
      </c>
    </row>
    <row r="10" spans="2:8" x14ac:dyDescent="0.2">
      <c r="B10" s="53" t="s">
        <v>890</v>
      </c>
      <c r="C10" s="53" t="s">
        <v>882</v>
      </c>
      <c r="D10" s="53" t="s">
        <v>46</v>
      </c>
      <c r="E10" s="53" t="s">
        <v>46</v>
      </c>
    </row>
    <row r="12" spans="2:8" x14ac:dyDescent="0.2">
      <c r="B12" s="53" t="s">
        <v>891</v>
      </c>
      <c r="C12" s="53" t="s">
        <v>885</v>
      </c>
      <c r="D12" s="53" t="s">
        <v>46</v>
      </c>
      <c r="E12" s="53" t="s">
        <v>46</v>
      </c>
    </row>
    <row r="14" spans="2:8" x14ac:dyDescent="0.2">
      <c r="B14" s="53" t="s">
        <v>892</v>
      </c>
      <c r="C14" s="53" t="s">
        <v>888</v>
      </c>
      <c r="D14" s="53" t="s">
        <v>46</v>
      </c>
      <c r="E14" s="53" t="s">
        <v>46</v>
      </c>
    </row>
    <row r="16" spans="2:8" x14ac:dyDescent="0.2">
      <c r="B16" s="53" t="s">
        <v>893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901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902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903</v>
      </c>
      <c r="C26" s="53" t="s">
        <v>46</v>
      </c>
      <c r="D26" s="53" t="s">
        <v>46</v>
      </c>
      <c r="E26" s="53" t="s">
        <v>46</v>
      </c>
    </row>
  </sheetData>
  <sheetProtection algorithmName="SHA-512" hashValue="3FsORioM+sqRC4kELcvd8fyeJJF6ogeS3manYWGYj1hDADyuVh7eyPm8oM8mrTMoTi4pcOd2UTH0cvwJ6fcA7Q==" saltValue="K+jVcJupVfPn2ZbB5XP8r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2026-09-01T10:55:37Z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