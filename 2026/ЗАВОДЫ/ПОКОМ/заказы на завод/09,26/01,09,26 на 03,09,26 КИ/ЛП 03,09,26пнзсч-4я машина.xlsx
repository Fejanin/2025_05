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5BF1D08-AC33-4ADF-9C02-ADE332097DF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N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X43" i="2"/>
  <c r="X42" i="2"/>
  <c r="BO41" i="2"/>
  <c r="BM41" i="2"/>
  <c r="Y41" i="2"/>
  <c r="Y43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BN50" i="2" l="1"/>
  <c r="BN165" i="2"/>
  <c r="Y167" i="2"/>
  <c r="BN141" i="2"/>
  <c r="Z236" i="2"/>
  <c r="Z237" i="2" s="1"/>
  <c r="Y192" i="2"/>
  <c r="Y144" i="2"/>
  <c r="Z33" i="2"/>
  <c r="Z50" i="2"/>
  <c r="Z165" i="2"/>
  <c r="Z166" i="2" s="1"/>
  <c r="Z142" i="2"/>
  <c r="BP142" i="2"/>
  <c r="Z141" i="2"/>
  <c r="Y143" i="2"/>
  <c r="BP191" i="2"/>
  <c r="Y193" i="2"/>
  <c r="BP325" i="2"/>
  <c r="Y334" i="2"/>
  <c r="Z76" i="2"/>
  <c r="Z182" i="2"/>
  <c r="Z183" i="2" s="1"/>
  <c r="Z222" i="2"/>
  <c r="Y519" i="2"/>
  <c r="Y51" i="2"/>
  <c r="BN137" i="2"/>
  <c r="Z143" i="2"/>
  <c r="BN282" i="2"/>
  <c r="BN287" i="2"/>
  <c r="BN295" i="2"/>
  <c r="BN311" i="2"/>
  <c r="BN327" i="2"/>
  <c r="BN23" i="2"/>
  <c r="Z31" i="2"/>
  <c r="BP34" i="2"/>
  <c r="BN36" i="2"/>
  <c r="Z41" i="2"/>
  <c r="Z42" i="2" s="1"/>
  <c r="BN41" i="2"/>
  <c r="BP41" i="2"/>
  <c r="Y42" i="2"/>
  <c r="Z48" i="2"/>
  <c r="Z155" i="2"/>
  <c r="BN155" i="2"/>
  <c r="BP174" i="2"/>
  <c r="Z186" i="2"/>
  <c r="BN186" i="2"/>
  <c r="Z199" i="2"/>
  <c r="BN199" i="2"/>
  <c r="Z200" i="2"/>
  <c r="BN200" i="2"/>
  <c r="Z231" i="2"/>
  <c r="BN231" i="2"/>
  <c r="BN286" i="2"/>
  <c r="BN300" i="2"/>
  <c r="Y329" i="2"/>
  <c r="BP339" i="2"/>
  <c r="BN347" i="2"/>
  <c r="BP350" i="2"/>
  <c r="Z385" i="2"/>
  <c r="BN385" i="2"/>
  <c r="BP494" i="2"/>
  <c r="BP101" i="2"/>
  <c r="Y78" i="2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Z313" i="2" s="1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BN281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Y82" i="2"/>
  <c r="BP116" i="2"/>
  <c r="BN116" i="2"/>
  <c r="Y122" i="2"/>
  <c r="Z116" i="2"/>
  <c r="BN146" i="2"/>
  <c r="Y184" i="2"/>
  <c r="Y183" i="2"/>
  <c r="BN182" i="2"/>
  <c r="BN187" i="2"/>
  <c r="Z232" i="2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18" i="2"/>
  <c r="Z241" i="2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60" i="2" l="1"/>
  <c r="Z77" i="2"/>
  <c r="Z156" i="2"/>
  <c r="Z51" i="2"/>
  <c r="Z334" i="2"/>
  <c r="Z485" i="2"/>
  <c r="Z243" i="2"/>
  <c r="Z201" i="2"/>
  <c r="Z320" i="2"/>
  <c r="Z233" i="2"/>
  <c r="Z188" i="2"/>
  <c r="Z288" i="2"/>
  <c r="Z87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<sst xmlns="http://schemas.openxmlformats.org/spreadsheetml/2006/main" count="3933" uniqueCount="845">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</sst>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 t="s">
        <v>844</v>
      </c>
      <c r="I5" s="598"/>
      <c r="J5" s="598"/>
      <c r="K5" s="598"/>
      <c r="L5" s="598"/>
      <c r="M5" s="598"/>
      <c r="N5" s="69"/>
      <c r="P5" s="26" t="s">
        <v>4</v>
      </c>
      <c r="Q5" s="600">
        <v>46268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>
        <v>0.54166666666666663</v>
      </c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/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/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/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/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/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100</v>
      </c>
      <c r="Y56" s="53">
        <f>IFERROR(IF(X56="",0,CEILING((X56/$H56),1)*$H56),"")</f>
        <v>108</v>
      </c>
      <c r="Z56" s="39">
        <f>IFERROR(IF(Y56=0,"",ROUNDUP(Y56/H56,0)*0.01898),"")</f>
        <v>0.1898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103.79629629629629</v>
      </c>
      <c r="BN56" s="75">
        <f>IFERROR(Y56*I56/H56,"0")</f>
        <v>112.1</v>
      </c>
      <c r="BO56" s="75">
        <f>IFERROR(1/J56*(X56/H56),"0")</f>
        <v>0.14467592592592593</v>
      </c>
      <c r="BP56" s="75">
        <f>IFERROR(1/J56*(Y56/H56),"0")</f>
        <v>0.15625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>
        <v>20</v>
      </c>
      <c r="Y58" s="53">
        <f>IFERROR(IF(X58="",0,CEILING((X58/$H58),1)*$H58),"")</f>
        <v>20</v>
      </c>
      <c r="Z58" s="39">
        <f>IFERROR(IF(Y58=0,"",ROUNDUP(Y58/H58,0)*0.00902),"")</f>
        <v>4.5100000000000001E-2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20.950000000000003</v>
      </c>
      <c r="BN58" s="75">
        <f>IFERROR(Y58*I58/H58,"0")</f>
        <v>20.950000000000003</v>
      </c>
      <c r="BO58" s="75">
        <f>IFERROR(1/J58*(X58/H58),"0")</f>
        <v>3.787878787878788E-2</v>
      </c>
      <c r="BP58" s="75">
        <f>IFERROR(1/J58*(Y58/H58),"0")</f>
        <v>3.787878787878788E-2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14.25925925925926</v>
      </c>
      <c r="Y60" s="41">
        <f>IFERROR(Y56/H56,"0")+IFERROR(Y57/H57,"0")+IFERROR(Y58/H58,"0")+IFERROR(Y59/H59,"0")</f>
        <v>15</v>
      </c>
      <c r="Z60" s="41">
        <f>IFERROR(IF(Z56="",0,Z56),"0")+IFERROR(IF(Z57="",0,Z57),"0")+IFERROR(IF(Z58="",0,Z58),"0")+IFERROR(IF(Z59="",0,Z59),"0")</f>
        <v>0.2349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120</v>
      </c>
      <c r="Y61" s="41">
        <f>IFERROR(SUM(Y56:Y59),"0")</f>
        <v>128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hidden="1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hidden="1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/>
      <c r="Y65" s="53">
        <f t="shared" si="6"/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hidden="1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0</v>
      </c>
      <c r="Y70" s="41">
        <f>IFERROR(Y64/H64,"0")+IFERROR(Y65/H65,"0")+IFERROR(Y66/H66,"0")+IFERROR(Y67/H67,"0")+IFERROR(Y68/H68,"0")+IFERROR(Y69/H69,"0")</f>
        <v>0</v>
      </c>
      <c r="Z70" s="41">
        <f>IFERROR(IF(Z64="",0,Z64),"0")+IFERROR(IF(Z65="",0,Z65),"0")+IFERROR(IF(Z66="",0,Z66),"0")+IFERROR(IF(Z67="",0,Z67),"0")+IFERROR(IF(Z68="",0,Z68),"0")+IFERROR(IF(Z69="",0,Z69),"0")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0</v>
      </c>
      <c r="Y71" s="41">
        <f>IFERROR(SUM(Y64:Y69),"0")</f>
        <v>0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hidden="1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/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/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hidden="1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/>
      <c r="Y91" s="53">
        <f>IFERROR(IF(X91="",0,CEILING((X91/$H91),1)*$H91),"")</f>
        <v>0</v>
      </c>
      <c r="Z91" s="39" t="str">
        <f>IFERROR(IF(Y91=0,"",ROUNDUP(Y91/H91,0)*0.01898),"")</f>
        <v/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36</v>
      </c>
      <c r="Y94" s="53">
        <f>IFERROR(IF(X94="",0,CEILING((X94/$H94),1)*$H94),"")</f>
        <v>36</v>
      </c>
      <c r="Z94" s="39">
        <f>IFERROR(IF(Y94=0,"",ROUNDUP(Y94/H94,0)*0.00902),"")</f>
        <v>7.2160000000000002E-2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37.520000000000003</v>
      </c>
      <c r="BN94" s="75">
        <f>IFERROR(Y94*I94/H94,"0")</f>
        <v>37.520000000000003</v>
      </c>
      <c r="BO94" s="75">
        <f>IFERROR(1/J94*(X94/H94),"0")</f>
        <v>6.0606060606060608E-2</v>
      </c>
      <c r="BP94" s="75">
        <f>IFERROR(1/J94*(Y94/H94),"0")</f>
        <v>6.0606060606060608E-2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8</v>
      </c>
      <c r="Y95" s="41">
        <f>IFERROR(Y91/H91,"0")+IFERROR(Y92/H92,"0")+IFERROR(Y93/H93,"0")+IFERROR(Y94/H94,"0")</f>
        <v>8</v>
      </c>
      <c r="Z95" s="41">
        <f>IFERROR(IF(Z91="",0,Z91),"0")+IFERROR(IF(Z92="",0,Z92),"0")+IFERROR(IF(Z93="",0,Z93),"0")+IFERROR(IF(Z94="",0,Z94),"0")</f>
        <v>7.2160000000000002E-2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36</v>
      </c>
      <c r="Y96" s="41">
        <f>IFERROR(SUM(Y91:Y94),"0")</f>
        <v>36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1150</v>
      </c>
      <c r="Y98" s="53">
        <f>IFERROR(IF(X98="",0,CEILING((X98/$H98),1)*$H98),"")</f>
        <v>1150.2</v>
      </c>
      <c r="Z98" s="39">
        <f>IFERROR(IF(Y98=0,"",ROUNDUP(Y98/H98,0)*0.01898),"")</f>
        <v>2.69516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1220.1358024691356</v>
      </c>
      <c r="BN98" s="75">
        <f>IFERROR(Y98*I98/H98,"0")</f>
        <v>1220.348</v>
      </c>
      <c r="BO98" s="75">
        <f>IFERROR(1/J98*(X98/H98),"0")</f>
        <v>2.2183641975308643</v>
      </c>
      <c r="BP98" s="75">
        <f>IFERROR(1/J98*(Y98/H98),"0")</f>
        <v>2.21875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>
        <v>54</v>
      </c>
      <c r="Y100" s="53">
        <f>IFERROR(IF(X100="",0,CEILING((X100/$H100),1)*$H100),"")</f>
        <v>54</v>
      </c>
      <c r="Z100" s="39">
        <f>IFERROR(IF(Y100=0,"",ROUNDUP(Y100/H100,0)*0.00651),"")</f>
        <v>0.13020000000000001</v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59.039999999999992</v>
      </c>
      <c r="BN100" s="75">
        <f>IFERROR(Y100*I100/H100,"0")</f>
        <v>59.039999999999992</v>
      </c>
      <c r="BO100" s="75">
        <f>IFERROR(1/J100*(X100/H100),"0")</f>
        <v>0.1098901098901099</v>
      </c>
      <c r="BP100" s="75">
        <f>IFERROR(1/J100*(Y100/H100),"0")</f>
        <v>0.1098901098901099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161.97530864197532</v>
      </c>
      <c r="Y102" s="41">
        <f>IFERROR(Y98/H98,"0")+IFERROR(Y99/H99,"0")+IFERROR(Y100/H100,"0")+IFERROR(Y101/H101,"0")</f>
        <v>162</v>
      </c>
      <c r="Z102" s="41">
        <f>IFERROR(IF(Z98="",0,Z98),"0")+IFERROR(IF(Z99="",0,Z99),"0")+IFERROR(IF(Z100="",0,Z100),"0")+IFERROR(IF(Z101="",0,Z101),"0")</f>
        <v>2.8253599999999999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1204</v>
      </c>
      <c r="Y103" s="41">
        <f>IFERROR(SUM(Y98:Y101),"0")</f>
        <v>1204.2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100</v>
      </c>
      <c r="Y106" s="53">
        <f t="shared" ref="Y106:Y112" si="11">IFERROR(IF(X106="",0,CEILING((X106/$H106),1)*$H106),"")</f>
        <v>108</v>
      </c>
      <c r="Z106" s="39">
        <f>IFERROR(IF(Y106=0,"",ROUNDUP(Y106/H106,0)*0.01898),"")</f>
        <v>0.1898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103.79629629629629</v>
      </c>
      <c r="BN106" s="75">
        <f t="shared" ref="BN106:BN112" si="13">IFERROR(Y106*I106/H106,"0")</f>
        <v>112.1</v>
      </c>
      <c r="BO106" s="75">
        <f t="shared" ref="BO106:BO112" si="14">IFERROR(1/J106*(X106/H106),"0")</f>
        <v>0.14467592592592593</v>
      </c>
      <c r="BP106" s="75">
        <f t="shared" ref="BP106:BP112" si="15">IFERROR(1/J106*(Y106/H106),"0")</f>
        <v>0.15625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54</v>
      </c>
      <c r="Y111" s="53">
        <f t="shared" si="11"/>
        <v>54</v>
      </c>
      <c r="Z111" s="39">
        <f>IFERROR(IF(Y111=0,"",ROUNDUP(Y111/H111,0)*0.00902),"")</f>
        <v>0.10824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56.28</v>
      </c>
      <c r="BN111" s="75">
        <f t="shared" si="13"/>
        <v>56.28</v>
      </c>
      <c r="BO111" s="75">
        <f t="shared" si="14"/>
        <v>9.0909090909090912E-2</v>
      </c>
      <c r="BP111" s="75">
        <f t="shared" si="15"/>
        <v>9.0909090909090912E-2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21.25925925925926</v>
      </c>
      <c r="Y113" s="41">
        <f>IFERROR(Y106/H106,"0")+IFERROR(Y107/H107,"0")+IFERROR(Y108/H108,"0")+IFERROR(Y109/H109,"0")+IFERROR(Y110/H110,"0")+IFERROR(Y111/H111,"0")+IFERROR(Y112/H112,"0")</f>
        <v>22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0.29803999999999997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154</v>
      </c>
      <c r="Y114" s="41">
        <f>IFERROR(SUM(Y106:Y112),"0")</f>
        <v>162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1350</v>
      </c>
      <c r="Y124" s="53">
        <f>IFERROR(IF(X124="",0,CEILING((X124/$H124),1)*$H124),"")</f>
        <v>1352.7</v>
      </c>
      <c r="Z124" s="39">
        <f>IFERROR(IF(Y124=0,"",ROUNDUP(Y124/H124,0)*0.01898),"")</f>
        <v>3.1696599999999999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1431.3333333333333</v>
      </c>
      <c r="BN124" s="75">
        <f>IFERROR(Y124*I124/H124,"0")</f>
        <v>1434.1959999999999</v>
      </c>
      <c r="BO124" s="75">
        <f>IFERROR(1/J124*(X124/H124),"0")</f>
        <v>2.604166666666667</v>
      </c>
      <c r="BP124" s="75">
        <f>IFERROR(1/J124*(Y124/H124),"0")</f>
        <v>2.609375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>
        <v>54</v>
      </c>
      <c r="Y126" s="53">
        <f>IFERROR(IF(X126="",0,CEILING((X126/$H126),1)*$H126),"")</f>
        <v>54</v>
      </c>
      <c r="Z126" s="39">
        <f>IFERROR(IF(Y126=0,"",ROUNDUP(Y126/H126,0)*0.00651),"")</f>
        <v>0.13020000000000001</v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59.039999999999992</v>
      </c>
      <c r="BN126" s="75">
        <f>IFERROR(Y126*I126/H126,"0")</f>
        <v>59.039999999999992</v>
      </c>
      <c r="BO126" s="75">
        <f>IFERROR(1/J126*(X126/H126),"0")</f>
        <v>0.1098901098901099</v>
      </c>
      <c r="BP126" s="75">
        <f>IFERROR(1/J126*(Y126/H126),"0")</f>
        <v>0.1098901098901099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186.66666666666669</v>
      </c>
      <c r="Y128" s="41">
        <f>IFERROR(Y124/H124,"0")+IFERROR(Y125/H125,"0")+IFERROR(Y126/H126,"0")+IFERROR(Y127/H127,"0")</f>
        <v>187</v>
      </c>
      <c r="Z128" s="41">
        <f>IFERROR(IF(Z124="",0,Z124),"0")+IFERROR(IF(Z125="",0,Z125),"0")+IFERROR(IF(Z126="",0,Z126),"0")+IFERROR(IF(Z127="",0,Z127),"0")</f>
        <v>3.2998599999999998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1404</v>
      </c>
      <c r="Y129" s="41">
        <f>IFERROR(SUM(Y124:Y127),"0")</f>
        <v>1406.7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100</v>
      </c>
      <c r="Y209" s="53">
        <f t="shared" ref="Y209:Y222" si="21">IFERROR(IF(X209="",0,CEILING((X209/$H209),1)*$H209),"")</f>
        <v>100.80000000000001</v>
      </c>
      <c r="Z209" s="39">
        <f>IFERROR(IF(Y209=0,"",ROUNDUP(Y209/H209,0)*0.00902),"")</f>
        <v>0.21648000000000001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105.95238095238095</v>
      </c>
      <c r="BN209" s="75">
        <f t="shared" ref="BN209:BN222" si="23">IFERROR(Y209*I209/H209,"0")</f>
        <v>106.80000000000001</v>
      </c>
      <c r="BO209" s="75">
        <f t="shared" ref="BO209:BO222" si="24">IFERROR(1/J209*(X209/H209),"0")</f>
        <v>0.18037518037518038</v>
      </c>
      <c r="BP209" s="75">
        <f t="shared" ref="BP209:BP222" si="25">IFERROR(1/J209*(Y209/H209),"0")</f>
        <v>0.18181818181818182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100</v>
      </c>
      <c r="Y211" s="53">
        <f t="shared" si="21"/>
        <v>100.80000000000001</v>
      </c>
      <c r="Z211" s="39">
        <f>IFERROR(IF(Y211=0,"",ROUNDUP(Y211/H211,0)*0.00902),"")</f>
        <v>0.21648000000000001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104.5238095238095</v>
      </c>
      <c r="BN211" s="75">
        <f t="shared" si="23"/>
        <v>105.36</v>
      </c>
      <c r="BO211" s="75">
        <f t="shared" si="24"/>
        <v>0.18037518037518038</v>
      </c>
      <c r="BP211" s="75">
        <f t="shared" si="25"/>
        <v>0.18181818181818182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hidden="1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47.61904761904762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48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0.43296000000000001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200</v>
      </c>
      <c r="Y224" s="41">
        <f>IFERROR(SUM(Y209:Y222),"0")</f>
        <v>201.60000000000002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250</v>
      </c>
      <c r="Y251" s="53">
        <f t="shared" ref="Y251:Y258" si="27">IFERROR(IF(X251="",0,CEILING((X251/$H251),1)*$H251),"")</f>
        <v>253.8</v>
      </c>
      <c r="Z251" s="39">
        <f>IFERROR(IF(Y251=0,"",ROUNDUP(Y251/H251,0)*0.00902),"")</f>
        <v>0.42393999999999998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258.7962962962963</v>
      </c>
      <c r="BN251" s="75">
        <f t="shared" ref="BN251:BN258" si="29">IFERROR(Y251*I251/H251,"0")</f>
        <v>262.72999999999996</v>
      </c>
      <c r="BO251" s="75">
        <f t="shared" ref="BO251:BO258" si="30">IFERROR(1/J251*(X251/H251),"0")</f>
        <v>0.35072951739618402</v>
      </c>
      <c r="BP251" s="75">
        <f t="shared" ref="BP251:BP258" si="31">IFERROR(1/J251*(Y251/H251),"0")</f>
        <v>0.35606060606060608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>
        <v>250</v>
      </c>
      <c r="Y252" s="53">
        <f t="shared" si="27"/>
        <v>253.8</v>
      </c>
      <c r="Z252" s="39">
        <f>IFERROR(IF(Y252=0,"",ROUNDUP(Y252/H252,0)*0.00902),"")</f>
        <v>0.42393999999999998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258.7962962962963</v>
      </c>
      <c r="BN252" s="75">
        <f t="shared" si="29"/>
        <v>262.72999999999996</v>
      </c>
      <c r="BO252" s="75">
        <f t="shared" si="30"/>
        <v>0.35072951739618402</v>
      </c>
      <c r="BP252" s="75">
        <f t="shared" si="31"/>
        <v>0.35606060606060608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250</v>
      </c>
      <c r="Y253" s="53">
        <f t="shared" si="27"/>
        <v>253.8</v>
      </c>
      <c r="Z253" s="39">
        <f>IFERROR(IF(Y253=0,"",ROUNDUP(Y253/H253,0)*0.00902),"")</f>
        <v>0.42393999999999998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258.7962962962963</v>
      </c>
      <c r="BN253" s="75">
        <f t="shared" si="29"/>
        <v>262.72999999999996</v>
      </c>
      <c r="BO253" s="75">
        <f t="shared" si="30"/>
        <v>0.35072951739618402</v>
      </c>
      <c r="BP253" s="75">
        <f t="shared" si="31"/>
        <v>0.35606060606060608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>
        <v>250</v>
      </c>
      <c r="Y254" s="53">
        <f t="shared" si="27"/>
        <v>253.8</v>
      </c>
      <c r="Z254" s="39">
        <f>IFERROR(IF(Y254=0,"",ROUNDUP(Y254/H254,0)*0.00902),"")</f>
        <v>0.42393999999999998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258.7962962962963</v>
      </c>
      <c r="BN254" s="75">
        <f t="shared" si="29"/>
        <v>262.72999999999996</v>
      </c>
      <c r="BO254" s="75">
        <f t="shared" si="30"/>
        <v>0.35072951739618402</v>
      </c>
      <c r="BP254" s="75">
        <f t="shared" si="31"/>
        <v>0.35606060606060608</v>
      </c>
    </row>
    <row r="255" spans="1:68" ht="27" hidden="1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hidden="1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hidden="1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hidden="1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185.18518518518516</v>
      </c>
      <c r="Y259" s="41">
        <f>IFERROR(Y251/H251,"0")+IFERROR(Y252/H252,"0")+IFERROR(Y253/H253,"0")+IFERROR(Y254/H254,"0")+IFERROR(Y255/H255,"0")+IFERROR(Y256/H256,"0")+IFERROR(Y257/H257,"0")+IFERROR(Y258/H258,"0")</f>
        <v>188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1.6957599999999999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1000</v>
      </c>
      <c r="Y260" s="41">
        <f>IFERROR(SUM(Y251:Y258),"0")</f>
        <v>1015.2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>
        <v>100</v>
      </c>
      <c r="Y262" s="53">
        <f t="shared" ref="Y262:Y271" si="32">IFERROR(IF(X262="",0,CEILING((X262/$H262),1)*$H262),"")</f>
        <v>105.3</v>
      </c>
      <c r="Z262" s="39">
        <f>IFERROR(IF(Y262=0,"",ROUNDUP(Y262/H262,0)*0.01898),"")</f>
        <v>0.24674000000000001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106.09876543209877</v>
      </c>
      <c r="BN262" s="75">
        <f t="shared" ref="BN262:BN271" si="34">IFERROR(Y262*I262/H262,"0")</f>
        <v>111.72199999999999</v>
      </c>
      <c r="BO262" s="75">
        <f t="shared" ref="BO262:BO271" si="35">IFERROR(1/J262*(X262/H262),"0")</f>
        <v>0.19290123456790123</v>
      </c>
      <c r="BP262" s="75">
        <f t="shared" ref="BP262:BP271" si="36">IFERROR(1/J262*(Y262/H262),"0")</f>
        <v>0.203125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>
        <v>100</v>
      </c>
      <c r="Y263" s="53">
        <f t="shared" si="32"/>
        <v>105.3</v>
      </c>
      <c r="Z263" s="39">
        <f>IFERROR(IF(Y263=0,"",ROUNDUP(Y263/H263,0)*0.01898),"")</f>
        <v>0.24674000000000001</v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105.87654320987654</v>
      </c>
      <c r="BN263" s="75">
        <f t="shared" si="34"/>
        <v>111.48800000000001</v>
      </c>
      <c r="BO263" s="75">
        <f t="shared" si="35"/>
        <v>0.19290123456790123</v>
      </c>
      <c r="BP263" s="75">
        <f t="shared" si="36"/>
        <v>0.203125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>
        <v>50</v>
      </c>
      <c r="Y264" s="53">
        <f t="shared" si="32"/>
        <v>52.199999999999996</v>
      </c>
      <c r="Z264" s="39">
        <f>IFERROR(IF(Y264=0,"",ROUNDUP(Y264/H264,0)*0.01898),"")</f>
        <v>0.11388000000000001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52.839080459770123</v>
      </c>
      <c r="BN264" s="75">
        <f t="shared" si="34"/>
        <v>55.164000000000009</v>
      </c>
      <c r="BO264" s="75">
        <f t="shared" si="35"/>
        <v>8.9798850574712652E-2</v>
      </c>
      <c r="BP264" s="75">
        <f t="shared" si="36"/>
        <v>9.375E-2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>
        <v>384</v>
      </c>
      <c r="Y265" s="53">
        <f t="shared" si="32"/>
        <v>384</v>
      </c>
      <c r="Z265" s="39">
        <f t="shared" ref="Z265:Z271" si="37">IFERROR(IF(Y265=0,"",ROUNDUP(Y265/H265,0)*0.00651),"")</f>
        <v>1.0416000000000001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427.2</v>
      </c>
      <c r="BN265" s="75">
        <f t="shared" si="34"/>
        <v>427.2</v>
      </c>
      <c r="BO265" s="75">
        <f t="shared" si="35"/>
        <v>0.87912087912087922</v>
      </c>
      <c r="BP265" s="75">
        <f t="shared" si="36"/>
        <v>0.87912087912087922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>
        <v>240</v>
      </c>
      <c r="Y267" s="53">
        <f t="shared" si="32"/>
        <v>240</v>
      </c>
      <c r="Z267" s="39">
        <f t="shared" si="37"/>
        <v>0.65100000000000002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265.20000000000005</v>
      </c>
      <c r="BN267" s="75">
        <f t="shared" si="34"/>
        <v>265.20000000000005</v>
      </c>
      <c r="BO267" s="75">
        <f t="shared" si="35"/>
        <v>0.5494505494505495</v>
      </c>
      <c r="BP267" s="75">
        <f t="shared" si="36"/>
        <v>0.5494505494505495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>
        <v>240</v>
      </c>
      <c r="Y268" s="53">
        <f t="shared" si="32"/>
        <v>240</v>
      </c>
      <c r="Z268" s="39">
        <f t="shared" si="37"/>
        <v>0.65100000000000002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265.20000000000005</v>
      </c>
      <c r="BN268" s="75">
        <f t="shared" si="34"/>
        <v>265.20000000000005</v>
      </c>
      <c r="BO268" s="75">
        <f t="shared" si="35"/>
        <v>0.5494505494505495</v>
      </c>
      <c r="BP268" s="75">
        <f t="shared" si="36"/>
        <v>0.5494505494505495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>
        <v>240</v>
      </c>
      <c r="Y269" s="53">
        <f t="shared" si="32"/>
        <v>240</v>
      </c>
      <c r="Z269" s="39">
        <f t="shared" si="37"/>
        <v>0.65100000000000002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265.20000000000005</v>
      </c>
      <c r="BN269" s="75">
        <f t="shared" si="34"/>
        <v>265.20000000000005</v>
      </c>
      <c r="BO269" s="75">
        <f t="shared" si="35"/>
        <v>0.5494505494505495</v>
      </c>
      <c r="BP269" s="75">
        <f t="shared" si="36"/>
        <v>0.5494505494505495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>
        <v>384</v>
      </c>
      <c r="Y270" s="53">
        <f t="shared" si="32"/>
        <v>384</v>
      </c>
      <c r="Z270" s="39">
        <f t="shared" si="37"/>
        <v>1.0416000000000001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425.28000000000003</v>
      </c>
      <c r="BN270" s="75">
        <f t="shared" si="34"/>
        <v>425.28000000000003</v>
      </c>
      <c r="BO270" s="75">
        <f t="shared" si="35"/>
        <v>0.87912087912087922</v>
      </c>
      <c r="BP270" s="75">
        <f t="shared" si="36"/>
        <v>0.87912087912087922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650.43848446147297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652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4.6435599999999999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1738</v>
      </c>
      <c r="Y273" s="41">
        <f>IFERROR(SUM(Y262:Y271),"0")</f>
        <v>1750.8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150</v>
      </c>
      <c r="Y354" s="53">
        <f t="shared" ref="Y354:Y360" si="48">IFERROR(IF(X354="",0,CEILING((X354/$H354),1)*$H354),"")</f>
        <v>151.20000000000002</v>
      </c>
      <c r="Z354" s="39">
        <f>IFERROR(IF(Y354=0,"",ROUNDUP(Y354/H354,0)*0.00902),"")</f>
        <v>0.32472000000000001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158.92857142857142</v>
      </c>
      <c r="BN354" s="75">
        <f t="shared" ref="BN354:BN360" si="50">IFERROR(Y354*I354/H354,"0")</f>
        <v>160.20000000000002</v>
      </c>
      <c r="BO354" s="75">
        <f t="shared" ref="BO354:BO360" si="51">IFERROR(1/J354*(X354/H354),"0")</f>
        <v>0.27056277056277056</v>
      </c>
      <c r="BP354" s="75">
        <f t="shared" ref="BP354:BP360" si="52">IFERROR(1/J354*(Y354/H354),"0")</f>
        <v>0.27272727272727271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/>
      <c r="Y355" s="53">
        <f t="shared" si="48"/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0</v>
      </c>
      <c r="BN355" s="75">
        <f t="shared" si="50"/>
        <v>0</v>
      </c>
      <c r="BO355" s="75">
        <f t="shared" si="51"/>
        <v>0</v>
      </c>
      <c r="BP355" s="75">
        <f t="shared" si="52"/>
        <v>0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35.714285714285715</v>
      </c>
      <c r="Y361" s="41">
        <f>IFERROR(Y354/H354,"0")+IFERROR(Y355/H355,"0")+IFERROR(Y356/H356,"0")+IFERROR(Y357/H357,"0")+IFERROR(Y358/H358,"0")+IFERROR(Y359/H359,"0")+IFERROR(Y360/H360,"0")</f>
        <v>36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0.32472000000000001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150</v>
      </c>
      <c r="Y362" s="41">
        <f>IFERROR(SUM(Y354:Y360),"0")</f>
        <v>151.20000000000002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300</v>
      </c>
      <c r="Y371" s="53">
        <f>IFERROR(IF(X371="",0,CEILING((X371/$H371),1)*$H371),"")</f>
        <v>302.40000000000003</v>
      </c>
      <c r="Z371" s="39">
        <f>IFERROR(IF(Y371=0,"",ROUNDUP(Y371/H371,0)*0.01898),"")</f>
        <v>0.68328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317.64285714285711</v>
      </c>
      <c r="BN371" s="75">
        <f>IFERROR(Y371*I371/H371,"0")</f>
        <v>320.18400000000003</v>
      </c>
      <c r="BO371" s="75">
        <f>IFERROR(1/J371*(X371/H371),"0")</f>
        <v>0.5580357142857143</v>
      </c>
      <c r="BP371" s="75">
        <f>IFERROR(1/J371*(Y371/H371),"0")</f>
        <v>0.5625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150</v>
      </c>
      <c r="Y372" s="53">
        <f>IFERROR(IF(X372="",0,CEILING((X372/$H372),1)*$H372),"")</f>
        <v>156</v>
      </c>
      <c r="Z372" s="39">
        <f>IFERROR(IF(Y372=0,"",ROUNDUP(Y372/H372,0)*0.01898),"")</f>
        <v>0.37959999999999999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159.50000000000003</v>
      </c>
      <c r="BN372" s="75">
        <f>IFERROR(Y372*I372/H372,"0")</f>
        <v>165.88</v>
      </c>
      <c r="BO372" s="75">
        <f>IFERROR(1/J372*(X372/H372),"0")</f>
        <v>0.30048076923076922</v>
      </c>
      <c r="BP372" s="75">
        <f>IFERROR(1/J372*(Y372/H372),"0")</f>
        <v>0.3125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100</v>
      </c>
      <c r="Y373" s="53">
        <f>IFERROR(IF(X373="",0,CEILING((X373/$H373),1)*$H373),"")</f>
        <v>100.80000000000001</v>
      </c>
      <c r="Z373" s="39">
        <f>IFERROR(IF(Y373=0,"",ROUNDUP(Y373/H373,0)*0.01898),"")</f>
        <v>0.22776000000000002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105.88095238095238</v>
      </c>
      <c r="BN373" s="75">
        <f>IFERROR(Y373*I373/H373,"0")</f>
        <v>106.72800000000001</v>
      </c>
      <c r="BO373" s="75">
        <f>IFERROR(1/J373*(X373/H373),"0")</f>
        <v>0.18601190476190477</v>
      </c>
      <c r="BP373" s="75">
        <f>IFERROR(1/J373*(Y373/H373),"0")</f>
        <v>0.1875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66.849816849816847</v>
      </c>
      <c r="Y374" s="41">
        <f>IFERROR(Y371/H371,"0")+IFERROR(Y372/H372,"0")+IFERROR(Y373/H373,"0")</f>
        <v>68</v>
      </c>
      <c r="Z374" s="41">
        <f>IFERROR(IF(Z371="",0,Z371),"0")+IFERROR(IF(Z372="",0,Z372),"0")+IFERROR(IF(Z373="",0,Z373),"0")</f>
        <v>1.29064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550</v>
      </c>
      <c r="Y375" s="41">
        <f>IFERROR(SUM(Y371:Y373),"0")</f>
        <v>559.20000000000005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>
        <v>100</v>
      </c>
      <c r="Y391" s="53">
        <f>IFERROR(IF(X391="",0,CEILING((X391/$H391),1)*$H391),"")</f>
        <v>105.3</v>
      </c>
      <c r="Z391" s="39">
        <f>IFERROR(IF(Y391=0,"",ROUNDUP(Y391/H391,0)*0.01898),"")</f>
        <v>0.24674000000000001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106.09876543209877</v>
      </c>
      <c r="BN391" s="75">
        <f>IFERROR(Y391*I391/H391,"0")</f>
        <v>111.72199999999999</v>
      </c>
      <c r="BO391" s="75">
        <f>IFERROR(1/J391*(X391/H391),"0")</f>
        <v>0.19290123456790123</v>
      </c>
      <c r="BP391" s="75">
        <f>IFERROR(1/J391*(Y391/H391),"0")</f>
        <v>0.203125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12.345679012345679</v>
      </c>
      <c r="Y394" s="41">
        <f>IFERROR(Y391/H391,"0")+IFERROR(Y392/H392,"0")+IFERROR(Y393/H393,"0")</f>
        <v>13</v>
      </c>
      <c r="Z394" s="41">
        <f>IFERROR(IF(Z391="",0,Z391),"0")+IFERROR(IF(Z392="",0,Z392),"0")+IFERROR(IF(Z393="",0,Z393),"0")</f>
        <v>0.24674000000000001</v>
      </c>
      <c r="AA394" s="64"/>
      <c r="AB394" s="64"/>
      <c r="AC394" s="64"/>
    </row>
    <row r="395" spans="1:68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100</v>
      </c>
      <c r="Y395" s="41">
        <f>IFERROR(SUM(Y391:Y393),"0")</f>
        <v>105.3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3275</v>
      </c>
      <c r="Y400" s="53">
        <f t="shared" si="53"/>
        <v>3285</v>
      </c>
      <c r="Z400" s="39">
        <f>IFERROR(IF(Y400=0,"",ROUNDUP(Y400/H400,0)*0.02175),"")</f>
        <v>4.7632499999999993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3377.6166666666668</v>
      </c>
      <c r="BN400" s="75">
        <f t="shared" si="55"/>
        <v>3387.9300000000003</v>
      </c>
      <c r="BO400" s="75">
        <f t="shared" si="56"/>
        <v>4.5486111111111107</v>
      </c>
      <c r="BP400" s="75">
        <f t="shared" si="57"/>
        <v>4.5625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1200</v>
      </c>
      <c r="Y401" s="53">
        <f t="shared" si="53"/>
        <v>1200</v>
      </c>
      <c r="Z401" s="39">
        <f>IFERROR(IF(Y401=0,"",ROUNDUP(Y401/H401,0)*0.02175),"")</f>
        <v>1.7399999999999998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1237.5999999999999</v>
      </c>
      <c r="BN401" s="75">
        <f t="shared" si="55"/>
        <v>1237.5999999999999</v>
      </c>
      <c r="BO401" s="75">
        <f t="shared" si="56"/>
        <v>1.6666666666666665</v>
      </c>
      <c r="BP401" s="75">
        <f t="shared" si="57"/>
        <v>1.6666666666666665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2550</v>
      </c>
      <c r="Y402" s="53">
        <f t="shared" si="53"/>
        <v>2550</v>
      </c>
      <c r="Z402" s="39">
        <f>IFERROR(IF(Y402=0,"",ROUNDUP(Y402/H402,0)*0.02175),"")</f>
        <v>3.6974999999999998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2629.9</v>
      </c>
      <c r="BN402" s="75">
        <f t="shared" si="55"/>
        <v>2629.9</v>
      </c>
      <c r="BO402" s="75">
        <f t="shared" si="56"/>
        <v>3.5416666666666665</v>
      </c>
      <c r="BP402" s="75">
        <f t="shared" si="57"/>
        <v>3.5416666666666665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468.33333333333337</v>
      </c>
      <c r="Y407" s="41">
        <f>IFERROR(Y399/H399,"0")+IFERROR(Y400/H400,"0")+IFERROR(Y401/H401,"0")+IFERROR(Y402/H402,"0")+IFERROR(Y403/H403,"0")+IFERROR(Y404/H404,"0")+IFERROR(Y405/H405,"0")+IFERROR(Y406/H406,"0")</f>
        <v>469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10.200749999999999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7025</v>
      </c>
      <c r="Y408" s="41">
        <f>IFERROR(SUM(Y399:Y406),"0")</f>
        <v>7035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250</v>
      </c>
      <c r="Y410" s="53">
        <f>IFERROR(IF(X410="",0,CEILING((X410/$H410),1)*$H410),"")</f>
        <v>255</v>
      </c>
      <c r="Z410" s="39">
        <f>IFERROR(IF(Y410=0,"",ROUNDUP(Y410/H410,0)*0.02175),"")</f>
        <v>0.36974999999999997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257.83333333333331</v>
      </c>
      <c r="BN410" s="75">
        <f>IFERROR(Y410*I410/H410,"0")</f>
        <v>262.99</v>
      </c>
      <c r="BO410" s="75">
        <f>IFERROR(1/J410*(X410/H410),"0")</f>
        <v>0.34722222222222221</v>
      </c>
      <c r="BP410" s="75">
        <f>IFERROR(1/J410*(Y410/H410),"0")</f>
        <v>0.35416666666666663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16.666666666666668</v>
      </c>
      <c r="Y413" s="41">
        <f>IFERROR(Y410/H410,"0")+IFERROR(Y411/H411,"0")+IFERROR(Y412/H412,"0")</f>
        <v>17</v>
      </c>
      <c r="Z413" s="41">
        <f>IFERROR(IF(Z410="",0,Z410),"0")+IFERROR(IF(Z411="",0,Z411),"0")+IFERROR(IF(Z412="",0,Z412),"0")</f>
        <v>0.36974999999999997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250</v>
      </c>
      <c r="Y414" s="41">
        <f>IFERROR(SUM(Y410:Y412),"0")</f>
        <v>255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1880</v>
      </c>
      <c r="Y416" s="53">
        <f>IFERROR(IF(X416="",0,CEILING((X416/$H416),1)*$H416),"")</f>
        <v>1881</v>
      </c>
      <c r="Z416" s="39">
        <f>IFERROR(IF(Y416=0,"",ROUNDUP(Y416/H416,0)*0.01898),"")</f>
        <v>3.9668200000000002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1984.4444444444443</v>
      </c>
      <c r="BN416" s="75">
        <f>IFERROR(Y416*I416/H416,"0")</f>
        <v>1985.5</v>
      </c>
      <c r="BO416" s="75">
        <f>IFERROR(1/J416*(X416/H416),"0")</f>
        <v>3.2638888888888888</v>
      </c>
      <c r="BP416" s="75">
        <f>IFERROR(1/J416*(Y416/H416),"0")</f>
        <v>3.265625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300</v>
      </c>
      <c r="Y417" s="53">
        <f>IFERROR(IF(X417="",0,CEILING((X417/$H417),1)*$H417),"")</f>
        <v>306</v>
      </c>
      <c r="Z417" s="39">
        <f>IFERROR(IF(Y417=0,"",ROUNDUP(Y417/H417,0)*0.01898),"")</f>
        <v>0.64532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316.46666666666664</v>
      </c>
      <c r="BN417" s="75">
        <f>IFERROR(Y417*I417/H417,"0")</f>
        <v>322.79599999999999</v>
      </c>
      <c r="BO417" s="75">
        <f>IFERROR(1/J417*(X417/H417),"0")</f>
        <v>0.52083333333333337</v>
      </c>
      <c r="BP417" s="75">
        <f>IFERROR(1/J417*(Y417/H417),"0")</f>
        <v>0.53125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242.22222222222223</v>
      </c>
      <c r="Y418" s="41">
        <f>IFERROR(Y416/H416,"0")+IFERROR(Y417/H417,"0")</f>
        <v>243</v>
      </c>
      <c r="Z418" s="41">
        <f>IFERROR(IF(Z416="",0,Z416),"0")+IFERROR(IF(Z417="",0,Z417),"0")</f>
        <v>4.6121400000000001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2180</v>
      </c>
      <c r="Y419" s="41">
        <f>IFERROR(SUM(Y416:Y417),"0")</f>
        <v>2187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600</v>
      </c>
      <c r="Y421" s="53">
        <f>IFERROR(IF(X421="",0,CEILING((X421/$H421),1)*$H421),"")</f>
        <v>603</v>
      </c>
      <c r="Z421" s="39">
        <f>IFERROR(IF(Y421=0,"",ROUNDUP(Y421/H421,0)*0.01898),"")</f>
        <v>1.27166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632.93333333333328</v>
      </c>
      <c r="BN421" s="75">
        <f>IFERROR(Y421*I421/H421,"0")</f>
        <v>636.09799999999996</v>
      </c>
      <c r="BO421" s="75">
        <f>IFERROR(1/J421*(X421/H421),"0")</f>
        <v>1.0416666666666667</v>
      </c>
      <c r="BP421" s="75">
        <f>IFERROR(1/J421*(Y421/H421),"0")</f>
        <v>1.046875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66.666666666666671</v>
      </c>
      <c r="Y422" s="41">
        <f>IFERROR(Y421/H421,"0")</f>
        <v>67</v>
      </c>
      <c r="Z422" s="41">
        <f>IFERROR(IF(Z421="",0,Z421),"0")</f>
        <v>1.27166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600</v>
      </c>
      <c r="Y423" s="41">
        <f>IFERROR(SUM(Y421:Y421),"0")</f>
        <v>603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/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300</v>
      </c>
      <c r="Y435" s="53">
        <f>IFERROR(IF(X435="",0,CEILING((X435/$H435),1)*$H435),"")</f>
        <v>306</v>
      </c>
      <c r="Z435" s="39">
        <f>IFERROR(IF(Y435=0,"",ROUNDUP(Y435/H435,0)*0.01898),"")</f>
        <v>0.64532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316.46666666666664</v>
      </c>
      <c r="BN435" s="75">
        <f>IFERROR(Y435*I435/H435,"0")</f>
        <v>322.79599999999999</v>
      </c>
      <c r="BO435" s="75">
        <f>IFERROR(1/J435*(X435/H435),"0")</f>
        <v>0.52083333333333337</v>
      </c>
      <c r="BP435" s="75">
        <f>IFERROR(1/J435*(Y435/H435),"0")</f>
        <v>0.53125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33.333333333333336</v>
      </c>
      <c r="Y438" s="41">
        <f>IFERROR(Y435/H435,"0")+IFERROR(Y436/H436,"0")+IFERROR(Y437/H437,"0")</f>
        <v>34</v>
      </c>
      <c r="Z438" s="41">
        <f>IFERROR(IF(Z435="",0,Z435),"0")+IFERROR(IF(Z436="",0,Z436),"0")+IFERROR(IF(Z437="",0,Z437),"0")</f>
        <v>0.64532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300</v>
      </c>
      <c r="Y439" s="41">
        <f>IFERROR(SUM(Y435:Y437),"0")</f>
        <v>306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50</v>
      </c>
      <c r="Y443" s="53">
        <f t="shared" ref="Y443:Y448" si="58">IFERROR(IF(X443="",0,CEILING((X443/$H443),1)*$H443),"")</f>
        <v>54</v>
      </c>
      <c r="Z443" s="39">
        <f>IFERROR(IF(Y443=0,"",ROUNDUP(Y443/H443,0)*0.00902),"")</f>
        <v>9.0200000000000002E-2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51.759259259259252</v>
      </c>
      <c r="BN443" s="75">
        <f t="shared" ref="BN443:BN448" si="60">IFERROR(Y443*I443/H443,"0")</f>
        <v>55.9</v>
      </c>
      <c r="BO443" s="75">
        <f t="shared" ref="BO443:BO448" si="61">IFERROR(1/J443*(X443/H443),"0")</f>
        <v>7.0145903479236812E-2</v>
      </c>
      <c r="BP443" s="75">
        <f t="shared" ref="BP443:BP448" si="62">IFERROR(1/J443*(Y443/H443),"0")</f>
        <v>7.575757575757576E-2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300</v>
      </c>
      <c r="Y444" s="53">
        <f t="shared" si="58"/>
        <v>302.40000000000003</v>
      </c>
      <c r="Z444" s="39">
        <f>IFERROR(IF(Y444=0,"",ROUNDUP(Y444/H444,0)*0.00902),"")</f>
        <v>0.50512000000000001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310.55555555555554</v>
      </c>
      <c r="BN444" s="75">
        <f t="shared" si="60"/>
        <v>313.04000000000002</v>
      </c>
      <c r="BO444" s="75">
        <f t="shared" si="61"/>
        <v>0.42087542087542085</v>
      </c>
      <c r="BP444" s="75">
        <f t="shared" si="62"/>
        <v>0.42424242424242425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hidden="1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64.81481481481481</v>
      </c>
      <c r="Y449" s="41">
        <f>IFERROR(Y443/H443,"0")+IFERROR(Y444/H444,"0")+IFERROR(Y445/H445,"0")+IFERROR(Y446/H446,"0")+IFERROR(Y447/H447,"0")+IFERROR(Y448/H448,"0")</f>
        <v>66</v>
      </c>
      <c r="Z449" s="41">
        <f>IFERROR(IF(Z443="",0,Z443),"0")+IFERROR(IF(Z444="",0,Z444),"0")+IFERROR(IF(Z445="",0,Z445),"0")+IFERROR(IF(Z446="",0,Z446),"0")+IFERROR(IF(Z447="",0,Z447),"0")+IFERROR(IF(Z448="",0,Z448),"0")</f>
        <v>0.59532000000000007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350</v>
      </c>
      <c r="Y450" s="41">
        <f>IFERROR(SUM(Y443:Y448),"0")</f>
        <v>356.40000000000003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hidden="1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/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/>
      <c r="Y472" s="53">
        <f t="shared" si="63"/>
        <v>0</v>
      </c>
      <c r="Z472" s="39" t="str">
        <f t="shared" si="64"/>
        <v/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hidden="1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/>
      <c r="Y473" s="53">
        <f t="shared" si="63"/>
        <v>0</v>
      </c>
      <c r="Z473" s="39" t="str">
        <f t="shared" si="64"/>
        <v/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0</v>
      </c>
      <c r="BN473" s="75">
        <f t="shared" si="66"/>
        <v>0</v>
      </c>
      <c r="BO473" s="75">
        <f t="shared" si="67"/>
        <v>0</v>
      </c>
      <c r="BP473" s="75">
        <f t="shared" si="68"/>
        <v>0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hidden="1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/>
      <c r="Y475" s="53">
        <f t="shared" si="63"/>
        <v>0</v>
      </c>
      <c r="Z475" s="39" t="str">
        <f t="shared" si="64"/>
        <v/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hidden="1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0</v>
      </c>
      <c r="Y479" s="41">
        <f>IFERROR(Y470/H470,"0")+IFERROR(Y471/H471,"0")+IFERROR(Y472/H472,"0")+IFERROR(Y473/H473,"0")+IFERROR(Y474/H474,"0")+IFERROR(Y475/H475,"0")+IFERROR(Y476/H476,"0")+IFERROR(Y477/H477,"0")+IFERROR(Y478/H478,"0")</f>
        <v>0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</v>
      </c>
      <c r="AA479" s="64"/>
      <c r="AB479" s="64"/>
      <c r="AC479" s="64"/>
    </row>
    <row r="480" spans="1:68" hidden="1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0</v>
      </c>
      <c r="Y480" s="41">
        <f>IFERROR(SUM(Y470:Y478),"0")</f>
        <v>0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100</v>
      </c>
      <c r="Y482" s="53">
        <f>IFERROR(IF(X482="",0,CEILING((X482/$H482),1)*$H482),"")</f>
        <v>100.32000000000001</v>
      </c>
      <c r="Z482" s="39">
        <f>IFERROR(IF(Y482=0,"",ROUNDUP(Y482/H482,0)*0.01196),"")</f>
        <v>0.22724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106.62878787878788</v>
      </c>
      <c r="BN482" s="75">
        <f>IFERROR(Y482*I482/H482,"0")</f>
        <v>106.97</v>
      </c>
      <c r="BO482" s="75">
        <f>IFERROR(1/J482*(X482/H482),"0")</f>
        <v>0.18210955710955709</v>
      </c>
      <c r="BP482" s="75">
        <f>IFERROR(1/J482*(Y482/H482),"0")</f>
        <v>0.18269230769230771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18.939393939393938</v>
      </c>
      <c r="Y485" s="41">
        <f>IFERROR(Y482/H482,"0")+IFERROR(Y483/H483,"0")+IFERROR(Y484/H484,"0")</f>
        <v>19</v>
      </c>
      <c r="Z485" s="41">
        <f>IFERROR(IF(Z482="",0,Z482),"0")+IFERROR(IF(Z483="",0,Z483),"0")+IFERROR(IF(Z484="",0,Z484),"0")</f>
        <v>0.22724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100</v>
      </c>
      <c r="Y486" s="41">
        <f>IFERROR(SUM(Y482:Y484),"0")</f>
        <v>100.32000000000001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150</v>
      </c>
      <c r="Y488" s="53">
        <f t="shared" ref="Y488:Y494" si="69">IFERROR(IF(X488="",0,CEILING((X488/$H488),1)*$H488),"")</f>
        <v>153.12</v>
      </c>
      <c r="Z488" s="39">
        <f>IFERROR(IF(Y488=0,"",ROUNDUP(Y488/H488,0)*0.01196),"")</f>
        <v>0.34683999999999998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159.94318181818181</v>
      </c>
      <c r="BN488" s="75">
        <f t="shared" ref="BN488:BN494" si="71">IFERROR(Y488*I488/H488,"0")</f>
        <v>163.26999999999998</v>
      </c>
      <c r="BO488" s="75">
        <f t="shared" ref="BO488:BO494" si="72">IFERROR(1/J488*(X488/H488),"0")</f>
        <v>0.27316433566433568</v>
      </c>
      <c r="BP488" s="75">
        <f t="shared" ref="BP488:BP494" si="73">IFERROR(1/J488*(Y488/H488),"0")</f>
        <v>0.27884615384615385</v>
      </c>
    </row>
    <row r="489" spans="1:68" ht="27" hidden="1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/>
      <c r="Y489" s="53">
        <f t="shared" si="69"/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100</v>
      </c>
      <c r="Y490" s="53">
        <f t="shared" si="69"/>
        <v>100.32000000000001</v>
      </c>
      <c r="Z490" s="39">
        <f>IFERROR(IF(Y490=0,"",ROUNDUP(Y490/H490,0)*0.01196),"")</f>
        <v>0.22724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106.62878787878788</v>
      </c>
      <c r="BN490" s="75">
        <f t="shared" si="71"/>
        <v>106.97</v>
      </c>
      <c r="BO490" s="75">
        <f t="shared" si="72"/>
        <v>0.18210955710955709</v>
      </c>
      <c r="BP490" s="75">
        <f t="shared" si="73"/>
        <v>0.18269230769230771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>
        <v>150</v>
      </c>
      <c r="Y492" s="53">
        <f t="shared" si="69"/>
        <v>151.20000000000002</v>
      </c>
      <c r="Z492" s="39">
        <f>IFERROR(IF(Y492=0,"",ROUNDUP(Y492/H492,0)*0.00902),"")</f>
        <v>0.37884000000000001</v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157.91666666666666</v>
      </c>
      <c r="BN492" s="75">
        <f t="shared" si="71"/>
        <v>159.18000000000004</v>
      </c>
      <c r="BO492" s="75">
        <f t="shared" si="72"/>
        <v>0.31565656565656564</v>
      </c>
      <c r="BP492" s="75">
        <f t="shared" si="73"/>
        <v>0.31818181818181823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89.015151515151501</v>
      </c>
      <c r="Y495" s="41">
        <f>IFERROR(Y488/H488,"0")+IFERROR(Y489/H489,"0")+IFERROR(Y490/H490,"0")+IFERROR(Y491/H491,"0")+IFERROR(Y492/H492,"0")+IFERROR(Y493/H493,"0")+IFERROR(Y494/H494,"0")</f>
        <v>90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0.95291999999999999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400</v>
      </c>
      <c r="Y496" s="41">
        <f>IFERROR(SUM(Y488:Y494),"0")</f>
        <v>404.64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150</v>
      </c>
      <c r="Y508" s="53">
        <f>IFERROR(IF(X508="",0,CEILING((X508/$H508),1)*$H508),"")</f>
        <v>153.6</v>
      </c>
      <c r="Z508" s="39">
        <f>IFERROR(IF(Y508=0,"",ROUNDUP(Y508/H508,0)*0.00902),"")</f>
        <v>0.28864000000000001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157.8125</v>
      </c>
      <c r="BN508" s="75">
        <f>IFERROR(Y508*I508/H508,"0")</f>
        <v>161.6</v>
      </c>
      <c r="BO508" s="75">
        <f>IFERROR(1/J508*(X508/H508),"0")</f>
        <v>0.23674242424242425</v>
      </c>
      <c r="BP508" s="75">
        <f>IFERROR(1/J508*(Y508/H508),"0")</f>
        <v>0.24242424242424243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31.25</v>
      </c>
      <c r="Y509" s="41">
        <f>IFERROR(Y508/H508,"0")</f>
        <v>32</v>
      </c>
      <c r="Z509" s="41">
        <f>IFERROR(IF(Z508="",0,Z508),"0")</f>
        <v>0.28864000000000001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150</v>
      </c>
      <c r="Y510" s="41">
        <f>IFERROR(SUM(Y508:Y508),"0")</f>
        <v>153.6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18011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18121.16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18903.004489711013</v>
      </c>
      <c r="Y526" s="41">
        <f>IFERROR(SUM(BN22:BN522),"0")</f>
        <v>19018.362000000001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30</v>
      </c>
      <c r="Y527" s="42">
        <f>ROUNDUP(SUM(BP22:BP522),0)</f>
        <v>30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19653.004489711013</v>
      </c>
      <c r="Y528" s="41">
        <f>GrossWeightTotalR+PalletQtyTotalR*25</f>
        <v>19768.362000000001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2421.554575160897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2436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34.528440000000003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128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0</v>
      </c>
      <c r="F535" s="50">
        <f>IFERROR(Y91*1,"0")+IFERROR(Y92*1,"0")+IFERROR(Y93*1,"0")+IFERROR(Y94*1,"0")+IFERROR(Y98*1,"0")+IFERROR(Y99*1,"0")+IFERROR(Y100*1,"0")+IFERROR(Y101*1,"0")</f>
        <v>1240.2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1568.7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201.60000000000002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2766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710.40000000000009</v>
      </c>
      <c r="U535" s="50">
        <f>IFERROR(Y391*1,"0")+IFERROR(Y392*1,"0")+IFERROR(Y393*1,"0")</f>
        <v>105.3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10080</v>
      </c>
      <c r="W535" s="50">
        <f>IFERROR(Y426*1,"0")+IFERROR(Y427*1,"0")+IFERROR(Y431*1,"0")+IFERROR(Y435*1,"0")+IFERROR(Y436*1,"0")+IFERROR(Y437*1,"0")</f>
        <v>306</v>
      </c>
      <c r="X535" s="50">
        <f>IFERROR(Y443*1,"0")+IFERROR(Y444*1,"0")+IFERROR(Y445*1,"0")+IFERROR(Y446*1,"0")+IFERROR(Y447*1,"0")+IFERROR(Y448*1,"0")+IFERROR(Y452*1,"0")+IFERROR(Y453*1,"0")</f>
        <v>356.40000000000003</v>
      </c>
      <c r="Y535" s="50">
        <f>IFERROR(Y458*1,"0")+IFERROR(Y462*1,"0")+IFERROR(Y463*1,"0")+IFERROR(Y464*1,"0")</f>
        <v>0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504.96000000000004</v>
      </c>
      <c r="AA535" s="50">
        <f>IFERROR(Y500*1,"0")+IFERROR(Y504*1,"0")+IFERROR(Y508*1,"0")+IFERROR(Y512*1,"0")+IFERROR(Y516*1,"0")+IFERROR(Y517*1,"0")</f>
        <v>153.6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50,00"/>
        <filter val="1 200,00"/>
        <filter val="1 204,00"/>
        <filter val="1 350,00"/>
        <filter val="1 404,00"/>
        <filter val="1 738,00"/>
        <filter val="1 880,00"/>
        <filter val="100,00"/>
        <filter val="12,35"/>
        <filter val="120,00"/>
        <filter val="14,26"/>
        <filter val="150,00"/>
        <filter val="154,00"/>
        <filter val="16,67"/>
        <filter val="161,98"/>
        <filter val="18 011,00"/>
        <filter val="18 903,00"/>
        <filter val="18,94"/>
        <filter val="185,19"/>
        <filter val="186,67"/>
        <filter val="19 653,00"/>
        <filter val="2 180,00"/>
        <filter val="2 421,55"/>
        <filter val="2 550,00"/>
        <filter val="20,00"/>
        <filter val="200,00"/>
        <filter val="21,26"/>
        <filter val="240,00"/>
        <filter val="242,22"/>
        <filter val="250,00"/>
        <filter val="3 275,00"/>
        <filter val="30"/>
        <filter val="300,00"/>
        <filter val="31,25"/>
        <filter val="33,33"/>
        <filter val="35,71"/>
        <filter val="350,00"/>
        <filter val="36,00"/>
        <filter val="384,00"/>
        <filter val="400,00"/>
        <filter val="468,33"/>
        <filter val="47,62"/>
        <filter val="50,00"/>
        <filter val="54,00"/>
        <filter val="550,00"/>
        <filter val="600,00"/>
        <filter val="64,81"/>
        <filter val="650,44"/>
        <filter val="66,67"/>
        <filter val="66,85"/>
        <filter val="7 025,00"/>
        <filter val="8,00"/>
        <filter val="89,02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2026-09-01T10:57:41Z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