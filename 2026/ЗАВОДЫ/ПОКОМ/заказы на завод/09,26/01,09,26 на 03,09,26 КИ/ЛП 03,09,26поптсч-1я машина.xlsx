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заказы на завод\09,26\01,09,26 на 03,09,26 КИ\"/>
    </mc:Choice>
  </mc:AlternateContent>
  <xr:revisionPtr revIDLastSave="0" documentId="13_ncr:1_{E8E75A7C-5F87-4EE6-A753-77F3C51ACED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Z539" i="2"/>
  <c r="Z540" i="2" s="1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Z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N506" i="2" s="1"/>
  <c r="P506" i="2"/>
  <c r="BO505" i="2"/>
  <c r="BM505" i="2"/>
  <c r="Z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Y495" i="2"/>
  <c r="X495" i="2"/>
  <c r="X494" i="2"/>
  <c r="BO493" i="2"/>
  <c r="BM493" i="2"/>
  <c r="Y493" i="2"/>
  <c r="BP493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P461" i="2"/>
  <c r="BO461" i="2"/>
  <c r="BN461" i="2"/>
  <c r="BM461" i="2"/>
  <c r="Z461" i="2"/>
  <c r="Y461" i="2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N424" i="2" s="1"/>
  <c r="P424" i="2"/>
  <c r="X421" i="2"/>
  <c r="X420" i="2"/>
  <c r="BO419" i="2"/>
  <c r="BM419" i="2"/>
  <c r="Z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Z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Z346" i="2"/>
  <c r="Y346" i="2"/>
  <c r="BN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Z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Y283" i="2"/>
  <c r="P283" i="2"/>
  <c r="X281" i="2"/>
  <c r="X280" i="2"/>
  <c r="BO279" i="2"/>
  <c r="BM279" i="2"/>
  <c r="Z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N236" i="2"/>
  <c r="BM236" i="2"/>
  <c r="Z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P201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Z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Y151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N104" i="2"/>
  <c r="BM104" i="2"/>
  <c r="Z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Z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Z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Z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Z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57" i="2" l="1"/>
  <c r="BN72" i="2"/>
  <c r="BN77" i="2"/>
  <c r="BN138" i="2"/>
  <c r="BN189" i="2"/>
  <c r="BN288" i="2"/>
  <c r="BN333" i="2"/>
  <c r="BN369" i="2"/>
  <c r="BN405" i="2"/>
  <c r="BN412" i="2"/>
  <c r="BP481" i="2"/>
  <c r="BN482" i="2"/>
  <c r="BN498" i="2"/>
  <c r="BP506" i="2"/>
  <c r="BN507" i="2"/>
  <c r="BN527" i="2"/>
  <c r="BN73" i="2"/>
  <c r="Z97" i="2"/>
  <c r="Y203" i="2"/>
  <c r="BN214" i="2"/>
  <c r="Z233" i="2"/>
  <c r="BN244" i="2"/>
  <c r="Z276" i="2"/>
  <c r="BP279" i="2"/>
  <c r="BP306" i="2"/>
  <c r="BP345" i="2"/>
  <c r="BP346" i="2"/>
  <c r="BN348" i="2"/>
  <c r="BN370" i="2"/>
  <c r="BP375" i="2"/>
  <c r="BN377" i="2"/>
  <c r="Z379" i="2"/>
  <c r="Z394" i="2"/>
  <c r="BN400" i="2"/>
  <c r="BN406" i="2"/>
  <c r="Z481" i="2"/>
  <c r="Z506" i="2"/>
  <c r="BN510" i="2"/>
  <c r="Z517" i="2"/>
  <c r="BN518" i="2"/>
  <c r="Z524" i="2"/>
  <c r="Y541" i="2"/>
  <c r="BP27" i="2"/>
  <c r="Z57" i="2"/>
  <c r="Z77" i="2"/>
  <c r="BN89" i="2"/>
  <c r="BP98" i="2"/>
  <c r="Z108" i="2"/>
  <c r="BP114" i="2"/>
  <c r="BN148" i="2"/>
  <c r="BN176" i="2"/>
  <c r="Z244" i="2"/>
  <c r="BN246" i="2"/>
  <c r="BN257" i="2"/>
  <c r="Y258" i="2"/>
  <c r="Z288" i="2"/>
  <c r="BN294" i="2"/>
  <c r="BN331" i="2"/>
  <c r="BP340" i="2"/>
  <c r="Z353" i="2"/>
  <c r="Z355" i="2" s="1"/>
  <c r="BN361" i="2"/>
  <c r="Z388" i="2"/>
  <c r="BP388" i="2"/>
  <c r="Z424" i="2"/>
  <c r="BP424" i="2"/>
  <c r="BP435" i="2"/>
  <c r="BN438" i="2"/>
  <c r="BN31" i="2"/>
  <c r="BN48" i="2"/>
  <c r="BP79" i="2"/>
  <c r="BN117" i="2"/>
  <c r="BP124" i="2"/>
  <c r="BP126" i="2"/>
  <c r="BP160" i="2"/>
  <c r="BN181" i="2"/>
  <c r="Z191" i="2"/>
  <c r="Z214" i="2"/>
  <c r="BN215" i="2"/>
  <c r="Z229" i="2"/>
  <c r="BP229" i="2"/>
  <c r="Z234" i="2"/>
  <c r="BP234" i="2"/>
  <c r="Y255" i="2"/>
  <c r="BP252" i="2"/>
  <c r="BP285" i="2"/>
  <c r="Z304" i="2"/>
  <c r="BN308" i="2"/>
  <c r="Z310" i="2"/>
  <c r="BP367" i="2"/>
  <c r="BN368" i="2"/>
  <c r="BP387" i="2"/>
  <c r="BN470" i="2"/>
  <c r="Z527" i="2"/>
  <c r="BP148" i="2"/>
  <c r="BP211" i="2"/>
  <c r="BP257" i="2"/>
  <c r="BP277" i="2"/>
  <c r="Z331" i="2"/>
  <c r="BN332" i="2"/>
  <c r="Z367" i="2"/>
  <c r="Z387" i="2"/>
  <c r="BP418" i="2"/>
  <c r="BP480" i="2"/>
  <c r="BP526" i="2"/>
  <c r="BN552" i="2"/>
  <c r="Z31" i="2"/>
  <c r="Z48" i="2"/>
  <c r="BN87" i="2"/>
  <c r="Z117" i="2"/>
  <c r="Z155" i="2"/>
  <c r="Y177" i="2"/>
  <c r="BN267" i="2"/>
  <c r="Y270" i="2"/>
  <c r="Z277" i="2"/>
  <c r="Z470" i="2"/>
  <c r="Z480" i="2"/>
  <c r="Z513" i="2"/>
  <c r="BP547" i="2"/>
  <c r="BN450" i="2"/>
  <c r="Z376" i="2"/>
  <c r="BN292" i="2"/>
  <c r="BP138" i="2"/>
  <c r="Z148" i="2"/>
  <c r="Y427" i="2"/>
  <c r="BN426" i="2"/>
  <c r="BN359" i="2"/>
  <c r="Y362" i="2"/>
  <c r="Z456" i="2"/>
  <c r="BP456" i="2"/>
  <c r="Y395" i="2"/>
  <c r="Y396" i="2"/>
  <c r="Z393" i="2"/>
  <c r="Z395" i="2" s="1"/>
  <c r="BP226" i="2"/>
  <c r="BP93" i="2"/>
  <c r="BN93" i="2"/>
  <c r="Z273" i="2"/>
  <c r="Y280" i="2"/>
  <c r="BP523" i="2"/>
  <c r="BP517" i="2"/>
  <c r="AA570" i="2"/>
  <c r="BN67" i="2"/>
  <c r="Z67" i="2"/>
  <c r="F570" i="2"/>
  <c r="Z443" i="2"/>
  <c r="BN436" i="2"/>
  <c r="X562" i="2"/>
  <c r="X560" i="2"/>
  <c r="X561" i="2"/>
  <c r="X564" i="2"/>
  <c r="BN263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Z463" i="2"/>
  <c r="BN512" i="2"/>
  <c r="Y514" i="2"/>
  <c r="Z473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25" i="2" s="1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Z341" i="2" s="1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Z489" i="2" s="1"/>
  <c r="Y494" i="2"/>
  <c r="BN513" i="2"/>
  <c r="Z523" i="2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514" i="2" l="1"/>
  <c r="Z389" i="2"/>
  <c r="Z334" i="2"/>
  <c r="Z254" i="2"/>
  <c r="Z81" i="2"/>
  <c r="Z372" i="2"/>
  <c r="Z248" i="2"/>
  <c r="Z61" i="2"/>
  <c r="Z530" i="2"/>
  <c r="Z484" i="2"/>
  <c r="Z119" i="2"/>
  <c r="Z32" i="2"/>
  <c r="Z311" i="2"/>
  <c r="Z457" i="2"/>
  <c r="Z172" i="2"/>
  <c r="Z300" i="2"/>
  <c r="Z134" i="2"/>
  <c r="Z382" i="2"/>
  <c r="Z150" i="2"/>
  <c r="Z427" i="2"/>
  <c r="Z295" i="2"/>
  <c r="Z192" i="2"/>
  <c r="Z280" i="2"/>
  <c r="Z446" i="2"/>
  <c r="X56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<sst xmlns="http://schemas.openxmlformats.org/spreadsheetml/2006/main" count="4318" uniqueCount="905">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</sst>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64" sqref="AA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300</v>
      </c>
      <c r="Y64" s="55">
        <f>IFERROR(IF(X64="",0,CEILING((X64/$H64),1)*$H64),"")</f>
        <v>302.40000000000003</v>
      </c>
      <c r="Z64" s="41">
        <f>IFERROR(IF(Y64=0,"",ROUNDUP(Y64/H64,0)*0.01898),"")</f>
        <v>0.53144000000000002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311.38888888888891</v>
      </c>
      <c r="BN64" s="78">
        <f>IFERROR(Y64*I64/H64,"0")</f>
        <v>313.88</v>
      </c>
      <c r="BO64" s="78">
        <f>IFERROR(1/J64*(X64/H64),"0")</f>
        <v>0.43402777777777773</v>
      </c>
      <c r="BP64" s="78">
        <f>IFERROR(1/J64*(Y64/H64),"0")</f>
        <v>0.4375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25</v>
      </c>
      <c r="Y67" s="55">
        <f>IFERROR(IF(X67="",0,CEILING((X67/$H67),1)*$H67),"")</f>
        <v>27</v>
      </c>
      <c r="Z67" s="41">
        <f>IFERROR(IF(Y67=0,"",ROUNDUP(Y67/H67,0)*0.00651),"")</f>
        <v>6.5100000000000005E-2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26.666666666666664</v>
      </c>
      <c r="BN67" s="78">
        <f>IFERROR(Y67*I67/H67,"0")</f>
        <v>28.799999999999994</v>
      </c>
      <c r="BO67" s="78">
        <f>IFERROR(1/J67*(X67/H67),"0")</f>
        <v>5.0875050875050877E-2</v>
      </c>
      <c r="BP67" s="78">
        <f>IFERROR(1/J67*(Y67/H67),"0")</f>
        <v>5.4945054945054951E-2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37.037037037037038</v>
      </c>
      <c r="Y68" s="43">
        <f>IFERROR(Y64/H64,"0")+IFERROR(Y65/H65,"0")+IFERROR(Y66/H66,"0")+IFERROR(Y67/H67,"0")</f>
        <v>38</v>
      </c>
      <c r="Z68" s="43">
        <f>IFERROR(IF(Z64="",0,Z64),"0")+IFERROR(IF(Z65="",0,Z65),"0")+IFERROR(IF(Z66="",0,Z66),"0")+IFERROR(IF(Z67="",0,Z67),"0")</f>
        <v>0.59654000000000007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325</v>
      </c>
      <c r="Y69" s="43">
        <f>IFERROR(SUM(Y64:Y67),"0")</f>
        <v>329.40000000000003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20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20.844444444444449</v>
      </c>
      <c r="BN89" s="78">
        <f>IFERROR(Y89*I89/H89,"0")</f>
        <v>23.450000000000003</v>
      </c>
      <c r="BO89" s="78">
        <f>IFERROR(1/J89*(X89/H89),"0")</f>
        <v>3.3670033670033669E-2</v>
      </c>
      <c r="BP89" s="78">
        <f>IFERROR(1/J89*(Y89/H89),"0")</f>
        <v>3.787878787878788E-2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4.4444444444444446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4.5100000000000001E-2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20</v>
      </c>
      <c r="Y91" s="43">
        <f>IFERROR(SUM(Y85:Y89),"0")</f>
        <v>22.5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120</v>
      </c>
      <c r="Y93" s="55">
        <f t="shared" ref="Y93:Y98" si="5">IFERROR(IF(X93="",0,CEILING((X93/$H93),1)*$H93),"")</f>
        <v>121.5</v>
      </c>
      <c r="Z93" s="41">
        <f>IFERROR(IF(Y93=0,"",ROUNDUP(Y93/H93,0)*0.01898),"")</f>
        <v>0.28470000000000001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127.31851851851852</v>
      </c>
      <c r="BN93" s="78">
        <f t="shared" ref="BN93:BN98" si="7">IFERROR(Y93*I93/H93,"0")</f>
        <v>128.91</v>
      </c>
      <c r="BO93" s="78">
        <f t="shared" ref="BO93:BO98" si="8">IFERROR(1/J93*(X93/H93),"0")</f>
        <v>0.23148148148148148</v>
      </c>
      <c r="BP93" s="78">
        <f t="shared" ref="BP93:BP98" si="9">IFERROR(1/J93*(Y93/H93),"0")</f>
        <v>0.234375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14.814814814814815</v>
      </c>
      <c r="Y99" s="43">
        <f>IFERROR(Y93/H93,"0")+IFERROR(Y94/H94,"0")+IFERROR(Y95/H95,"0")+IFERROR(Y96/H96,"0")+IFERROR(Y97/H97,"0")+IFERROR(Y98/H98,"0")</f>
        <v>15</v>
      </c>
      <c r="Z99" s="43">
        <f>IFERROR(IF(Z93="",0,Z93),"0")+IFERROR(IF(Z94="",0,Z94),"0")+IFERROR(IF(Z95="",0,Z95),"0")+IFERROR(IF(Z96="",0,Z96),"0")+IFERROR(IF(Z97="",0,Z97),"0")+IFERROR(IF(Z98="",0,Z98),"0")</f>
        <v>0.28470000000000001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120</v>
      </c>
      <c r="Y100" s="43">
        <f>IFERROR(SUM(Y93:Y98),"0")</f>
        <v>121.5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10" si="10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51.898148148148145</v>
      </c>
      <c r="BN103" s="78">
        <f t="shared" ref="BN103:BN110" si="12">IFERROR(Y103*I103/H103,"0")</f>
        <v>56.05</v>
      </c>
      <c r="BO103" s="78">
        <f t="shared" ref="BO103:BO110" si="13">IFERROR(1/J103*(X103/H103),"0")</f>
        <v>7.2337962962962965E-2</v>
      </c>
      <c r="BP103" s="78">
        <f t="shared" ref="BP103:BP110" si="14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4.6296296296296298</v>
      </c>
      <c r="Y111" s="43">
        <f>IFERROR(Y103/H103,"0")+IFERROR(Y104/H104,"0")+IFERROR(Y105/H105,"0")+IFERROR(Y106/H106,"0")+IFERROR(Y107/H107,"0")+IFERROR(Y108/H108,"0")+IFERROR(Y109/H109,"0")+IFERROR(Y110/H110,"0")</f>
        <v>5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9.4899999999999998E-2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50</v>
      </c>
      <c r="Y112" s="43">
        <f>IFERROR(SUM(Y103:Y110),"0")</f>
        <v>54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80</v>
      </c>
      <c r="Y118" s="55">
        <f>IFERROR(IF(X118="",0,CEILING((X118/$H118),1)*$H118),"")</f>
        <v>81.599999999999994</v>
      </c>
      <c r="Z118" s="41">
        <f>IFERROR(IF(Y118=0,"",ROUNDUP(Y118/H118,0)*0.00651),"")</f>
        <v>0.22134000000000001</v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86</v>
      </c>
      <c r="BN118" s="78">
        <f>IFERROR(Y118*I118/H118,"0")</f>
        <v>87.72</v>
      </c>
      <c r="BO118" s="78">
        <f>IFERROR(1/J118*(X118/H118),"0")</f>
        <v>0.18315018315018317</v>
      </c>
      <c r="BP118" s="78">
        <f>IFERROR(1/J118*(Y118/H118),"0")</f>
        <v>0.18681318681318682</v>
      </c>
    </row>
    <row r="119" spans="1:68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33.333333333333336</v>
      </c>
      <c r="Y119" s="43">
        <f>IFERROR(Y114/H114,"0")+IFERROR(Y115/H115,"0")+IFERROR(Y116/H116,"0")+IFERROR(Y117/H117,"0")+IFERROR(Y118/H118,"0")</f>
        <v>34</v>
      </c>
      <c r="Z119" s="43">
        <f>IFERROR(IF(Z114="",0,Z114),"0")+IFERROR(IF(Z115="",0,Z115),"0")+IFERROR(IF(Z116="",0,Z116),"0")+IFERROR(IF(Z117="",0,Z117),"0")+IFERROR(IF(Z118="",0,Z118),"0")</f>
        <v>0.22134000000000001</v>
      </c>
      <c r="AA119" s="67"/>
      <c r="AB119" s="67"/>
      <c r="AC119" s="67"/>
    </row>
    <row r="120" spans="1:68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80</v>
      </c>
      <c r="Y120" s="43">
        <f>IFERROR(SUM(Y114:Y118),"0")</f>
        <v>81.599999999999994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260</v>
      </c>
      <c r="Y122" s="55">
        <f t="shared" ref="Y122:Y128" si="15">IFERROR(IF(X122="",0,CEILING((X122/$H122),1)*$H122),"")</f>
        <v>267.3</v>
      </c>
      <c r="Z122" s="41">
        <f>IFERROR(IF(Y122=0,"",ROUNDUP(Y122/H122,0)*0.01898),"")</f>
        <v>0.62634000000000001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275.66419753086416</v>
      </c>
      <c r="BN122" s="78">
        <f t="shared" ref="BN122:BN128" si="17">IFERROR(Y122*I122/H122,"0")</f>
        <v>283.404</v>
      </c>
      <c r="BO122" s="78">
        <f t="shared" ref="BO122:BO128" si="18">IFERROR(1/J122*(X122/H122),"0")</f>
        <v>0.50154320987654322</v>
      </c>
      <c r="BP122" s="78">
        <f t="shared" ref="BP122:BP128" si="19">IFERROR(1/J122*(Y122/H122),"0")</f>
        <v>0.515625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32.098765432098766</v>
      </c>
      <c r="Y129" s="43">
        <f>IFERROR(Y122/H122,"0")+IFERROR(Y123/H123,"0")+IFERROR(Y124/H124,"0")+IFERROR(Y125/H125,"0")+IFERROR(Y126/H126,"0")+IFERROR(Y127/H127,"0")+IFERROR(Y128/H128,"0")</f>
        <v>33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0.62634000000000001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260</v>
      </c>
      <c r="Y130" s="43">
        <f>IFERROR(SUM(Y122:Y128),"0")</f>
        <v>267.3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92</v>
      </c>
      <c r="Y138" s="55">
        <f>IFERROR(IF(X138="",0,CEILING((X138/$H138),1)*$H138),"")</f>
        <v>92.800000000000011</v>
      </c>
      <c r="Z138" s="41">
        <f>IFERROR(IF(Y138=0,"",ROUNDUP(Y138/H138,0)*0.00651),"")</f>
        <v>0.18879000000000001</v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97.174999999999983</v>
      </c>
      <c r="BN138" s="78">
        <f>IFERROR(Y138*I138/H138,"0")</f>
        <v>98.02000000000001</v>
      </c>
      <c r="BO138" s="78">
        <f>IFERROR(1/J138*(X138/H138),"0")</f>
        <v>0.15796703296703299</v>
      </c>
      <c r="BP138" s="78">
        <f>IFERROR(1/J138*(Y138/H138),"0")</f>
        <v>0.15934065934065939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28.75</v>
      </c>
      <c r="Y140" s="43">
        <f>IFERROR(Y138/H138,"0")+IFERROR(Y139/H139,"0")</f>
        <v>29.000000000000004</v>
      </c>
      <c r="Z140" s="43">
        <f>IFERROR(IF(Z138="",0,Z138),"0")+IFERROR(IF(Z139="",0,Z139),"0")</f>
        <v>0.18879000000000001</v>
      </c>
      <c r="AA140" s="67"/>
      <c r="AB140" s="67"/>
      <c r="AC140" s="67"/>
    </row>
    <row r="141" spans="1:68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92</v>
      </c>
      <c r="Y141" s="43">
        <f>IFERROR(SUM(Y138:Y139),"0")</f>
        <v>92.800000000000011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105</v>
      </c>
      <c r="Y143" s="55">
        <f>IFERROR(IF(X143="",0,CEILING((X143/$H143),1)*$H143),"")</f>
        <v>106.39999999999999</v>
      </c>
      <c r="Z143" s="41">
        <f>IFERROR(IF(Y143=0,"",ROUNDUP(Y143/H143,0)*0.00651),"")</f>
        <v>0.24738000000000002</v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115.05</v>
      </c>
      <c r="BN143" s="78">
        <f>IFERROR(Y143*I143/H143,"0")</f>
        <v>116.58399999999999</v>
      </c>
      <c r="BO143" s="78">
        <f>IFERROR(1/J143*(X143/H143),"0")</f>
        <v>0.20604395604395606</v>
      </c>
      <c r="BP143" s="78">
        <f>IFERROR(1/J143*(Y143/H143),"0")</f>
        <v>0.2087912087912088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37.5</v>
      </c>
      <c r="Y145" s="43">
        <f>IFERROR(Y143/H143,"0")+IFERROR(Y144/H144,"0")</f>
        <v>38</v>
      </c>
      <c r="Z145" s="43">
        <f>IFERROR(IF(Z143="",0,Z143),"0")+IFERROR(IF(Z144="",0,Z144),"0")</f>
        <v>0.24738000000000002</v>
      </c>
      <c r="AA145" s="67"/>
      <c r="AB145" s="67"/>
      <c r="AC145" s="67"/>
    </row>
    <row r="146" spans="1:68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105</v>
      </c>
      <c r="Y146" s="43">
        <f>IFERROR(SUM(Y143:Y144),"0")</f>
        <v>106.39999999999999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10</v>
      </c>
      <c r="Y148" s="55">
        <f>IFERROR(IF(X148="",0,CEILING((X148/$H148),1)*$H148),"")</f>
        <v>10.56</v>
      </c>
      <c r="Z148" s="41">
        <f>IFERROR(IF(Y148=0,"",ROUNDUP(Y148/H148,0)*0.00651),"")</f>
        <v>2.6040000000000001E-2</v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11.015151515151514</v>
      </c>
      <c r="BN148" s="78">
        <f>IFERROR(Y148*I148/H148,"0")</f>
        <v>11.632</v>
      </c>
      <c r="BO148" s="78">
        <f>IFERROR(1/J148*(X148/H148),"0")</f>
        <v>2.0812520812520812E-2</v>
      </c>
      <c r="BP148" s="78">
        <f>IFERROR(1/J148*(Y148/H148),"0")</f>
        <v>2.197802197802198E-2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3.7878787878787876</v>
      </c>
      <c r="Y150" s="43">
        <f>IFERROR(Y148/H148,"0")+IFERROR(Y149/H149,"0")</f>
        <v>4</v>
      </c>
      <c r="Z150" s="43">
        <f>IFERROR(IF(Z148="",0,Z148),"0")+IFERROR(IF(Z149="",0,Z149),"0")</f>
        <v>2.6040000000000001E-2</v>
      </c>
      <c r="AA150" s="67"/>
      <c r="AB150" s="67"/>
      <c r="AC150" s="67"/>
    </row>
    <row r="151" spans="1:68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10</v>
      </c>
      <c r="Y151" s="43">
        <f>IFERROR(SUM(Y148:Y149),"0")</f>
        <v>10.56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70</v>
      </c>
      <c r="Y180" s="55">
        <f t="shared" ref="Y180:Y191" si="26">IFERROR(IF(X180="",0,CEILING((X180/$H180),1)*$H180),"")</f>
        <v>70</v>
      </c>
      <c r="Z180" s="41">
        <f>IFERROR(IF(Y180=0,"",ROUNDUP(Y180/H180,0)*0.00902),"")</f>
        <v>0.1804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73.8</v>
      </c>
      <c r="BN180" s="78">
        <f t="shared" ref="BN180:BN191" si="28">IFERROR(Y180*I180/H180,"0")</f>
        <v>73.8</v>
      </c>
      <c r="BO180" s="78">
        <f t="shared" ref="BO180:BO191" si="29">IFERROR(1/J180*(X180/H180),"0")</f>
        <v>0.15151515151515152</v>
      </c>
      <c r="BP180" s="78">
        <f t="shared" ref="BP180:BP191" si="30">IFERROR(1/J180*(Y180/H180),"0")</f>
        <v>0.15151515151515152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70</v>
      </c>
      <c r="Y183" s="55">
        <f t="shared" si="26"/>
        <v>70</v>
      </c>
      <c r="Z183" s="41">
        <f>IFERROR(IF(Y183=0,"",ROUNDUP(Y183/H183,0)*0.00902),"")</f>
        <v>0.1804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73.8</v>
      </c>
      <c r="BN183" s="78">
        <f t="shared" si="28"/>
        <v>73.8</v>
      </c>
      <c r="BO183" s="78">
        <f t="shared" si="29"/>
        <v>0.15151515151515152</v>
      </c>
      <c r="BP183" s="78">
        <f t="shared" si="30"/>
        <v>0.15151515151515152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40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40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0.36080000000000001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140</v>
      </c>
      <c r="Y193" s="43">
        <f>IFERROR(SUM(Y180:Y191),"0")</f>
        <v>140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20</v>
      </c>
      <c r="Y226" s="55">
        <f t="shared" ref="Y226:Y239" si="37">IFERROR(IF(X226="",0,CEILING((X226/$H226),1)*$H226),"")</f>
        <v>21</v>
      </c>
      <c r="Z226" s="41">
        <f>IFERROR(IF(Y226=0,"",ROUNDUP(Y226/H226,0)*0.00902),"")</f>
        <v>4.5100000000000001E-2</v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21.19047619047619</v>
      </c>
      <c r="BN226" s="78">
        <f t="shared" ref="BN226:BN239" si="39">IFERROR(Y226*I226/H226,"0")</f>
        <v>22.25</v>
      </c>
      <c r="BO226" s="78">
        <f t="shared" ref="BO226:BO239" si="40">IFERROR(1/J226*(X226/H226),"0")</f>
        <v>3.6075036075036072E-2</v>
      </c>
      <c r="BP226" s="78">
        <f t="shared" ref="BP226:BP239" si="41">IFERROR(1/J226*(Y226/H226),"0")</f>
        <v>3.787878787878788E-2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30</v>
      </c>
      <c r="Y228" s="55">
        <f t="shared" si="37"/>
        <v>33.6</v>
      </c>
      <c r="Z228" s="41">
        <f>IFERROR(IF(Y228=0,"",ROUNDUP(Y228/H228,0)*0.00902),"")</f>
        <v>7.2160000000000002E-2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31.357142857142854</v>
      </c>
      <c r="BN228" s="78">
        <f t="shared" si="39"/>
        <v>35.119999999999997</v>
      </c>
      <c r="BO228" s="78">
        <f t="shared" si="40"/>
        <v>5.4112554112554112E-2</v>
      </c>
      <c r="BP228" s="78">
        <f t="shared" si="41"/>
        <v>6.0606060606060608E-2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11.904761904761905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13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0.11726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50</v>
      </c>
      <c r="Y241" s="43">
        <f>IFERROR(SUM(Y226:Y239),"0")</f>
        <v>54.6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81</v>
      </c>
      <c r="Y263" s="55">
        <f>IFERROR(IF(X263="",0,CEILING((X263/$H263),1)*$H263),"")</f>
        <v>81</v>
      </c>
      <c r="Z263" s="41">
        <f>IFERROR(IF(Y263=0,"",ROUNDUP(Y263/H263,0)*0.00651),"")</f>
        <v>0.1953</v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86.399999999999991</v>
      </c>
      <c r="BN263" s="78">
        <f>IFERROR(Y263*I263/H263,"0")</f>
        <v>86.399999999999991</v>
      </c>
      <c r="BO263" s="78">
        <f>IFERROR(1/J263*(X263/H263),"0")</f>
        <v>0.16483516483516483</v>
      </c>
      <c r="BP263" s="78">
        <f>IFERROR(1/J263*(Y263/H263),"0")</f>
        <v>0.16483516483516483</v>
      </c>
    </row>
    <row r="264" spans="1:68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29.999999999999996</v>
      </c>
      <c r="Y264" s="43">
        <f>IFERROR(Y262/H262,"0")+IFERROR(Y263/H263,"0")</f>
        <v>29.999999999999996</v>
      </c>
      <c r="Z264" s="43">
        <f>IFERROR(IF(Z262="",0,Z262),"0")+IFERROR(IF(Z263="",0,Z263),"0")</f>
        <v>0.1953</v>
      </c>
      <c r="AA264" s="67"/>
      <c r="AB264" s="67"/>
      <c r="AC264" s="67"/>
    </row>
    <row r="265" spans="1:68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81</v>
      </c>
      <c r="Y265" s="43">
        <f>IFERROR(SUM(Y262:Y263),"0")</f>
        <v>81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150</v>
      </c>
      <c r="Y272" s="55">
        <f t="shared" ref="Y272:Y279" si="43">IFERROR(IF(X272="",0,CEILING((X272/$H272),1)*$H272),"")</f>
        <v>151.20000000000002</v>
      </c>
      <c r="Z272" s="41">
        <f>IFERROR(IF(Y272=0,"",ROUNDUP(Y272/H272,0)*0.00902),"")</f>
        <v>0.25256000000000001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155.27777777777777</v>
      </c>
      <c r="BN272" s="78">
        <f t="shared" ref="BN272:BN279" si="45">IFERROR(Y272*I272/H272,"0")</f>
        <v>156.52000000000001</v>
      </c>
      <c r="BO272" s="78">
        <f t="shared" ref="BO272:BO279" si="46">IFERROR(1/J272*(X272/H272),"0")</f>
        <v>0.21043771043771042</v>
      </c>
      <c r="BP272" s="78">
        <f t="shared" ref="BP272:BP279" si="47">IFERROR(1/J272*(Y272/H272),"0")</f>
        <v>0.21212121212121213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43"/>
        <v>124.2</v>
      </c>
      <c r="Z273" s="41">
        <f>IFERROR(IF(Y273=0,"",ROUNDUP(Y273/H273,0)*0.00902),"")</f>
        <v>0.20746000000000001</v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124.2222222222222</v>
      </c>
      <c r="BN273" s="78">
        <f t="shared" si="45"/>
        <v>128.57</v>
      </c>
      <c r="BO273" s="78">
        <f t="shared" si="46"/>
        <v>0.16835016835016836</v>
      </c>
      <c r="BP273" s="78">
        <f t="shared" si="47"/>
        <v>0.17424242424242425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170</v>
      </c>
      <c r="Y274" s="55">
        <f t="shared" si="43"/>
        <v>172.8</v>
      </c>
      <c r="Z274" s="41">
        <f>IFERROR(IF(Y274=0,"",ROUNDUP(Y274/H274,0)*0.00902),"")</f>
        <v>0.28864000000000001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175.98148148148147</v>
      </c>
      <c r="BN274" s="78">
        <f t="shared" si="45"/>
        <v>178.88</v>
      </c>
      <c r="BO274" s="78">
        <f t="shared" si="46"/>
        <v>0.23849607182940516</v>
      </c>
      <c r="BP274" s="78">
        <f t="shared" si="47"/>
        <v>0.24242424242424243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200</v>
      </c>
      <c r="Y275" s="55">
        <f t="shared" si="43"/>
        <v>205.20000000000002</v>
      </c>
      <c r="Z275" s="41">
        <f>IFERROR(IF(Y275=0,"",ROUNDUP(Y275/H275,0)*0.00902),"")</f>
        <v>0.34276000000000001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207.03703703703701</v>
      </c>
      <c r="BN275" s="78">
        <f t="shared" si="45"/>
        <v>212.42</v>
      </c>
      <c r="BO275" s="78">
        <f t="shared" si="46"/>
        <v>0.28058361391694725</v>
      </c>
      <c r="BP275" s="78">
        <f t="shared" si="47"/>
        <v>0.2878787878787879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118.51851851851852</v>
      </c>
      <c r="Y280" s="43">
        <f>IFERROR(Y272/H272,"0")+IFERROR(Y273/H273,"0")+IFERROR(Y274/H274,"0")+IFERROR(Y275/H275,"0")+IFERROR(Y276/H276,"0")+IFERROR(Y277/H277,"0")+IFERROR(Y278/H278,"0")+IFERROR(Y279/H279,"0")</f>
        <v>121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1.0914200000000001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640</v>
      </c>
      <c r="Y281" s="43">
        <f>IFERROR(SUM(Y272:Y279),"0")</f>
        <v>653.40000000000009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50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52.938271604938272</v>
      </c>
      <c r="BN284" s="78">
        <f t="shared" si="50"/>
        <v>60.031999999999996</v>
      </c>
      <c r="BO284" s="78">
        <f t="shared" si="51"/>
        <v>9.6450617283950615E-2</v>
      </c>
      <c r="BP284" s="78">
        <f t="shared" si="52"/>
        <v>0.109375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72</v>
      </c>
      <c r="Y292" s="55">
        <f t="shared" si="48"/>
        <v>72</v>
      </c>
      <c r="Z292" s="41">
        <f>IFERROR(IF(Y292=0,"",ROUNDUP(Y292/H292,0)*0.00651),"")</f>
        <v>0.1953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79.560000000000016</v>
      </c>
      <c r="BN292" s="78">
        <f t="shared" si="50"/>
        <v>79.560000000000016</v>
      </c>
      <c r="BO292" s="78">
        <f t="shared" si="51"/>
        <v>0.16483516483516486</v>
      </c>
      <c r="BP292" s="78">
        <f t="shared" si="52"/>
        <v>0.16483516483516486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12</v>
      </c>
      <c r="Y293" s="55">
        <f t="shared" si="48"/>
        <v>12</v>
      </c>
      <c r="Z293" s="41">
        <f>IFERROR(IF(Y293=0,"",ROUNDUP(Y293/H293,0)*0.00651),"")</f>
        <v>3.2550000000000003E-2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13.290000000000001</v>
      </c>
      <c r="BN293" s="78">
        <f t="shared" si="50"/>
        <v>13.290000000000001</v>
      </c>
      <c r="BO293" s="78">
        <f t="shared" si="51"/>
        <v>2.7472527472527476E-2</v>
      </c>
      <c r="BP293" s="78">
        <f t="shared" si="52"/>
        <v>2.7472527472527476E-2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41.172839506172842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42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0.36071000000000003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134</v>
      </c>
      <c r="Y296" s="43">
        <f>IFERROR(SUM(Y283:Y294),"0")</f>
        <v>140.69999999999999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20</v>
      </c>
      <c r="Y359" s="55">
        <f>IFERROR(IF(X359="",0,CEILING((X359/$H359),1)*$H359),"")</f>
        <v>23.4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21.051282051282055</v>
      </c>
      <c r="BN359" s="78">
        <f>IFERROR(Y359*I359/H359,"0")</f>
        <v>24.630000000000003</v>
      </c>
      <c r="BO359" s="78">
        <f>IFERROR(1/J359*(X359/H359),"0")</f>
        <v>4.0064102564102567E-2</v>
      </c>
      <c r="BP359" s="78">
        <f>IFERROR(1/J359*(Y359/H359),"0")</f>
        <v>4.6875E-2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20</v>
      </c>
      <c r="Y360" s="55">
        <f>IFERROR(IF(X360="",0,CEILING((X360/$H360),1)*$H360),"")</f>
        <v>23.4</v>
      </c>
      <c r="Z360" s="41">
        <f>IFERROR(IF(Y360=0,"",ROUNDUP(Y360/H360,0)*0.01898),"")</f>
        <v>5.6940000000000004E-2</v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21.051282051282055</v>
      </c>
      <c r="BN360" s="78">
        <f>IFERROR(Y360*I360/H360,"0")</f>
        <v>24.630000000000003</v>
      </c>
      <c r="BO360" s="78">
        <f>IFERROR(1/J360*(X360/H360),"0")</f>
        <v>4.0064102564102567E-2</v>
      </c>
      <c r="BP360" s="78">
        <f>IFERROR(1/J360*(Y360/H360),"0")</f>
        <v>4.6875E-2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5.1282051282051286</v>
      </c>
      <c r="Y362" s="43">
        <f>IFERROR(Y359/H359,"0")+IFERROR(Y360/H360,"0")+IFERROR(Y361/H361,"0")</f>
        <v>6</v>
      </c>
      <c r="Z362" s="43">
        <f>IFERROR(IF(Z359="",0,Z359),"0")+IFERROR(IF(Z360="",0,Z360),"0")+IFERROR(IF(Z361="",0,Z361),"0")</f>
        <v>0.11388000000000001</v>
      </c>
      <c r="AA362" s="67"/>
      <c r="AB362" s="67"/>
      <c r="AC362" s="67"/>
    </row>
    <row r="363" spans="1:68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40</v>
      </c>
      <c r="Y363" s="43">
        <f>IFERROR(SUM(Y359:Y361),"0")</f>
        <v>46.8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200</v>
      </c>
      <c r="Y376" s="55">
        <f t="shared" si="63"/>
        <v>201.60000000000002</v>
      </c>
      <c r="Z376" s="41">
        <f>IFERROR(IF(Y376=0,"",ROUNDUP(Y376/H376,0)*0.00902),"")</f>
        <v>0.43296000000000001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211.9047619047619</v>
      </c>
      <c r="BN376" s="78">
        <f t="shared" si="65"/>
        <v>213.60000000000002</v>
      </c>
      <c r="BO376" s="78">
        <f t="shared" si="66"/>
        <v>0.36075036075036077</v>
      </c>
      <c r="BP376" s="78">
        <f t="shared" si="67"/>
        <v>0.36363636363636365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47.61904761904762</v>
      </c>
      <c r="Y382" s="43">
        <f>IFERROR(Y375/H375,"0")+IFERROR(Y376/H376,"0")+IFERROR(Y377/H377,"0")+IFERROR(Y378/H378,"0")+IFERROR(Y379/H379,"0")+IFERROR(Y380/H380,"0")+IFERROR(Y381/H381,"0")</f>
        <v>48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0.43296000000000001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200</v>
      </c>
      <c r="Y383" s="43">
        <f>IFERROR(SUM(Y375:Y381),"0")</f>
        <v>201.60000000000002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40</v>
      </c>
      <c r="Y386" s="55">
        <f>IFERROR(IF(X386="",0,CEILING((X386/$H386),1)*$H386),"")</f>
        <v>46.8</v>
      </c>
      <c r="Z386" s="41">
        <f>IFERROR(IF(Y386=0,"",ROUNDUP(Y386/H386,0)*0.01898),"")</f>
        <v>0.11388000000000001</v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42.533333333333331</v>
      </c>
      <c r="BN386" s="78">
        <f>IFERROR(Y386*I386/H386,"0")</f>
        <v>49.764000000000003</v>
      </c>
      <c r="BO386" s="78">
        <f>IFERROR(1/J386*(X386/H386),"0")</f>
        <v>8.0128205128205135E-2</v>
      </c>
      <c r="BP386" s="78">
        <f>IFERROR(1/J386*(Y386/H386),"0")</f>
        <v>9.375E-2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5.1282051282051286</v>
      </c>
      <c r="Y389" s="43">
        <f>IFERROR(Y385/H385,"0")+IFERROR(Y386/H386,"0")+IFERROR(Y387/H387,"0")+IFERROR(Y388/H388,"0")</f>
        <v>6</v>
      </c>
      <c r="Z389" s="43">
        <f>IFERROR(IF(Z385="",0,Z385),"0")+IFERROR(IF(Z386="",0,Z386),"0")+IFERROR(IF(Z387="",0,Z387),"0")+IFERROR(IF(Z388="",0,Z388),"0")</f>
        <v>0.11388000000000001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40</v>
      </c>
      <c r="Y390" s="43">
        <f>IFERROR(SUM(Y385:Y388),"0")</f>
        <v>46.8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101.39999999999999</v>
      </c>
      <c r="Z393" s="41">
        <f>IFERROR(IF(Y393=0,"",ROUNDUP(Y393/H393,0)*0.01898),"")</f>
        <v>0.24674000000000001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106.33333333333334</v>
      </c>
      <c r="BN393" s="78">
        <f>IFERROR(Y393*I393/H393,"0")</f>
        <v>107.82199999999999</v>
      </c>
      <c r="BO393" s="78">
        <f>IFERROR(1/J393*(X393/H393),"0")</f>
        <v>0.20032051282051283</v>
      </c>
      <c r="BP393" s="78">
        <f>IFERROR(1/J393*(Y393/H393),"0")</f>
        <v>0.203125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12.820512820512821</v>
      </c>
      <c r="Y395" s="43">
        <f>IFERROR(Y392/H392,"0")+IFERROR(Y393/H393,"0")+IFERROR(Y394/H394,"0")</f>
        <v>13</v>
      </c>
      <c r="Z395" s="43">
        <f>IFERROR(IF(Z392="",0,Z392),"0")+IFERROR(IF(Z393="",0,Z393),"0")+IFERROR(IF(Z394="",0,Z394),"0")</f>
        <v>0.24674000000000001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100</v>
      </c>
      <c r="Y396" s="43">
        <f>IFERROR(SUM(Y392:Y394),"0")</f>
        <v>101.39999999999999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156</v>
      </c>
      <c r="Z419" s="41">
        <f>IFERROR(IF(Y419=0,"",ROUNDUP(Y419/H419,0)*0.01898),"")</f>
        <v>0.37959999999999999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157.88461538461542</v>
      </c>
      <c r="BN419" s="78">
        <f>IFERROR(Y419*I419/H419,"0")</f>
        <v>164.20000000000005</v>
      </c>
      <c r="BO419" s="78">
        <f>IFERROR(1/J419*(X419/H419),"0")</f>
        <v>0.30048076923076922</v>
      </c>
      <c r="BP419" s="78">
        <f>IFERROR(1/J419*(Y419/H419),"0")</f>
        <v>0.3125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19.23076923076923</v>
      </c>
      <c r="Y420" s="43">
        <f>IFERROR(Y418/H418,"0")+IFERROR(Y419/H419,"0")</f>
        <v>20</v>
      </c>
      <c r="Z420" s="43">
        <f>IFERROR(IF(Z418="",0,Z418),"0")+IFERROR(IF(Z419="",0,Z419),"0")</f>
        <v>0.37959999999999999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150</v>
      </c>
      <c r="Y421" s="43">
        <f>IFERROR(SUM(Y418:Y419),"0")</f>
        <v>156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90</v>
      </c>
      <c r="Y424" s="55">
        <f>IFERROR(IF(X424="",0,CEILING((X424/$H424),1)*$H424),"")</f>
        <v>97.199999999999989</v>
      </c>
      <c r="Z424" s="41">
        <f>IFERROR(IF(Y424=0,"",ROUNDUP(Y424/H424,0)*0.01898),"")</f>
        <v>0.22776000000000002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95.48888888888888</v>
      </c>
      <c r="BN424" s="78">
        <f>IFERROR(Y424*I424/H424,"0")</f>
        <v>103.12799999999999</v>
      </c>
      <c r="BO424" s="78">
        <f>IFERROR(1/J424*(X424/H424),"0")</f>
        <v>0.1736111111111111</v>
      </c>
      <c r="BP424" s="78">
        <f>IFERROR(1/J424*(Y424/H424),"0")</f>
        <v>0.1875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21</v>
      </c>
      <c r="Y425" s="55">
        <f>IFERROR(IF(X425="",0,CEILING((X425/$H425),1)*$H425),"")</f>
        <v>21</v>
      </c>
      <c r="Z425" s="41">
        <f>IFERROR(IF(Y425=0,"",ROUNDUP(Y425/H425,0)*0.00651),"")</f>
        <v>6.5100000000000005E-2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23.519999999999996</v>
      </c>
      <c r="BN425" s="78">
        <f>IFERROR(Y425*I425/H425,"0")</f>
        <v>23.519999999999996</v>
      </c>
      <c r="BO425" s="78">
        <f>IFERROR(1/J425*(X425/H425),"0")</f>
        <v>5.4945054945054951E-2</v>
      </c>
      <c r="BP425" s="78">
        <f>IFERROR(1/J425*(Y425/H425),"0")</f>
        <v>5.4945054945054951E-2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10</v>
      </c>
      <c r="Y426" s="55">
        <f>IFERROR(IF(X426="",0,CEILING((X426/$H426),1)*$H426),"")</f>
        <v>10.5</v>
      </c>
      <c r="Z426" s="41">
        <f>IFERROR(IF(Y426=0,"",ROUNDUP(Y426/H426,0)*0.00651),"")</f>
        <v>3.2550000000000003E-2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11.142857142857142</v>
      </c>
      <c r="BN426" s="78">
        <f>IFERROR(Y426*I426/H426,"0")</f>
        <v>11.7</v>
      </c>
      <c r="BO426" s="78">
        <f>IFERROR(1/J426*(X426/H426),"0")</f>
        <v>2.6164311878597593E-2</v>
      </c>
      <c r="BP426" s="78">
        <f>IFERROR(1/J426*(Y426/H426),"0")</f>
        <v>2.7472527472527476E-2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25.873015873015873</v>
      </c>
      <c r="Y427" s="43">
        <f>IFERROR(Y424/H424,"0")+IFERROR(Y425/H425,"0")+IFERROR(Y426/H426,"0")</f>
        <v>27</v>
      </c>
      <c r="Z427" s="43">
        <f>IFERROR(IF(Z424="",0,Z424),"0")+IFERROR(IF(Z425="",0,Z425),"0")+IFERROR(IF(Z426="",0,Z426),"0")</f>
        <v>0.32541000000000003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121</v>
      </c>
      <c r="Y428" s="43">
        <f>IFERROR(SUM(Y424:Y426),"0")</f>
        <v>128.69999999999999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2750</v>
      </c>
      <c r="Y433" s="55">
        <f t="shared" si="68"/>
        <v>2760</v>
      </c>
      <c r="Z433" s="41">
        <f>IFERROR(IF(Y433=0,"",ROUNDUP(Y433/H433,0)*0.02175),"")</f>
        <v>4.0019999999999998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2836.1666666666665</v>
      </c>
      <c r="BN433" s="78">
        <f t="shared" si="70"/>
        <v>2846.4800000000005</v>
      </c>
      <c r="BO433" s="78">
        <f t="shared" si="71"/>
        <v>3.8194444444444446</v>
      </c>
      <c r="BP433" s="78">
        <f t="shared" si="72"/>
        <v>3.833333333333333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2750</v>
      </c>
      <c r="Y434" s="55">
        <f t="shared" si="68"/>
        <v>2760</v>
      </c>
      <c r="Z434" s="41">
        <f>IFERROR(IF(Y434=0,"",ROUNDUP(Y434/H434,0)*0.02175),"")</f>
        <v>4.0019999999999998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2836.1666666666665</v>
      </c>
      <c r="BN434" s="78">
        <f t="shared" si="70"/>
        <v>2846.4800000000005</v>
      </c>
      <c r="BO434" s="78">
        <f t="shared" si="71"/>
        <v>3.8194444444444446</v>
      </c>
      <c r="BP434" s="78">
        <f t="shared" si="72"/>
        <v>3.833333333333333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4500</v>
      </c>
      <c r="Y436" s="55">
        <f t="shared" si="68"/>
        <v>4500</v>
      </c>
      <c r="Z436" s="41">
        <f>IFERROR(IF(Y436=0,"",ROUNDUP(Y436/H436,0)*0.02175),"")</f>
        <v>6.5249999999999995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4641</v>
      </c>
      <c r="BN436" s="78">
        <f t="shared" si="70"/>
        <v>4641</v>
      </c>
      <c r="BO436" s="78">
        <f t="shared" si="71"/>
        <v>6.25</v>
      </c>
      <c r="BP436" s="78">
        <f t="shared" si="72"/>
        <v>6.25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666.66666666666674</v>
      </c>
      <c r="Y440" s="43">
        <f>IFERROR(Y432/H432,"0")+IFERROR(Y433/H433,"0")+IFERROR(Y434/H434,"0")+IFERROR(Y435/H435,"0")+IFERROR(Y436/H436,"0")+IFERROR(Y437/H437,"0")+IFERROR(Y438/H438,"0")+IFERROR(Y439/H439,"0")</f>
        <v>668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14.529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10000</v>
      </c>
      <c r="Y441" s="43">
        <f>IFERROR(SUM(Y432:Y439),"0")</f>
        <v>10020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2750</v>
      </c>
      <c r="Y443" s="55">
        <f>IFERROR(IF(X443="",0,CEILING((X443/$H443),1)*$H443),"")</f>
        <v>2760</v>
      </c>
      <c r="Z443" s="41">
        <f>IFERROR(IF(Y443=0,"",ROUNDUP(Y443/H443,0)*0.02175),"")</f>
        <v>4.0019999999999998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2836.1666666666665</v>
      </c>
      <c r="BN443" s="78">
        <f>IFERROR(Y443*I443/H443,"0")</f>
        <v>2846.4800000000005</v>
      </c>
      <c r="BO443" s="78">
        <f>IFERROR(1/J443*(X443/H443),"0")</f>
        <v>3.8194444444444446</v>
      </c>
      <c r="BP443" s="78">
        <f>IFERROR(1/J443*(Y443/H443),"0")</f>
        <v>3.833333333333333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183.33333333333334</v>
      </c>
      <c r="Y446" s="43">
        <f>IFERROR(Y443/H443,"0")+IFERROR(Y444/H444,"0")+IFERROR(Y445/H445,"0")</f>
        <v>184</v>
      </c>
      <c r="Z446" s="43">
        <f>IFERROR(IF(Z443="",0,Z443),"0")+IFERROR(IF(Z444="",0,Z444),"0")+IFERROR(IF(Z445="",0,Z445),"0")</f>
        <v>4.0019999999999998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2750</v>
      </c>
      <c r="Y447" s="43">
        <f>IFERROR(SUM(Y443:Y445),"0")</f>
        <v>2760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1000</v>
      </c>
      <c r="Y449" s="55">
        <f>IFERROR(IF(X449="",0,CEILING((X449/$H449),1)*$H449),"")</f>
        <v>1008</v>
      </c>
      <c r="Z449" s="41">
        <f>IFERROR(IF(Y449=0,"",ROUNDUP(Y449/H449,0)*0.01898),"")</f>
        <v>2.1257600000000001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1055.5555555555557</v>
      </c>
      <c r="BN449" s="78">
        <f>IFERROR(Y449*I449/H449,"0")</f>
        <v>1064</v>
      </c>
      <c r="BO449" s="78">
        <f>IFERROR(1/J449*(X449/H449),"0")</f>
        <v>1.7361111111111112</v>
      </c>
      <c r="BP449" s="78">
        <f>IFERROR(1/J449*(Y449/H449),"0")</f>
        <v>1.75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306</v>
      </c>
      <c r="Z450" s="41">
        <f>IFERROR(IF(Y450=0,"",ROUNDUP(Y450/H450,0)*0.01898),"")</f>
        <v>0.64532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316.46666666666664</v>
      </c>
      <c r="BN450" s="78">
        <f>IFERROR(Y450*I450/H450,"0")</f>
        <v>322.79599999999999</v>
      </c>
      <c r="BO450" s="78">
        <f>IFERROR(1/J450*(X450/H450),"0")</f>
        <v>0.52083333333333337</v>
      </c>
      <c r="BP450" s="78">
        <f>IFERROR(1/J450*(Y450/H450),"0")</f>
        <v>0.53125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40</v>
      </c>
      <c r="Y451" s="55">
        <f>IFERROR(IF(X451="",0,CEILING((X451/$H451),1)*$H451),"")</f>
        <v>43.199999999999996</v>
      </c>
      <c r="Z451" s="41">
        <f>IFERROR(IF(Y451=0,"",ROUNDUP(Y451/H451,0)*0.01196),"")</f>
        <v>0.10764</v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43.466666666666669</v>
      </c>
      <c r="BN451" s="78">
        <f>IFERROR(Y451*I451/H451,"0")</f>
        <v>46.944000000000003</v>
      </c>
      <c r="BO451" s="78">
        <f>IFERROR(1/J451*(X451/H451),"0")</f>
        <v>8.0128205128205135E-2</v>
      </c>
      <c r="BP451" s="78">
        <f>IFERROR(1/J451*(Y451/H451),"0")</f>
        <v>8.6538461538461536E-2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152.7777777777778</v>
      </c>
      <c r="Y452" s="43">
        <f>IFERROR(Y449/H449,"0")+IFERROR(Y450/H450,"0")+IFERROR(Y451/H451,"0")</f>
        <v>155</v>
      </c>
      <c r="Z452" s="43">
        <f>IFERROR(IF(Z449="",0,Z449),"0")+IFERROR(IF(Z450="",0,Z450),"0")+IFERROR(IF(Z451="",0,Z451),"0")</f>
        <v>2.8787199999999999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1340</v>
      </c>
      <c r="Y453" s="43">
        <f>IFERROR(SUM(Y449:Y451),"0")</f>
        <v>1357.2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70</v>
      </c>
      <c r="Y456" s="55">
        <f>IFERROR(IF(X456="",0,CEILING((X456/$H456),1)*$H456),"")</f>
        <v>72</v>
      </c>
      <c r="Z456" s="41">
        <f>IFERROR(IF(Y456=0,"",ROUNDUP(Y456/H456,0)*0.01898),"")</f>
        <v>0.15184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73.842222222222219</v>
      </c>
      <c r="BN456" s="78">
        <f>IFERROR(Y456*I456/H456,"0")</f>
        <v>75.951999999999998</v>
      </c>
      <c r="BO456" s="78">
        <f>IFERROR(1/J456*(X456/H456),"0")</f>
        <v>0.12152777777777778</v>
      </c>
      <c r="BP456" s="78">
        <f>IFERROR(1/J456*(Y456/H456),"0")</f>
        <v>0.125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7.7777777777777777</v>
      </c>
      <c r="Y457" s="43">
        <f>IFERROR(Y455/H455,"0")+IFERROR(Y456/H456,"0")</f>
        <v>8</v>
      </c>
      <c r="Z457" s="43">
        <f>IFERROR(IF(Z455="",0,Z455),"0")+IFERROR(IF(Z456="",0,Z456),"0")</f>
        <v>0.15184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70</v>
      </c>
      <c r="Y458" s="43">
        <f>IFERROR(SUM(Y455:Y456),"0")</f>
        <v>72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30</v>
      </c>
      <c r="Y466" s="55">
        <f>IFERROR(IF(X466="",0,CEILING((X466/$H466),1)*$H466),"")</f>
        <v>33.6</v>
      </c>
      <c r="Z466" s="41">
        <f>IFERROR(IF(Y466=0,"",ROUNDUP(Y466/H466,0)*0.00902),"")</f>
        <v>7.2160000000000002E-2</v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31.785714285714285</v>
      </c>
      <c r="BN466" s="78">
        <f>IFERROR(Y466*I466/H466,"0")</f>
        <v>35.6</v>
      </c>
      <c r="BO466" s="78">
        <f>IFERROR(1/J466*(X466/H466),"0")</f>
        <v>5.4112554112554112E-2</v>
      </c>
      <c r="BP466" s="78">
        <f>IFERROR(1/J466*(Y466/H466),"0")</f>
        <v>6.0606060606060608E-2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7.1428571428571423</v>
      </c>
      <c r="Y467" s="43">
        <f>IFERROR(Y466/H466,"0")</f>
        <v>8</v>
      </c>
      <c r="Z467" s="43">
        <f>IFERROR(IF(Z466="",0,Z466),"0")</f>
        <v>7.2160000000000002E-2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30</v>
      </c>
      <c r="Y468" s="43">
        <f>IFERROR(SUM(Y466:Y466),"0")</f>
        <v>33.6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100</v>
      </c>
      <c r="Y470" s="55">
        <f>IFERROR(IF(X470="",0,CEILING((X470/$H470),1)*$H470),"")</f>
        <v>108</v>
      </c>
      <c r="Z470" s="41">
        <f>IFERROR(IF(Y470=0,"",ROUNDUP(Y470/H470,0)*0.01898),"")</f>
        <v>0.22776000000000002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105.48888888888888</v>
      </c>
      <c r="BN470" s="78">
        <f>IFERROR(Y470*I470/H470,"0")</f>
        <v>113.92799999999998</v>
      </c>
      <c r="BO470" s="78">
        <f>IFERROR(1/J470*(X470/H470),"0")</f>
        <v>0.1736111111111111</v>
      </c>
      <c r="BP470" s="78">
        <f>IFERROR(1/J470*(Y470/H470),"0")</f>
        <v>0.1875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11.111111111111111</v>
      </c>
      <c r="Y473" s="43">
        <f>IFERROR(Y470/H470,"0")+IFERROR(Y471/H471,"0")+IFERROR(Y472/H472,"0")</f>
        <v>12</v>
      </c>
      <c r="Z473" s="43">
        <f>IFERROR(IF(Z470="",0,Z470),"0")+IFERROR(IF(Z471="",0,Z471),"0")+IFERROR(IF(Z472="",0,Z472),"0")</f>
        <v>0.22776000000000002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100</v>
      </c>
      <c r="Y474" s="43">
        <f>IFERROR(SUM(Y470:Y472),"0")</f>
        <v>108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70</v>
      </c>
      <c r="Y478" s="55">
        <f t="shared" ref="Y478:Y483" si="73">IFERROR(IF(X478="",0,CEILING((X478/$H478),1)*$H478),"")</f>
        <v>70.2</v>
      </c>
      <c r="Z478" s="41">
        <f>IFERROR(IF(Y478=0,"",ROUNDUP(Y478/H478,0)*0.00902),"")</f>
        <v>0.11726</v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72.462962962962962</v>
      </c>
      <c r="BN478" s="78">
        <f t="shared" ref="BN478:BN483" si="75">IFERROR(Y478*I478/H478,"0")</f>
        <v>72.67</v>
      </c>
      <c r="BO478" s="78">
        <f t="shared" ref="BO478:BO483" si="76">IFERROR(1/J478*(X478/H478),"0")</f>
        <v>9.8204264870931535E-2</v>
      </c>
      <c r="BP478" s="78">
        <f t="shared" ref="BP478:BP483" si="77">IFERROR(1/J478*(Y478/H478),"0")</f>
        <v>9.8484848484848481E-2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30</v>
      </c>
      <c r="Y479" s="55">
        <f t="shared" si="73"/>
        <v>32.400000000000006</v>
      </c>
      <c r="Z479" s="41">
        <f>IFERROR(IF(Y479=0,"",ROUNDUP(Y479/H479,0)*0.00902),"")</f>
        <v>5.4120000000000001E-2</v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31.05555555555555</v>
      </c>
      <c r="BN479" s="78">
        <f t="shared" si="75"/>
        <v>33.54</v>
      </c>
      <c r="BO479" s="78">
        <f t="shared" si="76"/>
        <v>4.208754208754209E-2</v>
      </c>
      <c r="BP479" s="78">
        <f t="shared" si="77"/>
        <v>4.5454545454545463E-2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18.518518518518519</v>
      </c>
      <c r="Y484" s="43">
        <f>IFERROR(Y478/H478,"0")+IFERROR(Y479/H479,"0")+IFERROR(Y480/H480,"0")+IFERROR(Y481/H481,"0")+IFERROR(Y482/H482,"0")+IFERROR(Y483/H483,"0")</f>
        <v>19</v>
      </c>
      <c r="Z484" s="43">
        <f>IFERROR(IF(Z478="",0,Z478),"0")+IFERROR(IF(Z479="",0,Z479),"0")+IFERROR(IF(Z480="",0,Z480),"0")+IFERROR(IF(Z481="",0,Z481),"0")+IFERROR(IF(Z482="",0,Z482),"0")+IFERROR(IF(Z483="",0,Z483),"0")</f>
        <v>0.17138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100</v>
      </c>
      <c r="Y485" s="43">
        <f>IFERROR(SUM(Y478:Y483),"0")</f>
        <v>102.60000000000001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100</v>
      </c>
      <c r="Y497" s="55">
        <f>IFERROR(IF(X497="",0,CEILING((X497/$H497),1)*$H497),"")</f>
        <v>102.60000000000001</v>
      </c>
      <c r="Z497" s="41">
        <f>IFERROR(IF(Y497=0,"",ROUNDUP(Y497/H497,0)*0.00902),"")</f>
        <v>0.17138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103.5185185185185</v>
      </c>
      <c r="BN497" s="78">
        <f>IFERROR(Y497*I497/H497,"0")</f>
        <v>106.21</v>
      </c>
      <c r="BO497" s="78">
        <f>IFERROR(1/J497*(X497/H497),"0")</f>
        <v>0.14029180695847362</v>
      </c>
      <c r="BP497" s="78">
        <f>IFERROR(1/J497*(Y497/H497),"0")</f>
        <v>0.14393939393939395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18.518518518518519</v>
      </c>
      <c r="Y500" s="43">
        <f>IFERROR(Y497/H497,"0")+IFERROR(Y498/H498,"0")+IFERROR(Y499/H499,"0")</f>
        <v>19</v>
      </c>
      <c r="Z500" s="43">
        <f>IFERROR(IF(Z497="",0,Z497),"0")+IFERROR(IF(Z498="",0,Z498),"0")+IFERROR(IF(Z499="",0,Z499),"0")</f>
        <v>0.17138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100</v>
      </c>
      <c r="Y501" s="43">
        <f>IFERROR(SUM(Y497:Y499),"0")</f>
        <v>102.60000000000001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120</v>
      </c>
      <c r="Y508" s="55">
        <f t="shared" si="78"/>
        <v>121.44000000000001</v>
      </c>
      <c r="Z508" s="41">
        <f t="shared" si="79"/>
        <v>0.27507999999999999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127.95454545454545</v>
      </c>
      <c r="BN508" s="78">
        <f t="shared" si="81"/>
        <v>129.49</v>
      </c>
      <c r="BO508" s="78">
        <f t="shared" si="82"/>
        <v>0.21853146853146854</v>
      </c>
      <c r="BP508" s="78">
        <f t="shared" si="83"/>
        <v>0.22115384615384617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100</v>
      </c>
      <c r="Y510" s="55">
        <f t="shared" si="78"/>
        <v>100.32000000000001</v>
      </c>
      <c r="Z510" s="41">
        <f t="shared" si="79"/>
        <v>0.22724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106.62878787878788</v>
      </c>
      <c r="BN510" s="78">
        <f t="shared" si="81"/>
        <v>106.97</v>
      </c>
      <c r="BO510" s="78">
        <f t="shared" si="82"/>
        <v>0.18210955710955709</v>
      </c>
      <c r="BP510" s="78">
        <f t="shared" si="83"/>
        <v>0.18269230769230771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41.666666666666664</v>
      </c>
      <c r="Y514" s="43">
        <f>IFERROR(Y505/H505,"0")+IFERROR(Y506/H506,"0")+IFERROR(Y507/H507,"0")+IFERROR(Y508/H508,"0")+IFERROR(Y509/H509,"0")+IFERROR(Y510/H510,"0")+IFERROR(Y511/H511,"0")+IFERROR(Y512/H512,"0")+IFERROR(Y513/H513,"0")</f>
        <v>42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0.50231999999999999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220</v>
      </c>
      <c r="Y515" s="43">
        <f>IFERROR(SUM(Y505:Y513),"0")</f>
        <v>221.76000000000002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150</v>
      </c>
      <c r="Y517" s="55">
        <f>IFERROR(IF(X517="",0,CEILING((X517/$H517),1)*$H517),"")</f>
        <v>153.12</v>
      </c>
      <c r="Z517" s="41">
        <f>IFERROR(IF(Y517=0,"",ROUNDUP(Y517/H517,0)*0.01196),"")</f>
        <v>0.34683999999999998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159.94318181818181</v>
      </c>
      <c r="BN517" s="78">
        <f>IFERROR(Y517*I517/H517,"0")</f>
        <v>163.26999999999998</v>
      </c>
      <c r="BO517" s="78">
        <f>IFERROR(1/J517*(X517/H517),"0")</f>
        <v>0.27316433566433568</v>
      </c>
      <c r="BP517" s="78">
        <f>IFERROR(1/J517*(Y517/H517),"0")</f>
        <v>0.27884615384615385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28.409090909090907</v>
      </c>
      <c r="Y520" s="43">
        <f>IFERROR(Y517/H517,"0")+IFERROR(Y518/H518,"0")+IFERROR(Y519/H519,"0")</f>
        <v>29</v>
      </c>
      <c r="Z520" s="43">
        <f>IFERROR(IF(Z517="",0,Z517),"0")+IFERROR(IF(Z518="",0,Z518),"0")+IFERROR(IF(Z519="",0,Z519),"0")</f>
        <v>0.34683999999999998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150</v>
      </c>
      <c r="Y521" s="43">
        <f>IFERROR(SUM(Y517:Y519),"0")</f>
        <v>153.12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40</v>
      </c>
      <c r="Y523" s="55">
        <f t="shared" ref="Y523:Y529" si="84">IFERROR(IF(X523="",0,CEILING((X523/$H523),1)*$H523),"")</f>
        <v>42.24</v>
      </c>
      <c r="Z523" s="41">
        <f>IFERROR(IF(Y523=0,"",ROUNDUP(Y523/H523,0)*0.01196),"")</f>
        <v>9.5680000000000001E-2</v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42.651515151515149</v>
      </c>
      <c r="BN523" s="78">
        <f t="shared" ref="BN523:BN529" si="86">IFERROR(Y523*I523/H523,"0")</f>
        <v>45.04</v>
      </c>
      <c r="BO523" s="78">
        <f t="shared" ref="BO523:BO529" si="87">IFERROR(1/J523*(X523/H523),"0")</f>
        <v>7.2843822843822847E-2</v>
      </c>
      <c r="BP523" s="78">
        <f t="shared" ref="BP523:BP529" si="88">IFERROR(1/J523*(Y523/H523),"0")</f>
        <v>7.6923076923076927E-2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70</v>
      </c>
      <c r="Y525" s="55">
        <f t="shared" si="84"/>
        <v>73.92</v>
      </c>
      <c r="Z525" s="41">
        <f>IFERROR(IF(Y525=0,"",ROUNDUP(Y525/H525,0)*0.01196),"")</f>
        <v>0.16744000000000001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74.640151515151501</v>
      </c>
      <c r="BN525" s="78">
        <f t="shared" si="86"/>
        <v>78.819999999999993</v>
      </c>
      <c r="BO525" s="78">
        <f t="shared" si="87"/>
        <v>0.12747668997668998</v>
      </c>
      <c r="BP525" s="78">
        <f t="shared" si="88"/>
        <v>0.13461538461538464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20.833333333333332</v>
      </c>
      <c r="Y530" s="43">
        <f>IFERROR(Y523/H523,"0")+IFERROR(Y524/H524,"0")+IFERROR(Y525/H525,"0")+IFERROR(Y526/H526,"0")+IFERROR(Y527/H527,"0")+IFERROR(Y528/H528,"0")+IFERROR(Y529/H529,"0")</f>
        <v>22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0.26312000000000002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110</v>
      </c>
      <c r="Y531" s="43">
        <f>IFERROR(SUM(Y523:Y529),"0")</f>
        <v>116.16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220</v>
      </c>
      <c r="Y535" s="55">
        <f>IFERROR(IF(X535="",0,CEILING((X535/$H535),1)*$H535),"")</f>
        <v>228</v>
      </c>
      <c r="Z535" s="41">
        <f>IFERROR(IF(Y535=0,"",ROUNDUP(Y535/H535,0)*0.01898),"")</f>
        <v>0.36062</v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227.51666666666665</v>
      </c>
      <c r="BN535" s="78">
        <f>IFERROR(Y535*I535/H535,"0")</f>
        <v>235.79</v>
      </c>
      <c r="BO535" s="78">
        <f>IFERROR(1/J535*(X535/H535),"0")</f>
        <v>0.28645833333333331</v>
      </c>
      <c r="BP535" s="78">
        <f>IFERROR(1/J535*(Y535/H535),"0")</f>
        <v>0.296875</v>
      </c>
    </row>
    <row r="536" spans="1:68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18.333333333333332</v>
      </c>
      <c r="Y536" s="43">
        <f>IFERROR(Y535/H535,"0")</f>
        <v>19</v>
      </c>
      <c r="Z536" s="43">
        <f>IFERROR(IF(Z535="",0,Z535),"0")</f>
        <v>0.36062</v>
      </c>
      <c r="AA536" s="67"/>
      <c r="AB536" s="67"/>
      <c r="AC536" s="67"/>
    </row>
    <row r="537" spans="1:68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220</v>
      </c>
      <c r="Y537" s="43">
        <f>IFERROR(SUM(Y535:Y535),"0")</f>
        <v>228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17948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18112.099999999995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18631.26337878171</v>
      </c>
      <c r="Y561" s="43">
        <f>IFERROR(SUM(BN22:BN557),"0")</f>
        <v>18803.546000000002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27</v>
      </c>
      <c r="Y562" s="44">
        <f>ROUNDUP(SUM(BP22:BP557),0)</f>
        <v>28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19306.26337878171</v>
      </c>
      <c r="Y563" s="43">
        <f>GrossWeightTotalR+PalletQtyTotalR*25</f>
        <v>19503.546000000002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1728.8807642974311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1752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29.746230000000001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329.40000000000003</v>
      </c>
      <c r="F570" s="52">
        <f>IFERROR(Y85*1,"0")+IFERROR(Y86*1,"0")+IFERROR(Y87*1,"0")+IFERROR(Y88*1,"0")+IFERROR(Y89*1,"0")+IFERROR(Y93*1,"0")+IFERROR(Y94*1,"0")+IFERROR(Y95*1,"0")+IFERROR(Y96*1,"0")+IFERROR(Y97*1,"0")+IFERROR(Y98*1,"0")</f>
        <v>144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402.9</v>
      </c>
      <c r="H570" s="52">
        <f>IFERROR(Y138*1,"0")+IFERROR(Y139*1,"0")+IFERROR(Y143*1,"0")+IFERROR(Y144*1,"0")+IFERROR(Y148*1,"0")+IFERROR(Y149*1,"0")</f>
        <v>209.76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140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54.6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875.10000000000014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46.8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349.8</v>
      </c>
      <c r="U570" s="52">
        <f>IFERROR(Y418*1,"0")+IFERROR(Y419*1,"0")</f>
        <v>156</v>
      </c>
      <c r="V570" s="52">
        <f>IFERROR(Y424*1,"0")+IFERROR(Y425*1,"0")+IFERROR(Y426*1,"0")</f>
        <v>128.69999999999999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14209.2</v>
      </c>
      <c r="X570" s="52">
        <f>IFERROR(Y461*1,"0")+IFERROR(Y462*1,"0")+IFERROR(Y466*1,"0")+IFERROR(Y470*1,"0")+IFERROR(Y471*1,"0")+IFERROR(Y472*1,"0")</f>
        <v>141.6</v>
      </c>
      <c r="Y570" s="52">
        <f>IFERROR(Y478*1,"0")+IFERROR(Y479*1,"0")+IFERROR(Y480*1,"0")+IFERROR(Y481*1,"0")+IFERROR(Y482*1,"0")+IFERROR(Y483*1,"0")+IFERROR(Y487*1,"0")+IFERROR(Y488*1,"0")</f>
        <v>102.60000000000001</v>
      </c>
      <c r="Z570" s="52">
        <f>IFERROR(Y493*1,"0")+IFERROR(Y497*1,"0")+IFERROR(Y498*1,"0")+IFERROR(Y499*1,"0")</f>
        <v>102.60000000000001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491.04</v>
      </c>
      <c r="AB570" s="52">
        <f>IFERROR(Y535*1,"0")+IFERROR(Y539*1,"0")+IFERROR(Y543*1,"0")+IFERROR(Y547*1,"0")+IFERROR(Y551*1,"0")+IFERROR(Y552*1,"0")</f>
        <v>228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40,00"/>
        <filter val="1 728,88"/>
        <filter val="10 000,00"/>
        <filter val="10,00"/>
        <filter val="100,00"/>
        <filter val="105,00"/>
        <filter val="11,11"/>
        <filter val="11,90"/>
        <filter val="110,00"/>
        <filter val="118,52"/>
        <filter val="12,00"/>
        <filter val="12,82"/>
        <filter val="120,00"/>
        <filter val="121,00"/>
        <filter val="134,00"/>
        <filter val="14,81"/>
        <filter val="140,00"/>
        <filter val="150,00"/>
        <filter val="152,78"/>
        <filter val="17 948,00"/>
        <filter val="170,00"/>
        <filter val="18 631,26"/>
        <filter val="18,33"/>
        <filter val="18,52"/>
        <filter val="183,33"/>
        <filter val="19 306,26"/>
        <filter val="19,23"/>
        <filter val="2 750,00"/>
        <filter val="20,00"/>
        <filter val="20,83"/>
        <filter val="200,00"/>
        <filter val="21,00"/>
        <filter val="220,00"/>
        <filter val="25,00"/>
        <filter val="25,87"/>
        <filter val="260,00"/>
        <filter val="27"/>
        <filter val="28,41"/>
        <filter val="28,75"/>
        <filter val="3,79"/>
        <filter val="30,00"/>
        <filter val="300,00"/>
        <filter val="32,10"/>
        <filter val="325,00"/>
        <filter val="33,33"/>
        <filter val="37,04"/>
        <filter val="37,50"/>
        <filter val="4 500,00"/>
        <filter val="4,44"/>
        <filter val="4,63"/>
        <filter val="40,00"/>
        <filter val="41,17"/>
        <filter val="41,67"/>
        <filter val="47,62"/>
        <filter val="5,13"/>
        <filter val="50,00"/>
        <filter val="640,00"/>
        <filter val="666,67"/>
        <filter val="7,14"/>
        <filter val="7,78"/>
        <filter val="70,00"/>
        <filter val="72,00"/>
        <filter val="80,00"/>
        <filter val="81,00"/>
        <filter val="90,00"/>
        <filter val="92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