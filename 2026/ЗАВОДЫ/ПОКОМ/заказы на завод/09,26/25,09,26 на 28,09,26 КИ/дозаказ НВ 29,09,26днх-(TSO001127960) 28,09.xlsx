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F7C63E-9D7C-4074-AA35-A8A98AEE40AF}" xr6:coauthVersionLast="47" xr6:coauthVersionMax="47" xr10:uidLastSave="{00000000-0000-0000-0000-000000000000}"/>
  <bookViews>
    <workbookView xWindow="120" yWindow="0" windowWidth="280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M500" i="2"/>
  <c r="Z500" i="2"/>
  <c r="Y500" i="2"/>
  <c r="BN500" i="2" s="1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M402" i="2"/>
  <c r="Z402" i="2"/>
  <c r="Y402" i="2"/>
  <c r="BN402" i="2" s="1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M331" i="2"/>
  <c r="Z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N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N208" i="2"/>
  <c r="BM208" i="2"/>
  <c r="Y208" i="2"/>
  <c r="BP208" i="2" s="1"/>
  <c r="P208" i="2"/>
  <c r="BO207" i="2"/>
  <c r="BM207" i="2"/>
  <c r="Y207" i="2"/>
  <c r="BP207" i="2" s="1"/>
  <c r="P207" i="2"/>
  <c r="Y203" i="2"/>
  <c r="X203" i="2"/>
  <c r="X202" i="2"/>
  <c r="BP201" i="2"/>
  <c r="BO201" i="2"/>
  <c r="BM201" i="2"/>
  <c r="Z201" i="2"/>
  <c r="Z202" i="2" s="1"/>
  <c r="Y201" i="2"/>
  <c r="Y202" i="2" s="1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N165" i="2"/>
  <c r="BM165" i="2"/>
  <c r="Z165" i="2"/>
  <c r="Y165" i="2"/>
  <c r="P165" i="2"/>
  <c r="X162" i="2"/>
  <c r="X161" i="2"/>
  <c r="BP160" i="2"/>
  <c r="BO160" i="2"/>
  <c r="BM160" i="2"/>
  <c r="Y160" i="2"/>
  <c r="Y161" i="2" s="1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N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O75" i="2"/>
  <c r="BN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140" i="2" l="1"/>
  <c r="BP140" i="2"/>
  <c r="Z294" i="2"/>
  <c r="BP294" i="2"/>
  <c r="Y538" i="2"/>
  <c r="Z28" i="2"/>
  <c r="Y43" i="2"/>
  <c r="BP154" i="2"/>
  <c r="BN201" i="2"/>
  <c r="Z236" i="2"/>
  <c r="BN427" i="2"/>
  <c r="BN450" i="2"/>
  <c r="Z513" i="2"/>
  <c r="BP49" i="2"/>
  <c r="Z75" i="2"/>
  <c r="Z108" i="2"/>
  <c r="BP109" i="2"/>
  <c r="Z184" i="2"/>
  <c r="Z208" i="2"/>
  <c r="Z234" i="2"/>
  <c r="Z269" i="2"/>
  <c r="BN29" i="2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Z362" i="2" s="1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Z72" i="2" s="1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<sst xmlns="http://schemas.openxmlformats.org/spreadsheetml/2006/main" count="4361" uniqueCount="923">
  <si>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</si>
  <si>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</si>
  <si>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</si>
  <si>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</si>
  <si>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</si>
  <si>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</si>
  <si>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</si>
  <si>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</si>
  <si>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</si>
  <si>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</si>
  <si>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</si>
  <si>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</si>
  <si>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</si>
  <si>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</si>
  <si>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</si>
  <si>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</si>
  <si>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</si>
  <si>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</si>
  <si>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</si>
  <si>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</si>
  <si>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</si>
  <si>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</si>
  <si>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</si>
  <si>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</si>
  <si>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</si>
  <si>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</si>
  <si>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</si>
  <si>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</si>
  <si>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</si>
  <si>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</si>
  <si>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</si>
  <si>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</si>
  <si>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</si>
  <si>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</si>
  <si>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</si>
  <si>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</si>
  <si>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</si>
  <si>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</si>
  <si>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</si>
  <si>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</si>
  <si>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</si>
  <si>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</si>
  <si>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</si>
  <si>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</si>
  <si>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</si>
  <si>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</si>
  <si>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</si>
  <si>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</si>
  <si>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</si>
  <si>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</si>
  <si>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</si>
  <si>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</si>
  <si>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</si>
  <si>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</si>
  <si>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</si>
  <si>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</si>
  <si>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</si>
  <si>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</si>
  <si>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</si>
  <si>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</si>
  <si>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</si>
  <si>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</si>
  <si>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</si>
  <si>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</si>
  <si>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</si>
  <si>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</si>
  <si>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</si>
  <si>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</si>
  <si>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</si>
  <si>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</si>
  <si>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</si>
  <si>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</si>
  <si>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</si>
  <si>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</si>
  <si>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</si>
  <si>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</si>
  <si>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</si>
  <si>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</si>
  <si>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</si>
  <si>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</si>
  <si>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</si>
  <si>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</si>
  <si>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</si>
  <si>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</si>
  <si>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</si>
  <si>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</si>
  <si>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</si>
  <si>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</si>
  <si>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</si>
  <si>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</si>
  <si>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</si>
  <si>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</si>
  <si>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</si>
  <si>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</si>
  <si>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</si>
  <si>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</si>
  <si>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</si>
  <si>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</si>
  <si>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</si>
  <si>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</si>
  <si>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</si>
  <si>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</si>
  <si>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</si>
  <si>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</si>
  <si>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</si>
  <si>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</si>
  <si>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</si>
  <si>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</si>
  <si>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</si>
  <si>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</si>
  <si>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</si>
  <si>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</si>
  <si>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</si>
  <si>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</si>
  <si>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</si>
  <si>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</si>
  <si>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</si>
  <si>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</si>
  <si>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</si>
  <si>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</si>
  <si>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</si>
  <si>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</si>
  <si>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</si>
  <si>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</si>
  <si>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</si>
  <si>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</si>
  <si>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</si>
  <si>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</si>
  <si>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</si>
  <si>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</si>
  <si>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</si>
  <si>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</si>
  <si>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</si>
  <si>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</si>
  <si>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</si>
  <si>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</si>
  <si>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</si>
  <si>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</si>
  <si>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</si>
  <si>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</si>
  <si>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</si>
  <si>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</si>
  <si>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</si>
  <si>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</si>
  <si>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</si>
  <si>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</si>
  <si>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</si>
  <si>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</si>
  <si>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</si>
  <si>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</si>
  <si>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</si>
  <si>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</si>
  <si>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</si>
  <si>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</si>
  <si>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</si>
  <si>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</si>
  <si>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</si>
  <si>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</si>
  <si>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</si>
  <si>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</si>
  <si>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</si>
  <si>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</si>
  <si>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</si>
  <si>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</si>
  <si>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</si>
  <si>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</si>
  <si>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</si>
  <si>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</si>
  <si>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</si>
  <si>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</si>
  <si>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</si>
  <si>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</si>
  <si>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</si>
  <si>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</si>
  <si>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</si>
  <si>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</si>
  <si>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</si>
  <si>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</si>
  <si>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</si>
  <si>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</si>
  <si>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</si>
  <si>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</si>
  <si>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</si>
  <si>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</si>
  <si>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</si>
  <si>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</si>
  <si>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</si>
  <si>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</si>
  <si>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</si>
  <si>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</si>
  <si>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</si>
  <si>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</si>
  <si>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</si>
  <si>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</si>
  <si>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</si>
  <si>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</si>
  <si>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</si>
  <si>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</si>
  <si>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</si>
  <si>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</si>
  <si>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</si>
  <si>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</si>
  <si>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</si>
  <si>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</si>
  <si>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</si>
  <si>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</si>
  <si>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</si>
  <si>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</si>
  <si>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</si>
  <si>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</si>
  <si>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</si>
  <si>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</si>
  <si>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</si>
  <si>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</si>
  <si>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</si>
  <si>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</si>
  <si>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</si>
  <si>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</si>
  <si>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</si>
  <si>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</si>
  <si>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</si>
  <si>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</si>
  <si>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</si>
  <si>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</si>
  <si>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</si>
  <si>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</si>
  <si>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</si>
  <si>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</si>
  <si>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</si>
  <si>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</si>
  <si>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</si>
  <si>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</si>
  <si>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</si>
  <si>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</si>
  <si>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</si>
  <si>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</si>
  <si>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</si>
  <si>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</si>
  <si>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</si>
  <si>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</si>
  <si>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</si>
  <si>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</si>
  <si>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</si>
  <si>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</si>
  <si>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</si>
  <si>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</si>
  <si>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</si>
  <si>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</si>
  <si>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</si>
  <si>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</si>
  <si>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</si>
  <si>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</si>
  <si>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</si>
  <si>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</si>
  <si>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</si>
  <si>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</si>
  <si>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</si>
  <si>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</si>
  <si>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</si>
  <si>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</si>
  <si>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</si>
  <si>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</si>
  <si>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</si>
  <si>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</si>
  <si>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</si>
  <si>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</si>
  <si>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</si>
  <si>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</si>
  <si>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</si>
  <si>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</si>
  <si>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</si>
  <si>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</si>
  <si>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</si>
  <si>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</si>
  <si>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</si>
  <si>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</si>
  <si>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</si>
  <si>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</si>
  <si>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</si>
  <si>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</si>
  <si>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</si>
  <si>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</si>
  <si>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</si>
  <si>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</si>
  <si>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</si>
  <si>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</si>
  <si>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</si>
  <si>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</si>
  <si>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</si>
  <si>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</si>
  <si>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</si>
  <si>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</si>
  <si>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</si>
  <si>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</si>
  <si>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</si>
  <si>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</si>
  <si>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</si>
  <si>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</si>
  <si>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</si>
  <si>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</si>
  <si>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</si>
  <si>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</si>
  <si>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</si>
  <si>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</si>
  <si>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</si>
  <si>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</si>
  <si>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</si>
  <si>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</si>
  <si>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</si>
  <si>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</si>
  <si>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</si>
  <si>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</si>
  <si>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</si>
  <si>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</si>
  <si>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</si>
  <si>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</si>
  <si>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</si>
  <si>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</si>
  <si>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</si>
  <si>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</si>
  <si>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</si>
  <si>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</si>
  <si>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</si>
  <si>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</si>
  <si>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</si>
  <si>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</si>
  <si>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</si>
  <si>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</si>
  <si>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</si>
  <si>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</si>
  <si>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</si>
  <si>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</si>
  <si>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</si>
  <si>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</si>
  <si>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</si>
  <si>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</si>
  <si>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</si>
  <si>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</si>
  <si>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</si>
  <si>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</si>
  <si>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</si>
  <si>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</si>
  <si>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</si>
  <si>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</si>
  <si>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</si>
  <si>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</si>
  <si>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</si>
  <si>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</si>
  <si>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</si>
  <si>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</si>
  <si>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</si>
  <si>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</si>
  <si>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</si>
  <si>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</si>
  <si>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</si>
  <si>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</si>
  <si>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</si>
  <si>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</si>
  <si>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</si>
  <si>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</si>
  <si>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</si>
  <si>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</si>
  <si>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</si>
  <si>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</si>
  <si>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</si>
  <si>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</si>
  <si>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</si>
  <si>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</si>
  <si>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</si>
  <si>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</si>
  <si>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</si>
  <si>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</si>
  <si>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</si>
  <si>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</si>
  <si>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</si>
  <si>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</si>
  <si>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</si>
  <si>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</si>
  <si>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</si>
  <si>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</si>
  <si>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</si>
  <si>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</si>
  <si>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</si>
  <si>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</si>
  <si>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</si>
  <si>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</si>
  <si>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</si>
  <si>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</si>
  <si>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</si>
  <si>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</si>
  <si>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</si>
  <si>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</si>
  <si>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</si>
  <si>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</si>
  <si>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</si>
  <si>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</si>
  <si>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</si>
  <si>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</si>
  <si>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</si>
  <si>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</si>
  <si>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</si>
  <si>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</si>
  <si>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</si>
  <si>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</si>
  <si>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</si>
  <si>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</si>
  <si>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</si>
  <si>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</si>
  <si>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</si>
  <si>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</si>
  <si>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</si>
  <si>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</si>
  <si>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</si>
  <si>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</si>
  <si>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</si>
  <si>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</si>
  <si>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</si>
  <si>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</si>
  <si>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</si>
  <si>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</si>
  <si>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</si>
  <si>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</si>
  <si>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</si>
  <si>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</si>
  <si>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</si>
  <si>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</si>
  <si>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</si>
  <si>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</si>
  <si>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</si>
  <si>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</si>
  <si>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</si>
  <si>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</si>
  <si>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</si>
  <si>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</si>
  <si>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</si>
  <si>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</si>
  <si>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</si>
  <si>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</si>
  <si>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</si>
  <si>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</si>
  <si>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</si>
  <si>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</si>
  <si>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</si>
  <si>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</si>
  <si>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</si>
  <si>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</si>
  <si>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</si>
  <si>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</si>
  <si>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</si>
  <si>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</si>
  <si>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</si>
  <si>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</si>
  <si>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</si>
  <si>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</si>
  <si>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</si>
  <si>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</si>
  <si>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</si>
  <si>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</si>
  <si>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</si>
  <si>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</si>
  <si>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</si>
  <si>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</si>
  <si>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</si>
  <si>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</si>
  <si>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</si>
  <si>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</si>
  <si>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</si>
  <si>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</si>
  <si>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</si>
  <si>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</si>
  <si>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</si>
  <si>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</si>
  <si>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</si>
  <si>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</si>
  <si>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</si>
  <si>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</si>
  <si>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</si>
  <si>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</si>
  <si>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</si>
  <si>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</si>
  <si>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</si>
  <si>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</si>
  <si>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</si>
  <si>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</si>
  <si>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</si>
  <si>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</si>
  <si>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</si>
  <si>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</si>
  <si>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</si>
  <si>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</si>
  <si>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</si>
  <si>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</si>
  <si>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</si>
  <si>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</si>
  <si>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</si>
  <si>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</si>
  <si>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</si>
  <si>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</si>
  <si>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</si>
  <si>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</si>
  <si>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</si>
  <si>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</si>
  <si>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</si>
  <si>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</si>
  <si>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</si>
  <si>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</si>
  <si>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</si>
  <si>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</si>
  <si>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</si>
  <si>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</si>
  <si>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</si>
  <si>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</si>
  <si>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</si>
  <si>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</si>
  <si>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</si>
  <si>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</si>
  <si>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</si>
  <si>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</si>
  <si>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</si>
  <si>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</si>
  <si>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</si>
  <si>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</si>
  <si>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</si>
  <si>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</si>
  <si>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</si>
  <si>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</si>
  <si>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</si>
  <si>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</si>
  <si>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</si>
  <si>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</si>
  <si>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</si>
  <si>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</si>
  <si>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</si>
  <si>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</si>
  <si>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</si>
  <si>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</si>
  <si>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</si>
  <si>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</si>
  <si>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</si>
  <si>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</si>
  <si>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</si>
  <si>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</si>
  <si>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</si>
  <si>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</si>
  <si>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</si>
  <si>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</si>
  <si>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</si>
  <si>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</si>
  <si>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</si>
  <si>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</si>
  <si>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</si>
  <si>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</si>
  <si>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</si>
  <si>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</si>
  <si>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</si>
  <si>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</si>
  <si>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</si>
  <si>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</si>
  <si>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</si>
  <si>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</si>
  <si>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</si>
  <si>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</si>
  <si>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</si>
  <si>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</si>
  <si>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</si>
  <si>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</si>
  <si>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</si>
  <si>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</si>
  <si>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</si>
  <si>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</si>
  <si>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</si>
  <si>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</si>
  <si>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</si>
  <si>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</si>
  <si>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</si>
  <si>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</si>
  <si>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</si>
  <si>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</si>
  <si>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</si>
  <si>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</si>
  <si>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</si>
  <si>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</si>
  <si>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</si>
  <si>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</si>
  <si>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</si>
  <si>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</si>
  <si>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</si>
  <si>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</si>
  <si>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</si>
  <si>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</si>
  <si>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</si>
  <si>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</si>
  <si>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</si>
  <si>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</si>
  <si>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</si>
  <si>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</si>
  <si>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</si>
  <si>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</si>
  <si>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</si>
  <si>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</si>
  <si>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</si>
  <si>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</si>
  <si>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</si>
  <si>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</si>
  <si>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</si>
  <si>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</si>
  <si>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</si>
  <si>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</si>
  <si>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</si>
  <si>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</si>
  <si>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</si>
  <si>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</si>
  <si>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</si>
  <si>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</si>
  <si>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</si>
  <si>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</si>
  <si>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</si>
  <si>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</si>
  <si>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</si>
  <si>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</si>
  <si>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</si>
  <si>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</si>
  <si>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</si>
  <si>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</si>
  <si>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</si>
  <si>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</si>
  <si>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</si>
  <si>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</si>
  <si>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</si>
  <si>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</si>
  <si>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</si>
  <si>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</si>
  <si>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</si>
  <si>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</si>
  <si>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</si>
  <si>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</si>
  <si>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</si>
  <si>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</si>
  <si>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</si>
  <si>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</si>
  <si>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</si>
  <si>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</si>
  <si>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</si>
  <si>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</si>
  <si>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</si>
  <si>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</si>
  <si>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</si>
  <si>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</si>
  <si>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</si>
  <si>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</si>
  <si>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</si>
  <si>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</si>
  <si>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</si>
  <si>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</si>
  <si>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</si>
  <si>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</si>
  <si>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</si>
  <si>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</si>
  <si>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</si>
  <si>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</si>
  <si>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</si>
  <si>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</si>
  <si>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</si>
  <si>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</si>
  <si>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</si>
  <si>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</si>
  <si>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</si>
  <si>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</si>
  <si>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</si>
  <si>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</si>
  <si>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</si>
  <si>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</si>
  <si>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</si>
  <si>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</si>
  <si>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</si>
  <si>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</si>
  <si>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</si>
  <si>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</si>
  <si>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</si>
  <si>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</si>
  <si>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</si>
  <si>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</si>
  <si>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</si>
  <si>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</si>
  <si>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</si>
  <si>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</si>
  <si>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</si>
  <si>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</si>
  <si>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</si>
  <si>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</si>
  <si>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</si>
  <si>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</si>
  <si>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</si>
  <si>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</si>
  <si>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</si>
  <si>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</si>
  <si>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</si>
  <si>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</si>
  <si>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</si>
  <si>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</si>
  <si>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</si>
  <si>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</si>
  <si>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</si>
  <si>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</si>
  <si>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</si>
  <si>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</si>
  <si>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</si>
  <si>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</si>
  <si>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</si>
  <si>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</si>
  <si>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</si>
  <si>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</si>
  <si>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</si>
  <si>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</si>
  <si>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</si>
  <si>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</si>
  <si>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</si>
  <si>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</si>
  <si>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</si>
  <si>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</si>
  <si>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</si>
  <si>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</si>
  <si>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</si>
  <si>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</si>
  <si>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</si>
  <si>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</si>
  <si>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</si>
  <si>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</si>
  <si>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</si>
  <si>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</si>
  <si>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</si>
  <si>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</si>
  <si>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</si>
  <si>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</si>
  <si>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</si>
  <si>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</si>
  <si>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</si>
  <si>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</si>
  <si>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</si>
  <si>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</si>
  <si>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</si>
  <si>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</si>
  <si>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</si>
  <si>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</si>
  <si>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</si>
  <si>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</si>
  <si>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</si>
  <si>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</si>
  <si>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</si>
  <si>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</si>
  <si>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</si>
  <si>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</si>
  <si>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</si>
  <si>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</si>
  <si>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</si>
  <si>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</si>
  <si>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</si>
  <si>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</si>
  <si>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</si>
  <si>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</si>
  <si>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</si>
  <si>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</si>
  <si>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</si>
  <si>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</si>
  <si>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</si>
  <si>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</si>
  <si>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</si>
  <si>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</si>
  <si>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</si>
  <si>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</si>
  <si>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</si>
  <si>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</si>
  <si>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</si>
  <si>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</si>
  <si>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</si>
  <si>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</si>
  <si>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</si>
  <si>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</si>
  <si>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</si>
  <si>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</si>
  <si>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</si>
  <si>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</si>
  <si>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</si>
  <si>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</si>
  <si>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</si>
  <si>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</si>
  <si>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</si>
  <si>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</si>
  <si>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</si>
  <si>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</si>
  <si>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</si>
  <si>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</si>
  <si>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</si>
  <si>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</si>
  <si>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</si>
  <si>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</si>
  <si>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</si>
  <si>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</si>
  <si>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</si>
  <si>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</si>
  <si>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</si>
  <si>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</si>
  <si>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</si>
  <si>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</si>
  <si>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</si>
  <si>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</si>
  <si>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</si>
  <si>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</si>
  <si>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</si>
  <si>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</si>
  <si>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</si>
  <si>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</si>
  <si>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</si>
  <si>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</si>
  <si>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</si>
  <si>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</si>
  <si>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</si>
  <si>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</si>
  <si>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</si>
  <si>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</si>
  <si>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</si>
  <si>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</si>
  <si>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</si>
  <si>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</si>
  <si>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</si>
  <si>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</si>
  <si>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</si>
  <si>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</si>
  <si>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</si>
  <si>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</si>
  <si>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</si>
  <si>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</si>
  <si>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</si>
  <si>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</si>
  <si>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</si>
  <si>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</si>
  <si>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</si>
  <si>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</si>
  <si>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</si>
  <si>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</si>
  <si>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</si>
  <si>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</si>
  <si>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</si>
  <si>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</si>
  <si>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</si>
  <si>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</si>
  <si>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</si>
  <si>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</si>
  <si>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</si>
  <si>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</si>
  <si>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</si>
  <si>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</si>
  <si>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</si>
  <si>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</si>
  <si>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</si>
  <si>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</si>
  <si>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</si>
  <si>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</si>
  <si>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</si>
  <si>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</si>
  <si>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</si>
  <si>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</si>
  <si>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</si>
  <si>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</si>
  <si>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</si>
  <si>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</si>
  <si>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</si>
  <si>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</si>
  <si>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</si>
  <si>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</si>
  <si>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</si>
  <si>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</si>
  <si>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</si>
  <si>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</si>
  <si>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</si>
  <si>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</si>
  <si>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</si>
  <si>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</si>
  <si>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</si>
  <si>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</si>
  <si>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</si>
  <si>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</si>
  <si>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</si>
  <si>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</si>
  <si>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</si>
  <si>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</si>
  <si>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</si>
  <si>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</si>
  <si>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</si>
  <si>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</si>
  <si>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</si>
  <si>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</si>
  <si>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</si>
  <si>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</si>
  <si>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</si>
  <si>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</si>
  <si>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</si>
  <si>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</si>
  <si>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</si>
  <si>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</si>
  <si>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</si>
  <si>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</si>
  <si>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</si>
  <si>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</si>
  <si>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</si>
  <si>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</si>
  <si>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</si>
  <si>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</si>
  <si>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</si>
  <si>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</si>
  <si>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</si>
  <si>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</si>
  <si>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</si>
  <si>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</si>
  <si>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</si>
  <si>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</si>
  <si>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</si>
  <si>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</si>
  <si>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</si>
  <si>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</si>
  <si>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</si>
  <si>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TSO001127960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</si>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</sst>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921</v>
      </c>
      <c r="I5" s="661"/>
      <c r="J5" s="661"/>
      <c r="K5" s="661"/>
      <c r="L5" s="661"/>
      <c r="M5" s="661"/>
      <c r="N5" s="72"/>
      <c r="P5" s="27" t="s">
        <v>4</v>
      </c>
      <c r="Q5" s="663">
        <v>46294</v>
      </c>
      <c r="R5" s="663"/>
      <c r="T5" s="664" t="s">
        <v>3</v>
      </c>
      <c r="U5" s="665"/>
      <c r="V5" s="666" t="s">
        <v>878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891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68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5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0.70833333333333337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69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922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70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71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72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74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75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84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102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84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119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120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135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120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157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84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184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120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84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207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120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157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84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176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253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120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75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84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266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84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281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118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120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157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75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84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281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346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350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351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120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372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157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75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84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281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443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446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120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157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75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84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176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514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120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157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536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346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543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120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563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84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572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75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84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593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120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602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120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75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84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176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281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670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679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688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84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695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84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705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706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120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710</v>
      </c>
      <c r="B434" s="63" t="s">
        <v>711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713</v>
      </c>
      <c r="B435" s="63" t="s">
        <v>714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716</v>
      </c>
      <c r="B436" s="63" t="s">
        <v>717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719</v>
      </c>
      <c r="B437" s="63" t="s">
        <v>720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hidden="1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26" t="s">
        <v>157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731</v>
      </c>
      <c r="B444" s="63" t="s">
        <v>732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510</v>
      </c>
      <c r="Y444" s="55">
        <f>IFERROR(IF(X444="",0,CEILING((X444/$H444),1)*$H444),"")</f>
        <v>510</v>
      </c>
      <c r="Z444" s="41">
        <f>IFERROR(IF(Y444=0,"",ROUNDUP(Y444/H444,0)*0.02175),"")</f>
        <v>0.73949999999999994</v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525.98</v>
      </c>
      <c r="BN444" s="78">
        <f>IFERROR(Y444*I444/H444,"0")</f>
        <v>525.98</v>
      </c>
      <c r="BO444" s="78">
        <f>IFERROR(1/J444*(X444/H444),"0")</f>
        <v>0.70833333333333326</v>
      </c>
      <c r="BP444" s="78">
        <f>IFERROR(1/J444*(Y444/H444),"0")</f>
        <v>0.70833333333333326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34</v>
      </c>
      <c r="Y447" s="43">
        <f>IFERROR(Y444/H444,"0")+IFERROR(Y445/H445,"0")+IFERROR(Y446/H446,"0")</f>
        <v>34</v>
      </c>
      <c r="Z447" s="43">
        <f>IFERROR(IF(Z444="",0,Z444),"0")+IFERROR(IF(Z445="",0,Z445),"0")+IFERROR(IF(Z446="",0,Z446),"0")</f>
        <v>0.73949999999999994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510</v>
      </c>
      <c r="Y448" s="43">
        <f>IFERROR(SUM(Y444:Y446),"0")</f>
        <v>510</v>
      </c>
      <c r="Z448" s="42"/>
      <c r="AA448" s="67"/>
      <c r="AB448" s="67"/>
      <c r="AC448" s="67"/>
    </row>
    <row r="449" spans="1:68" ht="14.25" hidden="1" customHeight="1" x14ac:dyDescent="0.25">
      <c r="A449" s="726" t="s">
        <v>84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176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755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120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75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84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771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772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75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84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795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157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75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807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807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120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157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75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854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854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120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157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75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84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176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872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157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510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510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525.98</v>
      </c>
      <c r="Y562" s="43">
        <f>IFERROR(SUM(BN22:BN558),"0")</f>
        <v>525.98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550.98</v>
      </c>
      <c r="Y564" s="43">
        <f>GrossWeightTotalR+PalletQtyTotalR*25</f>
        <v>550.98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34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34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0.73949999999999994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1016" t="s">
        <v>118</v>
      </c>
      <c r="E568" s="1016" t="s">
        <v>118</v>
      </c>
      <c r="F568" s="1016" t="s">
        <v>118</v>
      </c>
      <c r="G568" s="1016" t="s">
        <v>118</v>
      </c>
      <c r="H568" s="1016" t="s">
        <v>118</v>
      </c>
      <c r="I568" s="1016" t="s">
        <v>118</v>
      </c>
      <c r="J568" s="1016" t="s">
        <v>118</v>
      </c>
      <c r="K568" s="1016" t="s">
        <v>350</v>
      </c>
      <c r="L568" s="1016" t="s">
        <v>350</v>
      </c>
      <c r="M568" s="1016" t="s">
        <v>350</v>
      </c>
      <c r="N568" s="1025"/>
      <c r="O568" s="1016" t="s">
        <v>350</v>
      </c>
      <c r="P568" s="1016" t="s">
        <v>350</v>
      </c>
      <c r="Q568" s="1016" t="s">
        <v>350</v>
      </c>
      <c r="R568" s="1016" t="s">
        <v>350</v>
      </c>
      <c r="S568" s="1016" t="s">
        <v>350</v>
      </c>
      <c r="T568" s="1016" t="s">
        <v>350</v>
      </c>
      <c r="U568" s="1016" t="s">
        <v>350</v>
      </c>
      <c r="V568" s="1016" t="s">
        <v>350</v>
      </c>
      <c r="W568" s="1016" t="s">
        <v>705</v>
      </c>
      <c r="X568" s="1016" t="s">
        <v>705</v>
      </c>
      <c r="Y568" s="1016" t="s">
        <v>771</v>
      </c>
      <c r="Z568" s="1016" t="s">
        <v>771</v>
      </c>
      <c r="AA568" s="85" t="s">
        <v>807</v>
      </c>
      <c r="AB568" s="1016" t="s">
        <v>854</v>
      </c>
      <c r="AC568" s="1016" t="s">
        <v>854</v>
      </c>
      <c r="AF568" s="1"/>
    </row>
    <row r="569" spans="1:32" ht="14.25" customHeight="1" thickTop="1" x14ac:dyDescent="0.2">
      <c r="A569" s="1026" t="s">
        <v>10</v>
      </c>
      <c r="B569" s="1016" t="s">
        <v>74</v>
      </c>
      <c r="C569" s="1016" t="s">
        <v>102</v>
      </c>
      <c r="D569" s="1016" t="s">
        <v>119</v>
      </c>
      <c r="E569" s="1016" t="s">
        <v>135</v>
      </c>
      <c r="F569" s="1016" t="s">
        <v>184</v>
      </c>
      <c r="G569" s="1016" t="s">
        <v>207</v>
      </c>
      <c r="H569" s="1016" t="s">
        <v>253</v>
      </c>
      <c r="I569" s="1016" t="s">
        <v>266</v>
      </c>
      <c r="J569" s="1016" t="s">
        <v>118</v>
      </c>
      <c r="K569" s="1016" t="s">
        <v>351</v>
      </c>
      <c r="L569" s="1016" t="s">
        <v>372</v>
      </c>
      <c r="M569" s="1016" t="s">
        <v>446</v>
      </c>
      <c r="N569" s="1"/>
      <c r="O569" s="1016" t="s">
        <v>514</v>
      </c>
      <c r="P569" s="1016" t="s">
        <v>543</v>
      </c>
      <c r="Q569" s="1016" t="s">
        <v>563</v>
      </c>
      <c r="R569" s="1016" t="s">
        <v>572</v>
      </c>
      <c r="S569" s="1016" t="s">
        <v>593</v>
      </c>
      <c r="T569" s="1016" t="s">
        <v>602</v>
      </c>
      <c r="U569" s="1016" t="s">
        <v>688</v>
      </c>
      <c r="V569" s="1016" t="s">
        <v>695</v>
      </c>
      <c r="W569" s="1016" t="s">
        <v>706</v>
      </c>
      <c r="X569" s="1016" t="s">
        <v>755</v>
      </c>
      <c r="Y569" s="1016" t="s">
        <v>772</v>
      </c>
      <c r="Z569" s="1016" t="s">
        <v>795</v>
      </c>
      <c r="AA569" s="1016" t="s">
        <v>807</v>
      </c>
      <c r="AB569" s="1016" t="s">
        <v>854</v>
      </c>
      <c r="AC569" s="1016" t="s">
        <v>872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4,00"/>
        <filter val="510,00"/>
        <filter val="525,98"/>
        <filter val="550,98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