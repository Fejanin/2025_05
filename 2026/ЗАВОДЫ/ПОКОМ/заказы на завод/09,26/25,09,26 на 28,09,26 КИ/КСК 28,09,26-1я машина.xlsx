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98842C0-EAB0-4CFC-8234-36F80C547CD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Z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BP504" i="2" s="1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P496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P465" i="2"/>
  <c r="BO465" i="2"/>
  <c r="BM465" i="2"/>
  <c r="Y465" i="2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N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BP336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P286" i="2"/>
  <c r="BO286" i="2"/>
  <c r="BM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P266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Y254" i="2" s="1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BP242" i="2"/>
  <c r="BO242" i="2"/>
  <c r="BM242" i="2"/>
  <c r="Y242" i="2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P229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P144" i="2"/>
  <c r="BO144" i="2"/>
  <c r="BM144" i="2"/>
  <c r="Y144" i="2"/>
  <c r="P144" i="2"/>
  <c r="BO143" i="2"/>
  <c r="BM143" i="2"/>
  <c r="Y143" i="2"/>
  <c r="Y145" i="2" s="1"/>
  <c r="P143" i="2"/>
  <c r="X141" i="2"/>
  <c r="X140" i="2"/>
  <c r="BO139" i="2"/>
  <c r="BM139" i="2"/>
  <c r="Y139" i="2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Z82" i="2"/>
  <c r="Y82" i="2"/>
  <c r="BN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BN116" i="2" l="1"/>
  <c r="BN134" i="2"/>
  <c r="BN232" i="2"/>
  <c r="BP397" i="2"/>
  <c r="BN406" i="2"/>
  <c r="BN424" i="2"/>
  <c r="BP436" i="2"/>
  <c r="BN460" i="2"/>
  <c r="BN48" i="2"/>
  <c r="BP63" i="2"/>
  <c r="BN68" i="2"/>
  <c r="Z90" i="2"/>
  <c r="BN90" i="2"/>
  <c r="BN105" i="2"/>
  <c r="BP107" i="2"/>
  <c r="BN111" i="2"/>
  <c r="BN122" i="2"/>
  <c r="BP152" i="2"/>
  <c r="BN199" i="2"/>
  <c r="Y201" i="2"/>
  <c r="BN207" i="2"/>
  <c r="BP208" i="2"/>
  <c r="BN238" i="2"/>
  <c r="BP239" i="2"/>
  <c r="Z246" i="2"/>
  <c r="BP276" i="2"/>
  <c r="BP306" i="2"/>
  <c r="BN336" i="2"/>
  <c r="Z347" i="2"/>
  <c r="BP365" i="2"/>
  <c r="BN368" i="2"/>
  <c r="Z397" i="2"/>
  <c r="BN417" i="2"/>
  <c r="BN425" i="2"/>
  <c r="Z436" i="2"/>
  <c r="Z487" i="2"/>
  <c r="BN223" i="2"/>
  <c r="BN321" i="2"/>
  <c r="BN432" i="2"/>
  <c r="BP128" i="2"/>
  <c r="BP285" i="2"/>
  <c r="BN298" i="2"/>
  <c r="BN546" i="2"/>
  <c r="BN534" i="2"/>
  <c r="BP291" i="2"/>
  <c r="BN224" i="2"/>
  <c r="Z288" i="2"/>
  <c r="Z378" i="2"/>
  <c r="BN522" i="2"/>
  <c r="BP542" i="2"/>
  <c r="Z534" i="2"/>
  <c r="Z535" i="2" s="1"/>
  <c r="BP527" i="2"/>
  <c r="BN526" i="2"/>
  <c r="BN524" i="2"/>
  <c r="Z522" i="2"/>
  <c r="Z512" i="2"/>
  <c r="BP512" i="2"/>
  <c r="BN511" i="2"/>
  <c r="Z506" i="2"/>
  <c r="Z498" i="2"/>
  <c r="BN487" i="2"/>
  <c r="BP479" i="2"/>
  <c r="Y483" i="2"/>
  <c r="BP478" i="2"/>
  <c r="Z450" i="2"/>
  <c r="BP448" i="2"/>
  <c r="BN442" i="2"/>
  <c r="BN437" i="2"/>
  <c r="BP418" i="2"/>
  <c r="BP412" i="2"/>
  <c r="BN410" i="2"/>
  <c r="BN400" i="2"/>
  <c r="Y402" i="2"/>
  <c r="BN391" i="2"/>
  <c r="Z387" i="2"/>
  <c r="BP386" i="2"/>
  <c r="BP385" i="2"/>
  <c r="BN378" i="2"/>
  <c r="BP376" i="2"/>
  <c r="BN347" i="2"/>
  <c r="Z336" i="2"/>
  <c r="BP330" i="2"/>
  <c r="BP329" i="2"/>
  <c r="Z309" i="2"/>
  <c r="BN309" i="2"/>
  <c r="BP307" i="2"/>
  <c r="BN293" i="2"/>
  <c r="BN288" i="2"/>
  <c r="BN278" i="2"/>
  <c r="BP275" i="2"/>
  <c r="BP252" i="2"/>
  <c r="BP243" i="2"/>
  <c r="BN234" i="2"/>
  <c r="BP233" i="2"/>
  <c r="BN227" i="2"/>
  <c r="BN211" i="2"/>
  <c r="Z207" i="2"/>
  <c r="BN189" i="2"/>
  <c r="BP184" i="2"/>
  <c r="BN178" i="2"/>
  <c r="BP164" i="2"/>
  <c r="BN151" i="2"/>
  <c r="I569" i="2"/>
  <c r="Z134" i="2"/>
  <c r="Z111" i="2"/>
  <c r="BN106" i="2"/>
  <c r="Z105" i="2"/>
  <c r="BN103" i="2"/>
  <c r="BP96" i="2"/>
  <c r="Z89" i="2"/>
  <c r="Y84" i="2"/>
  <c r="BN80" i="2"/>
  <c r="Z68" i="2"/>
  <c r="BN57" i="2"/>
  <c r="Z50" i="2"/>
  <c r="BP50" i="2"/>
  <c r="Z48" i="2"/>
  <c r="BN39" i="2"/>
  <c r="BP38" i="2"/>
  <c r="Z38" i="2"/>
  <c r="X563" i="2"/>
  <c r="BN28" i="2"/>
  <c r="BP31" i="2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0" i="2" s="1"/>
  <c r="Z368" i="2"/>
  <c r="Z377" i="2"/>
  <c r="Z391" i="2"/>
  <c r="Z400" i="2"/>
  <c r="Y407" i="2"/>
  <c r="BP404" i="2"/>
  <c r="BN405" i="2"/>
  <c r="Z410" i="2"/>
  <c r="Z413" i="2" s="1"/>
  <c r="Z424" i="2"/>
  <c r="BN431" i="2"/>
  <c r="Z437" i="2"/>
  <c r="Y446" i="2"/>
  <c r="Y445" i="2"/>
  <c r="BP450" i="2"/>
  <c r="X569" i="2"/>
  <c r="Z470" i="2"/>
  <c r="Z482" i="2"/>
  <c r="Z517" i="2"/>
  <c r="BN523" i="2"/>
  <c r="BP524" i="2"/>
  <c r="Y539" i="2"/>
  <c r="X560" i="2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Z419" i="2" s="1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7" i="2"/>
  <c r="Z108" i="2"/>
  <c r="BN143" i="2"/>
  <c r="BN154" i="2"/>
  <c r="Z165" i="2"/>
  <c r="BN177" i="2"/>
  <c r="Z185" i="2"/>
  <c r="Z209" i="2"/>
  <c r="BN222" i="2"/>
  <c r="Z230" i="2"/>
  <c r="Z240" i="2"/>
  <c r="Z250" i="2"/>
  <c r="Y264" i="2"/>
  <c r="Z273" i="2"/>
  <c r="Z283" i="2"/>
  <c r="Z304" i="2"/>
  <c r="Z327" i="2"/>
  <c r="Z338" i="2"/>
  <c r="Z393" i="2"/>
  <c r="Z486" i="2"/>
  <c r="Y500" i="2"/>
  <c r="P569" i="2"/>
  <c r="A10" i="2"/>
  <c r="Y160" i="2"/>
  <c r="Y371" i="2"/>
  <c r="Y381" i="2"/>
  <c r="Y389" i="2"/>
  <c r="Z398" i="2"/>
  <c r="Y413" i="2"/>
  <c r="Z434" i="2"/>
  <c r="Z444" i="2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Z451" i="2" s="1"/>
  <c r="Y463" i="2"/>
  <c r="BN486" i="2"/>
  <c r="Z497" i="2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Z83" i="2" s="1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1" i="2" s="1"/>
  <c r="Z374" i="2"/>
  <c r="Z384" i="2"/>
  <c r="Z37" i="2"/>
  <c r="Z49" i="2"/>
  <c r="Z51" i="2" s="1"/>
  <c r="Z60" i="2"/>
  <c r="Z70" i="2"/>
  <c r="Z72" i="2" s="1"/>
  <c r="BP95" i="2"/>
  <c r="Z104" i="2"/>
  <c r="Z124" i="2"/>
  <c r="Y129" i="2"/>
  <c r="BP139" i="2"/>
  <c r="BP163" i="2"/>
  <c r="Z171" i="2"/>
  <c r="Z181" i="2"/>
  <c r="Z191" i="2"/>
  <c r="Y196" i="2"/>
  <c r="Z205" i="2"/>
  <c r="Z216" i="2"/>
  <c r="Z217" i="2" s="1"/>
  <c r="Z226" i="2"/>
  <c r="Z256" i="2"/>
  <c r="Z257" i="2" s="1"/>
  <c r="BP271" i="2"/>
  <c r="Y300" i="2"/>
  <c r="Y311" i="2"/>
  <c r="Z345" i="2"/>
  <c r="Z348" i="2" s="1"/>
  <c r="Z399" i="2"/>
  <c r="Z423" i="2"/>
  <c r="Z426" i="2" s="1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BN551" i="2"/>
  <c r="BN104" i="2"/>
  <c r="BN124" i="2"/>
  <c r="Z63" i="2"/>
  <c r="Z96" i="2"/>
  <c r="Z107" i="2"/>
  <c r="Z117" i="2"/>
  <c r="Z164" i="2"/>
  <c r="Z184" i="2"/>
  <c r="Z208" i="2"/>
  <c r="Z229" i="2"/>
  <c r="Z239" i="2"/>
  <c r="Z272" i="2"/>
  <c r="Z282" i="2"/>
  <c r="Z303" i="2"/>
  <c r="Z313" i="2"/>
  <c r="Z314" i="2" s="1"/>
  <c r="Z326" i="2"/>
  <c r="Z337" i="2"/>
  <c r="Z392" i="2"/>
  <c r="BN404" i="2"/>
  <c r="Z438" i="2"/>
  <c r="Z461" i="2"/>
  <c r="Z462" i="2" s="1"/>
  <c r="Y513" i="2"/>
  <c r="BP534" i="2"/>
  <c r="BP546" i="2"/>
  <c r="Y558" i="2"/>
  <c r="BP423" i="2"/>
  <c r="BN480" i="2"/>
  <c r="AB569" i="2"/>
  <c r="Y167" i="2"/>
  <c r="Z394" i="2" l="1"/>
  <c r="Z499" i="2"/>
  <c r="Z488" i="2"/>
  <c r="Z92" i="2"/>
  <c r="Z353" i="2"/>
  <c r="Z472" i="2"/>
  <c r="Z42" i="2"/>
  <c r="Z172" i="2"/>
  <c r="Z135" i="2"/>
  <c r="Z529" i="2"/>
  <c r="Z445" i="2"/>
  <c r="Z388" i="2"/>
  <c r="Z381" i="2"/>
  <c r="Z299" i="2"/>
  <c r="Z263" i="2"/>
  <c r="Z253" i="2"/>
  <c r="Z247" i="2"/>
  <c r="Z192" i="2"/>
  <c r="Z140" i="2"/>
  <c r="Z125" i="2"/>
  <c r="X562" i="2"/>
  <c r="Y561" i="2"/>
  <c r="Z401" i="2"/>
  <c r="Z519" i="2"/>
  <c r="Z456" i="2"/>
  <c r="Z64" i="2"/>
  <c r="Z167" i="2"/>
  <c r="Z118" i="2"/>
  <c r="Y563" i="2"/>
  <c r="Z112" i="2"/>
  <c r="Y560" i="2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Y562" i="2" l="1"/>
  <c r="Z564" i="2"/>
</calcChain>
</file>

<file path=xl/sharedStrings.xml><?xml version="1.0" encoding="utf-8"?>
<sst xmlns="http://schemas.openxmlformats.org/spreadsheetml/2006/main" count="4287" uniqueCount="893">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</sst>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 t="s">
        <v>892</v>
      </c>
      <c r="I5" s="657"/>
      <c r="J5" s="657"/>
      <c r="K5" s="657"/>
      <c r="L5" s="657"/>
      <c r="M5" s="657"/>
      <c r="N5" s="72"/>
      <c r="P5" s="27" t="s">
        <v>4</v>
      </c>
      <c r="Q5" s="659">
        <v>46293</v>
      </c>
      <c r="R5" s="659"/>
      <c r="T5" s="660" t="s">
        <v>3</v>
      </c>
      <c r="U5" s="661"/>
      <c r="V5" s="662" t="s">
        <v>873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874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4.1666666666666664E-2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48</v>
      </c>
      <c r="Y40" s="55">
        <f>IFERROR(IF(X40="",0,CEILING((X40/$H40),1)*$H40),"")</f>
        <v>48</v>
      </c>
      <c r="Z40" s="41">
        <f>IFERROR(IF(Y40=0,"",ROUNDUP(Y40/H40,0)*0.00651),"")</f>
        <v>0.16275000000000001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52.500000000000007</v>
      </c>
      <c r="BN40" s="78">
        <f>IFERROR(Y40*I40/H40,"0")</f>
        <v>52.500000000000007</v>
      </c>
      <c r="BO40" s="78">
        <f>IFERROR(1/J40*(X40/H40),"0")</f>
        <v>0.13736263736263737</v>
      </c>
      <c r="BP40" s="78">
        <f>IFERROR(1/J40*(Y40/H40),"0")</f>
        <v>0.13736263736263737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41.666666666666671</v>
      </c>
      <c r="Y42" s="43">
        <f>IFERROR(Y37/H37,"0")+IFERROR(Y38/H38,"0")+IFERROR(Y39/H39,"0")+IFERROR(Y40/H40,"0")+IFERROR(Y41/H41,"0")</f>
        <v>42</v>
      </c>
      <c r="Z42" s="43">
        <f>IFERROR(IF(Z37="",0,Z37),"0")+IFERROR(IF(Z38="",0,Z38),"0")+IFERROR(IF(Z39="",0,Z39),"0")+IFERROR(IF(Z40="",0,Z40),"0")+IFERROR(IF(Z41="",0,Z41),"0")</f>
        <v>0.27342</v>
      </c>
      <c r="AA42" s="67"/>
      <c r="AB42" s="67"/>
      <c r="AC42" s="67"/>
    </row>
    <row r="43" spans="1:68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80</v>
      </c>
      <c r="Y43" s="43">
        <f>IFERROR(SUM(Y37:Y41),"0")</f>
        <v>80.64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150</v>
      </c>
      <c r="Y47" s="55">
        <f>IFERROR(IF(X47="",0,CEILING((X47/$H47),1)*$H47),"")</f>
        <v>151.20000000000002</v>
      </c>
      <c r="Z47" s="41">
        <f>IFERROR(IF(Y47=0,"",ROUNDUP(Y47/H47,0)*0.01898),"")</f>
        <v>0.26572000000000001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155.69444444444446</v>
      </c>
      <c r="BN47" s="78">
        <f>IFERROR(Y47*I47/H47,"0")</f>
        <v>156.94</v>
      </c>
      <c r="BO47" s="78">
        <f>IFERROR(1/J47*(X47/H47),"0")</f>
        <v>0.21701388888888887</v>
      </c>
      <c r="BP47" s="78">
        <f>IFERROR(1/J47*(Y47/H47),"0")</f>
        <v>0.21875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320</v>
      </c>
      <c r="Y49" s="55">
        <f>IFERROR(IF(X49="",0,CEILING((X49/$H49),1)*$H49),"")</f>
        <v>320</v>
      </c>
      <c r="Z49" s="41">
        <f>IFERROR(IF(Y49=0,"",ROUNDUP(Y49/H49,0)*0.00902),"")</f>
        <v>0.72160000000000002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335.20000000000005</v>
      </c>
      <c r="BN49" s="78">
        <f>IFERROR(Y49*I49/H49,"0")</f>
        <v>335.20000000000005</v>
      </c>
      <c r="BO49" s="78">
        <f>IFERROR(1/J49*(X49/H49),"0")</f>
        <v>0.60606060606060608</v>
      </c>
      <c r="BP49" s="78">
        <f>IFERROR(1/J49*(Y49/H49),"0")</f>
        <v>0.60606060606060608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93.888888888888886</v>
      </c>
      <c r="Y51" s="43">
        <f>IFERROR(Y47/H47,"0")+IFERROR(Y48/H48,"0")+IFERROR(Y49/H49,"0")+IFERROR(Y50/H50,"0")</f>
        <v>94</v>
      </c>
      <c r="Z51" s="43">
        <f>IFERROR(IF(Z47="",0,Z47),"0")+IFERROR(IF(Z48="",0,Z48),"0")+IFERROR(IF(Z49="",0,Z49),"0")+IFERROR(IF(Z50="",0,Z50),"0")</f>
        <v>0.98731999999999998</v>
      </c>
      <c r="AA51" s="67"/>
      <c r="AB51" s="67"/>
      <c r="AC51" s="67"/>
    </row>
    <row r="52" spans="1:68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470</v>
      </c>
      <c r="Y52" s="43">
        <f>IFERROR(SUM(Y47:Y50),"0")</f>
        <v>471.20000000000005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120</v>
      </c>
      <c r="Y56" s="55">
        <f t="shared" si="0"/>
        <v>129.60000000000002</v>
      </c>
      <c r="Z56" s="41">
        <f>IFERROR(IF(Y56=0,"",ROUNDUP(Y56/H56,0)*0.01898),"")</f>
        <v>0.22776000000000002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124.55555555555556</v>
      </c>
      <c r="BN56" s="78">
        <f t="shared" si="2"/>
        <v>134.52000000000001</v>
      </c>
      <c r="BO56" s="78">
        <f t="shared" si="3"/>
        <v>0.1736111111111111</v>
      </c>
      <c r="BP56" s="78">
        <f t="shared" si="4"/>
        <v>0.18750000000000003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360</v>
      </c>
      <c r="Y62" s="55">
        <f t="shared" si="0"/>
        <v>360</v>
      </c>
      <c r="Z62" s="41">
        <f>IFERROR(IF(Y62=0,"",ROUNDUP(Y62/H62,0)*0.00902),"")</f>
        <v>0.72160000000000002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375.20000000000005</v>
      </c>
      <c r="BN62" s="78">
        <f t="shared" si="2"/>
        <v>375.20000000000005</v>
      </c>
      <c r="BO62" s="78">
        <f t="shared" si="3"/>
        <v>0.60606060606060608</v>
      </c>
      <c r="BP62" s="78">
        <f t="shared" si="4"/>
        <v>0.60606060606060608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91.111111111111114</v>
      </c>
      <c r="Y64" s="43">
        <f>IFERROR(Y55/H55,"0")+IFERROR(Y56/H56,"0")+IFERROR(Y57/H57,"0")+IFERROR(Y58/H58,"0")+IFERROR(Y59/H59,"0")+IFERROR(Y60/H60,"0")+IFERROR(Y61/H61,"0")+IFERROR(Y62/H62,"0")+IFERROR(Y63/H63,"0")</f>
        <v>92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0.94935999999999998</v>
      </c>
      <c r="AA64" s="67"/>
      <c r="AB64" s="67"/>
      <c r="AC64" s="67"/>
    </row>
    <row r="65" spans="1:68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480</v>
      </c>
      <c r="Y65" s="43">
        <f>IFERROR(SUM(Y55:Y63),"0")</f>
        <v>489.6</v>
      </c>
      <c r="Z65" s="42"/>
      <c r="AA65" s="67"/>
      <c r="AB65" s="67"/>
      <c r="AC65" s="67"/>
    </row>
    <row r="66" spans="1:68" ht="14.25" hidden="1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50</v>
      </c>
      <c r="Y67" s="55">
        <f>IFERROR(IF(X67="",0,CEILING((X67/$H67),1)*$H67),"")</f>
        <v>54</v>
      </c>
      <c r="Z67" s="41">
        <f>IFERROR(IF(Y67=0,"",ROUNDUP(Y67/H67,0)*0.01898),"")</f>
        <v>9.4899999999999998E-2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51.898148148148145</v>
      </c>
      <c r="BN67" s="78">
        <f>IFERROR(Y67*I67/H67,"0")</f>
        <v>56.05</v>
      </c>
      <c r="BO67" s="78">
        <f>IFERROR(1/J67*(X67/H67),"0")</f>
        <v>7.2337962962962965E-2</v>
      </c>
      <c r="BP67" s="78">
        <f>IFERROR(1/J67*(Y67/H67),"0")</f>
        <v>7.8125E-2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135</v>
      </c>
      <c r="Y71" s="55">
        <f>IFERROR(IF(X71="",0,CEILING((X71/$H71),1)*$H71),"")</f>
        <v>135</v>
      </c>
      <c r="Z71" s="41">
        <f>IFERROR(IF(Y71=0,"",ROUNDUP(Y71/H71,0)*0.00651),"")</f>
        <v>0.32550000000000001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144</v>
      </c>
      <c r="BN71" s="78">
        <f>IFERROR(Y71*I71/H71,"0")</f>
        <v>144</v>
      </c>
      <c r="BO71" s="78">
        <f>IFERROR(1/J71*(X71/H71),"0")</f>
        <v>0.27472527472527475</v>
      </c>
      <c r="BP71" s="78">
        <f>IFERROR(1/J71*(Y71/H71),"0")</f>
        <v>0.27472527472527475</v>
      </c>
    </row>
    <row r="72" spans="1:68" x14ac:dyDescent="0.2">
      <c r="A72" s="731"/>
      <c r="B72" s="731"/>
      <c r="C72" s="731"/>
      <c r="D72" s="731"/>
      <c r="E72" s="731"/>
      <c r="F72" s="731"/>
      <c r="G72" s="731"/>
      <c r="H72" s="731"/>
      <c r="I72" s="731"/>
      <c r="J72" s="731"/>
      <c r="K72" s="731"/>
      <c r="L72" s="731"/>
      <c r="M72" s="731"/>
      <c r="N72" s="731"/>
      <c r="O72" s="732"/>
      <c r="P72" s="728" t="s">
        <v>40</v>
      </c>
      <c r="Q72" s="729"/>
      <c r="R72" s="729"/>
      <c r="S72" s="729"/>
      <c r="T72" s="729"/>
      <c r="U72" s="729"/>
      <c r="V72" s="730"/>
      <c r="W72" s="42" t="s">
        <v>39</v>
      </c>
      <c r="X72" s="43">
        <f>IFERROR(X67/H67,"0")+IFERROR(X68/H68,"0")+IFERROR(X69/H69,"0")+IFERROR(X70/H70,"0")+IFERROR(X71/H71,"0")</f>
        <v>54.629629629629633</v>
      </c>
      <c r="Y72" s="43">
        <f>IFERROR(Y67/H67,"0")+IFERROR(Y68/H68,"0")+IFERROR(Y69/H69,"0")+IFERROR(Y70/H70,"0")+IFERROR(Y71/H71,"0")</f>
        <v>55</v>
      </c>
      <c r="Z72" s="43">
        <f>IFERROR(IF(Z67="",0,Z67),"0")+IFERROR(IF(Z68="",0,Z68),"0")+IFERROR(IF(Z69="",0,Z69),"0")+IFERROR(IF(Z70="",0,Z70),"0")+IFERROR(IF(Z71="",0,Z71),"0")</f>
        <v>0.4204</v>
      </c>
      <c r="AA72" s="67"/>
      <c r="AB72" s="67"/>
      <c r="AC72" s="67"/>
    </row>
    <row r="73" spans="1:68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0</v>
      </c>
      <c r="X73" s="43">
        <f>IFERROR(SUM(X67:X71),"0")</f>
        <v>185</v>
      </c>
      <c r="Y73" s="43">
        <f>IFERROR(SUM(Y67:Y71),"0")</f>
        <v>189</v>
      </c>
      <c r="Z73" s="42"/>
      <c r="AA73" s="67"/>
      <c r="AB73" s="67"/>
      <c r="AC73" s="67"/>
    </row>
    <row r="74" spans="1:68" ht="14.25" hidden="1" customHeight="1" x14ac:dyDescent="0.25">
      <c r="A74" s="722" t="s">
        <v>86</v>
      </c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2"/>
      <c r="P74" s="722"/>
      <c r="Q74" s="722"/>
      <c r="R74" s="722"/>
      <c r="S74" s="722"/>
      <c r="T74" s="722"/>
      <c r="U74" s="722"/>
      <c r="V74" s="722"/>
      <c r="W74" s="722"/>
      <c r="X74" s="722"/>
      <c r="Y74" s="722"/>
      <c r="Z74" s="722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3">
        <v>4680115884311</v>
      </c>
      <c r="E75" s="723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5"/>
      <c r="R75" s="725"/>
      <c r="S75" s="725"/>
      <c r="T75" s="726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3">
        <v>4680115884403</v>
      </c>
      <c r="E76" s="7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1"/>
      <c r="B77" s="731"/>
      <c r="C77" s="731"/>
      <c r="D77" s="731"/>
      <c r="E77" s="731"/>
      <c r="F77" s="731"/>
      <c r="G77" s="731"/>
      <c r="H77" s="731"/>
      <c r="I77" s="731"/>
      <c r="J77" s="731"/>
      <c r="K77" s="731"/>
      <c r="L77" s="731"/>
      <c r="M77" s="731"/>
      <c r="N77" s="731"/>
      <c r="O77" s="732"/>
      <c r="P77" s="728" t="s">
        <v>40</v>
      </c>
      <c r="Q77" s="729"/>
      <c r="R77" s="729"/>
      <c r="S77" s="729"/>
      <c r="T77" s="729"/>
      <c r="U77" s="729"/>
      <c r="V77" s="730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2" t="s">
        <v>178</v>
      </c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2"/>
      <c r="P79" s="722"/>
      <c r="Q79" s="722"/>
      <c r="R79" s="722"/>
      <c r="S79" s="722"/>
      <c r="T79" s="722"/>
      <c r="U79" s="722"/>
      <c r="V79" s="722"/>
      <c r="W79" s="722"/>
      <c r="X79" s="722"/>
      <c r="Y79" s="722"/>
      <c r="Z79" s="722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3">
        <v>4680115881532</v>
      </c>
      <c r="E80" s="7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3">
        <v>4680115881464</v>
      </c>
      <c r="E82" s="72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1"/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2"/>
      <c r="P83" s="728" t="s">
        <v>40</v>
      </c>
      <c r="Q83" s="729"/>
      <c r="R83" s="729"/>
      <c r="S83" s="729"/>
      <c r="T83" s="729"/>
      <c r="U83" s="729"/>
      <c r="V83" s="730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1" t="s">
        <v>186</v>
      </c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1"/>
      <c r="P85" s="721"/>
      <c r="Q85" s="721"/>
      <c r="R85" s="721"/>
      <c r="S85" s="721"/>
      <c r="T85" s="721"/>
      <c r="U85" s="721"/>
      <c r="V85" s="721"/>
      <c r="W85" s="721"/>
      <c r="X85" s="721"/>
      <c r="Y85" s="721"/>
      <c r="Z85" s="721"/>
      <c r="AA85" s="65"/>
      <c r="AB85" s="65"/>
      <c r="AC85" s="79"/>
    </row>
    <row r="86" spans="1:68" ht="14.25" hidden="1" customHeight="1" x14ac:dyDescent="0.25">
      <c r="A86" s="722" t="s">
        <v>122</v>
      </c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2"/>
      <c r="P86" s="722"/>
      <c r="Q86" s="722"/>
      <c r="R86" s="722"/>
      <c r="S86" s="722"/>
      <c r="T86" s="722"/>
      <c r="U86" s="722"/>
      <c r="V86" s="722"/>
      <c r="W86" s="722"/>
      <c r="X86" s="722"/>
      <c r="Y86" s="722"/>
      <c r="Z86" s="722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3">
        <v>4680115881327</v>
      </c>
      <c r="E87" s="72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140</v>
      </c>
      <c r="Y87" s="55">
        <f>IFERROR(IF(X87="",0,CEILING((X87/$H87),1)*$H87),"")</f>
        <v>140.4</v>
      </c>
      <c r="Z87" s="41">
        <f>IFERROR(IF(Y87=0,"",ROUNDUP(Y87/H87,0)*0.01898),"")</f>
        <v>0.24674000000000001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145.31481481481481</v>
      </c>
      <c r="BN87" s="78">
        <f>IFERROR(Y87*I87/H87,"0")</f>
        <v>145.73000000000002</v>
      </c>
      <c r="BO87" s="78">
        <f>IFERROR(1/J87*(X87/H87),"0")</f>
        <v>0.20254629629629628</v>
      </c>
      <c r="BP87" s="78">
        <f>IFERROR(1/J87*(Y87/H87),"0")</f>
        <v>0.203125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723">
        <v>4680115887732</v>
      </c>
      <c r="E88" s="723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76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723">
        <v>4680115881518</v>
      </c>
      <c r="E89" s="72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7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4301012250</v>
      </c>
      <c r="D91" s="723">
        <v>4680115881303</v>
      </c>
      <c r="E91" s="72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450</v>
      </c>
      <c r="Y91" s="55">
        <f>IFERROR(IF(X91="",0,CEILING((X91/$H91),1)*$H91),"")</f>
        <v>450</v>
      </c>
      <c r="Z91" s="41">
        <f>IFERROR(IF(Y91=0,"",ROUNDUP(Y91/H91,0)*0.00902),"")</f>
        <v>0.90200000000000002</v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469</v>
      </c>
      <c r="BN91" s="78">
        <f>IFERROR(Y91*I91/H91,"0")</f>
        <v>469</v>
      </c>
      <c r="BO91" s="78">
        <f>IFERROR(1/J91*(X91/H91),"0")</f>
        <v>0.75757575757575757</v>
      </c>
      <c r="BP91" s="78">
        <f>IFERROR(1/J91*(Y91/H91),"0")</f>
        <v>0.75757575757575757</v>
      </c>
    </row>
    <row r="92" spans="1:68" x14ac:dyDescent="0.2">
      <c r="A92" s="731"/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1"/>
      <c r="N92" s="731"/>
      <c r="O92" s="732"/>
      <c r="P92" s="728" t="s">
        <v>40</v>
      </c>
      <c r="Q92" s="729"/>
      <c r="R92" s="729"/>
      <c r="S92" s="729"/>
      <c r="T92" s="729"/>
      <c r="U92" s="729"/>
      <c r="V92" s="730"/>
      <c r="W92" s="42" t="s">
        <v>39</v>
      </c>
      <c r="X92" s="43">
        <f>IFERROR(X87/H87,"0")+IFERROR(X88/H88,"0")+IFERROR(X89/H89,"0")+IFERROR(X90/H90,"0")+IFERROR(X91/H91,"0")</f>
        <v>112.96296296296296</v>
      </c>
      <c r="Y92" s="43">
        <f>IFERROR(Y87/H87,"0")+IFERROR(Y88/H88,"0")+IFERROR(Y89/H89,"0")+IFERROR(Y90/H90,"0")+IFERROR(Y91/H91,"0")</f>
        <v>113</v>
      </c>
      <c r="Z92" s="43">
        <f>IFERROR(IF(Z87="",0,Z87),"0")+IFERROR(IF(Z88="",0,Z88),"0")+IFERROR(IF(Z89="",0,Z89),"0")+IFERROR(IF(Z90="",0,Z90),"0")+IFERROR(IF(Z91="",0,Z91),"0")</f>
        <v>1.1487400000000001</v>
      </c>
      <c r="AA92" s="67"/>
      <c r="AB92" s="67"/>
      <c r="AC92" s="67"/>
    </row>
    <row r="93" spans="1:68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0</v>
      </c>
      <c r="X93" s="43">
        <f>IFERROR(SUM(X87:X91),"0")</f>
        <v>590</v>
      </c>
      <c r="Y93" s="43">
        <f>IFERROR(SUM(Y87:Y91),"0")</f>
        <v>590.4</v>
      </c>
      <c r="Z93" s="42"/>
      <c r="AA93" s="67"/>
      <c r="AB93" s="67"/>
      <c r="AC93" s="67"/>
    </row>
    <row r="94" spans="1:68" ht="14.25" hidden="1" customHeight="1" x14ac:dyDescent="0.25">
      <c r="A94" s="722" t="s">
        <v>86</v>
      </c>
      <c r="B94" s="722"/>
      <c r="C94" s="722"/>
      <c r="D94" s="722"/>
      <c r="E94" s="722"/>
      <c r="F94" s="722"/>
      <c r="G94" s="722"/>
      <c r="H94" s="722"/>
      <c r="I94" s="722"/>
      <c r="J94" s="722"/>
      <c r="K94" s="722"/>
      <c r="L94" s="722"/>
      <c r="M94" s="722"/>
      <c r="N94" s="722"/>
      <c r="O94" s="722"/>
      <c r="P94" s="722"/>
      <c r="Q94" s="722"/>
      <c r="R94" s="722"/>
      <c r="S94" s="722"/>
      <c r="T94" s="722"/>
      <c r="U94" s="722"/>
      <c r="V94" s="722"/>
      <c r="W94" s="722"/>
      <c r="X94" s="722"/>
      <c r="Y94" s="722"/>
      <c r="Z94" s="722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4301052101</v>
      </c>
      <c r="D95" s="723">
        <v>4607091386967</v>
      </c>
      <c r="E95" s="72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77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723">
        <v>4680115884953</v>
      </c>
      <c r="E96" s="72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540</v>
      </c>
      <c r="Y97" s="55">
        <f>IFERROR(IF(X97="",0,CEILING((X97/$H97),1)*$H97),"")</f>
        <v>540</v>
      </c>
      <c r="Z97" s="41">
        <f>IFERROR(IF(Y97=0,"",ROUNDUP(Y97/H97,0)*0.00651),"")</f>
        <v>1.302</v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590.4</v>
      </c>
      <c r="BN97" s="78">
        <f>IFERROR(Y97*I97/H97,"0")</f>
        <v>590.4</v>
      </c>
      <c r="BO97" s="78">
        <f>IFERROR(1/J97*(X97/H97),"0")</f>
        <v>1.098901098901099</v>
      </c>
      <c r="BP97" s="78">
        <f>IFERROR(1/J97*(Y97/H97),"0")</f>
        <v>1.098901098901099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IFERROR(X95/H95,"0")+IFERROR(X96/H96,"0")+IFERROR(X97/H97,"0")+IFERROR(X98/H98,"0")</f>
        <v>200</v>
      </c>
      <c r="Y99" s="43">
        <f>IFERROR(Y95/H95,"0")+IFERROR(Y96/H96,"0")+IFERROR(Y97/H97,"0")+IFERROR(Y98/H98,"0")</f>
        <v>200</v>
      </c>
      <c r="Z99" s="43">
        <f>IFERROR(IF(Z95="",0,Z95),"0")+IFERROR(IF(Z96="",0,Z96),"0")+IFERROR(IF(Z97="",0,Z97),"0")+IFERROR(IF(Z98="",0,Z98),"0")</f>
        <v>1.302</v>
      </c>
      <c r="AA99" s="67"/>
      <c r="AB99" s="67"/>
      <c r="AC99" s="67"/>
    </row>
    <row r="100" spans="1:68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IFERROR(SUM(X95:X98),"0")</f>
        <v>540</v>
      </c>
      <c r="Y100" s="43">
        <f>IFERROR(SUM(Y95:Y98),"0")</f>
        <v>540</v>
      </c>
      <c r="Z100" s="42"/>
      <c r="AA100" s="67"/>
      <c r="AB100" s="67"/>
      <c r="AC100" s="67"/>
    </row>
    <row r="101" spans="1:68" ht="16.5" hidden="1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723">
        <v>4680115887718</v>
      </c>
      <c r="E105" s="723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723">
        <v>4680115880269</v>
      </c>
      <c r="E106" s="72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4301012254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495</v>
      </c>
      <c r="Y108" s="55">
        <f t="shared" si="5"/>
        <v>495</v>
      </c>
      <c r="Z108" s="41">
        <f>IFERROR(IF(Y108=0,"",ROUNDUP(Y108/H108,0)*0.00902),"")</f>
        <v>0.99219999999999997</v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515.90000000000009</v>
      </c>
      <c r="BN108" s="78">
        <f t="shared" si="7"/>
        <v>515.90000000000009</v>
      </c>
      <c r="BO108" s="78">
        <f t="shared" si="8"/>
        <v>0.83333333333333337</v>
      </c>
      <c r="BP108" s="78">
        <f t="shared" si="9"/>
        <v>0.83333333333333337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723">
        <v>4680115881457</v>
      </c>
      <c r="E109" s="723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8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723">
        <v>4680115889477</v>
      </c>
      <c r="E111" s="72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78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110</v>
      </c>
      <c r="Y112" s="43">
        <f>IFERROR(Y103/H103,"0")+IFERROR(Y104/H104,"0")+IFERROR(Y105/H105,"0")+IFERROR(Y106/H106,"0")+IFERROR(Y107/H107,"0")+IFERROR(Y108/H108,"0")+IFERROR(Y109/H109,"0")+IFERROR(Y110/H110,"0")+IFERROR(Y111/H111,"0")</f>
        <v>110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0.99219999999999997</v>
      </c>
      <c r="AA112" s="67"/>
      <c r="AB112" s="67"/>
      <c r="AC112" s="67"/>
    </row>
    <row r="113" spans="1:68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0</v>
      </c>
      <c r="X113" s="43">
        <f>IFERROR(SUM(X103:X111),"0")</f>
        <v>495</v>
      </c>
      <c r="Y113" s="43">
        <f>IFERROR(SUM(Y103:Y111),"0")</f>
        <v>495</v>
      </c>
      <c r="Z113" s="42"/>
      <c r="AA113" s="67"/>
      <c r="AB113" s="67"/>
      <c r="AC113" s="67"/>
    </row>
    <row r="114" spans="1:68" ht="14.25" hidden="1" customHeight="1" x14ac:dyDescent="0.25">
      <c r="A114" s="722" t="s">
        <v>159</v>
      </c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2"/>
      <c r="P114" s="722"/>
      <c r="Q114" s="722"/>
      <c r="R114" s="722"/>
      <c r="S114" s="722"/>
      <c r="T114" s="722"/>
      <c r="U114" s="722"/>
      <c r="V114" s="722"/>
      <c r="W114" s="722"/>
      <c r="X114" s="722"/>
      <c r="Y114" s="722"/>
      <c r="Z114" s="722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723">
        <v>4680115881488</v>
      </c>
      <c r="E115" s="72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723">
        <v>4680115882775</v>
      </c>
      <c r="E116" s="72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723">
        <v>4680115880658</v>
      </c>
      <c r="E117" s="72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731"/>
      <c r="B118" s="731"/>
      <c r="C118" s="731"/>
      <c r="D118" s="731"/>
      <c r="E118" s="731"/>
      <c r="F118" s="731"/>
      <c r="G118" s="731"/>
      <c r="H118" s="731"/>
      <c r="I118" s="731"/>
      <c r="J118" s="731"/>
      <c r="K118" s="731"/>
      <c r="L118" s="731"/>
      <c r="M118" s="731"/>
      <c r="N118" s="731"/>
      <c r="O118" s="732"/>
      <c r="P118" s="728" t="s">
        <v>40</v>
      </c>
      <c r="Q118" s="729"/>
      <c r="R118" s="729"/>
      <c r="S118" s="729"/>
      <c r="T118" s="729"/>
      <c r="U118" s="729"/>
      <c r="V118" s="730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722" t="s">
        <v>86</v>
      </c>
      <c r="B120" s="722"/>
      <c r="C120" s="722"/>
      <c r="D120" s="722"/>
      <c r="E120" s="722"/>
      <c r="F120" s="722"/>
      <c r="G120" s="722"/>
      <c r="H120" s="722"/>
      <c r="I120" s="722"/>
      <c r="J120" s="722"/>
      <c r="K120" s="722"/>
      <c r="L120" s="722"/>
      <c r="M120" s="722"/>
      <c r="N120" s="722"/>
      <c r="O120" s="722"/>
      <c r="P120" s="722"/>
      <c r="Q120" s="722"/>
      <c r="R120" s="722"/>
      <c r="S120" s="722"/>
      <c r="T120" s="722"/>
      <c r="U120" s="722"/>
      <c r="V120" s="722"/>
      <c r="W120" s="722"/>
      <c r="X120" s="722"/>
      <c r="Y120" s="722"/>
      <c r="Z120" s="722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723">
        <v>4607091385168</v>
      </c>
      <c r="E121" s="723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78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5"/>
      <c r="R121" s="725"/>
      <c r="S121" s="725"/>
      <c r="T121" s="726"/>
      <c r="U121" s="39" t="s">
        <v>46</v>
      </c>
      <c r="V121" s="39" t="s">
        <v>46</v>
      </c>
      <c r="W121" s="40" t="s">
        <v>0</v>
      </c>
      <c r="X121" s="58">
        <v>600</v>
      </c>
      <c r="Y121" s="55">
        <f>IFERROR(IF(X121="",0,CEILING((X121/$H121),1)*$H121),"")</f>
        <v>607.5</v>
      </c>
      <c r="Z121" s="41">
        <f>IFERROR(IF(Y121=0,"",ROUNDUP(Y121/H121,0)*0.01898),"")</f>
        <v>1.4235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636.14814814814804</v>
      </c>
      <c r="BN121" s="78">
        <f>IFERROR(Y121*I121/H121,"0")</f>
        <v>644.09999999999991</v>
      </c>
      <c r="BO121" s="78">
        <f>IFERROR(1/J121*(X121/H121),"0")</f>
        <v>1.1574074074074074</v>
      </c>
      <c r="BP121" s="78">
        <f>IFERROR(1/J121*(Y121/H121),"0")</f>
        <v>1.171875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723">
        <v>4607091383256</v>
      </c>
      <c r="E122" s="723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241</v>
      </c>
      <c r="B123" s="63" t="s">
        <v>242</v>
      </c>
      <c r="C123" s="36">
        <v>4301052086</v>
      </c>
      <c r="D123" s="723">
        <v>4607091385748</v>
      </c>
      <c r="E123" s="723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945</v>
      </c>
      <c r="Y123" s="55">
        <f>IFERROR(IF(X123="",0,CEILING((X123/$H123),1)*$H123),"")</f>
        <v>945.00000000000011</v>
      </c>
      <c r="Z123" s="41">
        <f>IFERROR(IF(Y123=0,"",ROUNDUP(Y123/H123,0)*0.00651),"")</f>
        <v>2.2785000000000002</v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1033.1999999999998</v>
      </c>
      <c r="BN123" s="78">
        <f>IFERROR(Y123*I123/H123,"0")</f>
        <v>1033.2</v>
      </c>
      <c r="BO123" s="78">
        <f>IFERROR(1/J123*(X123/H123),"0")</f>
        <v>1.9230769230769231</v>
      </c>
      <c r="BP123" s="78">
        <f>IFERROR(1/J123*(Y123/H123),"0")</f>
        <v>1.9230769230769231</v>
      </c>
    </row>
    <row r="124" spans="1:68" ht="16.5" customHeight="1" x14ac:dyDescent="0.25">
      <c r="A124" s="63" t="s">
        <v>243</v>
      </c>
      <c r="B124" s="63" t="s">
        <v>244</v>
      </c>
      <c r="C124" s="36">
        <v>4301052085</v>
      </c>
      <c r="D124" s="723">
        <v>4680115884533</v>
      </c>
      <c r="E124" s="723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21</v>
      </c>
      <c r="Y124" s="55">
        <f>IFERROR(IF(X124="",0,CEILING((X124/$H124),1)*$H124),"")</f>
        <v>21.6</v>
      </c>
      <c r="Z124" s="41">
        <f>IFERROR(IF(Y124=0,"",ROUNDUP(Y124/H124,0)*0.00651),"")</f>
        <v>7.8119999999999995E-2</v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23.099999999999998</v>
      </c>
      <c r="BN124" s="78">
        <f>IFERROR(Y124*I124/H124,"0")</f>
        <v>23.76</v>
      </c>
      <c r="BO124" s="78">
        <f>IFERROR(1/J124*(X124/H124),"0")</f>
        <v>6.4102564102564111E-2</v>
      </c>
      <c r="BP124" s="78">
        <f>IFERROR(1/J124*(Y124/H124),"0")</f>
        <v>6.5934065934065936E-2</v>
      </c>
    </row>
    <row r="125" spans="1:68" x14ac:dyDescent="0.2">
      <c r="A125" s="731"/>
      <c r="B125" s="731"/>
      <c r="C125" s="731"/>
      <c r="D125" s="731"/>
      <c r="E125" s="731"/>
      <c r="F125" s="731"/>
      <c r="G125" s="731"/>
      <c r="H125" s="731"/>
      <c r="I125" s="731"/>
      <c r="J125" s="731"/>
      <c r="K125" s="731"/>
      <c r="L125" s="731"/>
      <c r="M125" s="731"/>
      <c r="N125" s="731"/>
      <c r="O125" s="732"/>
      <c r="P125" s="728" t="s">
        <v>40</v>
      </c>
      <c r="Q125" s="729"/>
      <c r="R125" s="729"/>
      <c r="S125" s="729"/>
      <c r="T125" s="729"/>
      <c r="U125" s="729"/>
      <c r="V125" s="730"/>
      <c r="W125" s="42" t="s">
        <v>39</v>
      </c>
      <c r="X125" s="43">
        <f>IFERROR(X121/H121,"0")+IFERROR(X122/H122,"0")+IFERROR(X123/H123,"0")+IFERROR(X124/H124,"0")</f>
        <v>435.74074074074076</v>
      </c>
      <c r="Y125" s="43">
        <f>IFERROR(Y121/H121,"0")+IFERROR(Y122/H122,"0")+IFERROR(Y123/H123,"0")+IFERROR(Y124/H124,"0")</f>
        <v>437</v>
      </c>
      <c r="Z125" s="43">
        <f>IFERROR(IF(Z121="",0,Z121),"0")+IFERROR(IF(Z122="",0,Z122),"0")+IFERROR(IF(Z123="",0,Z123),"0")+IFERROR(IF(Z124="",0,Z124),"0")</f>
        <v>3.7801200000000001</v>
      </c>
      <c r="AA125" s="67"/>
      <c r="AB125" s="67"/>
      <c r="AC125" s="67"/>
    </row>
    <row r="126" spans="1:68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0</v>
      </c>
      <c r="X126" s="43">
        <f>IFERROR(SUM(X121:X124),"0")</f>
        <v>1566</v>
      </c>
      <c r="Y126" s="43">
        <f>IFERROR(SUM(Y121:Y124),"0")</f>
        <v>1574.1</v>
      </c>
      <c r="Z126" s="42"/>
      <c r="AA126" s="67"/>
      <c r="AB126" s="67"/>
      <c r="AC126" s="67"/>
    </row>
    <row r="127" spans="1:68" ht="14.25" hidden="1" customHeight="1" x14ac:dyDescent="0.25">
      <c r="A127" s="722" t="s">
        <v>178</v>
      </c>
      <c r="B127" s="722"/>
      <c r="C127" s="722"/>
      <c r="D127" s="722"/>
      <c r="E127" s="722"/>
      <c r="F127" s="722"/>
      <c r="G127" s="722"/>
      <c r="H127" s="722"/>
      <c r="I127" s="722"/>
      <c r="J127" s="722"/>
      <c r="K127" s="722"/>
      <c r="L127" s="722"/>
      <c r="M127" s="722"/>
      <c r="N127" s="722"/>
      <c r="O127" s="722"/>
      <c r="P127" s="722"/>
      <c r="Q127" s="722"/>
      <c r="R127" s="722"/>
      <c r="S127" s="722"/>
      <c r="T127" s="722"/>
      <c r="U127" s="722"/>
      <c r="V127" s="722"/>
      <c r="W127" s="722"/>
      <c r="X127" s="722"/>
      <c r="Y127" s="722"/>
      <c r="Z127" s="722"/>
      <c r="AA127" s="66"/>
      <c r="AB127" s="66"/>
      <c r="AC127" s="80"/>
    </row>
    <row r="128" spans="1:68" ht="16.5" customHeight="1" x14ac:dyDescent="0.25">
      <c r="A128" s="63" t="s">
        <v>246</v>
      </c>
      <c r="B128" s="63" t="s">
        <v>247</v>
      </c>
      <c r="C128" s="36">
        <v>4301060525</v>
      </c>
      <c r="D128" s="723">
        <v>4680115880238</v>
      </c>
      <c r="E128" s="723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66</v>
      </c>
      <c r="Y128" s="55">
        <f>IFERROR(IF(X128="",0,CEILING((X128/$H128),1)*$H128),"")</f>
        <v>67.319999999999993</v>
      </c>
      <c r="Z128" s="41">
        <f>IFERROR(IF(Y128=0,"",ROUNDUP(Y128/H128,0)*0.00651),"")</f>
        <v>0.22134000000000001</v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74.599999999999994</v>
      </c>
      <c r="BN128" s="78">
        <f>IFERROR(Y128*I128/H128,"0")</f>
        <v>76.091999999999985</v>
      </c>
      <c r="BO128" s="78">
        <f>IFERROR(1/J128*(X128/H128),"0")</f>
        <v>0.18315018315018317</v>
      </c>
      <c r="BP128" s="78">
        <f>IFERROR(1/J128*(Y128/H128),"0")</f>
        <v>0.18681318681318682</v>
      </c>
    </row>
    <row r="129" spans="1:68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IFERROR(X128/H128,"0")</f>
        <v>33.333333333333336</v>
      </c>
      <c r="Y129" s="43">
        <f>IFERROR(Y128/H128,"0")</f>
        <v>34</v>
      </c>
      <c r="Z129" s="43">
        <f>IFERROR(IF(Z128="",0,Z128),"0")</f>
        <v>0.22134000000000001</v>
      </c>
      <c r="AA129" s="67"/>
      <c r="AB129" s="67"/>
      <c r="AC129" s="67"/>
    </row>
    <row r="130" spans="1:68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IFERROR(SUM(X128:X128),"0")</f>
        <v>66</v>
      </c>
      <c r="Y130" s="43">
        <f>IFERROR(SUM(Y128:Y128),"0")</f>
        <v>67.319999999999993</v>
      </c>
      <c r="Z130" s="42"/>
      <c r="AA130" s="67"/>
      <c r="AB130" s="67"/>
      <c r="AC130" s="67"/>
    </row>
    <row r="131" spans="1:68" ht="16.5" hidden="1" customHeight="1" x14ac:dyDescent="0.25">
      <c r="A131" s="721" t="s">
        <v>249</v>
      </c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1"/>
      <c r="P131" s="721"/>
      <c r="Q131" s="721"/>
      <c r="R131" s="721"/>
      <c r="S131" s="721"/>
      <c r="T131" s="721"/>
      <c r="U131" s="721"/>
      <c r="V131" s="721"/>
      <c r="W131" s="721"/>
      <c r="X131" s="721"/>
      <c r="Y131" s="721"/>
      <c r="Z131" s="721"/>
      <c r="AA131" s="65"/>
      <c r="AB131" s="65"/>
      <c r="AC131" s="79"/>
    </row>
    <row r="132" spans="1:68" ht="14.25" hidden="1" customHeight="1" x14ac:dyDescent="0.25">
      <c r="A132" s="722" t="s">
        <v>122</v>
      </c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2"/>
      <c r="P132" s="722"/>
      <c r="Q132" s="722"/>
      <c r="R132" s="722"/>
      <c r="S132" s="722"/>
      <c r="T132" s="722"/>
      <c r="U132" s="722"/>
      <c r="V132" s="722"/>
      <c r="W132" s="722"/>
      <c r="X132" s="722"/>
      <c r="Y132" s="722"/>
      <c r="Z132" s="722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723">
        <v>4680115882577</v>
      </c>
      <c r="E133" s="723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250</v>
      </c>
      <c r="B134" s="63" t="s">
        <v>254</v>
      </c>
      <c r="C134" s="36">
        <v>4301011564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100</v>
      </c>
      <c r="Y134" s="55">
        <f>IFERROR(IF(X134="",0,CEILING((X134/$H134),1)*$H134),"")</f>
        <v>102.4</v>
      </c>
      <c r="Z134" s="41">
        <f>IFERROR(IF(Y134=0,"",ROUNDUP(Y134/H134,0)*0.00651),"")</f>
        <v>0.20832000000000001</v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105.625</v>
      </c>
      <c r="BN134" s="78">
        <f>IFERROR(Y134*I134/H134,"0")</f>
        <v>108.16</v>
      </c>
      <c r="BO134" s="78">
        <f>IFERROR(1/J134*(X134/H134),"0")</f>
        <v>0.1717032967032967</v>
      </c>
      <c r="BP134" s="78">
        <f>IFERROR(1/J134*(Y134/H134),"0")</f>
        <v>0.17582417582417584</v>
      </c>
    </row>
    <row r="135" spans="1:68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39</v>
      </c>
      <c r="X135" s="43">
        <f>IFERROR(X133/H133,"0")+IFERROR(X134/H134,"0")</f>
        <v>31.25</v>
      </c>
      <c r="Y135" s="43">
        <f>IFERROR(Y133/H133,"0")+IFERROR(Y134/H134,"0")</f>
        <v>32</v>
      </c>
      <c r="Z135" s="43">
        <f>IFERROR(IF(Z133="",0,Z133),"0")+IFERROR(IF(Z134="",0,Z134),"0")</f>
        <v>0.20832000000000001</v>
      </c>
      <c r="AA135" s="67"/>
      <c r="AB135" s="67"/>
      <c r="AC135" s="67"/>
    </row>
    <row r="136" spans="1:68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0</v>
      </c>
      <c r="X136" s="43">
        <f>IFERROR(SUM(X133:X134),"0")</f>
        <v>100</v>
      </c>
      <c r="Y136" s="43">
        <f>IFERROR(SUM(Y133:Y134),"0")</f>
        <v>102.4</v>
      </c>
      <c r="Z136" s="42"/>
      <c r="AA136" s="67"/>
      <c r="AB136" s="67"/>
      <c r="AC136" s="67"/>
    </row>
    <row r="137" spans="1:68" ht="14.25" hidden="1" customHeight="1" x14ac:dyDescent="0.25">
      <c r="A137" s="722" t="s">
        <v>77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customHeight="1" x14ac:dyDescent="0.25">
      <c r="A138" s="63" t="s">
        <v>255</v>
      </c>
      <c r="B138" s="63" t="s">
        <v>256</v>
      </c>
      <c r="C138" s="36">
        <v>4301031234</v>
      </c>
      <c r="D138" s="723">
        <v>4680115883444</v>
      </c>
      <c r="E138" s="723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77</v>
      </c>
      <c r="Y138" s="55">
        <f>IFERROR(IF(X138="",0,CEILING((X138/$H138),1)*$H138),"")</f>
        <v>78.399999999999991</v>
      </c>
      <c r="Z138" s="41">
        <f>IFERROR(IF(Y138=0,"",ROUNDUP(Y138/H138,0)*0.00651),"")</f>
        <v>0.18228</v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84.370000000000019</v>
      </c>
      <c r="BN138" s="78">
        <f>IFERROR(Y138*I138/H138,"0")</f>
        <v>85.903999999999996</v>
      </c>
      <c r="BO138" s="78">
        <f>IFERROR(1/J138*(X138/H138),"0")</f>
        <v>0.15109890109890112</v>
      </c>
      <c r="BP138" s="78">
        <f>IFERROR(1/J138*(Y138/H138),"0")</f>
        <v>0.15384615384615385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27.5</v>
      </c>
      <c r="Y140" s="43">
        <f>IFERROR(Y138/H138,"0")+IFERROR(Y139/H139,"0")</f>
        <v>28</v>
      </c>
      <c r="Z140" s="43">
        <f>IFERROR(IF(Z138="",0,Z138),"0")+IFERROR(IF(Z139="",0,Z139),"0")</f>
        <v>0.18228</v>
      </c>
      <c r="AA140" s="67"/>
      <c r="AB140" s="67"/>
      <c r="AC140" s="67"/>
    </row>
    <row r="141" spans="1:68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77</v>
      </c>
      <c r="Y141" s="43">
        <f>IFERROR(SUM(Y138:Y139),"0")</f>
        <v>78.399999999999991</v>
      </c>
      <c r="Z141" s="42"/>
      <c r="AA141" s="67"/>
      <c r="AB141" s="67"/>
      <c r="AC141" s="67"/>
    </row>
    <row r="142" spans="1:68" ht="14.25" hidden="1" customHeight="1" x14ac:dyDescent="0.25">
      <c r="A142" s="722" t="s">
        <v>86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16.5" customHeight="1" x14ac:dyDescent="0.25">
      <c r="A143" s="63" t="s">
        <v>259</v>
      </c>
      <c r="B143" s="63" t="s">
        <v>260</v>
      </c>
      <c r="C143" s="36">
        <v>4301051476</v>
      </c>
      <c r="D143" s="723">
        <v>4680115882584</v>
      </c>
      <c r="E143" s="72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82</v>
      </c>
      <c r="Y143" s="55">
        <f>IFERROR(IF(X143="",0,CEILING((X143/$H143),1)*$H143),"")</f>
        <v>84.48</v>
      </c>
      <c r="Z143" s="41">
        <f>IFERROR(IF(Y143=0,"",ROUNDUP(Y143/H143,0)*0.00651),"")</f>
        <v>0.20832000000000001</v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90.324242424242414</v>
      </c>
      <c r="BN143" s="78">
        <f>IFERROR(Y143*I143/H143,"0")</f>
        <v>93.055999999999997</v>
      </c>
      <c r="BO143" s="78">
        <f>IFERROR(1/J143*(X143/H143),"0")</f>
        <v>0.17066267066267066</v>
      </c>
      <c r="BP143" s="78">
        <f>IFERROR(1/J143*(Y143/H143),"0")</f>
        <v>0.17582417582417584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31.060606060606059</v>
      </c>
      <c r="Y145" s="43">
        <f>IFERROR(Y143/H143,"0")+IFERROR(Y144/H144,"0")</f>
        <v>32</v>
      </c>
      <c r="Z145" s="43">
        <f>IFERROR(IF(Z143="",0,Z143),"0")+IFERROR(IF(Z144="",0,Z144),"0")</f>
        <v>0.20832000000000001</v>
      </c>
      <c r="AA145" s="67"/>
      <c r="AB145" s="67"/>
      <c r="AC145" s="67"/>
    </row>
    <row r="146" spans="1:68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82</v>
      </c>
      <c r="Y146" s="43">
        <f>IFERROR(SUM(Y143:Y144),"0")</f>
        <v>84.48</v>
      </c>
      <c r="Z146" s="42"/>
      <c r="AA146" s="67"/>
      <c r="AB146" s="67"/>
      <c r="AC146" s="67"/>
    </row>
    <row r="147" spans="1:68" ht="16.5" hidden="1" customHeight="1" x14ac:dyDescent="0.25">
      <c r="A147" s="721" t="s">
        <v>262</v>
      </c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1"/>
      <c r="P147" s="721"/>
      <c r="Q147" s="721"/>
      <c r="R147" s="721"/>
      <c r="S147" s="721"/>
      <c r="T147" s="721"/>
      <c r="U147" s="721"/>
      <c r="V147" s="721"/>
      <c r="W147" s="721"/>
      <c r="X147" s="721"/>
      <c r="Y147" s="721"/>
      <c r="Z147" s="721"/>
      <c r="AA147" s="65"/>
      <c r="AB147" s="65"/>
      <c r="AC147" s="79"/>
    </row>
    <row r="148" spans="1:68" ht="14.25" hidden="1" customHeight="1" x14ac:dyDescent="0.25">
      <c r="A148" s="722" t="s">
        <v>86</v>
      </c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2"/>
      <c r="P148" s="722"/>
      <c r="Q148" s="722"/>
      <c r="R148" s="722"/>
      <c r="S148" s="722"/>
      <c r="T148" s="722"/>
      <c r="U148" s="722"/>
      <c r="V148" s="722"/>
      <c r="W148" s="722"/>
      <c r="X148" s="722"/>
      <c r="Y148" s="722"/>
      <c r="Z148" s="722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723">
        <v>4680115888203</v>
      </c>
      <c r="E149" s="72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723">
        <v>4680115888180</v>
      </c>
      <c r="E150" s="72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723">
        <v>4680115888180</v>
      </c>
      <c r="E151" s="72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723">
        <v>4680115888197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723">
        <v>4680115888210</v>
      </c>
      <c r="E153" s="72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723">
        <v>4680115888210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731"/>
      <c r="B155" s="731"/>
      <c r="C155" s="731"/>
      <c r="D155" s="731"/>
      <c r="E155" s="731"/>
      <c r="F155" s="731"/>
      <c r="G155" s="731"/>
      <c r="H155" s="731"/>
      <c r="I155" s="731"/>
      <c r="J155" s="731"/>
      <c r="K155" s="731"/>
      <c r="L155" s="731"/>
      <c r="M155" s="731"/>
      <c r="N155" s="731"/>
      <c r="O155" s="732"/>
      <c r="P155" s="728" t="s">
        <v>40</v>
      </c>
      <c r="Q155" s="729"/>
      <c r="R155" s="729"/>
      <c r="S155" s="729"/>
      <c r="T155" s="729"/>
      <c r="U155" s="729"/>
      <c r="V155" s="730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22" t="s">
        <v>277</v>
      </c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2"/>
      <c r="P157" s="722"/>
      <c r="Q157" s="722"/>
      <c r="R157" s="722"/>
      <c r="S157" s="722"/>
      <c r="T157" s="722"/>
      <c r="U157" s="722"/>
      <c r="V157" s="722"/>
      <c r="W157" s="722"/>
      <c r="X157" s="722"/>
      <c r="Y157" s="722"/>
      <c r="Z157" s="722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723">
        <v>4680115889132</v>
      </c>
      <c r="E158" s="72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31"/>
      <c r="B159" s="731"/>
      <c r="C159" s="731"/>
      <c r="D159" s="731"/>
      <c r="E159" s="731"/>
      <c r="F159" s="731"/>
      <c r="G159" s="731"/>
      <c r="H159" s="731"/>
      <c r="I159" s="731"/>
      <c r="J159" s="731"/>
      <c r="K159" s="731"/>
      <c r="L159" s="731"/>
      <c r="M159" s="731"/>
      <c r="N159" s="731"/>
      <c r="O159" s="732"/>
      <c r="P159" s="728" t="s">
        <v>40</v>
      </c>
      <c r="Q159" s="729"/>
      <c r="R159" s="729"/>
      <c r="S159" s="729"/>
      <c r="T159" s="729"/>
      <c r="U159" s="729"/>
      <c r="V159" s="7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21" t="s">
        <v>120</v>
      </c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1"/>
      <c r="P161" s="721"/>
      <c r="Q161" s="721"/>
      <c r="R161" s="721"/>
      <c r="S161" s="721"/>
      <c r="T161" s="721"/>
      <c r="U161" s="721"/>
      <c r="V161" s="721"/>
      <c r="W161" s="721"/>
      <c r="X161" s="721"/>
      <c r="Y161" s="721"/>
      <c r="Z161" s="721"/>
      <c r="AA161" s="65"/>
      <c r="AB161" s="65"/>
      <c r="AC161" s="79"/>
    </row>
    <row r="162" spans="1:68" ht="14.25" hidden="1" customHeight="1" x14ac:dyDescent="0.25">
      <c r="A162" s="722" t="s">
        <v>122</v>
      </c>
      <c r="B162" s="722"/>
      <c r="C162" s="722"/>
      <c r="D162" s="722"/>
      <c r="E162" s="722"/>
      <c r="F162" s="722"/>
      <c r="G162" s="722"/>
      <c r="H162" s="722"/>
      <c r="I162" s="722"/>
      <c r="J162" s="722"/>
      <c r="K162" s="722"/>
      <c r="L162" s="722"/>
      <c r="M162" s="722"/>
      <c r="N162" s="722"/>
      <c r="O162" s="722"/>
      <c r="P162" s="722"/>
      <c r="Q162" s="722"/>
      <c r="R162" s="722"/>
      <c r="S162" s="722"/>
      <c r="T162" s="722"/>
      <c r="U162" s="722"/>
      <c r="V162" s="722"/>
      <c r="W162" s="722"/>
      <c r="X162" s="722"/>
      <c r="Y162" s="722"/>
      <c r="Z162" s="722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723">
        <v>4680115887374</v>
      </c>
      <c r="E163" s="72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0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5"/>
      <c r="R163" s="725"/>
      <c r="S163" s="725"/>
      <c r="T163" s="72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723">
        <v>4607091384604</v>
      </c>
      <c r="E164" s="72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723">
        <v>4680115888876</v>
      </c>
      <c r="E166" s="72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31"/>
      <c r="B167" s="731"/>
      <c r="C167" s="731"/>
      <c r="D167" s="731"/>
      <c r="E167" s="731"/>
      <c r="F167" s="731"/>
      <c r="G167" s="731"/>
      <c r="H167" s="731"/>
      <c r="I167" s="731"/>
      <c r="J167" s="731"/>
      <c r="K167" s="731"/>
      <c r="L167" s="731"/>
      <c r="M167" s="731"/>
      <c r="N167" s="731"/>
      <c r="O167" s="732"/>
      <c r="P167" s="728" t="s">
        <v>40</v>
      </c>
      <c r="Q167" s="729"/>
      <c r="R167" s="729"/>
      <c r="S167" s="729"/>
      <c r="T167" s="729"/>
      <c r="U167" s="729"/>
      <c r="V167" s="73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22" t="s">
        <v>159</v>
      </c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2"/>
      <c r="P169" s="722"/>
      <c r="Q169" s="722"/>
      <c r="R169" s="722"/>
      <c r="S169" s="722"/>
      <c r="T169" s="722"/>
      <c r="U169" s="722"/>
      <c r="V169" s="722"/>
      <c r="W169" s="722"/>
      <c r="X169" s="722"/>
      <c r="Y169" s="722"/>
      <c r="Z169" s="722"/>
      <c r="AA169" s="66"/>
      <c r="AB169" s="66"/>
      <c r="AC169" s="80"/>
    </row>
    <row r="170" spans="1:68" ht="16.5" customHeight="1" x14ac:dyDescent="0.25">
      <c r="A170" s="63" t="s">
        <v>294</v>
      </c>
      <c r="B170" s="63" t="s">
        <v>295</v>
      </c>
      <c r="C170" s="36">
        <v>4301020410</v>
      </c>
      <c r="D170" s="723">
        <v>4680115887695</v>
      </c>
      <c r="E170" s="72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6</v>
      </c>
      <c r="Y170" s="55">
        <f>IFERROR(IF(X170="",0,CEILING((X170/$H170),1)*$H170),"")</f>
        <v>6.4799999999999995</v>
      </c>
      <c r="Z170" s="41">
        <f>IFERROR(IF(Y170=0,"",ROUNDUP(Y170/H170,0)*0.00556),"")</f>
        <v>5.0040000000000001E-2</v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7.083333333333333</v>
      </c>
      <c r="BN170" s="78">
        <f>IFERROR(Y170*I170/H170,"0")</f>
        <v>7.6499999999999995</v>
      </c>
      <c r="BO170" s="78">
        <f>IFERROR(1/J170*(X170/H170),"0")</f>
        <v>3.3068783068783067E-2</v>
      </c>
      <c r="BP170" s="78">
        <f>IFERROR(1/J170*(Y170/H170),"0")</f>
        <v>3.5714285714285712E-2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723">
        <v>4680115889491</v>
      </c>
      <c r="E171" s="72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IFERROR(X170/H170,"0")+IFERROR(X171/H171,"0")</f>
        <v>8.3333333333333339</v>
      </c>
      <c r="Y172" s="43">
        <f>IFERROR(Y170/H170,"0")+IFERROR(Y171/H171,"0")</f>
        <v>9</v>
      </c>
      <c r="Z172" s="43">
        <f>IFERROR(IF(Z170="",0,Z170),"0")+IFERROR(IF(Z171="",0,Z171),"0")</f>
        <v>5.0040000000000001E-2</v>
      </c>
      <c r="AA172" s="67"/>
      <c r="AB172" s="67"/>
      <c r="AC172" s="67"/>
    </row>
    <row r="173" spans="1:68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IFERROR(SUM(X170:X171),"0")</f>
        <v>6</v>
      </c>
      <c r="Y173" s="43">
        <f>IFERROR(SUM(Y170:Y171),"0")</f>
        <v>6.4799999999999995</v>
      </c>
      <c r="Z173" s="42"/>
      <c r="AA173" s="67"/>
      <c r="AB173" s="67"/>
      <c r="AC173" s="67"/>
    </row>
    <row r="174" spans="1:68" ht="14.25" hidden="1" customHeight="1" x14ac:dyDescent="0.25">
      <c r="A174" s="722" t="s">
        <v>77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27" customHeight="1" x14ac:dyDescent="0.25">
      <c r="A175" s="63" t="s">
        <v>300</v>
      </c>
      <c r="B175" s="63" t="s">
        <v>301</v>
      </c>
      <c r="C175" s="36">
        <v>4301031496</v>
      </c>
      <c r="D175" s="723">
        <v>4680115887428</v>
      </c>
      <c r="E175" s="72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400</v>
      </c>
      <c r="Y175" s="55">
        <f t="shared" ref="Y175:Y185" si="16">IFERROR(IF(X175="",0,CEILING((X175/$H175),1)*$H175),"")</f>
        <v>402.5</v>
      </c>
      <c r="Z175" s="41">
        <f>IFERROR(IF(Y175=0,"",ROUNDUP(Y175/H175,0)*0.00902),"")</f>
        <v>1.0373000000000001</v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421.71428571428572</v>
      </c>
      <c r="BN175" s="78">
        <f t="shared" ref="BN175:BN185" si="18">IFERROR(Y175*I175/H175,"0")</f>
        <v>424.34999999999997</v>
      </c>
      <c r="BO175" s="78">
        <f t="shared" ref="BO175:BO185" si="19">IFERROR(1/J175*(X175/H175),"0")</f>
        <v>0.8658008658008659</v>
      </c>
      <c r="BP175" s="78">
        <f t="shared" ref="BP175:BP185" si="20">IFERROR(1/J175*(Y175/H175),"0")</f>
        <v>0.87121212121212122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723">
        <v>4680115889170</v>
      </c>
      <c r="E176" s="72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306</v>
      </c>
      <c r="B177" s="63" t="s">
        <v>307</v>
      </c>
      <c r="C177" s="36">
        <v>4301031522</v>
      </c>
      <c r="D177" s="723">
        <v>4680115887398</v>
      </c>
      <c r="E177" s="72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500</v>
      </c>
      <c r="Y177" s="55">
        <f t="shared" si="16"/>
        <v>500.5</v>
      </c>
      <c r="Z177" s="41">
        <f>IFERROR(IF(Y177=0,"",ROUNDUP(Y177/H177,0)*0.00902),"")</f>
        <v>1.28986</v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527.14285714285711</v>
      </c>
      <c r="BN177" s="78">
        <f t="shared" si="18"/>
        <v>527.66999999999996</v>
      </c>
      <c r="BO177" s="78">
        <f t="shared" si="19"/>
        <v>1.0822510822510822</v>
      </c>
      <c r="BP177" s="78">
        <f t="shared" si="20"/>
        <v>1.0833333333333333</v>
      </c>
    </row>
    <row r="178" spans="1:68" ht="27" customHeight="1" x14ac:dyDescent="0.25">
      <c r="A178" s="63" t="s">
        <v>309</v>
      </c>
      <c r="B178" s="63" t="s">
        <v>310</v>
      </c>
      <c r="C178" s="36">
        <v>4301031520</v>
      </c>
      <c r="D178" s="723">
        <v>4680115887336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300</v>
      </c>
      <c r="Y178" s="55">
        <f t="shared" si="16"/>
        <v>301</v>
      </c>
      <c r="Z178" s="41">
        <f>IFERROR(IF(Y178=0,"",ROUNDUP(Y178/H178,0)*0.00902),"")</f>
        <v>0.77571999999999997</v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316.28571428571428</v>
      </c>
      <c r="BN178" s="78">
        <f t="shared" si="18"/>
        <v>317.34000000000003</v>
      </c>
      <c r="BO178" s="78">
        <f t="shared" si="19"/>
        <v>0.64935064935064934</v>
      </c>
      <c r="BP178" s="78">
        <f t="shared" si="20"/>
        <v>0.65151515151515149</v>
      </c>
    </row>
    <row r="179" spans="1:68" ht="16.5" customHeight="1" x14ac:dyDescent="0.25">
      <c r="A179" s="63" t="s">
        <v>312</v>
      </c>
      <c r="B179" s="63" t="s">
        <v>313</v>
      </c>
      <c r="C179" s="36">
        <v>4301032049</v>
      </c>
      <c r="D179" s="723">
        <v>4680115887787</v>
      </c>
      <c r="E179" s="72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9</v>
      </c>
      <c r="Y179" s="55">
        <f t="shared" si="16"/>
        <v>9</v>
      </c>
      <c r="Z179" s="41">
        <f>IFERROR(IF(Y179=0,"",ROUNDUP(Y179/H179,0)*0.00417),"")</f>
        <v>4.1700000000000001E-2</v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11.1</v>
      </c>
      <c r="BN179" s="78">
        <f t="shared" si="18"/>
        <v>11.1</v>
      </c>
      <c r="BO179" s="78">
        <f t="shared" si="19"/>
        <v>2.976190476190476E-2</v>
      </c>
      <c r="BP179" s="78">
        <f t="shared" si="20"/>
        <v>2.976190476190476E-2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316</v>
      </c>
      <c r="B181" s="63" t="s">
        <v>317</v>
      </c>
      <c r="C181" s="36">
        <v>4301031448</v>
      </c>
      <c r="D181" s="723">
        <v>4680115887503</v>
      </c>
      <c r="E181" s="72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168</v>
      </c>
      <c r="Y181" s="55">
        <f t="shared" si="16"/>
        <v>168</v>
      </c>
      <c r="Z181" s="41">
        <f>IFERROR(IF(Y181=0,"",ROUNDUP(Y181/H181,0)*0.00502),"")</f>
        <v>0.502</v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178.00000000000003</v>
      </c>
      <c r="BN181" s="78">
        <f t="shared" si="18"/>
        <v>178.00000000000003</v>
      </c>
      <c r="BO181" s="78">
        <f t="shared" si="19"/>
        <v>0.42735042735042739</v>
      </c>
      <c r="BP181" s="78">
        <f t="shared" si="20"/>
        <v>0.42735042735042739</v>
      </c>
    </row>
    <row r="182" spans="1:68" ht="27" customHeight="1" x14ac:dyDescent="0.25">
      <c r="A182" s="63" t="s">
        <v>318</v>
      </c>
      <c r="B182" s="63" t="s">
        <v>319</v>
      </c>
      <c r="C182" s="36">
        <v>4301031389</v>
      </c>
      <c r="D182" s="723">
        <v>4680115887763</v>
      </c>
      <c r="E182" s="723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4</v>
      </c>
      <c r="Y182" s="55">
        <f t="shared" si="16"/>
        <v>4.5</v>
      </c>
      <c r="Z182" s="41">
        <f>IFERROR(IF(Y182=0,"",ROUNDUP(Y182/H182,0)*0.00417),"")</f>
        <v>2.085E-2</v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4.9333333333333336</v>
      </c>
      <c r="BN182" s="78">
        <f t="shared" si="18"/>
        <v>5.55</v>
      </c>
      <c r="BO182" s="78">
        <f t="shared" si="19"/>
        <v>1.3227513227513227E-2</v>
      </c>
      <c r="BP182" s="78">
        <f t="shared" si="20"/>
        <v>1.488095238095238E-2</v>
      </c>
    </row>
    <row r="183" spans="1:68" ht="27" customHeight="1" x14ac:dyDescent="0.25">
      <c r="A183" s="63" t="s">
        <v>321</v>
      </c>
      <c r="B183" s="63" t="s">
        <v>322</v>
      </c>
      <c r="C183" s="36">
        <v>4301031521</v>
      </c>
      <c r="D183" s="723">
        <v>4680115887480</v>
      </c>
      <c r="E183" s="72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252</v>
      </c>
      <c r="Y183" s="55">
        <f t="shared" si="16"/>
        <v>252</v>
      </c>
      <c r="Z183" s="41">
        <f>IFERROR(IF(Y183=0,"",ROUNDUP(Y183/H183,0)*0.00502),"")</f>
        <v>0.753</v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267</v>
      </c>
      <c r="BN183" s="78">
        <f t="shared" si="18"/>
        <v>267</v>
      </c>
      <c r="BO183" s="78">
        <f t="shared" si="19"/>
        <v>0.64102564102564108</v>
      </c>
      <c r="BP183" s="78">
        <f t="shared" si="20"/>
        <v>0.64102564102564108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723">
        <v>4680115888067</v>
      </c>
      <c r="E184" s="72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326</v>
      </c>
      <c r="B185" s="63" t="s">
        <v>327</v>
      </c>
      <c r="C185" s="36">
        <v>4301031519</v>
      </c>
      <c r="D185" s="723">
        <v>4680115887435</v>
      </c>
      <c r="E185" s="72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196</v>
      </c>
      <c r="Y185" s="55">
        <f t="shared" si="16"/>
        <v>196.56</v>
      </c>
      <c r="Z185" s="41">
        <f>IFERROR(IF(Y185=0,"",ROUNDUP(Y185/H185,0)*0.00502),"")</f>
        <v>0.58733999999999997</v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207.66666666666669</v>
      </c>
      <c r="BN185" s="78">
        <f t="shared" si="18"/>
        <v>208.26000000000002</v>
      </c>
      <c r="BO185" s="78">
        <f t="shared" si="19"/>
        <v>0.49857549857549865</v>
      </c>
      <c r="BP185" s="78">
        <f t="shared" si="20"/>
        <v>0.5</v>
      </c>
    </row>
    <row r="186" spans="1:68" x14ac:dyDescent="0.2">
      <c r="A186" s="731"/>
      <c r="B186" s="731"/>
      <c r="C186" s="731"/>
      <c r="D186" s="731"/>
      <c r="E186" s="731"/>
      <c r="F186" s="731"/>
      <c r="G186" s="731"/>
      <c r="H186" s="731"/>
      <c r="I186" s="731"/>
      <c r="J186" s="731"/>
      <c r="K186" s="731"/>
      <c r="L186" s="731"/>
      <c r="M186" s="731"/>
      <c r="N186" s="731"/>
      <c r="O186" s="732"/>
      <c r="P186" s="728" t="s">
        <v>40</v>
      </c>
      <c r="Q186" s="729"/>
      <c r="R186" s="729"/>
      <c r="S186" s="729"/>
      <c r="T186" s="729"/>
      <c r="U186" s="729"/>
      <c r="V186" s="73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723.96825396825398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726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5.0077699999999998</v>
      </c>
      <c r="AA186" s="67"/>
      <c r="AB186" s="67"/>
      <c r="AC186" s="67"/>
    </row>
    <row r="187" spans="1:68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0</v>
      </c>
      <c r="X187" s="43">
        <f>IFERROR(SUM(X175:X185),"0")</f>
        <v>1829</v>
      </c>
      <c r="Y187" s="43">
        <f>IFERROR(SUM(Y175:Y185),"0")</f>
        <v>1834.06</v>
      </c>
      <c r="Z187" s="42"/>
      <c r="AA187" s="67"/>
      <c r="AB187" s="67"/>
      <c r="AC187" s="67"/>
    </row>
    <row r="188" spans="1:68" ht="14.25" hidden="1" customHeight="1" x14ac:dyDescent="0.25">
      <c r="A188" s="722" t="s">
        <v>86</v>
      </c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2"/>
      <c r="P188" s="722"/>
      <c r="Q188" s="722"/>
      <c r="R188" s="722"/>
      <c r="S188" s="722"/>
      <c r="T188" s="722"/>
      <c r="U188" s="722"/>
      <c r="V188" s="722"/>
      <c r="W188" s="722"/>
      <c r="X188" s="722"/>
      <c r="Y188" s="722"/>
      <c r="Z188" s="722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723">
        <v>4680115888395</v>
      </c>
      <c r="E189" s="72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723">
        <v>4680115888371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723">
        <v>4680115887459</v>
      </c>
      <c r="E191" s="72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2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277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723">
        <v>4680115889026</v>
      </c>
      <c r="E195" s="72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31"/>
      <c r="B196" s="731"/>
      <c r="C196" s="731"/>
      <c r="D196" s="731"/>
      <c r="E196" s="731"/>
      <c r="F196" s="731"/>
      <c r="G196" s="731"/>
      <c r="H196" s="731"/>
      <c r="I196" s="731"/>
      <c r="J196" s="731"/>
      <c r="K196" s="731"/>
      <c r="L196" s="731"/>
      <c r="M196" s="731"/>
      <c r="N196" s="731"/>
      <c r="O196" s="732"/>
      <c r="P196" s="728" t="s">
        <v>40</v>
      </c>
      <c r="Q196" s="729"/>
      <c r="R196" s="729"/>
      <c r="S196" s="729"/>
      <c r="T196" s="729"/>
      <c r="U196" s="729"/>
      <c r="V196" s="730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22" t="s">
        <v>341</v>
      </c>
      <c r="B198" s="722"/>
      <c r="C198" s="722"/>
      <c r="D198" s="722"/>
      <c r="E198" s="722"/>
      <c r="F198" s="722"/>
      <c r="G198" s="722"/>
      <c r="H198" s="722"/>
      <c r="I198" s="722"/>
      <c r="J198" s="722"/>
      <c r="K198" s="722"/>
      <c r="L198" s="722"/>
      <c r="M198" s="722"/>
      <c r="N198" s="722"/>
      <c r="O198" s="722"/>
      <c r="P198" s="722"/>
      <c r="Q198" s="722"/>
      <c r="R198" s="722"/>
      <c r="S198" s="722"/>
      <c r="T198" s="722"/>
      <c r="U198" s="722"/>
      <c r="V198" s="722"/>
      <c r="W198" s="722"/>
      <c r="X198" s="722"/>
      <c r="Y198" s="722"/>
      <c r="Z198" s="722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723">
        <v>4680115889033</v>
      </c>
      <c r="E199" s="723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5"/>
      <c r="R199" s="725"/>
      <c r="S199" s="725"/>
      <c r="T199" s="72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31"/>
      <c r="B200" s="731"/>
      <c r="C200" s="731"/>
      <c r="D200" s="731"/>
      <c r="E200" s="731"/>
      <c r="F200" s="731"/>
      <c r="G200" s="731"/>
      <c r="H200" s="731"/>
      <c r="I200" s="731"/>
      <c r="J200" s="731"/>
      <c r="K200" s="731"/>
      <c r="L200" s="731"/>
      <c r="M200" s="731"/>
      <c r="N200" s="731"/>
      <c r="O200" s="732"/>
      <c r="P200" s="728" t="s">
        <v>40</v>
      </c>
      <c r="Q200" s="729"/>
      <c r="R200" s="729"/>
      <c r="S200" s="729"/>
      <c r="T200" s="729"/>
      <c r="U200" s="729"/>
      <c r="V200" s="730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20" t="s">
        <v>345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54"/>
      <c r="AB202" s="54"/>
      <c r="AC202" s="54"/>
    </row>
    <row r="203" spans="1:68" ht="16.5" hidden="1" customHeight="1" x14ac:dyDescent="0.25">
      <c r="A203" s="721" t="s">
        <v>346</v>
      </c>
      <c r="B203" s="721"/>
      <c r="C203" s="721"/>
      <c r="D203" s="721"/>
      <c r="E203" s="721"/>
      <c r="F203" s="721"/>
      <c r="G203" s="721"/>
      <c r="H203" s="721"/>
      <c r="I203" s="721"/>
      <c r="J203" s="721"/>
      <c r="K203" s="721"/>
      <c r="L203" s="721"/>
      <c r="M203" s="721"/>
      <c r="N203" s="721"/>
      <c r="O203" s="721"/>
      <c r="P203" s="721"/>
      <c r="Q203" s="721"/>
      <c r="R203" s="721"/>
      <c r="S203" s="721"/>
      <c r="T203" s="721"/>
      <c r="U203" s="721"/>
      <c r="V203" s="721"/>
      <c r="W203" s="721"/>
      <c r="X203" s="721"/>
      <c r="Y203" s="721"/>
      <c r="Z203" s="721"/>
      <c r="AA203" s="65"/>
      <c r="AB203" s="65"/>
      <c r="AC203" s="79"/>
    </row>
    <row r="204" spans="1:68" ht="14.25" hidden="1" customHeight="1" x14ac:dyDescent="0.25">
      <c r="A204" s="722" t="s">
        <v>122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723">
        <v>4607091383423</v>
      </c>
      <c r="E205" s="723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723">
        <v>4680115888760</v>
      </c>
      <c r="E206" s="72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723">
        <v>4680115888807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723">
        <v>4680115888852</v>
      </c>
      <c r="E208" s="723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723">
        <v>4680115886957</v>
      </c>
      <c r="E209" s="723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723">
        <v>4680115885660</v>
      </c>
      <c r="E210" s="723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723">
        <v>4680115886773</v>
      </c>
      <c r="E211" s="723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731"/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2"/>
      <c r="P212" s="728" t="s">
        <v>40</v>
      </c>
      <c r="Q212" s="729"/>
      <c r="R212" s="729"/>
      <c r="S212" s="729"/>
      <c r="T212" s="729"/>
      <c r="U212" s="729"/>
      <c r="V212" s="730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21" t="s">
        <v>367</v>
      </c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1"/>
      <c r="P214" s="721"/>
      <c r="Q214" s="721"/>
      <c r="R214" s="721"/>
      <c r="S214" s="721"/>
      <c r="T214" s="721"/>
      <c r="U214" s="721"/>
      <c r="V214" s="721"/>
      <c r="W214" s="721"/>
      <c r="X214" s="721"/>
      <c r="Y214" s="721"/>
      <c r="Z214" s="721"/>
      <c r="AA214" s="65"/>
      <c r="AB214" s="65"/>
      <c r="AC214" s="79"/>
    </row>
    <row r="215" spans="1:68" ht="14.25" hidden="1" customHeight="1" x14ac:dyDescent="0.25">
      <c r="A215" s="722" t="s">
        <v>159</v>
      </c>
      <c r="B215" s="722"/>
      <c r="C215" s="722"/>
      <c r="D215" s="722"/>
      <c r="E215" s="722"/>
      <c r="F215" s="722"/>
      <c r="G215" s="722"/>
      <c r="H215" s="722"/>
      <c r="I215" s="722"/>
      <c r="J215" s="722"/>
      <c r="K215" s="722"/>
      <c r="L215" s="722"/>
      <c r="M215" s="722"/>
      <c r="N215" s="722"/>
      <c r="O215" s="722"/>
      <c r="P215" s="722"/>
      <c r="Q215" s="722"/>
      <c r="R215" s="722"/>
      <c r="S215" s="722"/>
      <c r="T215" s="722"/>
      <c r="U215" s="722"/>
      <c r="V215" s="722"/>
      <c r="W215" s="722"/>
      <c r="X215" s="722"/>
      <c r="Y215" s="722"/>
      <c r="Z215" s="722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723">
        <v>4680115886223</v>
      </c>
      <c r="E216" s="723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31"/>
      <c r="B217" s="731"/>
      <c r="C217" s="731"/>
      <c r="D217" s="731"/>
      <c r="E217" s="731"/>
      <c r="F217" s="731"/>
      <c r="G217" s="731"/>
      <c r="H217" s="731"/>
      <c r="I217" s="731"/>
      <c r="J217" s="731"/>
      <c r="K217" s="731"/>
      <c r="L217" s="731"/>
      <c r="M217" s="731"/>
      <c r="N217" s="731"/>
      <c r="O217" s="732"/>
      <c r="P217" s="728" t="s">
        <v>40</v>
      </c>
      <c r="Q217" s="729"/>
      <c r="R217" s="729"/>
      <c r="S217" s="729"/>
      <c r="T217" s="729"/>
      <c r="U217" s="729"/>
      <c r="V217" s="730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22" t="s">
        <v>77</v>
      </c>
      <c r="B219" s="722"/>
      <c r="C219" s="722"/>
      <c r="D219" s="722"/>
      <c r="E219" s="722"/>
      <c r="F219" s="722"/>
      <c r="G219" s="722"/>
      <c r="H219" s="722"/>
      <c r="I219" s="722"/>
      <c r="J219" s="722"/>
      <c r="K219" s="722"/>
      <c r="L219" s="722"/>
      <c r="M219" s="722"/>
      <c r="N219" s="722"/>
      <c r="O219" s="722"/>
      <c r="P219" s="722"/>
      <c r="Q219" s="722"/>
      <c r="R219" s="722"/>
      <c r="S219" s="722"/>
      <c r="T219" s="722"/>
      <c r="U219" s="722"/>
      <c r="V219" s="722"/>
      <c r="W219" s="722"/>
      <c r="X219" s="722"/>
      <c r="Y219" s="722"/>
      <c r="Z219" s="722"/>
      <c r="AA219" s="66"/>
      <c r="AB219" s="66"/>
      <c r="AC219" s="80"/>
    </row>
    <row r="220" spans="1:68" ht="27" customHeight="1" x14ac:dyDescent="0.25">
      <c r="A220" s="63" t="s">
        <v>371</v>
      </c>
      <c r="B220" s="63" t="s">
        <v>372</v>
      </c>
      <c r="C220" s="36">
        <v>4301031191</v>
      </c>
      <c r="D220" s="723">
        <v>4680115880993</v>
      </c>
      <c r="E220" s="72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5"/>
      <c r="R220" s="725"/>
      <c r="S220" s="725"/>
      <c r="T220" s="726"/>
      <c r="U220" s="39" t="s">
        <v>46</v>
      </c>
      <c r="V220" s="39" t="s">
        <v>46</v>
      </c>
      <c r="W220" s="40" t="s">
        <v>0</v>
      </c>
      <c r="X220" s="58">
        <v>80</v>
      </c>
      <c r="Y220" s="55">
        <f t="shared" ref="Y220:Y234" si="27">IFERROR(IF(X220="",0,CEILING((X220/$H220),1)*$H220),"")</f>
        <v>84</v>
      </c>
      <c r="Z220" s="41">
        <f>IFERROR(IF(Y220=0,"",ROUNDUP(Y220/H220,0)*0.00902),"")</f>
        <v>0.1804</v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84.761904761904759</v>
      </c>
      <c r="BN220" s="78">
        <f t="shared" ref="BN220:BN234" si="29">IFERROR(Y220*I220/H220,"0")</f>
        <v>89</v>
      </c>
      <c r="BO220" s="78">
        <f t="shared" ref="BO220:BO234" si="30">IFERROR(1/J220*(X220/H220),"0")</f>
        <v>0.14430014430014429</v>
      </c>
      <c r="BP220" s="78">
        <f t="shared" ref="BP220:BP234" si="31">IFERROR(1/J220*(Y220/H220),"0")</f>
        <v>0.15151515151515152</v>
      </c>
    </row>
    <row r="221" spans="1:68" ht="27" customHeight="1" x14ac:dyDescent="0.25">
      <c r="A221" s="63" t="s">
        <v>374</v>
      </c>
      <c r="B221" s="63" t="s">
        <v>375</v>
      </c>
      <c r="C221" s="36">
        <v>4301031204</v>
      </c>
      <c r="D221" s="723">
        <v>4680115881761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40</v>
      </c>
      <c r="Y221" s="55">
        <f t="shared" si="27"/>
        <v>42</v>
      </c>
      <c r="Z221" s="41">
        <f>IFERROR(IF(Y221=0,"",ROUNDUP(Y221/H221,0)*0.00902),"")</f>
        <v>9.0200000000000002E-2</v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42.38095238095238</v>
      </c>
      <c r="BN221" s="78">
        <f t="shared" si="29"/>
        <v>44.5</v>
      </c>
      <c r="BO221" s="78">
        <f t="shared" si="30"/>
        <v>7.2150072150072145E-2</v>
      </c>
      <c r="BP221" s="78">
        <f t="shared" si="31"/>
        <v>7.575757575757576E-2</v>
      </c>
    </row>
    <row r="222" spans="1:68" ht="27" customHeight="1" x14ac:dyDescent="0.25">
      <c r="A222" s="63" t="s">
        <v>377</v>
      </c>
      <c r="B222" s="63" t="s">
        <v>378</v>
      </c>
      <c r="C222" s="36">
        <v>4301031201</v>
      </c>
      <c r="D222" s="723">
        <v>4680115881563</v>
      </c>
      <c r="E222" s="723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100</v>
      </c>
      <c r="Y222" s="55">
        <f t="shared" si="27"/>
        <v>100.80000000000001</v>
      </c>
      <c r="Z222" s="41">
        <f>IFERROR(IF(Y222=0,"",ROUNDUP(Y222/H222,0)*0.00902),"")</f>
        <v>0.21648000000000001</v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104.5238095238095</v>
      </c>
      <c r="BN222" s="78">
        <f t="shared" si="29"/>
        <v>105.36</v>
      </c>
      <c r="BO222" s="78">
        <f t="shared" si="30"/>
        <v>0.18037518037518038</v>
      </c>
      <c r="BP222" s="78">
        <f t="shared" si="31"/>
        <v>0.18181818181818182</v>
      </c>
    </row>
    <row r="223" spans="1:68" ht="37.5" customHeight="1" x14ac:dyDescent="0.25">
      <c r="A223" s="63" t="s">
        <v>380</v>
      </c>
      <c r="B223" s="63" t="s">
        <v>381</v>
      </c>
      <c r="C223" s="36">
        <v>4301031447</v>
      </c>
      <c r="D223" s="723">
        <v>4680115887565</v>
      </c>
      <c r="E223" s="723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16</v>
      </c>
      <c r="Y223" s="55">
        <f t="shared" si="27"/>
        <v>16</v>
      </c>
      <c r="Z223" s="41">
        <f>IFERROR(IF(Y223=0,"",ROUNDUP(Y223/H223,0)*0.00556),"")</f>
        <v>0.11119999999999999</v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18.600000000000001</v>
      </c>
      <c r="BN223" s="78">
        <f t="shared" si="29"/>
        <v>18.600000000000001</v>
      </c>
      <c r="BO223" s="78">
        <f t="shared" si="30"/>
        <v>7.9365079365079361E-2</v>
      </c>
      <c r="BP223" s="78">
        <f t="shared" si="31"/>
        <v>7.9365079365079361E-2</v>
      </c>
    </row>
    <row r="224" spans="1:68" ht="27" customHeight="1" x14ac:dyDescent="0.25">
      <c r="A224" s="63" t="s">
        <v>383</v>
      </c>
      <c r="B224" s="63" t="s">
        <v>384</v>
      </c>
      <c r="C224" s="36">
        <v>4301031199</v>
      </c>
      <c r="D224" s="723">
        <v>4680115880986</v>
      </c>
      <c r="E224" s="72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105</v>
      </c>
      <c r="Y224" s="55">
        <f t="shared" si="27"/>
        <v>105</v>
      </c>
      <c r="Z224" s="41">
        <f t="shared" ref="Z224:Z229" si="32">IFERROR(IF(Y224=0,"",ROUNDUP(Y224/H224,0)*0.00502),"")</f>
        <v>0.251</v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111.5</v>
      </c>
      <c r="BN224" s="78">
        <f t="shared" si="29"/>
        <v>111.5</v>
      </c>
      <c r="BO224" s="78">
        <f t="shared" si="30"/>
        <v>0.21367521367521369</v>
      </c>
      <c r="BP224" s="78">
        <f t="shared" si="31"/>
        <v>0.21367521367521369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723">
        <v>4680115887213</v>
      </c>
      <c r="E225" s="723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388</v>
      </c>
      <c r="B226" s="63" t="s">
        <v>389</v>
      </c>
      <c r="C226" s="36">
        <v>4301031205</v>
      </c>
      <c r="D226" s="723">
        <v>4680115881785</v>
      </c>
      <c r="E226" s="723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175</v>
      </c>
      <c r="Y226" s="55">
        <f t="shared" si="27"/>
        <v>176.4</v>
      </c>
      <c r="Z226" s="41">
        <f t="shared" si="32"/>
        <v>0.42168</v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185.83333333333331</v>
      </c>
      <c r="BN226" s="78">
        <f t="shared" si="29"/>
        <v>187.32</v>
      </c>
      <c r="BO226" s="78">
        <f t="shared" si="30"/>
        <v>0.35612535612535612</v>
      </c>
      <c r="BP226" s="78">
        <f t="shared" si="31"/>
        <v>0.35897435897435903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723">
        <v>4680115888432</v>
      </c>
      <c r="E227" s="72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723">
        <v>4680115888104</v>
      </c>
      <c r="E228" s="723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723">
        <v>4680115886537</v>
      </c>
      <c r="E229" s="723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723">
        <v>4680115887596</v>
      </c>
      <c r="E230" s="723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customHeight="1" x14ac:dyDescent="0.25">
      <c r="A231" s="63" t="s">
        <v>402</v>
      </c>
      <c r="B231" s="63" t="s">
        <v>403</v>
      </c>
      <c r="C231" s="36">
        <v>4301031530</v>
      </c>
      <c r="D231" s="723">
        <v>4680115881679</v>
      </c>
      <c r="E231" s="723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280</v>
      </c>
      <c r="Y231" s="55">
        <f t="shared" si="27"/>
        <v>281.40000000000003</v>
      </c>
      <c r="Z231" s="41">
        <f>IFERROR(IF(Y231=0,"",ROUNDUP(Y231/H231,0)*0.00502),"")</f>
        <v>0.67268000000000006</v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293.33333333333331</v>
      </c>
      <c r="BN231" s="78">
        <f t="shared" si="29"/>
        <v>294.80000000000007</v>
      </c>
      <c r="BO231" s="78">
        <f t="shared" si="30"/>
        <v>0.56980056980056981</v>
      </c>
      <c r="BP231" s="78">
        <f t="shared" si="31"/>
        <v>0.57264957264957272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723">
        <v>4680115880191</v>
      </c>
      <c r="E232" s="7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723">
        <v>4680115883963</v>
      </c>
      <c r="E234" s="72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31"/>
      <c r="B235" s="731"/>
      <c r="C235" s="731"/>
      <c r="D235" s="731"/>
      <c r="E235" s="731"/>
      <c r="F235" s="731"/>
      <c r="G235" s="731"/>
      <c r="H235" s="731"/>
      <c r="I235" s="731"/>
      <c r="J235" s="731"/>
      <c r="K235" s="731"/>
      <c r="L235" s="731"/>
      <c r="M235" s="731"/>
      <c r="N235" s="731"/>
      <c r="O235" s="732"/>
      <c r="P235" s="728" t="s">
        <v>40</v>
      </c>
      <c r="Q235" s="729"/>
      <c r="R235" s="729"/>
      <c r="S235" s="729"/>
      <c r="T235" s="729"/>
      <c r="U235" s="729"/>
      <c r="V235" s="730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339.04761904761904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342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1.9436400000000003</v>
      </c>
      <c r="AA235" s="67"/>
      <c r="AB235" s="67"/>
      <c r="AC235" s="67"/>
    </row>
    <row r="236" spans="1:68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0</v>
      </c>
      <c r="X236" s="43">
        <f>IFERROR(SUM(X220:X234),"0")</f>
        <v>796</v>
      </c>
      <c r="Y236" s="43">
        <f>IFERROR(SUM(Y220:Y234),"0")</f>
        <v>805.60000000000014</v>
      </c>
      <c r="Z236" s="42"/>
      <c r="AA236" s="67"/>
      <c r="AB236" s="67"/>
      <c r="AC236" s="67"/>
    </row>
    <row r="237" spans="1:68" ht="14.25" hidden="1" customHeight="1" x14ac:dyDescent="0.25">
      <c r="A237" s="722" t="s">
        <v>86</v>
      </c>
      <c r="B237" s="722"/>
      <c r="C237" s="722"/>
      <c r="D237" s="722"/>
      <c r="E237" s="722"/>
      <c r="F237" s="722"/>
      <c r="G237" s="722"/>
      <c r="H237" s="722"/>
      <c r="I237" s="722"/>
      <c r="J237" s="722"/>
      <c r="K237" s="722"/>
      <c r="L237" s="722"/>
      <c r="M237" s="722"/>
      <c r="N237" s="722"/>
      <c r="O237" s="722"/>
      <c r="P237" s="722"/>
      <c r="Q237" s="722"/>
      <c r="R237" s="722"/>
      <c r="S237" s="722"/>
      <c r="T237" s="722"/>
      <c r="U237" s="722"/>
      <c r="V237" s="722"/>
      <c r="W237" s="722"/>
      <c r="X237" s="722"/>
      <c r="Y237" s="722"/>
      <c r="Z237" s="722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723">
        <v>4680115888692</v>
      </c>
      <c r="E238" s="72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723">
        <v>4680115888722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5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723">
        <v>4680115888951</v>
      </c>
      <c r="E242" s="72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723">
        <v>4680115888975</v>
      </c>
      <c r="E244" s="723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723">
        <v>4680115888982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5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731"/>
      <c r="B247" s="731"/>
      <c r="C247" s="731"/>
      <c r="D247" s="731"/>
      <c r="E247" s="731"/>
      <c r="F247" s="731"/>
      <c r="G247" s="731"/>
      <c r="H247" s="731"/>
      <c r="I247" s="731"/>
      <c r="J247" s="731"/>
      <c r="K247" s="731"/>
      <c r="L247" s="731"/>
      <c r="M247" s="731"/>
      <c r="N247" s="731"/>
      <c r="O247" s="732"/>
      <c r="P247" s="728" t="s">
        <v>40</v>
      </c>
      <c r="Q247" s="729"/>
      <c r="R247" s="729"/>
      <c r="S247" s="729"/>
      <c r="T247" s="729"/>
      <c r="U247" s="729"/>
      <c r="V247" s="730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22" t="s">
        <v>277</v>
      </c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2"/>
      <c r="P249" s="722"/>
      <c r="Q249" s="722"/>
      <c r="R249" s="722"/>
      <c r="S249" s="722"/>
      <c r="T249" s="722"/>
      <c r="U249" s="722"/>
      <c r="V249" s="722"/>
      <c r="W249" s="722"/>
      <c r="X249" s="722"/>
      <c r="Y249" s="722"/>
      <c r="Z249" s="722"/>
      <c r="AA249" s="66"/>
      <c r="AB249" s="66"/>
      <c r="AC249" s="80"/>
    </row>
    <row r="250" spans="1:68" ht="27" customHeight="1" x14ac:dyDescent="0.25">
      <c r="A250" s="63" t="s">
        <v>430</v>
      </c>
      <c r="B250" s="63" t="s">
        <v>431</v>
      </c>
      <c r="C250" s="36">
        <v>4301032053</v>
      </c>
      <c r="D250" s="723">
        <v>4680115886780</v>
      </c>
      <c r="E250" s="72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5"/>
      <c r="R250" s="725"/>
      <c r="S250" s="725"/>
      <c r="T250" s="726"/>
      <c r="U250" s="39" t="s">
        <v>46</v>
      </c>
      <c r="V250" s="39" t="s">
        <v>46</v>
      </c>
      <c r="W250" s="40" t="s">
        <v>0</v>
      </c>
      <c r="X250" s="58">
        <v>7</v>
      </c>
      <c r="Y250" s="55">
        <f>IFERROR(IF(X250="",0,CEILING((X250/$H250),1)*$H250),"")</f>
        <v>7.5600000000000005</v>
      </c>
      <c r="Z250" s="41">
        <f>IFERROR(IF(Y250=0,"",ROUNDUP(Y250/H250,0)*0.0059),"")</f>
        <v>3.5400000000000001E-2</v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8.0555555555555554</v>
      </c>
      <c r="BN250" s="78">
        <f>IFERROR(Y250*I250/H250,"0")</f>
        <v>8.6999999999999993</v>
      </c>
      <c r="BO250" s="78">
        <f>IFERROR(1/J250*(X250/H250),"0")</f>
        <v>2.5720164609053495E-2</v>
      </c>
      <c r="BP250" s="78">
        <f>IFERROR(1/J250*(Y250/H250),"0")</f>
        <v>2.7777777777777776E-2</v>
      </c>
    </row>
    <row r="251" spans="1:68" ht="27" customHeight="1" x14ac:dyDescent="0.25">
      <c r="A251" s="63" t="s">
        <v>433</v>
      </c>
      <c r="B251" s="63" t="s">
        <v>434</v>
      </c>
      <c r="C251" s="36">
        <v>4301032051</v>
      </c>
      <c r="D251" s="723">
        <v>4680115886742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14</v>
      </c>
      <c r="Y251" s="55">
        <f>IFERROR(IF(X251="",0,CEILING((X251/$H251),1)*$H251),"")</f>
        <v>15.120000000000001</v>
      </c>
      <c r="Z251" s="41">
        <f>IFERROR(IF(Y251=0,"",ROUNDUP(Y251/H251,0)*0.0059),"")</f>
        <v>7.0800000000000002E-2</v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16.111111111111111</v>
      </c>
      <c r="BN251" s="78">
        <f>IFERROR(Y251*I251/H251,"0")</f>
        <v>17.399999999999999</v>
      </c>
      <c r="BO251" s="78">
        <f>IFERROR(1/J251*(X251/H251),"0")</f>
        <v>5.1440329218106991E-2</v>
      </c>
      <c r="BP251" s="78">
        <f>IFERROR(1/J251*(Y251/H251),"0")</f>
        <v>5.5555555555555552E-2</v>
      </c>
    </row>
    <row r="252" spans="1:68" ht="27" customHeight="1" x14ac:dyDescent="0.25">
      <c r="A252" s="63" t="s">
        <v>436</v>
      </c>
      <c r="B252" s="63" t="s">
        <v>437</v>
      </c>
      <c r="C252" s="36">
        <v>4301032052</v>
      </c>
      <c r="D252" s="723">
        <v>4680115886766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21</v>
      </c>
      <c r="Y252" s="55">
        <f>IFERROR(IF(X252="",0,CEILING((X252/$H252),1)*$H252),"")</f>
        <v>21.42</v>
      </c>
      <c r="Z252" s="41">
        <f>IFERROR(IF(Y252=0,"",ROUNDUP(Y252/H252,0)*0.0059),"")</f>
        <v>0.1003</v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24.166666666666664</v>
      </c>
      <c r="BN252" s="78">
        <f>IFERROR(Y252*I252/H252,"0")</f>
        <v>24.650000000000002</v>
      </c>
      <c r="BO252" s="78">
        <f>IFERROR(1/J252*(X252/H252),"0")</f>
        <v>7.716049382716049E-2</v>
      </c>
      <c r="BP252" s="78">
        <f>IFERROR(1/J252*(Y252/H252),"0")</f>
        <v>7.8703703703703692E-2</v>
      </c>
    </row>
    <row r="253" spans="1:68" x14ac:dyDescent="0.2">
      <c r="A253" s="731"/>
      <c r="B253" s="731"/>
      <c r="C253" s="731"/>
      <c r="D253" s="731"/>
      <c r="E253" s="731"/>
      <c r="F253" s="731"/>
      <c r="G253" s="731"/>
      <c r="H253" s="731"/>
      <c r="I253" s="731"/>
      <c r="J253" s="731"/>
      <c r="K253" s="731"/>
      <c r="L253" s="731"/>
      <c r="M253" s="731"/>
      <c r="N253" s="731"/>
      <c r="O253" s="732"/>
      <c r="P253" s="728" t="s">
        <v>40</v>
      </c>
      <c r="Q253" s="729"/>
      <c r="R253" s="729"/>
      <c r="S253" s="729"/>
      <c r="T253" s="729"/>
      <c r="U253" s="729"/>
      <c r="V253" s="730"/>
      <c r="W253" s="42" t="s">
        <v>39</v>
      </c>
      <c r="X253" s="43">
        <f>IFERROR(X250/H250,"0")+IFERROR(X251/H251,"0")+IFERROR(X252/H252,"0")</f>
        <v>33.333333333333329</v>
      </c>
      <c r="Y253" s="43">
        <f>IFERROR(Y250/H250,"0")+IFERROR(Y251/H251,"0")+IFERROR(Y252/H252,"0")</f>
        <v>35</v>
      </c>
      <c r="Z253" s="43">
        <f>IFERROR(IF(Z250="",0,Z250),"0")+IFERROR(IF(Z251="",0,Z251),"0")+IFERROR(IF(Z252="",0,Z252),"0")</f>
        <v>0.20650000000000002</v>
      </c>
      <c r="AA253" s="67"/>
      <c r="AB253" s="67"/>
      <c r="AC253" s="67"/>
    </row>
    <row r="254" spans="1:68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0</v>
      </c>
      <c r="X254" s="43">
        <f>IFERROR(SUM(X250:X252),"0")</f>
        <v>42</v>
      </c>
      <c r="Y254" s="43">
        <f>IFERROR(SUM(Y250:Y252),"0")</f>
        <v>44.1</v>
      </c>
      <c r="Z254" s="42"/>
      <c r="AA254" s="67"/>
      <c r="AB254" s="67"/>
      <c r="AC254" s="67"/>
    </row>
    <row r="255" spans="1:68" ht="14.25" hidden="1" customHeight="1" x14ac:dyDescent="0.25">
      <c r="A255" s="722" t="s">
        <v>438</v>
      </c>
      <c r="B255" s="722"/>
      <c r="C255" s="722"/>
      <c r="D255" s="722"/>
      <c r="E255" s="722"/>
      <c r="F255" s="722"/>
      <c r="G255" s="722"/>
      <c r="H255" s="722"/>
      <c r="I255" s="722"/>
      <c r="J255" s="722"/>
      <c r="K255" s="722"/>
      <c r="L255" s="722"/>
      <c r="M255" s="722"/>
      <c r="N255" s="722"/>
      <c r="O255" s="722"/>
      <c r="P255" s="722"/>
      <c r="Q255" s="722"/>
      <c r="R255" s="722"/>
      <c r="S255" s="722"/>
      <c r="T255" s="722"/>
      <c r="U255" s="722"/>
      <c r="V255" s="722"/>
      <c r="W255" s="722"/>
      <c r="X255" s="722"/>
      <c r="Y255" s="722"/>
      <c r="Z255" s="722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723">
        <v>4680115886797</v>
      </c>
      <c r="E256" s="72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6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5"/>
      <c r="R256" s="725"/>
      <c r="S256" s="725"/>
      <c r="T256" s="72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31"/>
      <c r="B257" s="731"/>
      <c r="C257" s="731"/>
      <c r="D257" s="731"/>
      <c r="E257" s="731"/>
      <c r="F257" s="731"/>
      <c r="G257" s="731"/>
      <c r="H257" s="731"/>
      <c r="I257" s="731"/>
      <c r="J257" s="731"/>
      <c r="K257" s="731"/>
      <c r="L257" s="731"/>
      <c r="M257" s="731"/>
      <c r="N257" s="731"/>
      <c r="O257" s="732"/>
      <c r="P257" s="728" t="s">
        <v>40</v>
      </c>
      <c r="Q257" s="729"/>
      <c r="R257" s="729"/>
      <c r="S257" s="729"/>
      <c r="T257" s="729"/>
      <c r="U257" s="729"/>
      <c r="V257" s="73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721" t="s">
        <v>441</v>
      </c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1"/>
      <c r="P259" s="721"/>
      <c r="Q259" s="721"/>
      <c r="R259" s="721"/>
      <c r="S259" s="721"/>
      <c r="T259" s="721"/>
      <c r="U259" s="721"/>
      <c r="V259" s="721"/>
      <c r="W259" s="721"/>
      <c r="X259" s="721"/>
      <c r="Y259" s="721"/>
      <c r="Z259" s="721"/>
      <c r="AA259" s="65"/>
      <c r="AB259" s="65"/>
      <c r="AC259" s="79"/>
    </row>
    <row r="260" spans="1:68" ht="14.25" hidden="1" customHeight="1" x14ac:dyDescent="0.25">
      <c r="A260" s="722" t="s">
        <v>122</v>
      </c>
      <c r="B260" s="722"/>
      <c r="C260" s="722"/>
      <c r="D260" s="722"/>
      <c r="E260" s="722"/>
      <c r="F260" s="722"/>
      <c r="G260" s="722"/>
      <c r="H260" s="722"/>
      <c r="I260" s="722"/>
      <c r="J260" s="722"/>
      <c r="K260" s="722"/>
      <c r="L260" s="722"/>
      <c r="M260" s="722"/>
      <c r="N260" s="722"/>
      <c r="O260" s="722"/>
      <c r="P260" s="722"/>
      <c r="Q260" s="722"/>
      <c r="R260" s="722"/>
      <c r="S260" s="722"/>
      <c r="T260" s="722"/>
      <c r="U260" s="722"/>
      <c r="V260" s="722"/>
      <c r="W260" s="722"/>
      <c r="X260" s="722"/>
      <c r="Y260" s="722"/>
      <c r="Z260" s="722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723">
        <v>4680115881402</v>
      </c>
      <c r="E261" s="723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5"/>
      <c r="R261" s="725"/>
      <c r="S261" s="725"/>
      <c r="T261" s="72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723">
        <v>4680115881396</v>
      </c>
      <c r="E262" s="723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31"/>
      <c r="B263" s="731"/>
      <c r="C263" s="731"/>
      <c r="D263" s="731"/>
      <c r="E263" s="731"/>
      <c r="F263" s="731"/>
      <c r="G263" s="731"/>
      <c r="H263" s="731"/>
      <c r="I263" s="731"/>
      <c r="J263" s="731"/>
      <c r="K263" s="731"/>
      <c r="L263" s="731"/>
      <c r="M263" s="731"/>
      <c r="N263" s="731"/>
      <c r="O263" s="732"/>
      <c r="P263" s="728" t="s">
        <v>40</v>
      </c>
      <c r="Q263" s="729"/>
      <c r="R263" s="729"/>
      <c r="S263" s="729"/>
      <c r="T263" s="729"/>
      <c r="U263" s="729"/>
      <c r="V263" s="73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22" t="s">
        <v>159</v>
      </c>
      <c r="B265" s="722"/>
      <c r="C265" s="722"/>
      <c r="D265" s="722"/>
      <c r="E265" s="722"/>
      <c r="F265" s="722"/>
      <c r="G265" s="722"/>
      <c r="H265" s="722"/>
      <c r="I265" s="722"/>
      <c r="J265" s="722"/>
      <c r="K265" s="722"/>
      <c r="L265" s="722"/>
      <c r="M265" s="722"/>
      <c r="N265" s="722"/>
      <c r="O265" s="722"/>
      <c r="P265" s="722"/>
      <c r="Q265" s="722"/>
      <c r="R265" s="722"/>
      <c r="S265" s="722"/>
      <c r="T265" s="722"/>
      <c r="U265" s="722"/>
      <c r="V265" s="722"/>
      <c r="W265" s="722"/>
      <c r="X265" s="722"/>
      <c r="Y265" s="722"/>
      <c r="Z265" s="722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723">
        <v>4680115882935</v>
      </c>
      <c r="E266" s="7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5"/>
      <c r="R266" s="725"/>
      <c r="S266" s="725"/>
      <c r="T266" s="72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723">
        <v>4680115880764</v>
      </c>
      <c r="E267" s="723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31"/>
      <c r="B268" s="731"/>
      <c r="C268" s="731"/>
      <c r="D268" s="731"/>
      <c r="E268" s="731"/>
      <c r="F268" s="731"/>
      <c r="G268" s="731"/>
      <c r="H268" s="731"/>
      <c r="I268" s="731"/>
      <c r="J268" s="731"/>
      <c r="K268" s="731"/>
      <c r="L268" s="731"/>
      <c r="M268" s="731"/>
      <c r="N268" s="731"/>
      <c r="O268" s="732"/>
      <c r="P268" s="728" t="s">
        <v>40</v>
      </c>
      <c r="Q268" s="729"/>
      <c r="R268" s="729"/>
      <c r="S268" s="729"/>
      <c r="T268" s="729"/>
      <c r="U268" s="729"/>
      <c r="V268" s="73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22" t="s">
        <v>77</v>
      </c>
      <c r="B270" s="722"/>
      <c r="C270" s="722"/>
      <c r="D270" s="722"/>
      <c r="E270" s="722"/>
      <c r="F270" s="722"/>
      <c r="G270" s="722"/>
      <c r="H270" s="722"/>
      <c r="I270" s="722"/>
      <c r="J270" s="722"/>
      <c r="K270" s="722"/>
      <c r="L270" s="722"/>
      <c r="M270" s="722"/>
      <c r="N270" s="722"/>
      <c r="O270" s="722"/>
      <c r="P270" s="722"/>
      <c r="Q270" s="722"/>
      <c r="R270" s="722"/>
      <c r="S270" s="722"/>
      <c r="T270" s="722"/>
      <c r="U270" s="722"/>
      <c r="V270" s="722"/>
      <c r="W270" s="722"/>
      <c r="X270" s="722"/>
      <c r="Y270" s="722"/>
      <c r="Z270" s="722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723">
        <v>4680115882683</v>
      </c>
      <c r="E271" s="72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5"/>
      <c r="R271" s="725"/>
      <c r="S271" s="725"/>
      <c r="T271" s="726"/>
      <c r="U271" s="39" t="s">
        <v>46</v>
      </c>
      <c r="V271" s="39" t="s">
        <v>46</v>
      </c>
      <c r="W271" s="40" t="s">
        <v>0</v>
      </c>
      <c r="X271" s="58">
        <v>300</v>
      </c>
      <c r="Y271" s="55">
        <f t="shared" ref="Y271:Y278" si="38">IFERROR(IF(X271="",0,CEILING((X271/$H271),1)*$H271),"")</f>
        <v>302.40000000000003</v>
      </c>
      <c r="Z271" s="41">
        <f>IFERROR(IF(Y271=0,"",ROUNDUP(Y271/H271,0)*0.00902),"")</f>
        <v>0.50512000000000001</v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310.55555555555554</v>
      </c>
      <c r="BN271" s="78">
        <f t="shared" ref="BN271:BN278" si="40">IFERROR(Y271*I271/H271,"0")</f>
        <v>313.04000000000002</v>
      </c>
      <c r="BO271" s="78">
        <f t="shared" ref="BO271:BO278" si="41">IFERROR(1/J271*(X271/H271),"0")</f>
        <v>0.42087542087542085</v>
      </c>
      <c r="BP271" s="78">
        <f t="shared" ref="BP271:BP278" si="42">IFERROR(1/J271*(Y271/H271),"0")</f>
        <v>0.42424242424242425</v>
      </c>
    </row>
    <row r="272" spans="1:68" ht="27" customHeight="1" x14ac:dyDescent="0.25">
      <c r="A272" s="63" t="s">
        <v>455</v>
      </c>
      <c r="B272" s="63" t="s">
        <v>456</v>
      </c>
      <c r="C272" s="36">
        <v>4301031230</v>
      </c>
      <c r="D272" s="723">
        <v>4680115882690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50</v>
      </c>
      <c r="Y272" s="55">
        <f t="shared" si="38"/>
        <v>54</v>
      </c>
      <c r="Z272" s="41">
        <f>IFERROR(IF(Y272=0,"",ROUNDUP(Y272/H272,0)*0.00902),"")</f>
        <v>9.0200000000000002E-2</v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51.759259259259252</v>
      </c>
      <c r="BN272" s="78">
        <f t="shared" si="40"/>
        <v>55.9</v>
      </c>
      <c r="BO272" s="78">
        <f t="shared" si="41"/>
        <v>7.0145903479236812E-2</v>
      </c>
      <c r="BP272" s="78">
        <f t="shared" si="42"/>
        <v>7.575757575757576E-2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723">
        <v>4680115882669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100</v>
      </c>
      <c r="Y273" s="55">
        <f t="shared" si="38"/>
        <v>102.60000000000001</v>
      </c>
      <c r="Z273" s="41">
        <f>IFERROR(IF(Y273=0,"",ROUNDUP(Y273/H273,0)*0.00902),"")</f>
        <v>0.17138</v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103.5185185185185</v>
      </c>
      <c r="BN273" s="78">
        <f t="shared" si="40"/>
        <v>106.21</v>
      </c>
      <c r="BO273" s="78">
        <f t="shared" si="41"/>
        <v>0.14029180695847362</v>
      </c>
      <c r="BP273" s="78">
        <f t="shared" si="42"/>
        <v>0.14393939393939395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4301031221</v>
      </c>
      <c r="D274" s="723">
        <v>4680115882676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customHeight="1" x14ac:dyDescent="0.25">
      <c r="A275" s="63" t="s">
        <v>464</v>
      </c>
      <c r="B275" s="63" t="s">
        <v>465</v>
      </c>
      <c r="C275" s="36">
        <v>4301031223</v>
      </c>
      <c r="D275" s="723">
        <v>4680115884014</v>
      </c>
      <c r="E275" s="723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90</v>
      </c>
      <c r="Y275" s="55">
        <f t="shared" si="38"/>
        <v>90</v>
      </c>
      <c r="Z275" s="41">
        <f>IFERROR(IF(Y275=0,"",ROUNDUP(Y275/H275,0)*0.00502),"")</f>
        <v>0.251</v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96.499999999999986</v>
      </c>
      <c r="BN275" s="78">
        <f t="shared" si="40"/>
        <v>96.499999999999986</v>
      </c>
      <c r="BO275" s="78">
        <f t="shared" si="41"/>
        <v>0.21367521367521369</v>
      </c>
      <c r="BP275" s="78">
        <f t="shared" si="42"/>
        <v>0.21367521367521369</v>
      </c>
    </row>
    <row r="276" spans="1:68" ht="27" customHeight="1" x14ac:dyDescent="0.25">
      <c r="A276" s="63" t="s">
        <v>466</v>
      </c>
      <c r="B276" s="63" t="s">
        <v>467</v>
      </c>
      <c r="C276" s="36">
        <v>4301031222</v>
      </c>
      <c r="D276" s="723">
        <v>4680115884007</v>
      </c>
      <c r="E276" s="72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90</v>
      </c>
      <c r="Y276" s="55">
        <f t="shared" si="38"/>
        <v>90</v>
      </c>
      <c r="Z276" s="41">
        <f>IFERROR(IF(Y276=0,"",ROUNDUP(Y276/H276,0)*0.00502),"")</f>
        <v>0.251</v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95</v>
      </c>
      <c r="BN276" s="78">
        <f t="shared" si="40"/>
        <v>95</v>
      </c>
      <c r="BO276" s="78">
        <f t="shared" si="41"/>
        <v>0.21367521367521369</v>
      </c>
      <c r="BP276" s="78">
        <f t="shared" si="42"/>
        <v>0.21367521367521369</v>
      </c>
    </row>
    <row r="277" spans="1:68" ht="27" customHeight="1" x14ac:dyDescent="0.25">
      <c r="A277" s="63" t="s">
        <v>468</v>
      </c>
      <c r="B277" s="63" t="s">
        <v>469</v>
      </c>
      <c r="C277" s="36">
        <v>4301031229</v>
      </c>
      <c r="D277" s="723">
        <v>4680115884038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90</v>
      </c>
      <c r="Y277" s="55">
        <f t="shared" si="38"/>
        <v>90</v>
      </c>
      <c r="Z277" s="41">
        <f>IFERROR(IF(Y277=0,"",ROUNDUP(Y277/H277,0)*0.00502),"")</f>
        <v>0.251</v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95</v>
      </c>
      <c r="BN277" s="78">
        <f t="shared" si="40"/>
        <v>95</v>
      </c>
      <c r="BO277" s="78">
        <f t="shared" si="41"/>
        <v>0.21367521367521369</v>
      </c>
      <c r="BP277" s="78">
        <f t="shared" si="42"/>
        <v>0.21367521367521369</v>
      </c>
    </row>
    <row r="278" spans="1:68" ht="27" customHeight="1" x14ac:dyDescent="0.25">
      <c r="A278" s="63" t="s">
        <v>470</v>
      </c>
      <c r="B278" s="63" t="s">
        <v>471</v>
      </c>
      <c r="C278" s="36">
        <v>4301031225</v>
      </c>
      <c r="D278" s="723">
        <v>4680115884021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90</v>
      </c>
      <c r="Y278" s="55">
        <f t="shared" si="38"/>
        <v>90</v>
      </c>
      <c r="Z278" s="41">
        <f>IFERROR(IF(Y278=0,"",ROUNDUP(Y278/H278,0)*0.00502),"")</f>
        <v>0.251</v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95</v>
      </c>
      <c r="BN278" s="78">
        <f t="shared" si="40"/>
        <v>95</v>
      </c>
      <c r="BO278" s="78">
        <f t="shared" si="41"/>
        <v>0.21367521367521369</v>
      </c>
      <c r="BP278" s="78">
        <f t="shared" si="42"/>
        <v>0.21367521367521369</v>
      </c>
    </row>
    <row r="279" spans="1:68" x14ac:dyDescent="0.2">
      <c r="A279" s="731"/>
      <c r="B279" s="731"/>
      <c r="C279" s="731"/>
      <c r="D279" s="731"/>
      <c r="E279" s="731"/>
      <c r="F279" s="731"/>
      <c r="G279" s="731"/>
      <c r="H279" s="731"/>
      <c r="I279" s="731"/>
      <c r="J279" s="731"/>
      <c r="K279" s="731"/>
      <c r="L279" s="731"/>
      <c r="M279" s="731"/>
      <c r="N279" s="731"/>
      <c r="O279" s="732"/>
      <c r="P279" s="728" t="s">
        <v>40</v>
      </c>
      <c r="Q279" s="729"/>
      <c r="R279" s="729"/>
      <c r="S279" s="729"/>
      <c r="T279" s="729"/>
      <c r="U279" s="729"/>
      <c r="V279" s="730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283.33333333333331</v>
      </c>
      <c r="Y279" s="43">
        <f>IFERROR(Y271/H271,"0")+IFERROR(Y272/H272,"0")+IFERROR(Y273/H273,"0")+IFERROR(Y274/H274,"0")+IFERROR(Y275/H275,"0")+IFERROR(Y276/H276,"0")+IFERROR(Y277/H277,"0")+IFERROR(Y278/H278,"0")</f>
        <v>285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1.7706999999999997</v>
      </c>
      <c r="AA279" s="67"/>
      <c r="AB279" s="67"/>
      <c r="AC279" s="67"/>
    </row>
    <row r="280" spans="1:68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0</v>
      </c>
      <c r="X280" s="43">
        <f>IFERROR(SUM(X271:X278),"0")</f>
        <v>810</v>
      </c>
      <c r="Y280" s="43">
        <f>IFERROR(SUM(Y271:Y278),"0")</f>
        <v>819</v>
      </c>
      <c r="Z280" s="42"/>
      <c r="AA280" s="67"/>
      <c r="AB280" s="67"/>
      <c r="AC280" s="67"/>
    </row>
    <row r="281" spans="1:68" ht="14.25" hidden="1" customHeight="1" x14ac:dyDescent="0.25">
      <c r="A281" s="722" t="s">
        <v>86</v>
      </c>
      <c r="B281" s="722"/>
      <c r="C281" s="722"/>
      <c r="D281" s="722"/>
      <c r="E281" s="722"/>
      <c r="F281" s="722"/>
      <c r="G281" s="722"/>
      <c r="H281" s="722"/>
      <c r="I281" s="722"/>
      <c r="J281" s="722"/>
      <c r="K281" s="722"/>
      <c r="L281" s="722"/>
      <c r="M281" s="722"/>
      <c r="N281" s="722"/>
      <c r="O281" s="722"/>
      <c r="P281" s="722"/>
      <c r="Q281" s="722"/>
      <c r="R281" s="722"/>
      <c r="S281" s="722"/>
      <c r="T281" s="722"/>
      <c r="U281" s="722"/>
      <c r="V281" s="722"/>
      <c r="W281" s="722"/>
      <c r="X281" s="722"/>
      <c r="Y281" s="722"/>
      <c r="Z281" s="722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723">
        <v>4680115881594</v>
      </c>
      <c r="E282" s="723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7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5"/>
      <c r="R282" s="725"/>
      <c r="S282" s="725"/>
      <c r="T282" s="72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customHeight="1" x14ac:dyDescent="0.25">
      <c r="A283" s="63" t="s">
        <v>475</v>
      </c>
      <c r="B283" s="63" t="s">
        <v>476</v>
      </c>
      <c r="C283" s="36">
        <v>4301051411</v>
      </c>
      <c r="D283" s="723">
        <v>4680115881617</v>
      </c>
      <c r="E283" s="723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200</v>
      </c>
      <c r="Y283" s="55">
        <f t="shared" si="43"/>
        <v>202.5</v>
      </c>
      <c r="Z283" s="41">
        <f>IFERROR(IF(Y283=0,"",ROUNDUP(Y283/H283,0)*0.01898),"")</f>
        <v>0.47450000000000003</v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211.75308641975309</v>
      </c>
      <c r="BN283" s="78">
        <f t="shared" si="45"/>
        <v>214.40000000000003</v>
      </c>
      <c r="BO283" s="78">
        <f t="shared" si="46"/>
        <v>0.38580246913580246</v>
      </c>
      <c r="BP283" s="78">
        <f t="shared" si="47"/>
        <v>0.390625</v>
      </c>
    </row>
    <row r="284" spans="1:68" ht="27" customHeight="1" x14ac:dyDescent="0.25">
      <c r="A284" s="63" t="s">
        <v>478</v>
      </c>
      <c r="B284" s="63" t="s">
        <v>479</v>
      </c>
      <c r="C284" s="36">
        <v>4301051656</v>
      </c>
      <c r="D284" s="723">
        <v>4680115880573</v>
      </c>
      <c r="E284" s="723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100</v>
      </c>
      <c r="Y284" s="55">
        <f t="shared" si="43"/>
        <v>104.39999999999999</v>
      </c>
      <c r="Z284" s="41">
        <f>IFERROR(IF(Y284=0,"",ROUNDUP(Y284/H284,0)*0.01898),"")</f>
        <v>0.22776000000000002</v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105.67816091954025</v>
      </c>
      <c r="BN284" s="78">
        <f t="shared" si="45"/>
        <v>110.32800000000002</v>
      </c>
      <c r="BO284" s="78">
        <f t="shared" si="46"/>
        <v>0.1795977011494253</v>
      </c>
      <c r="BP284" s="78">
        <f t="shared" si="47"/>
        <v>0.1875</v>
      </c>
    </row>
    <row r="285" spans="1:68" ht="27" customHeight="1" x14ac:dyDescent="0.25">
      <c r="A285" s="63" t="s">
        <v>481</v>
      </c>
      <c r="B285" s="63" t="s">
        <v>482</v>
      </c>
      <c r="C285" s="36">
        <v>4301051407</v>
      </c>
      <c r="D285" s="723">
        <v>4680115882195</v>
      </c>
      <c r="E285" s="723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400</v>
      </c>
      <c r="Y285" s="55">
        <f t="shared" si="43"/>
        <v>400.8</v>
      </c>
      <c r="Z285" s="41">
        <f>IFERROR(IF(Y285=0,"",ROUNDUP(Y285/H285,0)*0.00651),"")</f>
        <v>1.08717</v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445</v>
      </c>
      <c r="BN285" s="78">
        <f t="shared" si="45"/>
        <v>445.89</v>
      </c>
      <c r="BO285" s="78">
        <f t="shared" si="46"/>
        <v>0.91575091575091594</v>
      </c>
      <c r="BP285" s="78">
        <f t="shared" si="47"/>
        <v>0.91758241758241765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723">
        <v>4680115882607</v>
      </c>
      <c r="E286" s="723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customHeight="1" x14ac:dyDescent="0.25">
      <c r="A288" s="63" t="s">
        <v>488</v>
      </c>
      <c r="B288" s="63" t="s">
        <v>489</v>
      </c>
      <c r="C288" s="36">
        <v>4301051666</v>
      </c>
      <c r="D288" s="723">
        <v>4680115880092</v>
      </c>
      <c r="E288" s="72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120</v>
      </c>
      <c r="Y288" s="55">
        <f t="shared" si="43"/>
        <v>120</v>
      </c>
      <c r="Z288" s="41">
        <f>IFERROR(IF(Y288=0,"",ROUNDUP(Y288/H288,0)*0.00651),"")</f>
        <v>0.32550000000000001</v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132.60000000000002</v>
      </c>
      <c r="BN288" s="78">
        <f t="shared" si="45"/>
        <v>132.60000000000002</v>
      </c>
      <c r="BO288" s="78">
        <f t="shared" si="46"/>
        <v>0.27472527472527475</v>
      </c>
      <c r="BP288" s="78">
        <f t="shared" si="47"/>
        <v>0.27472527472527475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723">
        <v>4680115889064</v>
      </c>
      <c r="E289" s="723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723">
        <v>4680115880221</v>
      </c>
      <c r="E290" s="72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customHeight="1" x14ac:dyDescent="0.25">
      <c r="A291" s="63" t="s">
        <v>494</v>
      </c>
      <c r="B291" s="63" t="s">
        <v>495</v>
      </c>
      <c r="C291" s="36">
        <v>4301051945</v>
      </c>
      <c r="D291" s="723">
        <v>4680115880504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100</v>
      </c>
      <c r="Y291" s="55">
        <f t="shared" si="43"/>
        <v>100.8</v>
      </c>
      <c r="Z291" s="41">
        <f>IFERROR(IF(Y291=0,"",ROUNDUP(Y291/H291,0)*0.00651),"")</f>
        <v>0.27342</v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110.5</v>
      </c>
      <c r="BN291" s="78">
        <f t="shared" si="45"/>
        <v>111.384</v>
      </c>
      <c r="BO291" s="78">
        <f t="shared" si="46"/>
        <v>0.22893772893772898</v>
      </c>
      <c r="BP291" s="78">
        <f t="shared" si="47"/>
        <v>0.23076923076923078</v>
      </c>
    </row>
    <row r="292" spans="1:68" ht="27" customHeight="1" x14ac:dyDescent="0.25">
      <c r="A292" s="63" t="s">
        <v>497</v>
      </c>
      <c r="B292" s="63" t="s">
        <v>498</v>
      </c>
      <c r="C292" s="36">
        <v>4301051410</v>
      </c>
      <c r="D292" s="723">
        <v>4680115882164</v>
      </c>
      <c r="E292" s="723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280</v>
      </c>
      <c r="Y292" s="55">
        <f t="shared" si="43"/>
        <v>280.8</v>
      </c>
      <c r="Z292" s="41">
        <f>IFERROR(IF(Y292=0,"",ROUNDUP(Y292/H292,0)*0.00651),"")</f>
        <v>0.76167000000000007</v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310.10000000000002</v>
      </c>
      <c r="BN292" s="78">
        <f t="shared" si="45"/>
        <v>310.98599999999999</v>
      </c>
      <c r="BO292" s="78">
        <f t="shared" si="46"/>
        <v>0.64102564102564108</v>
      </c>
      <c r="BP292" s="78">
        <f t="shared" si="47"/>
        <v>0.64285714285714302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723">
        <v>4680115888340</v>
      </c>
      <c r="E293" s="72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x14ac:dyDescent="0.2">
      <c r="A294" s="731"/>
      <c r="B294" s="731"/>
      <c r="C294" s="731"/>
      <c r="D294" s="731"/>
      <c r="E294" s="731"/>
      <c r="F294" s="731"/>
      <c r="G294" s="731"/>
      <c r="H294" s="731"/>
      <c r="I294" s="731"/>
      <c r="J294" s="731"/>
      <c r="K294" s="731"/>
      <c r="L294" s="731"/>
      <c r="M294" s="731"/>
      <c r="N294" s="731"/>
      <c r="O294" s="732"/>
      <c r="P294" s="728" t="s">
        <v>40</v>
      </c>
      <c r="Q294" s="729"/>
      <c r="R294" s="729"/>
      <c r="S294" s="729"/>
      <c r="T294" s="729"/>
      <c r="U294" s="729"/>
      <c r="V294" s="730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411.18561089825465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413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3.15002</v>
      </c>
      <c r="AA294" s="67"/>
      <c r="AB294" s="67"/>
      <c r="AC294" s="67"/>
    </row>
    <row r="295" spans="1:68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0</v>
      </c>
      <c r="X295" s="43">
        <f>IFERROR(SUM(X282:X293),"0")</f>
        <v>1200</v>
      </c>
      <c r="Y295" s="43">
        <f>IFERROR(SUM(Y282:Y293),"0")</f>
        <v>1209.3</v>
      </c>
      <c r="Z295" s="42"/>
      <c r="AA295" s="67"/>
      <c r="AB295" s="67"/>
      <c r="AC295" s="67"/>
    </row>
    <row r="296" spans="1:68" ht="14.25" hidden="1" customHeight="1" x14ac:dyDescent="0.25">
      <c r="A296" s="722" t="s">
        <v>178</v>
      </c>
      <c r="B296" s="722"/>
      <c r="C296" s="722"/>
      <c r="D296" s="722"/>
      <c r="E296" s="722"/>
      <c r="F296" s="722"/>
      <c r="G296" s="722"/>
      <c r="H296" s="722"/>
      <c r="I296" s="722"/>
      <c r="J296" s="722"/>
      <c r="K296" s="722"/>
      <c r="L296" s="722"/>
      <c r="M296" s="722"/>
      <c r="N296" s="722"/>
      <c r="O296" s="722"/>
      <c r="P296" s="722"/>
      <c r="Q296" s="722"/>
      <c r="R296" s="722"/>
      <c r="S296" s="722"/>
      <c r="T296" s="722"/>
      <c r="U296" s="722"/>
      <c r="V296" s="722"/>
      <c r="W296" s="722"/>
      <c r="X296" s="722"/>
      <c r="Y296" s="722"/>
      <c r="Z296" s="722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723">
        <v>4680115880818</v>
      </c>
      <c r="E297" s="723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5"/>
      <c r="R297" s="725"/>
      <c r="S297" s="725"/>
      <c r="T297" s="72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506</v>
      </c>
      <c r="B298" s="63" t="s">
        <v>507</v>
      </c>
      <c r="C298" s="36">
        <v>4301060389</v>
      </c>
      <c r="D298" s="723">
        <v>4680115880801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8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200</v>
      </c>
      <c r="Y298" s="55">
        <f>IFERROR(IF(X298="",0,CEILING((X298/$H298),1)*$H298),"")</f>
        <v>201.6</v>
      </c>
      <c r="Z298" s="41">
        <f>IFERROR(IF(Y298=0,"",ROUNDUP(Y298/H298,0)*0.00651),"")</f>
        <v>0.54683999999999999</v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221</v>
      </c>
      <c r="BN298" s="78">
        <f>IFERROR(Y298*I298/H298,"0")</f>
        <v>222.768</v>
      </c>
      <c r="BO298" s="78">
        <f>IFERROR(1/J298*(X298/H298),"0")</f>
        <v>0.45787545787545797</v>
      </c>
      <c r="BP298" s="78">
        <f>IFERROR(1/J298*(Y298/H298),"0")</f>
        <v>0.46153846153846156</v>
      </c>
    </row>
    <row r="299" spans="1:68" x14ac:dyDescent="0.2">
      <c r="A299" s="731"/>
      <c r="B299" s="731"/>
      <c r="C299" s="731"/>
      <c r="D299" s="731"/>
      <c r="E299" s="731"/>
      <c r="F299" s="731"/>
      <c r="G299" s="731"/>
      <c r="H299" s="731"/>
      <c r="I299" s="731"/>
      <c r="J299" s="731"/>
      <c r="K299" s="731"/>
      <c r="L299" s="731"/>
      <c r="M299" s="731"/>
      <c r="N299" s="731"/>
      <c r="O299" s="732"/>
      <c r="P299" s="728" t="s">
        <v>40</v>
      </c>
      <c r="Q299" s="729"/>
      <c r="R299" s="729"/>
      <c r="S299" s="729"/>
      <c r="T299" s="729"/>
      <c r="U299" s="729"/>
      <c r="V299" s="730"/>
      <c r="W299" s="42" t="s">
        <v>39</v>
      </c>
      <c r="X299" s="43">
        <f>IFERROR(X297/H297,"0")+IFERROR(X298/H298,"0")</f>
        <v>83.333333333333343</v>
      </c>
      <c r="Y299" s="43">
        <f>IFERROR(Y297/H297,"0")+IFERROR(Y298/H298,"0")</f>
        <v>84</v>
      </c>
      <c r="Z299" s="43">
        <f>IFERROR(IF(Z297="",0,Z297),"0")+IFERROR(IF(Z298="",0,Z298),"0")</f>
        <v>0.54683999999999999</v>
      </c>
      <c r="AA299" s="67"/>
      <c r="AB299" s="67"/>
      <c r="AC299" s="67"/>
    </row>
    <row r="300" spans="1:68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0</v>
      </c>
      <c r="X300" s="43">
        <f>IFERROR(SUM(X297:X298),"0")</f>
        <v>200</v>
      </c>
      <c r="Y300" s="43">
        <f>IFERROR(SUM(Y297:Y298),"0")</f>
        <v>201.6</v>
      </c>
      <c r="Z300" s="42"/>
      <c r="AA300" s="67"/>
      <c r="AB300" s="67"/>
      <c r="AC300" s="67"/>
    </row>
    <row r="301" spans="1:68" ht="16.5" hidden="1" customHeight="1" x14ac:dyDescent="0.25">
      <c r="A301" s="721" t="s">
        <v>509</v>
      </c>
      <c r="B301" s="721"/>
      <c r="C301" s="721"/>
      <c r="D301" s="721"/>
      <c r="E301" s="721"/>
      <c r="F301" s="721"/>
      <c r="G301" s="721"/>
      <c r="H301" s="721"/>
      <c r="I301" s="721"/>
      <c r="J301" s="721"/>
      <c r="K301" s="721"/>
      <c r="L301" s="721"/>
      <c r="M301" s="721"/>
      <c r="N301" s="721"/>
      <c r="O301" s="721"/>
      <c r="P301" s="721"/>
      <c r="Q301" s="721"/>
      <c r="R301" s="721"/>
      <c r="S301" s="721"/>
      <c r="T301" s="721"/>
      <c r="U301" s="721"/>
      <c r="V301" s="721"/>
      <c r="W301" s="721"/>
      <c r="X301" s="721"/>
      <c r="Y301" s="721"/>
      <c r="Z301" s="721"/>
      <c r="AA301" s="65"/>
      <c r="AB301" s="65"/>
      <c r="AC301" s="79"/>
    </row>
    <row r="302" spans="1:68" ht="14.25" hidden="1" customHeight="1" x14ac:dyDescent="0.25">
      <c r="A302" s="722" t="s">
        <v>122</v>
      </c>
      <c r="B302" s="722"/>
      <c r="C302" s="722"/>
      <c r="D302" s="722"/>
      <c r="E302" s="722"/>
      <c r="F302" s="722"/>
      <c r="G302" s="722"/>
      <c r="H302" s="722"/>
      <c r="I302" s="722"/>
      <c r="J302" s="722"/>
      <c r="K302" s="722"/>
      <c r="L302" s="722"/>
      <c r="M302" s="722"/>
      <c r="N302" s="722"/>
      <c r="O302" s="722"/>
      <c r="P302" s="722"/>
      <c r="Q302" s="722"/>
      <c r="R302" s="722"/>
      <c r="S302" s="722"/>
      <c r="T302" s="722"/>
      <c r="U302" s="722"/>
      <c r="V302" s="722"/>
      <c r="W302" s="722"/>
      <c r="X302" s="722"/>
      <c r="Y302" s="722"/>
      <c r="Z302" s="722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723">
        <v>4680115884137</v>
      </c>
      <c r="E303" s="72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5"/>
      <c r="R303" s="725"/>
      <c r="S303" s="725"/>
      <c r="T303" s="72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723">
        <v>4680115884236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723">
        <v>4680115884175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customHeight="1" x14ac:dyDescent="0.25">
      <c r="A306" s="63" t="s">
        <v>518</v>
      </c>
      <c r="B306" s="63" t="s">
        <v>519</v>
      </c>
      <c r="C306" s="36">
        <v>4301011824</v>
      </c>
      <c r="D306" s="723">
        <v>4680115884144</v>
      </c>
      <c r="E306" s="723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24</v>
      </c>
      <c r="Y306" s="55">
        <f t="shared" si="48"/>
        <v>24</v>
      </c>
      <c r="Z306" s="41">
        <f>IFERROR(IF(Y306=0,"",ROUNDUP(Y306/H306,0)*0.00902),"")</f>
        <v>5.4120000000000001E-2</v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25.14</v>
      </c>
      <c r="BN306" s="78">
        <f t="shared" si="50"/>
        <v>25.14</v>
      </c>
      <c r="BO306" s="78">
        <f t="shared" si="51"/>
        <v>4.5454545454545456E-2</v>
      </c>
      <c r="BP306" s="78">
        <f t="shared" si="52"/>
        <v>4.5454545454545456E-2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723">
        <v>4680115886551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723">
        <v>4680115887282</v>
      </c>
      <c r="E308" s="723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customHeight="1" x14ac:dyDescent="0.25">
      <c r="A309" s="63" t="s">
        <v>526</v>
      </c>
      <c r="B309" s="63" t="s">
        <v>527</v>
      </c>
      <c r="C309" s="36">
        <v>4301011722</v>
      </c>
      <c r="D309" s="723">
        <v>4680115884205</v>
      </c>
      <c r="E309" s="723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24</v>
      </c>
      <c r="Y309" s="55">
        <f t="shared" si="48"/>
        <v>24</v>
      </c>
      <c r="Z309" s="41">
        <f>IFERROR(IF(Y309=0,"",ROUNDUP(Y309/H309,0)*0.00902),"")</f>
        <v>5.4120000000000001E-2</v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25.14</v>
      </c>
      <c r="BN309" s="78">
        <f t="shared" si="50"/>
        <v>25.14</v>
      </c>
      <c r="BO309" s="78">
        <f t="shared" si="51"/>
        <v>4.5454545454545456E-2</v>
      </c>
      <c r="BP309" s="78">
        <f t="shared" si="52"/>
        <v>4.5454545454545456E-2</v>
      </c>
    </row>
    <row r="310" spans="1:68" x14ac:dyDescent="0.2">
      <c r="A310" s="731"/>
      <c r="B310" s="731"/>
      <c r="C310" s="731"/>
      <c r="D310" s="731"/>
      <c r="E310" s="731"/>
      <c r="F310" s="731"/>
      <c r="G310" s="731"/>
      <c r="H310" s="731"/>
      <c r="I310" s="731"/>
      <c r="J310" s="731"/>
      <c r="K310" s="731"/>
      <c r="L310" s="731"/>
      <c r="M310" s="731"/>
      <c r="N310" s="731"/>
      <c r="O310" s="732"/>
      <c r="P310" s="728" t="s">
        <v>40</v>
      </c>
      <c r="Q310" s="729"/>
      <c r="R310" s="729"/>
      <c r="S310" s="729"/>
      <c r="T310" s="729"/>
      <c r="U310" s="729"/>
      <c r="V310" s="730"/>
      <c r="W310" s="42" t="s">
        <v>39</v>
      </c>
      <c r="X310" s="43">
        <f>IFERROR(X303/H303,"0")+IFERROR(X304/H304,"0")+IFERROR(X305/H305,"0")+IFERROR(X306/H306,"0")+IFERROR(X307/H307,"0")+IFERROR(X308/H308,"0")+IFERROR(X309/H309,"0")</f>
        <v>12</v>
      </c>
      <c r="Y310" s="43">
        <f>IFERROR(Y303/H303,"0")+IFERROR(Y304/H304,"0")+IFERROR(Y305/H305,"0")+IFERROR(Y306/H306,"0")+IFERROR(Y307/H307,"0")+IFERROR(Y308/H308,"0")+IFERROR(Y309/H309,"0")</f>
        <v>12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0.10824</v>
      </c>
      <c r="AA310" s="67"/>
      <c r="AB310" s="67"/>
      <c r="AC310" s="67"/>
    </row>
    <row r="311" spans="1:68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0</v>
      </c>
      <c r="X311" s="43">
        <f>IFERROR(SUM(X303:X309),"0")</f>
        <v>48</v>
      </c>
      <c r="Y311" s="43">
        <f>IFERROR(SUM(Y303:Y309),"0")</f>
        <v>48</v>
      </c>
      <c r="Z311" s="42"/>
      <c r="AA311" s="67"/>
      <c r="AB311" s="67"/>
      <c r="AC311" s="67"/>
    </row>
    <row r="312" spans="1:68" ht="14.25" hidden="1" customHeight="1" x14ac:dyDescent="0.25">
      <c r="A312" s="722" t="s">
        <v>159</v>
      </c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2"/>
      <c r="P312" s="722"/>
      <c r="Q312" s="722"/>
      <c r="R312" s="722"/>
      <c r="S312" s="722"/>
      <c r="T312" s="722"/>
      <c r="U312" s="722"/>
      <c r="V312" s="722"/>
      <c r="W312" s="722"/>
      <c r="X312" s="722"/>
      <c r="Y312" s="722"/>
      <c r="Z312" s="722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723">
        <v>4680115885981</v>
      </c>
      <c r="E313" s="723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8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5"/>
      <c r="R313" s="725"/>
      <c r="S313" s="725"/>
      <c r="T313" s="72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31"/>
      <c r="B314" s="731"/>
      <c r="C314" s="731"/>
      <c r="D314" s="731"/>
      <c r="E314" s="731"/>
      <c r="F314" s="731"/>
      <c r="G314" s="731"/>
      <c r="H314" s="731"/>
      <c r="I314" s="731"/>
      <c r="J314" s="731"/>
      <c r="K314" s="731"/>
      <c r="L314" s="731"/>
      <c r="M314" s="731"/>
      <c r="N314" s="731"/>
      <c r="O314" s="732"/>
      <c r="P314" s="728" t="s">
        <v>40</v>
      </c>
      <c r="Q314" s="729"/>
      <c r="R314" s="729"/>
      <c r="S314" s="729"/>
      <c r="T314" s="729"/>
      <c r="U314" s="729"/>
      <c r="V314" s="73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22" t="s">
        <v>531</v>
      </c>
      <c r="B316" s="722"/>
      <c r="C316" s="722"/>
      <c r="D316" s="722"/>
      <c r="E316" s="722"/>
      <c r="F316" s="722"/>
      <c r="G316" s="722"/>
      <c r="H316" s="722"/>
      <c r="I316" s="722"/>
      <c r="J316" s="722"/>
      <c r="K316" s="722"/>
      <c r="L316" s="722"/>
      <c r="M316" s="722"/>
      <c r="N316" s="722"/>
      <c r="O316" s="722"/>
      <c r="P316" s="722"/>
      <c r="Q316" s="722"/>
      <c r="R316" s="722"/>
      <c r="S316" s="722"/>
      <c r="T316" s="722"/>
      <c r="U316" s="722"/>
      <c r="V316" s="722"/>
      <c r="W316" s="722"/>
      <c r="X316" s="722"/>
      <c r="Y316" s="722"/>
      <c r="Z316" s="722"/>
      <c r="AA316" s="66"/>
      <c r="AB316" s="66"/>
      <c r="AC316" s="80"/>
    </row>
    <row r="317" spans="1:68" ht="27" customHeight="1" x14ac:dyDescent="0.25">
      <c r="A317" s="63" t="s">
        <v>532</v>
      </c>
      <c r="B317" s="63" t="s">
        <v>533</v>
      </c>
      <c r="C317" s="36">
        <v>4301040362</v>
      </c>
      <c r="D317" s="723">
        <v>4680115886803</v>
      </c>
      <c r="E317" s="723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8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5"/>
      <c r="R317" s="725"/>
      <c r="S317" s="725"/>
      <c r="T317" s="726"/>
      <c r="U317" s="39" t="s">
        <v>46</v>
      </c>
      <c r="V317" s="39" t="s">
        <v>46</v>
      </c>
      <c r="W317" s="40" t="s">
        <v>0</v>
      </c>
      <c r="X317" s="58">
        <v>12</v>
      </c>
      <c r="Y317" s="55">
        <f>IFERROR(IF(X317="",0,CEILING((X317/$H317),1)*$H317),"")</f>
        <v>12.6</v>
      </c>
      <c r="Z317" s="41">
        <f>IFERROR(IF(Y317=0,"",ROUNDUP(Y317/H317,0)*0.0059),"")</f>
        <v>4.1299999999999996E-2</v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13.166666666666668</v>
      </c>
      <c r="BN317" s="78">
        <f>IFERROR(Y317*I317/H317,"0")</f>
        <v>13.825000000000001</v>
      </c>
      <c r="BO317" s="78">
        <f>IFERROR(1/J317*(X317/H317),"0")</f>
        <v>3.0864197530864192E-2</v>
      </c>
      <c r="BP317" s="78">
        <f>IFERROR(1/J317*(Y317/H317),"0")</f>
        <v>3.2407407407407406E-2</v>
      </c>
    </row>
    <row r="318" spans="1:68" x14ac:dyDescent="0.2">
      <c r="A318" s="731"/>
      <c r="B318" s="731"/>
      <c r="C318" s="731"/>
      <c r="D318" s="731"/>
      <c r="E318" s="731"/>
      <c r="F318" s="731"/>
      <c r="G318" s="731"/>
      <c r="H318" s="731"/>
      <c r="I318" s="731"/>
      <c r="J318" s="731"/>
      <c r="K318" s="731"/>
      <c r="L318" s="731"/>
      <c r="M318" s="731"/>
      <c r="N318" s="731"/>
      <c r="O318" s="732"/>
      <c r="P318" s="728" t="s">
        <v>40</v>
      </c>
      <c r="Q318" s="729"/>
      <c r="R318" s="729"/>
      <c r="S318" s="729"/>
      <c r="T318" s="729"/>
      <c r="U318" s="729"/>
      <c r="V318" s="730"/>
      <c r="W318" s="42" t="s">
        <v>39</v>
      </c>
      <c r="X318" s="43">
        <f>IFERROR(X317/H317,"0")</f>
        <v>6.6666666666666661</v>
      </c>
      <c r="Y318" s="43">
        <f>IFERROR(Y317/H317,"0")</f>
        <v>7</v>
      </c>
      <c r="Z318" s="43">
        <f>IFERROR(IF(Z317="",0,Z317),"0")</f>
        <v>4.1299999999999996E-2</v>
      </c>
      <c r="AA318" s="67"/>
      <c r="AB318" s="67"/>
      <c r="AC318" s="67"/>
    </row>
    <row r="319" spans="1:68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0</v>
      </c>
      <c r="X319" s="43">
        <f>IFERROR(SUM(X317:X317),"0")</f>
        <v>12</v>
      </c>
      <c r="Y319" s="43">
        <f>IFERROR(SUM(Y317:Y317),"0")</f>
        <v>12.6</v>
      </c>
      <c r="Z319" s="42"/>
      <c r="AA319" s="67"/>
      <c r="AB319" s="67"/>
      <c r="AC319" s="67"/>
    </row>
    <row r="320" spans="1:68" ht="14.25" hidden="1" customHeight="1" x14ac:dyDescent="0.25">
      <c r="A320" s="722" t="s">
        <v>341</v>
      </c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2"/>
      <c r="P320" s="722"/>
      <c r="Q320" s="722"/>
      <c r="R320" s="722"/>
      <c r="S320" s="722"/>
      <c r="T320" s="722"/>
      <c r="U320" s="722"/>
      <c r="V320" s="722"/>
      <c r="W320" s="722"/>
      <c r="X320" s="722"/>
      <c r="Y320" s="722"/>
      <c r="Z320" s="722"/>
      <c r="AA320" s="66"/>
      <c r="AB320" s="66"/>
      <c r="AC320" s="80"/>
    </row>
    <row r="321" spans="1:68" ht="27" customHeight="1" x14ac:dyDescent="0.25">
      <c r="A321" s="63" t="s">
        <v>535</v>
      </c>
      <c r="B321" s="63" t="s">
        <v>536</v>
      </c>
      <c r="C321" s="36">
        <v>4301041008</v>
      </c>
      <c r="D321" s="723">
        <v>4680115886681</v>
      </c>
      <c r="E321" s="723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8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5"/>
      <c r="R321" s="725"/>
      <c r="S321" s="725"/>
      <c r="T321" s="726"/>
      <c r="U321" s="39" t="s">
        <v>46</v>
      </c>
      <c r="V321" s="39" t="s">
        <v>46</v>
      </c>
      <c r="W321" s="40" t="s">
        <v>0</v>
      </c>
      <c r="X321" s="58">
        <v>30</v>
      </c>
      <c r="Y321" s="55">
        <f>IFERROR(IF(X321="",0,CEILING((X321/$H321),1)*$H321),"")</f>
        <v>30.6</v>
      </c>
      <c r="Z321" s="41">
        <f>IFERROR(IF(Y321=0,"",ROUNDUP(Y321/H321,0)*0.0059),"")</f>
        <v>0.1003</v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32.916666666666664</v>
      </c>
      <c r="BN321" s="78">
        <f>IFERROR(Y321*I321/H321,"0")</f>
        <v>33.575000000000003</v>
      </c>
      <c r="BO321" s="78">
        <f>IFERROR(1/J321*(X321/H321),"0")</f>
        <v>7.716049382716049E-2</v>
      </c>
      <c r="BP321" s="78">
        <f>IFERROR(1/J321*(Y321/H321),"0")</f>
        <v>7.8703703703703692E-2</v>
      </c>
    </row>
    <row r="322" spans="1:68" x14ac:dyDescent="0.2">
      <c r="A322" s="731"/>
      <c r="B322" s="731"/>
      <c r="C322" s="731"/>
      <c r="D322" s="731"/>
      <c r="E322" s="731"/>
      <c r="F322" s="731"/>
      <c r="G322" s="731"/>
      <c r="H322" s="731"/>
      <c r="I322" s="731"/>
      <c r="J322" s="731"/>
      <c r="K322" s="731"/>
      <c r="L322" s="731"/>
      <c r="M322" s="731"/>
      <c r="N322" s="731"/>
      <c r="O322" s="732"/>
      <c r="P322" s="728" t="s">
        <v>40</v>
      </c>
      <c r="Q322" s="729"/>
      <c r="R322" s="729"/>
      <c r="S322" s="729"/>
      <c r="T322" s="729"/>
      <c r="U322" s="729"/>
      <c r="V322" s="730"/>
      <c r="W322" s="42" t="s">
        <v>39</v>
      </c>
      <c r="X322" s="43">
        <f>IFERROR(X321/H321,"0")</f>
        <v>16.666666666666668</v>
      </c>
      <c r="Y322" s="43">
        <f>IFERROR(Y321/H321,"0")</f>
        <v>17</v>
      </c>
      <c r="Z322" s="43">
        <f>IFERROR(IF(Z321="",0,Z321),"0")</f>
        <v>0.1003</v>
      </c>
      <c r="AA322" s="67"/>
      <c r="AB322" s="67"/>
      <c r="AC322" s="67"/>
    </row>
    <row r="323" spans="1:68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0</v>
      </c>
      <c r="X323" s="43">
        <f>IFERROR(SUM(X321:X321),"0")</f>
        <v>30</v>
      </c>
      <c r="Y323" s="43">
        <f>IFERROR(SUM(Y321:Y321),"0")</f>
        <v>30.6</v>
      </c>
      <c r="Z323" s="42"/>
      <c r="AA323" s="67"/>
      <c r="AB323" s="67"/>
      <c r="AC323" s="67"/>
    </row>
    <row r="324" spans="1:68" ht="16.5" hidden="1" customHeight="1" x14ac:dyDescent="0.25">
      <c r="A324" s="721" t="s">
        <v>538</v>
      </c>
      <c r="B324" s="721"/>
      <c r="C324" s="721"/>
      <c r="D324" s="721"/>
      <c r="E324" s="721"/>
      <c r="F324" s="721"/>
      <c r="G324" s="721"/>
      <c r="H324" s="721"/>
      <c r="I324" s="721"/>
      <c r="J324" s="721"/>
      <c r="K324" s="721"/>
      <c r="L324" s="721"/>
      <c r="M324" s="721"/>
      <c r="N324" s="721"/>
      <c r="O324" s="721"/>
      <c r="P324" s="721"/>
      <c r="Q324" s="721"/>
      <c r="R324" s="721"/>
      <c r="S324" s="721"/>
      <c r="T324" s="721"/>
      <c r="U324" s="721"/>
      <c r="V324" s="721"/>
      <c r="W324" s="721"/>
      <c r="X324" s="721"/>
      <c r="Y324" s="721"/>
      <c r="Z324" s="721"/>
      <c r="AA324" s="65"/>
      <c r="AB324" s="65"/>
      <c r="AC324" s="79"/>
    </row>
    <row r="325" spans="1:68" ht="14.25" hidden="1" customHeight="1" x14ac:dyDescent="0.25">
      <c r="A325" s="722" t="s">
        <v>122</v>
      </c>
      <c r="B325" s="722"/>
      <c r="C325" s="722"/>
      <c r="D325" s="722"/>
      <c r="E325" s="722"/>
      <c r="F325" s="722"/>
      <c r="G325" s="722"/>
      <c r="H325" s="722"/>
      <c r="I325" s="722"/>
      <c r="J325" s="722"/>
      <c r="K325" s="722"/>
      <c r="L325" s="722"/>
      <c r="M325" s="722"/>
      <c r="N325" s="722"/>
      <c r="O325" s="722"/>
      <c r="P325" s="722"/>
      <c r="Q325" s="722"/>
      <c r="R325" s="722"/>
      <c r="S325" s="722"/>
      <c r="T325" s="722"/>
      <c r="U325" s="722"/>
      <c r="V325" s="722"/>
      <c r="W325" s="722"/>
      <c r="X325" s="722"/>
      <c r="Y325" s="722"/>
      <c r="Z325" s="722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723">
        <v>4680115889637</v>
      </c>
      <c r="E326" s="72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5"/>
      <c r="R326" s="725"/>
      <c r="S326" s="725"/>
      <c r="T326" s="72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723">
        <v>4680115885837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723">
        <v>4680115887237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723">
        <v>4680115885806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723">
        <v>4680115885844</v>
      </c>
      <c r="E330" s="72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723">
        <v>4680115885820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731"/>
      <c r="B332" s="731"/>
      <c r="C332" s="731"/>
      <c r="D332" s="731"/>
      <c r="E332" s="731"/>
      <c r="F332" s="731"/>
      <c r="G332" s="731"/>
      <c r="H332" s="731"/>
      <c r="I332" s="731"/>
      <c r="J332" s="731"/>
      <c r="K332" s="731"/>
      <c r="L332" s="731"/>
      <c r="M332" s="731"/>
      <c r="N332" s="731"/>
      <c r="O332" s="732"/>
      <c r="P332" s="728" t="s">
        <v>40</v>
      </c>
      <c r="Q332" s="729"/>
      <c r="R332" s="729"/>
      <c r="S332" s="729"/>
      <c r="T332" s="729"/>
      <c r="U332" s="729"/>
      <c r="V332" s="730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721" t="s">
        <v>558</v>
      </c>
      <c r="B334" s="721"/>
      <c r="C334" s="721"/>
      <c r="D334" s="721"/>
      <c r="E334" s="721"/>
      <c r="F334" s="721"/>
      <c r="G334" s="721"/>
      <c r="H334" s="721"/>
      <c r="I334" s="721"/>
      <c r="J334" s="721"/>
      <c r="K334" s="721"/>
      <c r="L334" s="721"/>
      <c r="M334" s="721"/>
      <c r="N334" s="721"/>
      <c r="O334" s="721"/>
      <c r="P334" s="721"/>
      <c r="Q334" s="721"/>
      <c r="R334" s="721"/>
      <c r="S334" s="721"/>
      <c r="T334" s="721"/>
      <c r="U334" s="721"/>
      <c r="V334" s="721"/>
      <c r="W334" s="721"/>
      <c r="X334" s="721"/>
      <c r="Y334" s="721"/>
      <c r="Z334" s="721"/>
      <c r="AA334" s="65"/>
      <c r="AB334" s="65"/>
      <c r="AC334" s="79"/>
    </row>
    <row r="335" spans="1:68" ht="14.25" hidden="1" customHeight="1" x14ac:dyDescent="0.25">
      <c r="A335" s="722" t="s">
        <v>86</v>
      </c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2"/>
      <c r="P335" s="722"/>
      <c r="Q335" s="722"/>
      <c r="R335" s="722"/>
      <c r="S335" s="722"/>
      <c r="T335" s="722"/>
      <c r="U335" s="722"/>
      <c r="V335" s="722"/>
      <c r="W335" s="722"/>
      <c r="X335" s="722"/>
      <c r="Y335" s="722"/>
      <c r="Z335" s="722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723">
        <v>4680115886186</v>
      </c>
      <c r="E336" s="723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5"/>
      <c r="R336" s="725"/>
      <c r="S336" s="725"/>
      <c r="T336" s="72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562</v>
      </c>
      <c r="B337" s="63" t="s">
        <v>563</v>
      </c>
      <c r="C337" s="36">
        <v>4301051795</v>
      </c>
      <c r="D337" s="723">
        <v>4680115881228</v>
      </c>
      <c r="E337" s="723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9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80</v>
      </c>
      <c r="Y337" s="55">
        <f>IFERROR(IF(X337="",0,CEILING((X337/$H337),1)*$H337),"")</f>
        <v>81.599999999999994</v>
      </c>
      <c r="Z337" s="41">
        <f>IFERROR(IF(Y337=0,"",ROUNDUP(Y337/H337,0)*0.00651),"")</f>
        <v>0.22134000000000001</v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88.40000000000002</v>
      </c>
      <c r="BN337" s="78">
        <f>IFERROR(Y337*I337/H337,"0")</f>
        <v>90.168000000000006</v>
      </c>
      <c r="BO337" s="78">
        <f>IFERROR(1/J337*(X337/H337),"0")</f>
        <v>0.18315018315018317</v>
      </c>
      <c r="BP337" s="78">
        <f>IFERROR(1/J337*(Y337/H337),"0")</f>
        <v>0.18681318681318682</v>
      </c>
    </row>
    <row r="338" spans="1:68" ht="27" customHeight="1" x14ac:dyDescent="0.25">
      <c r="A338" s="63" t="s">
        <v>565</v>
      </c>
      <c r="B338" s="63" t="s">
        <v>566</v>
      </c>
      <c r="C338" s="36">
        <v>4301051388</v>
      </c>
      <c r="D338" s="723">
        <v>4680115881211</v>
      </c>
      <c r="E338" s="723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480</v>
      </c>
      <c r="Y338" s="55">
        <f>IFERROR(IF(X338="",0,CEILING((X338/$H338),1)*$H338),"")</f>
        <v>480</v>
      </c>
      <c r="Z338" s="41">
        <f>IFERROR(IF(Y338=0,"",ROUNDUP(Y338/H338,0)*0.00651),"")</f>
        <v>1.302</v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516.00000000000011</v>
      </c>
      <c r="BN338" s="78">
        <f>IFERROR(Y338*I338/H338,"0")</f>
        <v>516.00000000000011</v>
      </c>
      <c r="BO338" s="78">
        <f>IFERROR(1/J338*(X338/H338),"0")</f>
        <v>1.098901098901099</v>
      </c>
      <c r="BP338" s="78">
        <f>IFERROR(1/J338*(Y338/H338),"0")</f>
        <v>1.098901098901099</v>
      </c>
    </row>
    <row r="339" spans="1:68" x14ac:dyDescent="0.2">
      <c r="A339" s="731"/>
      <c r="B339" s="731"/>
      <c r="C339" s="731"/>
      <c r="D339" s="731"/>
      <c r="E339" s="731"/>
      <c r="F339" s="731"/>
      <c r="G339" s="731"/>
      <c r="H339" s="731"/>
      <c r="I339" s="731"/>
      <c r="J339" s="731"/>
      <c r="K339" s="731"/>
      <c r="L339" s="731"/>
      <c r="M339" s="731"/>
      <c r="N339" s="731"/>
      <c r="O339" s="732"/>
      <c r="P339" s="728" t="s">
        <v>40</v>
      </c>
      <c r="Q339" s="729"/>
      <c r="R339" s="729"/>
      <c r="S339" s="729"/>
      <c r="T339" s="729"/>
      <c r="U339" s="729"/>
      <c r="V339" s="730"/>
      <c r="W339" s="42" t="s">
        <v>39</v>
      </c>
      <c r="X339" s="43">
        <f>IFERROR(X336/H336,"0")+IFERROR(X337/H337,"0")+IFERROR(X338/H338,"0")</f>
        <v>233.33333333333334</v>
      </c>
      <c r="Y339" s="43">
        <f>IFERROR(Y336/H336,"0")+IFERROR(Y337/H337,"0")+IFERROR(Y338/H338,"0")</f>
        <v>234</v>
      </c>
      <c r="Z339" s="43">
        <f>IFERROR(IF(Z336="",0,Z336),"0")+IFERROR(IF(Z337="",0,Z337),"0")+IFERROR(IF(Z338="",0,Z338),"0")</f>
        <v>1.5233400000000001</v>
      </c>
      <c r="AA339" s="67"/>
      <c r="AB339" s="67"/>
      <c r="AC339" s="67"/>
    </row>
    <row r="340" spans="1:68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0</v>
      </c>
      <c r="X340" s="43">
        <f>IFERROR(SUM(X336:X338),"0")</f>
        <v>560</v>
      </c>
      <c r="Y340" s="43">
        <f>IFERROR(SUM(Y336:Y338),"0")</f>
        <v>561.6</v>
      </c>
      <c r="Z340" s="42"/>
      <c r="AA340" s="67"/>
      <c r="AB340" s="67"/>
      <c r="AC340" s="67"/>
    </row>
    <row r="341" spans="1:68" ht="16.5" hidden="1" customHeight="1" x14ac:dyDescent="0.25">
      <c r="A341" s="721" t="s">
        <v>567</v>
      </c>
      <c r="B341" s="721"/>
      <c r="C341" s="721"/>
      <c r="D341" s="721"/>
      <c r="E341" s="721"/>
      <c r="F341" s="721"/>
      <c r="G341" s="721"/>
      <c r="H341" s="721"/>
      <c r="I341" s="721"/>
      <c r="J341" s="721"/>
      <c r="K341" s="721"/>
      <c r="L341" s="721"/>
      <c r="M341" s="721"/>
      <c r="N341" s="721"/>
      <c r="O341" s="721"/>
      <c r="P341" s="721"/>
      <c r="Q341" s="721"/>
      <c r="R341" s="721"/>
      <c r="S341" s="721"/>
      <c r="T341" s="721"/>
      <c r="U341" s="721"/>
      <c r="V341" s="721"/>
      <c r="W341" s="721"/>
      <c r="X341" s="721"/>
      <c r="Y341" s="721"/>
      <c r="Z341" s="721"/>
      <c r="AA341" s="65"/>
      <c r="AB341" s="65"/>
      <c r="AC341" s="79"/>
    </row>
    <row r="342" spans="1:68" ht="14.25" hidden="1" customHeight="1" x14ac:dyDescent="0.25">
      <c r="A342" s="722" t="s">
        <v>77</v>
      </c>
      <c r="B342" s="722"/>
      <c r="C342" s="722"/>
      <c r="D342" s="722"/>
      <c r="E342" s="722"/>
      <c r="F342" s="722"/>
      <c r="G342" s="722"/>
      <c r="H342" s="722"/>
      <c r="I342" s="722"/>
      <c r="J342" s="722"/>
      <c r="K342" s="722"/>
      <c r="L342" s="722"/>
      <c r="M342" s="722"/>
      <c r="N342" s="722"/>
      <c r="O342" s="722"/>
      <c r="P342" s="722"/>
      <c r="Q342" s="722"/>
      <c r="R342" s="722"/>
      <c r="S342" s="722"/>
      <c r="T342" s="722"/>
      <c r="U342" s="722"/>
      <c r="V342" s="722"/>
      <c r="W342" s="722"/>
      <c r="X342" s="722"/>
      <c r="Y342" s="722"/>
      <c r="Z342" s="722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723">
        <v>4680115888319</v>
      </c>
      <c r="E343" s="723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9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5"/>
      <c r="R343" s="725"/>
      <c r="S343" s="725"/>
      <c r="T343" s="72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723">
        <v>4680115884700</v>
      </c>
      <c r="E344" s="723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723">
        <v>4680115880344</v>
      </c>
      <c r="E345" s="723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723">
        <v>4680115886919</v>
      </c>
      <c r="E346" s="723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723">
        <v>4680115883970</v>
      </c>
      <c r="E347" s="723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31"/>
      <c r="B348" s="731"/>
      <c r="C348" s="731"/>
      <c r="D348" s="731"/>
      <c r="E348" s="731"/>
      <c r="F348" s="731"/>
      <c r="G348" s="731"/>
      <c r="H348" s="731"/>
      <c r="I348" s="731"/>
      <c r="J348" s="731"/>
      <c r="K348" s="731"/>
      <c r="L348" s="731"/>
      <c r="M348" s="731"/>
      <c r="N348" s="731"/>
      <c r="O348" s="732"/>
      <c r="P348" s="728" t="s">
        <v>40</v>
      </c>
      <c r="Q348" s="729"/>
      <c r="R348" s="729"/>
      <c r="S348" s="729"/>
      <c r="T348" s="729"/>
      <c r="U348" s="729"/>
      <c r="V348" s="730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722" t="s">
        <v>86</v>
      </c>
      <c r="B350" s="722"/>
      <c r="C350" s="722"/>
      <c r="D350" s="722"/>
      <c r="E350" s="722"/>
      <c r="F350" s="722"/>
      <c r="G350" s="722"/>
      <c r="H350" s="722"/>
      <c r="I350" s="722"/>
      <c r="J350" s="722"/>
      <c r="K350" s="722"/>
      <c r="L350" s="722"/>
      <c r="M350" s="722"/>
      <c r="N350" s="722"/>
      <c r="O350" s="722"/>
      <c r="P350" s="722"/>
      <c r="Q350" s="722"/>
      <c r="R350" s="722"/>
      <c r="S350" s="722"/>
      <c r="T350" s="722"/>
      <c r="U350" s="722"/>
      <c r="V350" s="722"/>
      <c r="W350" s="722"/>
      <c r="X350" s="722"/>
      <c r="Y350" s="722"/>
      <c r="Z350" s="722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723">
        <v>4680115884618</v>
      </c>
      <c r="E351" s="723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5"/>
      <c r="R351" s="725"/>
      <c r="S351" s="725"/>
      <c r="T351" s="72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723">
        <v>4680115887114</v>
      </c>
      <c r="E352" s="723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731"/>
      <c r="B353" s="731"/>
      <c r="C353" s="731"/>
      <c r="D353" s="731"/>
      <c r="E353" s="731"/>
      <c r="F353" s="731"/>
      <c r="G353" s="731"/>
      <c r="H353" s="731"/>
      <c r="I353" s="731"/>
      <c r="J353" s="731"/>
      <c r="K353" s="731"/>
      <c r="L353" s="731"/>
      <c r="M353" s="731"/>
      <c r="N353" s="731"/>
      <c r="O353" s="732"/>
      <c r="P353" s="728" t="s">
        <v>40</v>
      </c>
      <c r="Q353" s="729"/>
      <c r="R353" s="729"/>
      <c r="S353" s="729"/>
      <c r="T353" s="729"/>
      <c r="U353" s="729"/>
      <c r="V353" s="730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721" t="s">
        <v>588</v>
      </c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1"/>
      <c r="P355" s="721"/>
      <c r="Q355" s="721"/>
      <c r="R355" s="721"/>
      <c r="S355" s="721"/>
      <c r="T355" s="721"/>
      <c r="U355" s="721"/>
      <c r="V355" s="721"/>
      <c r="W355" s="721"/>
      <c r="X355" s="721"/>
      <c r="Y355" s="721"/>
      <c r="Z355" s="721"/>
      <c r="AA355" s="65"/>
      <c r="AB355" s="65"/>
      <c r="AC355" s="79"/>
    </row>
    <row r="356" spans="1:68" ht="14.25" hidden="1" customHeight="1" x14ac:dyDescent="0.25">
      <c r="A356" s="722" t="s">
        <v>122</v>
      </c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2"/>
      <c r="P356" s="722"/>
      <c r="Q356" s="722"/>
      <c r="R356" s="722"/>
      <c r="S356" s="722"/>
      <c r="T356" s="722"/>
      <c r="U356" s="722"/>
      <c r="V356" s="722"/>
      <c r="W356" s="722"/>
      <c r="X356" s="722"/>
      <c r="Y356" s="722"/>
      <c r="Z356" s="722"/>
      <c r="AA356" s="66"/>
      <c r="AB356" s="66"/>
      <c r="AC356" s="80"/>
    </row>
    <row r="357" spans="1:68" ht="27" customHeight="1" x14ac:dyDescent="0.25">
      <c r="A357" s="63" t="s">
        <v>589</v>
      </c>
      <c r="B357" s="63" t="s">
        <v>590</v>
      </c>
      <c r="C357" s="36">
        <v>4301012324</v>
      </c>
      <c r="D357" s="723">
        <v>4680115887947</v>
      </c>
      <c r="E357" s="72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5"/>
      <c r="R357" s="725"/>
      <c r="S357" s="725"/>
      <c r="T357" s="726"/>
      <c r="U357" s="39" t="s">
        <v>46</v>
      </c>
      <c r="V357" s="39" t="s">
        <v>46</v>
      </c>
      <c r="W357" s="40" t="s">
        <v>0</v>
      </c>
      <c r="X357" s="58">
        <v>400</v>
      </c>
      <c r="Y357" s="55">
        <f>IFERROR(IF(X357="",0,CEILING((X357/$H357),1)*$H357),"")</f>
        <v>405.59999999999997</v>
      </c>
      <c r="Z357" s="41">
        <f>IFERROR(IF(Y357=0,"",ROUNDUP(Y357/H357,0)*0.01898),"")</f>
        <v>0.98696000000000006</v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421.02564102564111</v>
      </c>
      <c r="BN357" s="78">
        <f>IFERROR(Y357*I357/H357,"0")</f>
        <v>426.92</v>
      </c>
      <c r="BO357" s="78">
        <f>IFERROR(1/J357*(X357/H357),"0")</f>
        <v>0.80128205128205132</v>
      </c>
      <c r="BP357" s="78">
        <f>IFERROR(1/J357*(Y357/H357),"0")</f>
        <v>0.8125</v>
      </c>
    </row>
    <row r="358" spans="1:68" ht="27" customHeight="1" x14ac:dyDescent="0.25">
      <c r="A358" s="63" t="s">
        <v>591</v>
      </c>
      <c r="B358" s="63" t="s">
        <v>592</v>
      </c>
      <c r="C358" s="36">
        <v>4301012325</v>
      </c>
      <c r="D358" s="723">
        <v>4680115887978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400</v>
      </c>
      <c r="Y358" s="55">
        <f>IFERROR(IF(X358="",0,CEILING((X358/$H358),1)*$H358),"")</f>
        <v>405.59999999999997</v>
      </c>
      <c r="Z358" s="41">
        <f>IFERROR(IF(Y358=0,"",ROUNDUP(Y358/H358,0)*0.01898),"")</f>
        <v>0.98696000000000006</v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421.02564102564111</v>
      </c>
      <c r="BN358" s="78">
        <f>IFERROR(Y358*I358/H358,"0")</f>
        <v>426.92</v>
      </c>
      <c r="BO358" s="78">
        <f>IFERROR(1/J358*(X358/H358),"0")</f>
        <v>0.80128205128205132</v>
      </c>
      <c r="BP358" s="78">
        <f>IFERROR(1/J358*(Y358/H358),"0")</f>
        <v>0.8125</v>
      </c>
    </row>
    <row r="359" spans="1:68" ht="27" customHeight="1" x14ac:dyDescent="0.25">
      <c r="A359" s="63" t="s">
        <v>594</v>
      </c>
      <c r="B359" s="63" t="s">
        <v>595</v>
      </c>
      <c r="C359" s="36">
        <v>4301012327</v>
      </c>
      <c r="D359" s="723">
        <v>4680115887992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200</v>
      </c>
      <c r="Y359" s="55">
        <f>IFERROR(IF(X359="",0,CEILING((X359/$H359),1)*$H359),"")</f>
        <v>202.79999999999998</v>
      </c>
      <c r="Z359" s="41">
        <f>IFERROR(IF(Y359=0,"",ROUNDUP(Y359/H359,0)*0.01898),"")</f>
        <v>0.49348000000000003</v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210.51282051282055</v>
      </c>
      <c r="BN359" s="78">
        <f>IFERROR(Y359*I359/H359,"0")</f>
        <v>213.46</v>
      </c>
      <c r="BO359" s="78">
        <f>IFERROR(1/J359*(X359/H359),"0")</f>
        <v>0.40064102564102566</v>
      </c>
      <c r="BP359" s="78">
        <f>IFERROR(1/J359*(Y359/H359),"0")</f>
        <v>0.40625</v>
      </c>
    </row>
    <row r="360" spans="1:68" x14ac:dyDescent="0.2">
      <c r="A360" s="731"/>
      <c r="B360" s="731"/>
      <c r="C360" s="731"/>
      <c r="D360" s="731"/>
      <c r="E360" s="731"/>
      <c r="F360" s="731"/>
      <c r="G360" s="731"/>
      <c r="H360" s="731"/>
      <c r="I360" s="731"/>
      <c r="J360" s="731"/>
      <c r="K360" s="731"/>
      <c r="L360" s="731"/>
      <c r="M360" s="731"/>
      <c r="N360" s="731"/>
      <c r="O360" s="732"/>
      <c r="P360" s="728" t="s">
        <v>40</v>
      </c>
      <c r="Q360" s="729"/>
      <c r="R360" s="729"/>
      <c r="S360" s="729"/>
      <c r="T360" s="729"/>
      <c r="U360" s="729"/>
      <c r="V360" s="730"/>
      <c r="W360" s="42" t="s">
        <v>39</v>
      </c>
      <c r="X360" s="43">
        <f>IFERROR(X357/H357,"0")+IFERROR(X358/H358,"0")+IFERROR(X359/H359,"0")</f>
        <v>128.2051282051282</v>
      </c>
      <c r="Y360" s="43">
        <f>IFERROR(Y357/H357,"0")+IFERROR(Y358/H358,"0")+IFERROR(Y359/H359,"0")</f>
        <v>130</v>
      </c>
      <c r="Z360" s="43">
        <f>IFERROR(IF(Z357="",0,Z357),"0")+IFERROR(IF(Z358="",0,Z358),"0")+IFERROR(IF(Z359="",0,Z359),"0")</f>
        <v>2.4674</v>
      </c>
      <c r="AA360" s="67"/>
      <c r="AB360" s="67"/>
      <c r="AC360" s="67"/>
    </row>
    <row r="361" spans="1:68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0</v>
      </c>
      <c r="X361" s="43">
        <f>IFERROR(SUM(X357:X359),"0")</f>
        <v>1000</v>
      </c>
      <c r="Y361" s="43">
        <f>IFERROR(SUM(Y357:Y359),"0")</f>
        <v>1013.9999999999999</v>
      </c>
      <c r="Z361" s="42"/>
      <c r="AA361" s="67"/>
      <c r="AB361" s="67"/>
      <c r="AC361" s="67"/>
    </row>
    <row r="362" spans="1:68" ht="16.5" hidden="1" customHeight="1" x14ac:dyDescent="0.25">
      <c r="A362" s="721" t="s">
        <v>597</v>
      </c>
      <c r="B362" s="721"/>
      <c r="C362" s="721"/>
      <c r="D362" s="721"/>
      <c r="E362" s="721"/>
      <c r="F362" s="721"/>
      <c r="G362" s="721"/>
      <c r="H362" s="721"/>
      <c r="I362" s="721"/>
      <c r="J362" s="721"/>
      <c r="K362" s="721"/>
      <c r="L362" s="721"/>
      <c r="M362" s="721"/>
      <c r="N362" s="721"/>
      <c r="O362" s="721"/>
      <c r="P362" s="721"/>
      <c r="Q362" s="721"/>
      <c r="R362" s="721"/>
      <c r="S362" s="721"/>
      <c r="T362" s="721"/>
      <c r="U362" s="721"/>
      <c r="V362" s="721"/>
      <c r="W362" s="721"/>
      <c r="X362" s="721"/>
      <c r="Y362" s="721"/>
      <c r="Z362" s="721"/>
      <c r="AA362" s="65"/>
      <c r="AB362" s="65"/>
      <c r="AC362" s="79"/>
    </row>
    <row r="363" spans="1:68" ht="14.25" hidden="1" customHeight="1" x14ac:dyDescent="0.25">
      <c r="A363" s="722" t="s">
        <v>122</v>
      </c>
      <c r="B363" s="722"/>
      <c r="C363" s="722"/>
      <c r="D363" s="722"/>
      <c r="E363" s="722"/>
      <c r="F363" s="722"/>
      <c r="G363" s="722"/>
      <c r="H363" s="722"/>
      <c r="I363" s="722"/>
      <c r="J363" s="722"/>
      <c r="K363" s="722"/>
      <c r="L363" s="722"/>
      <c r="M363" s="722"/>
      <c r="N363" s="722"/>
      <c r="O363" s="722"/>
      <c r="P363" s="722"/>
      <c r="Q363" s="722"/>
      <c r="R363" s="722"/>
      <c r="S363" s="722"/>
      <c r="T363" s="722"/>
      <c r="U363" s="722"/>
      <c r="V363" s="722"/>
      <c r="W363" s="722"/>
      <c r="X363" s="722"/>
      <c r="Y363" s="722"/>
      <c r="Z363" s="722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723">
        <v>4680115889880</v>
      </c>
      <c r="E364" s="72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5"/>
      <c r="R364" s="725"/>
      <c r="S364" s="725"/>
      <c r="T364" s="72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4301012360</v>
      </c>
      <c r="D365" s="723">
        <v>4680115889293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idden="1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hidden="1" customHeight="1" x14ac:dyDescent="0.25">
      <c r="A374" s="63" t="s">
        <v>617</v>
      </c>
      <c r="B374" s="63" t="s">
        <v>618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63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0</v>
      </c>
      <c r="BN374" s="78">
        <f t="shared" ref="BN374:BN380" si="65">IFERROR(Y374*I374/H374,"0")</f>
        <v>0</v>
      </c>
      <c r="BO374" s="78">
        <f t="shared" ref="BO374:BO380" si="66">IFERROR(1/J374*(X374/H374),"0")</f>
        <v>0</v>
      </c>
      <c r="BP374" s="78">
        <f t="shared" ref="BP374:BP380" si="67">IFERROR(1/J374*(Y374/H374),"0")</f>
        <v>0</v>
      </c>
    </row>
    <row r="375" spans="1:68" ht="27" hidden="1" customHeight="1" x14ac:dyDescent="0.25">
      <c r="A375" s="63" t="s">
        <v>620</v>
      </c>
      <c r="B375" s="63" t="s">
        <v>621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628</v>
      </c>
      <c r="B378" s="63" t="s">
        <v>629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280</v>
      </c>
      <c r="Y378" s="55">
        <f t="shared" si="63"/>
        <v>281.40000000000003</v>
      </c>
      <c r="Z378" s="41">
        <f>IFERROR(IF(Y378=0,"",ROUNDUP(Y378/H378,0)*0.00502),"")</f>
        <v>0.67268000000000006</v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293.33333333333331</v>
      </c>
      <c r="BN378" s="78">
        <f t="shared" si="65"/>
        <v>294.80000000000007</v>
      </c>
      <c r="BO378" s="78">
        <f t="shared" si="66"/>
        <v>0.56980056980056981</v>
      </c>
      <c r="BP378" s="78">
        <f t="shared" si="67"/>
        <v>0.57264957264957272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customHeight="1" x14ac:dyDescent="0.25">
      <c r="A380" s="63" t="s">
        <v>633</v>
      </c>
      <c r="B380" s="63" t="s">
        <v>634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66</v>
      </c>
      <c r="Y380" s="55">
        <f t="shared" si="63"/>
        <v>66.600000000000009</v>
      </c>
      <c r="Z380" s="41">
        <f>IFERROR(IF(Y380=0,"",ROUNDUP(Y380/H380,0)*0.00651),"")</f>
        <v>0.24087</v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74.36</v>
      </c>
      <c r="BN380" s="78">
        <f t="shared" si="65"/>
        <v>75.036000000000016</v>
      </c>
      <c r="BO380" s="78">
        <f t="shared" si="66"/>
        <v>0.20146520146520147</v>
      </c>
      <c r="BP380" s="78">
        <f t="shared" si="67"/>
        <v>0.20329670329670335</v>
      </c>
    </row>
    <row r="381" spans="1:68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169.99999999999997</v>
      </c>
      <c r="Y381" s="43">
        <f>IFERROR(Y374/H374,"0")+IFERROR(Y375/H375,"0")+IFERROR(Y376/H376,"0")+IFERROR(Y377/H377,"0")+IFERROR(Y378/H378,"0")+IFERROR(Y379/H379,"0")+IFERROR(Y380/H380,"0")</f>
        <v>171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0.91355000000000008</v>
      </c>
      <c r="AA381" s="67"/>
      <c r="AB381" s="67"/>
      <c r="AC381" s="67"/>
    </row>
    <row r="382" spans="1:68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346</v>
      </c>
      <c r="Y382" s="43">
        <f>IFERROR(SUM(Y374:Y380),"0")</f>
        <v>348.00000000000006</v>
      </c>
      <c r="Z382" s="42"/>
      <c r="AA382" s="67"/>
      <c r="AB382" s="67"/>
      <c r="AC382" s="67"/>
    </row>
    <row r="383" spans="1:68" ht="14.25" hidden="1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22" t="s">
        <v>178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customHeight="1" x14ac:dyDescent="0.25">
      <c r="A391" s="63" t="s">
        <v>647</v>
      </c>
      <c r="B391" s="63" t="s">
        <v>648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400</v>
      </c>
      <c r="Y391" s="55">
        <f>IFERROR(IF(X391="",0,CEILING((X391/$H391),1)*$H391),"")</f>
        <v>403.20000000000005</v>
      </c>
      <c r="Z391" s="41">
        <f>IFERROR(IF(Y391=0,"",ROUNDUP(Y391/H391,0)*0.01898),"")</f>
        <v>0.91104000000000007</v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423.52380952380952</v>
      </c>
      <c r="BN391" s="78">
        <f>IFERROR(Y391*I391/H391,"0")</f>
        <v>426.91200000000003</v>
      </c>
      <c r="BO391" s="78">
        <f>IFERROR(1/J391*(X391/H391),"0")</f>
        <v>0.74404761904761907</v>
      </c>
      <c r="BP391" s="78">
        <f>IFERROR(1/J391*(Y391/H391),"0")</f>
        <v>0.75</v>
      </c>
    </row>
    <row r="392" spans="1:68" ht="27" customHeight="1" x14ac:dyDescent="0.25">
      <c r="A392" s="63" t="s">
        <v>650</v>
      </c>
      <c r="B392" s="63" t="s">
        <v>651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500</v>
      </c>
      <c r="Y392" s="55">
        <f>IFERROR(IF(X392="",0,CEILING((X392/$H392),1)*$H392),"")</f>
        <v>507</v>
      </c>
      <c r="Z392" s="41">
        <f>IFERROR(IF(Y392=0,"",ROUNDUP(Y392/H392,0)*0.01898),"")</f>
        <v>1.2337</v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531.66666666666663</v>
      </c>
      <c r="BN392" s="78">
        <f>IFERROR(Y392*I392/H392,"0")</f>
        <v>539.11</v>
      </c>
      <c r="BO392" s="78">
        <f>IFERROR(1/J392*(X392/H392),"0")</f>
        <v>1.0016025641025641</v>
      </c>
      <c r="BP392" s="78">
        <f>IFERROR(1/J392*(Y392/H392),"0")</f>
        <v>1.015625</v>
      </c>
    </row>
    <row r="393" spans="1:68" ht="27" customHeight="1" x14ac:dyDescent="0.25">
      <c r="A393" s="63" t="s">
        <v>653</v>
      </c>
      <c r="B393" s="63" t="s">
        <v>654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120</v>
      </c>
      <c r="Y393" s="55">
        <f>IFERROR(IF(X393="",0,CEILING((X393/$H393),1)*$H393),"")</f>
        <v>126</v>
      </c>
      <c r="Z393" s="41">
        <f>IFERROR(IF(Y393=0,"",ROUNDUP(Y393/H393,0)*0.01898),"")</f>
        <v>0.28470000000000001</v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127.05714285714285</v>
      </c>
      <c r="BN393" s="78">
        <f>IFERROR(Y393*I393/H393,"0")</f>
        <v>133.41</v>
      </c>
      <c r="BO393" s="78">
        <f>IFERROR(1/J393*(X393/H393),"0")</f>
        <v>0.2232142857142857</v>
      </c>
      <c r="BP393" s="78">
        <f>IFERROR(1/J393*(Y393/H393),"0")</f>
        <v>0.234375</v>
      </c>
    </row>
    <row r="394" spans="1:68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126.00732600732601</v>
      </c>
      <c r="Y394" s="43">
        <f>IFERROR(Y391/H391,"0")+IFERROR(Y392/H392,"0")+IFERROR(Y393/H393,"0")</f>
        <v>128</v>
      </c>
      <c r="Z394" s="43">
        <f>IFERROR(IF(Z391="",0,Z391),"0")+IFERROR(IF(Z392="",0,Z392),"0")+IFERROR(IF(Z393="",0,Z393),"0")</f>
        <v>2.42944</v>
      </c>
      <c r="AA394" s="67"/>
      <c r="AB394" s="67"/>
      <c r="AC394" s="67"/>
    </row>
    <row r="395" spans="1:68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1020</v>
      </c>
      <c r="Y395" s="43">
        <f>IFERROR(SUM(Y391:Y393),"0")</f>
        <v>1036.2</v>
      </c>
      <c r="Z395" s="42"/>
      <c r="AA395" s="67"/>
      <c r="AB395" s="67"/>
      <c r="AC395" s="67"/>
    </row>
    <row r="396" spans="1:68" ht="14.25" hidden="1" customHeight="1" x14ac:dyDescent="0.25">
      <c r="A396" s="722" t="s">
        <v>277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22" t="s">
        <v>665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674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683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690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694</v>
      </c>
      <c r="B424" s="63" t="s">
        <v>695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720" t="s">
        <v>700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701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300</v>
      </c>
      <c r="Y431" s="55">
        <f t="shared" ref="Y431:Y438" si="68">IFERROR(IF(X431="",0,CEILING((X431/$H431),1)*$H431),"")</f>
        <v>300</v>
      </c>
      <c r="Z431" s="41">
        <f>IFERROR(IF(Y431=0,"",ROUNDUP(Y431/H431,0)*0.02175),"")</f>
        <v>0.43499999999999994</v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309.39999999999998</v>
      </c>
      <c r="BN431" s="78">
        <f t="shared" ref="BN431:BN438" si="70">IFERROR(Y431*I431/H431,"0")</f>
        <v>309.39999999999998</v>
      </c>
      <c r="BO431" s="78">
        <f t="shared" ref="BO431:BO438" si="71">IFERROR(1/J431*(X431/H431),"0")</f>
        <v>0.41666666666666663</v>
      </c>
      <c r="BP431" s="78">
        <f t="shared" ref="BP431:BP438" si="72">IFERROR(1/J431*(Y431/H431),"0")</f>
        <v>0.41666666666666663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800</v>
      </c>
      <c r="Y432" s="55">
        <f t="shared" si="68"/>
        <v>810</v>
      </c>
      <c r="Z432" s="41">
        <f>IFERROR(IF(Y432=0,"",ROUNDUP(Y432/H432,0)*0.02175),"")</f>
        <v>1.1744999999999999</v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825.06666666666672</v>
      </c>
      <c r="BN432" s="78">
        <f t="shared" si="70"/>
        <v>835.38</v>
      </c>
      <c r="BO432" s="78">
        <f t="shared" si="71"/>
        <v>1.1111111111111112</v>
      </c>
      <c r="BP432" s="78">
        <f t="shared" si="72"/>
        <v>1.125</v>
      </c>
    </row>
    <row r="433" spans="1:68" ht="27" customHeight="1" x14ac:dyDescent="0.25">
      <c r="A433" s="63" t="s">
        <v>708</v>
      </c>
      <c r="B433" s="63" t="s">
        <v>709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200</v>
      </c>
      <c r="Y433" s="55">
        <f t="shared" si="68"/>
        <v>210</v>
      </c>
      <c r="Z433" s="41">
        <f>IFERROR(IF(Y433=0,"",ROUNDUP(Y433/H433,0)*0.02175),"")</f>
        <v>0.30449999999999999</v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206.26666666666668</v>
      </c>
      <c r="BN433" s="78">
        <f t="shared" si="70"/>
        <v>216.58</v>
      </c>
      <c r="BO433" s="78">
        <f t="shared" si="71"/>
        <v>0.27777777777777779</v>
      </c>
      <c r="BP433" s="78">
        <f t="shared" si="72"/>
        <v>0.29166666666666663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200</v>
      </c>
      <c r="Y434" s="55">
        <f t="shared" si="68"/>
        <v>210</v>
      </c>
      <c r="Z434" s="41">
        <f>IFERROR(IF(Y434=0,"",ROUNDUP(Y434/H434,0)*0.02175),"")</f>
        <v>0.30449999999999999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206.26666666666668</v>
      </c>
      <c r="BN434" s="78">
        <f t="shared" si="70"/>
        <v>216.58</v>
      </c>
      <c r="BO434" s="78">
        <f t="shared" si="71"/>
        <v>0.27777777777777779</v>
      </c>
      <c r="BP434" s="78">
        <f t="shared" si="72"/>
        <v>0.29166666666666663</v>
      </c>
    </row>
    <row r="435" spans="1:68" ht="27" customHeight="1" x14ac:dyDescent="0.25">
      <c r="A435" s="63" t="s">
        <v>714</v>
      </c>
      <c r="B435" s="63" t="s">
        <v>715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600</v>
      </c>
      <c r="Y435" s="55">
        <f t="shared" si="68"/>
        <v>600</v>
      </c>
      <c r="Z435" s="41">
        <f>IFERROR(IF(Y435=0,"",ROUNDUP(Y435/H435,0)*0.02175),"")</f>
        <v>0.86999999999999988</v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618.79999999999995</v>
      </c>
      <c r="BN435" s="78">
        <f t="shared" si="70"/>
        <v>618.79999999999995</v>
      </c>
      <c r="BO435" s="78">
        <f t="shared" si="71"/>
        <v>0.83333333333333326</v>
      </c>
      <c r="BP435" s="78">
        <f t="shared" si="72"/>
        <v>0.83333333333333326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customHeight="1" x14ac:dyDescent="0.25">
      <c r="A438" s="63" t="s">
        <v>723</v>
      </c>
      <c r="B438" s="63" t="s">
        <v>724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15</v>
      </c>
      <c r="Y438" s="55">
        <f t="shared" si="68"/>
        <v>15</v>
      </c>
      <c r="Z438" s="41">
        <f>IFERROR(IF(Y438=0,"",ROUNDUP(Y438/H438,0)*0.00902),"")</f>
        <v>2.7060000000000001E-2</v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15.570000000000002</v>
      </c>
      <c r="BN438" s="78">
        <f t="shared" si="70"/>
        <v>15.570000000000002</v>
      </c>
      <c r="BO438" s="78">
        <f t="shared" si="71"/>
        <v>2.2727272727272728E-2</v>
      </c>
      <c r="BP438" s="78">
        <f t="shared" si="72"/>
        <v>2.2727272727272728E-2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143</v>
      </c>
      <c r="Y439" s="43">
        <f>IFERROR(Y431/H431,"0")+IFERROR(Y432/H432,"0")+IFERROR(Y433/H433,"0")+IFERROR(Y434/H434,"0")+IFERROR(Y435/H435,"0")+IFERROR(Y436/H436,"0")+IFERROR(Y437/H437,"0")+IFERROR(Y438/H438,"0")</f>
        <v>145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3.1155599999999999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2115</v>
      </c>
      <c r="Y440" s="43">
        <f>IFERROR(SUM(Y431:Y438),"0")</f>
        <v>2145</v>
      </c>
      <c r="Z440" s="42"/>
      <c r="AA440" s="67"/>
      <c r="AB440" s="67"/>
      <c r="AC440" s="67"/>
    </row>
    <row r="441" spans="1:68" ht="14.25" hidden="1" customHeight="1" x14ac:dyDescent="0.25">
      <c r="A441" s="722" t="s">
        <v>159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300</v>
      </c>
      <c r="Y442" s="55">
        <f>IFERROR(IF(X442="",0,CEILING((X442/$H442),1)*$H442),"")</f>
        <v>300</v>
      </c>
      <c r="Z442" s="41">
        <f>IFERROR(IF(Y442=0,"",ROUNDUP(Y442/H442,0)*0.02175),"")</f>
        <v>0.43499999999999994</v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309.39999999999998</v>
      </c>
      <c r="BN442" s="78">
        <f>IFERROR(Y442*I442/H442,"0")</f>
        <v>309.39999999999998</v>
      </c>
      <c r="BO442" s="78">
        <f>IFERROR(1/J442*(X442/H442),"0")</f>
        <v>0.41666666666666663</v>
      </c>
      <c r="BP442" s="78">
        <f>IFERROR(1/J442*(Y442/H442),"0")</f>
        <v>0.41666666666666663</v>
      </c>
    </row>
    <row r="443" spans="1:68" ht="27" customHeight="1" x14ac:dyDescent="0.25">
      <c r="A443" s="63" t="s">
        <v>729</v>
      </c>
      <c r="B443" s="63" t="s">
        <v>730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300</v>
      </c>
      <c r="Y443" s="55">
        <f>IFERROR(IF(X443="",0,CEILING((X443/$H443),1)*$H443),"")</f>
        <v>300</v>
      </c>
      <c r="Z443" s="41">
        <f>IFERROR(IF(Y443=0,"",ROUNDUP(Y443/H443,0)*0.02175),"")</f>
        <v>0.43499999999999994</v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309.39999999999998</v>
      </c>
      <c r="BN443" s="78">
        <f>IFERROR(Y443*I443/H443,"0")</f>
        <v>309.39999999999998</v>
      </c>
      <c r="BO443" s="78">
        <f>IFERROR(1/J443*(X443/H443),"0")</f>
        <v>0.41666666666666663</v>
      </c>
      <c r="BP443" s="78">
        <f>IFERROR(1/J443*(Y443/H443),"0")</f>
        <v>0.41666666666666663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40</v>
      </c>
      <c r="Y445" s="43">
        <f>IFERROR(Y442/H442,"0")+IFERROR(Y443/H443,"0")+IFERROR(Y444/H444,"0")</f>
        <v>40</v>
      </c>
      <c r="Z445" s="43">
        <f>IFERROR(IF(Z442="",0,Z442),"0")+IFERROR(IF(Z443="",0,Z443),"0")+IFERROR(IF(Z444="",0,Z444),"0")</f>
        <v>0.86999999999999988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600</v>
      </c>
      <c r="Y446" s="43">
        <f>IFERROR(SUM(Y442:Y444),"0")</f>
        <v>600</v>
      </c>
      <c r="Z446" s="42"/>
      <c r="AA446" s="67"/>
      <c r="AB446" s="67"/>
      <c r="AC446" s="67"/>
    </row>
    <row r="447" spans="1:68" ht="14.25" hidden="1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738</v>
      </c>
      <c r="B449" s="63" t="s">
        <v>739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50</v>
      </c>
      <c r="Y449" s="55">
        <f>IFERROR(IF(X449="",0,CEILING((X449/$H449),1)*$H449),"")</f>
        <v>54</v>
      </c>
      <c r="Z449" s="41">
        <f>IFERROR(IF(Y449=0,"",ROUNDUP(Y449/H449,0)*0.01898),"")</f>
        <v>0.11388000000000001</v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52.74444444444444</v>
      </c>
      <c r="BN449" s="78">
        <f>IFERROR(Y449*I449/H449,"0")</f>
        <v>56.963999999999992</v>
      </c>
      <c r="BO449" s="78">
        <f>IFERROR(1/J449*(X449/H449),"0")</f>
        <v>8.6805555555555552E-2</v>
      </c>
      <c r="BP449" s="78">
        <f>IFERROR(1/J449*(Y449/H449),"0")</f>
        <v>9.375E-2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5.5555555555555554</v>
      </c>
      <c r="Y451" s="43">
        <f>IFERROR(Y448/H448,"0")+IFERROR(Y449/H449,"0")+IFERROR(Y450/H450,"0")</f>
        <v>6</v>
      </c>
      <c r="Z451" s="43">
        <f>IFERROR(IF(Z448="",0,Z448),"0")+IFERROR(IF(Z449="",0,Z449),"0")+IFERROR(IF(Z450="",0,Z450),"0")</f>
        <v>0.11388000000000001</v>
      </c>
      <c r="AA451" s="67"/>
      <c r="AB451" s="67"/>
      <c r="AC451" s="67"/>
    </row>
    <row r="452" spans="1:68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50</v>
      </c>
      <c r="Y452" s="43">
        <f>IFERROR(SUM(Y448:Y450),"0")</f>
        <v>54</v>
      </c>
      <c r="Z452" s="42"/>
      <c r="AA452" s="67"/>
      <c r="AB452" s="67"/>
      <c r="AC452" s="67"/>
    </row>
    <row r="453" spans="1:68" ht="14.25" hidden="1" customHeight="1" x14ac:dyDescent="0.25">
      <c r="A453" s="722" t="s">
        <v>178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721" t="s">
        <v>750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customHeight="1" x14ac:dyDescent="0.25">
      <c r="A460" s="63" t="s">
        <v>751</v>
      </c>
      <c r="B460" s="63" t="s">
        <v>752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50</v>
      </c>
      <c r="Y460" s="55">
        <f>IFERROR(IF(X460="",0,CEILING((X460/$H460),1)*$H460),"")</f>
        <v>60</v>
      </c>
      <c r="Z460" s="41">
        <f>IFERROR(IF(Y460=0,"",ROUNDUP(Y460/H460,0)*0.01898),"")</f>
        <v>9.4899999999999998E-2</v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51.708333333333336</v>
      </c>
      <c r="BN460" s="78">
        <f>IFERROR(Y460*I460/H460,"0")</f>
        <v>62.050000000000004</v>
      </c>
      <c r="BO460" s="78">
        <f>IFERROR(1/J460*(X460/H460),"0")</f>
        <v>6.5104166666666671E-2</v>
      </c>
      <c r="BP460" s="78">
        <f>IFERROR(1/J460*(Y460/H460),"0")</f>
        <v>7.8125E-2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4.166666666666667</v>
      </c>
      <c r="Y462" s="43">
        <f>IFERROR(Y460/H460,"0")+IFERROR(Y461/H461,"0")</f>
        <v>5</v>
      </c>
      <c r="Z462" s="43">
        <f>IFERROR(IF(Z460="",0,Z460),"0")+IFERROR(IF(Z461="",0,Z461),"0")</f>
        <v>9.4899999999999998E-2</v>
      </c>
      <c r="AA462" s="67"/>
      <c r="AB462" s="67"/>
      <c r="AC462" s="67"/>
    </row>
    <row r="463" spans="1:68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50</v>
      </c>
      <c r="Y463" s="43">
        <f>IFERROR(SUM(Y460:Y461),"0")</f>
        <v>60</v>
      </c>
      <c r="Z463" s="42"/>
      <c r="AA463" s="67"/>
      <c r="AB463" s="67"/>
      <c r="AC463" s="67"/>
    </row>
    <row r="464" spans="1:68" ht="14.25" hidden="1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720" t="s">
        <v>766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767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hidden="1" customHeight="1" x14ac:dyDescent="0.25">
      <c r="A477" s="63" t="s">
        <v>768</v>
      </c>
      <c r="B477" s="63" t="s">
        <v>769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hidden="1" customHeight="1" x14ac:dyDescent="0.25">
      <c r="A478" s="63" t="s">
        <v>771</v>
      </c>
      <c r="B478" s="63" t="s">
        <v>772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idden="1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790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159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hidden="1" customHeight="1" x14ac:dyDescent="0.25">
      <c r="A496" s="63" t="s">
        <v>794</v>
      </c>
      <c r="B496" s="63" t="s">
        <v>795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720" t="s">
        <v>802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802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20</v>
      </c>
      <c r="Y507" s="55">
        <f t="shared" si="78"/>
        <v>21.12</v>
      </c>
      <c r="Z507" s="41">
        <f t="shared" si="79"/>
        <v>4.7840000000000001E-2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21.325757575757574</v>
      </c>
      <c r="BN507" s="78">
        <f t="shared" si="81"/>
        <v>22.52</v>
      </c>
      <c r="BO507" s="78">
        <f t="shared" si="82"/>
        <v>3.6421911421911424E-2</v>
      </c>
      <c r="BP507" s="78">
        <f t="shared" si="83"/>
        <v>3.8461538461538464E-2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si="78"/>
        <v>100.32000000000001</v>
      </c>
      <c r="Z509" s="41">
        <f t="shared" si="79"/>
        <v>0.22724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106.62878787878788</v>
      </c>
      <c r="BN509" s="78">
        <f t="shared" si="81"/>
        <v>106.97</v>
      </c>
      <c r="BO509" s="78">
        <f t="shared" si="82"/>
        <v>0.18210955710955709</v>
      </c>
      <c r="BP509" s="78">
        <f t="shared" si="83"/>
        <v>0.18269230769230771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customHeight="1" x14ac:dyDescent="0.25">
      <c r="A511" s="63" t="s">
        <v>822</v>
      </c>
      <c r="B511" s="63" t="s">
        <v>823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90</v>
      </c>
      <c r="Y511" s="55">
        <f t="shared" si="78"/>
        <v>91.2</v>
      </c>
      <c r="Z511" s="41">
        <f>IFERROR(IF(Y511=0,"",ROUNDUP(Y511/H511,0)*0.00902),"")</f>
        <v>0.17138</v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129.5625</v>
      </c>
      <c r="BN511" s="78">
        <f t="shared" si="81"/>
        <v>131.29000000000002</v>
      </c>
      <c r="BO511" s="78">
        <f t="shared" si="82"/>
        <v>0.14204545454545456</v>
      </c>
      <c r="BP511" s="78">
        <f t="shared" si="83"/>
        <v>0.14393939393939395</v>
      </c>
    </row>
    <row r="512" spans="1:68" ht="27" customHeight="1" x14ac:dyDescent="0.25">
      <c r="A512" s="63" t="s">
        <v>824</v>
      </c>
      <c r="B512" s="63" t="s">
        <v>825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240</v>
      </c>
      <c r="Y512" s="55">
        <f t="shared" si="78"/>
        <v>240</v>
      </c>
      <c r="Z512" s="41">
        <f>IFERROR(IF(Y512=0,"",ROUNDUP(Y512/H512,0)*0.00902),"")</f>
        <v>0.45100000000000001</v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345.50000000000006</v>
      </c>
      <c r="BN512" s="78">
        <f t="shared" si="81"/>
        <v>345.50000000000006</v>
      </c>
      <c r="BO512" s="78">
        <f t="shared" si="82"/>
        <v>0.37878787878787878</v>
      </c>
      <c r="BP512" s="78">
        <f t="shared" si="83"/>
        <v>0.37878787878787878</v>
      </c>
    </row>
    <row r="513" spans="1:68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91.47727272727272</v>
      </c>
      <c r="Y513" s="43">
        <f>IFERROR(Y504/H504,"0")+IFERROR(Y505/H505,"0")+IFERROR(Y506/H506,"0")+IFERROR(Y507/H507,"0")+IFERROR(Y508/H508,"0")+IFERROR(Y509/H509,"0")+IFERROR(Y510/H510,"0")+IFERROR(Y511/H511,"0")+IFERROR(Y512/H512,"0")</f>
        <v>92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0.89745999999999992</v>
      </c>
      <c r="AA513" s="67"/>
      <c r="AB513" s="67"/>
      <c r="AC513" s="67"/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450</v>
      </c>
      <c r="Y514" s="43">
        <f>IFERROR(SUM(Y504:Y512),"0")</f>
        <v>452.64</v>
      </c>
      <c r="Z514" s="42"/>
      <c r="AA514" s="67"/>
      <c r="AB514" s="67"/>
      <c r="AC514" s="67"/>
    </row>
    <row r="515" spans="1:68" ht="14.25" hidden="1" customHeight="1" x14ac:dyDescent="0.25">
      <c r="A515" s="722" t="s">
        <v>159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200</v>
      </c>
      <c r="Y516" s="55">
        <f>IFERROR(IF(X516="",0,CEILING((X516/$H516),1)*$H516),"")</f>
        <v>200.64000000000001</v>
      </c>
      <c r="Z516" s="41">
        <f>IFERROR(IF(Y516=0,"",ROUNDUP(Y516/H516,0)*0.01196),"")</f>
        <v>0.45448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213.25757575757575</v>
      </c>
      <c r="BN516" s="78">
        <f>IFERROR(Y516*I516/H516,"0")</f>
        <v>213.94</v>
      </c>
      <c r="BO516" s="78">
        <f>IFERROR(1/J516*(X516/H516),"0")</f>
        <v>0.36421911421911418</v>
      </c>
      <c r="BP516" s="78">
        <f>IFERROR(1/J516*(Y516/H516),"0")</f>
        <v>0.36538461538461542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831</v>
      </c>
      <c r="B518" s="63" t="s">
        <v>832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72</v>
      </c>
      <c r="Y518" s="55">
        <f>IFERROR(IF(X518="",0,CEILING((X518/$H518),1)*$H518),"")</f>
        <v>72</v>
      </c>
      <c r="Z518" s="41">
        <f>IFERROR(IF(Y518=0,"",ROUNDUP(Y518/H518,0)*0.00902),"")</f>
        <v>0.1353</v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103.65</v>
      </c>
      <c r="BN518" s="78">
        <f>IFERROR(Y518*I518/H518,"0")</f>
        <v>103.65</v>
      </c>
      <c r="BO518" s="78">
        <f>IFERROR(1/J518*(X518/H518),"0")</f>
        <v>0.11363636363636365</v>
      </c>
      <c r="BP518" s="78">
        <f>IFERROR(1/J518*(Y518/H518),"0")</f>
        <v>0.11363636363636365</v>
      </c>
    </row>
    <row r="519" spans="1:68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52.878787878787875</v>
      </c>
      <c r="Y519" s="43">
        <f>IFERROR(Y516/H516,"0")+IFERROR(Y517/H517,"0")+IFERROR(Y518/H518,"0")</f>
        <v>53</v>
      </c>
      <c r="Z519" s="43">
        <f>IFERROR(IF(Z516="",0,Z516),"0")+IFERROR(IF(Z517="",0,Z517),"0")+IFERROR(IF(Z518="",0,Z518),"0")</f>
        <v>0.58977999999999997</v>
      </c>
      <c r="AA519" s="67"/>
      <c r="AB519" s="67"/>
      <c r="AC519" s="67"/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272</v>
      </c>
      <c r="Y520" s="43">
        <f>IFERROR(SUM(Y516:Y518),"0")</f>
        <v>272.64</v>
      </c>
      <c r="Z520" s="42"/>
      <c r="AA520" s="67"/>
      <c r="AB520" s="67"/>
      <c r="AC520" s="67"/>
    </row>
    <row r="521" spans="1:68" ht="14.25" hidden="1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customHeight="1" x14ac:dyDescent="0.25">
      <c r="A522" s="63" t="s">
        <v>833</v>
      </c>
      <c r="B522" s="63" t="s">
        <v>834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20</v>
      </c>
      <c r="Y522" s="55">
        <f t="shared" ref="Y522:Y528" si="84">IFERROR(IF(X522="",0,CEILING((X522/$H522),1)*$H522),"")</f>
        <v>21.12</v>
      </c>
      <c r="Z522" s="41">
        <f>IFERROR(IF(Y522=0,"",ROUNDUP(Y522/H522,0)*0.01196),"")</f>
        <v>4.7840000000000001E-2</v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21.325757575757574</v>
      </c>
      <c r="BN522" s="78">
        <f t="shared" ref="BN522:BN528" si="86">IFERROR(Y522*I522/H522,"0")</f>
        <v>22.52</v>
      </c>
      <c r="BO522" s="78">
        <f t="shared" ref="BO522:BO528" si="87">IFERROR(1/J522*(X522/H522),"0")</f>
        <v>3.6421911421911424E-2</v>
      </c>
      <c r="BP522" s="78">
        <f t="shared" ref="BP522:BP528" si="88">IFERROR(1/J522*(Y522/H522),"0")</f>
        <v>3.8461538461538464E-2</v>
      </c>
    </row>
    <row r="523" spans="1:68" ht="27" hidden="1" customHeight="1" x14ac:dyDescent="0.25">
      <c r="A523" s="63" t="s">
        <v>836</v>
      </c>
      <c r="B523" s="63" t="s">
        <v>837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100</v>
      </c>
      <c r="Y524" s="55">
        <f t="shared" si="84"/>
        <v>100.32000000000001</v>
      </c>
      <c r="Z524" s="41">
        <f>IFERROR(IF(Y524=0,"",ROUNDUP(Y524/H524,0)*0.01196),"")</f>
        <v>0.22724</v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106.62878787878788</v>
      </c>
      <c r="BN524" s="78">
        <f t="shared" si="86"/>
        <v>106.97</v>
      </c>
      <c r="BO524" s="78">
        <f t="shared" si="87"/>
        <v>0.18210955710955709</v>
      </c>
      <c r="BP524" s="78">
        <f t="shared" si="88"/>
        <v>0.18269230769230771</v>
      </c>
    </row>
    <row r="525" spans="1:68" ht="27" customHeight="1" x14ac:dyDescent="0.25">
      <c r="A525" s="63" t="s">
        <v>842</v>
      </c>
      <c r="B525" s="63" t="s">
        <v>843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90</v>
      </c>
      <c r="Y525" s="55">
        <f t="shared" si="84"/>
        <v>91.2</v>
      </c>
      <c r="Z525" s="41">
        <f>IFERROR(IF(Y525=0,"",ROUNDUP(Y525/H525,0)*0.00902),"")</f>
        <v>0.17138</v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129.5625</v>
      </c>
      <c r="BN525" s="78">
        <f t="shared" si="86"/>
        <v>131.29000000000002</v>
      </c>
      <c r="BO525" s="78">
        <f t="shared" si="87"/>
        <v>0.14204545454545456</v>
      </c>
      <c r="BP525" s="78">
        <f t="shared" si="88"/>
        <v>0.14393939393939395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customHeight="1" x14ac:dyDescent="0.25">
      <c r="A528" s="63" t="s">
        <v>847</v>
      </c>
      <c r="B528" s="63" t="s">
        <v>848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120</v>
      </c>
      <c r="Y528" s="55">
        <f t="shared" si="84"/>
        <v>120</v>
      </c>
      <c r="Z528" s="41">
        <f>IFERROR(IF(Y528=0,"",ROUNDUP(Y528/H528,0)*0.00902),"")</f>
        <v>0.22550000000000001</v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166.75</v>
      </c>
      <c r="BN528" s="78">
        <f t="shared" si="86"/>
        <v>166.75</v>
      </c>
      <c r="BO528" s="78">
        <f t="shared" si="87"/>
        <v>0.18939393939393939</v>
      </c>
      <c r="BP528" s="78">
        <f t="shared" si="88"/>
        <v>0.18939393939393939</v>
      </c>
    </row>
    <row r="529" spans="1:68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66.47727272727272</v>
      </c>
      <c r="Y529" s="43">
        <f>IFERROR(Y522/H522,"0")+IFERROR(Y523/H523,"0")+IFERROR(Y524/H524,"0")+IFERROR(Y525/H525,"0")+IFERROR(Y526/H526,"0")+IFERROR(Y527/H527,"0")+IFERROR(Y528/H528,"0")</f>
        <v>67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0.67196</v>
      </c>
      <c r="AA529" s="67"/>
      <c r="AB529" s="67"/>
      <c r="AC529" s="67"/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330</v>
      </c>
      <c r="Y530" s="43">
        <f>IFERROR(SUM(Y522:Y528),"0")</f>
        <v>332.64</v>
      </c>
      <c r="Z530" s="42"/>
      <c r="AA530" s="67"/>
      <c r="AB530" s="67"/>
      <c r="AC530" s="67"/>
    </row>
    <row r="531" spans="1:68" ht="27.75" hidden="1" customHeight="1" x14ac:dyDescent="0.2">
      <c r="A531" s="720" t="s">
        <v>849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849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customHeight="1" x14ac:dyDescent="0.25">
      <c r="A534" s="63" t="s">
        <v>850</v>
      </c>
      <c r="B534" s="63" t="s">
        <v>851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100</v>
      </c>
      <c r="Y534" s="55">
        <f>IFERROR(IF(X534="",0,CEILING((X534/$H534),1)*$H534),"")</f>
        <v>108</v>
      </c>
      <c r="Z534" s="41">
        <f>IFERROR(IF(Y534=0,"",ROUNDUP(Y534/H534,0)*0.01898),"")</f>
        <v>0.17082</v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103.41666666666667</v>
      </c>
      <c r="BN534" s="78">
        <f>IFERROR(Y534*I534/H534,"0")</f>
        <v>111.69</v>
      </c>
      <c r="BO534" s="78">
        <f>IFERROR(1/J534*(X534/H534),"0")</f>
        <v>0.13020833333333334</v>
      </c>
      <c r="BP534" s="78">
        <f>IFERROR(1/J534*(Y534/H534),"0")</f>
        <v>0.140625</v>
      </c>
    </row>
    <row r="535" spans="1:68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8.3333333333333339</v>
      </c>
      <c r="Y535" s="43">
        <f>IFERROR(Y534/H534,"0")</f>
        <v>9</v>
      </c>
      <c r="Z535" s="43">
        <f>IFERROR(IF(Z534="",0,Z534),"0")</f>
        <v>0.17082</v>
      </c>
      <c r="AA535" s="67"/>
      <c r="AB535" s="67"/>
      <c r="AC535" s="67"/>
    </row>
    <row r="536" spans="1:68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100</v>
      </c>
      <c r="Y536" s="43">
        <f>IFERROR(SUM(Y534:Y534),"0")</f>
        <v>108</v>
      </c>
      <c r="Z536" s="42"/>
      <c r="AA536" s="67"/>
      <c r="AB536" s="67"/>
      <c r="AC536" s="67"/>
    </row>
    <row r="537" spans="1:68" ht="14.25" hidden="1" customHeight="1" x14ac:dyDescent="0.25">
      <c r="A537" s="722" t="s">
        <v>159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723">
        <v>4680115889781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hidden="1" customHeight="1" x14ac:dyDescent="0.25">
      <c r="A542" s="63" t="s">
        <v>855</v>
      </c>
      <c r="B542" s="63" t="s">
        <v>856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customHeight="1" x14ac:dyDescent="0.25">
      <c r="A546" s="63" t="s">
        <v>858</v>
      </c>
      <c r="B546" s="63" t="s">
        <v>859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1000</v>
      </c>
      <c r="Y546" s="55">
        <f>IFERROR(IF(X546="",0,CEILING((X546/$H546),1)*$H546),"")</f>
        <v>1008</v>
      </c>
      <c r="Z546" s="41">
        <f>IFERROR(IF(Y546=0,"",ROUNDUP(Y546/H546,0)*0.01898),"")</f>
        <v>2.1257600000000001</v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1054.8888888888889</v>
      </c>
      <c r="BN546" s="78">
        <f>IFERROR(Y546*I546/H546,"0")</f>
        <v>1063.328</v>
      </c>
      <c r="BO546" s="78">
        <f>IFERROR(1/J546*(X546/H546),"0")</f>
        <v>1.7361111111111112</v>
      </c>
      <c r="BP546" s="78">
        <f>IFERROR(1/J546*(Y546/H546),"0")</f>
        <v>1.75</v>
      </c>
    </row>
    <row r="547" spans="1:68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111.11111111111111</v>
      </c>
      <c r="Y547" s="43">
        <f>IFERROR(Y546/H546,"0")</f>
        <v>112</v>
      </c>
      <c r="Z547" s="43">
        <f>IFERROR(IF(Z546="",0,Z546),"0")</f>
        <v>2.1257600000000001</v>
      </c>
      <c r="AA547" s="67"/>
      <c r="AB547" s="67"/>
      <c r="AC547" s="67"/>
    </row>
    <row r="548" spans="1:68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1000</v>
      </c>
      <c r="Y548" s="43">
        <f>IFERROR(SUM(Y546:Y546),"0")</f>
        <v>1008</v>
      </c>
      <c r="Z548" s="42"/>
      <c r="AA548" s="67"/>
      <c r="AB548" s="67"/>
      <c r="AC548" s="67"/>
    </row>
    <row r="549" spans="1:68" ht="14.25" hidden="1" customHeight="1" x14ac:dyDescent="0.25">
      <c r="A549" s="722" t="s">
        <v>178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867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159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723">
        <v>4680115889798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17597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17766.599999999999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18866.576179629224</v>
      </c>
      <c r="Y560" s="43">
        <f>IFERROR(SUM(BN22:BN556),"0")</f>
        <v>19046.126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34</v>
      </c>
      <c r="Y561" s="44">
        <f>ROUNDUP(SUM(BP22:BP556),0)</f>
        <v>34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19716.576179629224</v>
      </c>
      <c r="Y562" s="43">
        <f>GrossWeightTotalR+PalletQtyTotalR*25</f>
        <v>19896.126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4361.5578775205222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4391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39.583019999999998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345</v>
      </c>
      <c r="L566" s="1010" t="s">
        <v>345</v>
      </c>
      <c r="M566" s="1010" t="s">
        <v>345</v>
      </c>
      <c r="N566" s="1019"/>
      <c r="O566" s="1010" t="s">
        <v>345</v>
      </c>
      <c r="P566" s="1010" t="s">
        <v>345</v>
      </c>
      <c r="Q566" s="1010" t="s">
        <v>345</v>
      </c>
      <c r="R566" s="1010" t="s">
        <v>345</v>
      </c>
      <c r="S566" s="1010" t="s">
        <v>345</v>
      </c>
      <c r="T566" s="1010" t="s">
        <v>345</v>
      </c>
      <c r="U566" s="1010" t="s">
        <v>345</v>
      </c>
      <c r="V566" s="1010" t="s">
        <v>345</v>
      </c>
      <c r="W566" s="1010" t="s">
        <v>700</v>
      </c>
      <c r="X566" s="1010" t="s">
        <v>700</v>
      </c>
      <c r="Y566" s="1010" t="s">
        <v>766</v>
      </c>
      <c r="Z566" s="1010" t="s">
        <v>766</v>
      </c>
      <c r="AA566" s="85" t="s">
        <v>802</v>
      </c>
      <c r="AB566" s="1010" t="s">
        <v>849</v>
      </c>
      <c r="AC566" s="1010" t="s">
        <v>849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186</v>
      </c>
      <c r="G567" s="1010" t="s">
        <v>209</v>
      </c>
      <c r="H567" s="1010" t="s">
        <v>249</v>
      </c>
      <c r="I567" s="1010" t="s">
        <v>262</v>
      </c>
      <c r="J567" s="1010" t="s">
        <v>120</v>
      </c>
      <c r="K567" s="1010" t="s">
        <v>346</v>
      </c>
      <c r="L567" s="1010" t="s">
        <v>367</v>
      </c>
      <c r="M567" s="1010" t="s">
        <v>441</v>
      </c>
      <c r="N567" s="1"/>
      <c r="O567" s="1010" t="s">
        <v>509</v>
      </c>
      <c r="P567" s="1010" t="s">
        <v>538</v>
      </c>
      <c r="Q567" s="1010" t="s">
        <v>558</v>
      </c>
      <c r="R567" s="1010" t="s">
        <v>567</v>
      </c>
      <c r="S567" s="1010" t="s">
        <v>588</v>
      </c>
      <c r="T567" s="1010" t="s">
        <v>597</v>
      </c>
      <c r="U567" s="1010" t="s">
        <v>683</v>
      </c>
      <c r="V567" s="1010" t="s">
        <v>690</v>
      </c>
      <c r="W567" s="1010" t="s">
        <v>701</v>
      </c>
      <c r="X567" s="1010" t="s">
        <v>750</v>
      </c>
      <c r="Y567" s="1010" t="s">
        <v>767</v>
      </c>
      <c r="Z567" s="1010" t="s">
        <v>790</v>
      </c>
      <c r="AA567" s="1010" t="s">
        <v>802</v>
      </c>
      <c r="AB567" s="1010" t="s">
        <v>849</v>
      </c>
      <c r="AC567" s="1010" t="s">
        <v>867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80.64</v>
      </c>
      <c r="D569" s="52">
        <f>IFERROR(Y47*1,"0")+IFERROR(Y48*1,"0")+IFERROR(Y49*1,"0")+IFERROR(Y50*1,"0")</f>
        <v>471.20000000000005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678.6</v>
      </c>
      <c r="F569" s="52">
        <f>IFERROR(Y87*1,"0")+IFERROR(Y88*1,"0")+IFERROR(Y89*1,"0")+IFERROR(Y90*1,"0")+IFERROR(Y91*1,"0")+IFERROR(Y95*1,"0")+IFERROR(Y96*1,"0")+IFERROR(Y97*1,"0")+IFERROR(Y98*1,"0")</f>
        <v>1130.4000000000001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2136.42</v>
      </c>
      <c r="H569" s="52">
        <f>IFERROR(Y133*1,"0")+IFERROR(Y134*1,"0")+IFERROR(Y138*1,"0")+IFERROR(Y139*1,"0")+IFERROR(Y143*1,"0")+IFERROR(Y144*1,"0")</f>
        <v>265.28000000000003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1840.54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849.7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2229.9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91.2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561.6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1013.9999999999999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1384.2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2799</v>
      </c>
      <c r="X569" s="52">
        <f>IFERROR(Y460*1,"0")+IFERROR(Y461*1,"0")+IFERROR(Y465*1,"0")+IFERROR(Y469*1,"0")+IFERROR(Y470*1,"0")+IFERROR(Y471*1,"0")</f>
        <v>60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1057.92</v>
      </c>
      <c r="AB569" s="52">
        <f>IFERROR(Y534*1,"0")+IFERROR(Y538*1,"0")+IFERROR(Y542*1,"0")+IFERROR(Y546*1,"0")+IFERROR(Y550*1,"0")+IFERROR(Y551*1,"0")</f>
        <v>1116</v>
      </c>
      <c r="AC569" s="52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20,00"/>
        <filter val="1 200,00"/>
        <filter val="1 566,00"/>
        <filter val="1 829,00"/>
        <filter val="100,00"/>
        <filter val="105,00"/>
        <filter val="110,00"/>
        <filter val="111,11"/>
        <filter val="112,96"/>
        <filter val="12,00"/>
        <filter val="120,00"/>
        <filter val="126,01"/>
        <filter val="128,21"/>
        <filter val="135,00"/>
        <filter val="14,00"/>
        <filter val="140,00"/>
        <filter val="143,00"/>
        <filter val="15,00"/>
        <filter val="150,00"/>
        <filter val="16,00"/>
        <filter val="16,67"/>
        <filter val="168,00"/>
        <filter val="17 597,00"/>
        <filter val="170,00"/>
        <filter val="175,00"/>
        <filter val="18 866,58"/>
        <filter val="185,00"/>
        <filter val="19 716,58"/>
        <filter val="196,00"/>
        <filter val="2 115,00"/>
        <filter val="20,00"/>
        <filter val="200,00"/>
        <filter val="21,00"/>
        <filter val="233,33"/>
        <filter val="24,00"/>
        <filter val="240,00"/>
        <filter val="252,00"/>
        <filter val="27,50"/>
        <filter val="272,00"/>
        <filter val="280,00"/>
        <filter val="283,33"/>
        <filter val="30,00"/>
        <filter val="300,00"/>
        <filter val="31,06"/>
        <filter val="31,25"/>
        <filter val="32,00"/>
        <filter val="320,00"/>
        <filter val="33,33"/>
        <filter val="330,00"/>
        <filter val="339,05"/>
        <filter val="34"/>
        <filter val="346,00"/>
        <filter val="360,00"/>
        <filter val="4 361,56"/>
        <filter val="4,00"/>
        <filter val="4,17"/>
        <filter val="40,00"/>
        <filter val="400,00"/>
        <filter val="41,67"/>
        <filter val="411,19"/>
        <filter val="42,00"/>
        <filter val="435,74"/>
        <filter val="450,00"/>
        <filter val="470,00"/>
        <filter val="48,00"/>
        <filter val="480,00"/>
        <filter val="495,00"/>
        <filter val="5,56"/>
        <filter val="50,00"/>
        <filter val="500,00"/>
        <filter val="52,88"/>
        <filter val="54,63"/>
        <filter val="540,00"/>
        <filter val="560,00"/>
        <filter val="590,00"/>
        <filter val="6,00"/>
        <filter val="6,67"/>
        <filter val="600,00"/>
        <filter val="66,00"/>
        <filter val="66,48"/>
        <filter val="7,00"/>
        <filter val="72,00"/>
        <filter val="723,97"/>
        <filter val="77,00"/>
        <filter val="796,00"/>
        <filter val="8,33"/>
        <filter val="80,00"/>
        <filter val="800,00"/>
        <filter val="810,00"/>
        <filter val="82,00"/>
        <filter val="83,33"/>
        <filter val="9,00"/>
        <filter val="90,00"/>
        <filter val="91,11"/>
        <filter val="91,48"/>
        <filter val="93,89"/>
        <filter val="945,00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9" spans="2:8" x14ac:dyDescent="0.2">
      <c r="B9" s="53" t="s">
        <v>880</v>
      </c>
      <c r="C9" s="53" t="s">
        <v>875</v>
      </c>
      <c r="D9" s="53" t="s">
        <v>46</v>
      </c>
      <c r="E9" s="53" t="s">
        <v>46</v>
      </c>
    </row>
    <row r="11" spans="2:8" x14ac:dyDescent="0.2">
      <c r="B11" s="53" t="s">
        <v>880</v>
      </c>
      <c r="C11" s="53" t="s">
        <v>878</v>
      </c>
      <c r="D11" s="53" t="s">
        <v>46</v>
      </c>
      <c r="E11" s="53" t="s">
        <v>46</v>
      </c>
    </row>
    <row r="13" spans="2:8" x14ac:dyDescent="0.2">
      <c r="B13" s="53" t="s">
        <v>881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