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EE351C6-F6DD-44C8-BC21-F5EE4AB68F4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80" i="2" l="1"/>
  <c r="BP275" i="2"/>
  <c r="BN277" i="2"/>
  <c r="BN393" i="2"/>
  <c r="BN60" i="2"/>
  <c r="BP385" i="2"/>
  <c r="BN86" i="2"/>
  <c r="BN157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00" i="2" l="1"/>
  <c r="Z553" i="2"/>
  <c r="Z414" i="2"/>
  <c r="Z325" i="2"/>
  <c r="Z177" i="2"/>
  <c r="Z51" i="2"/>
  <c r="Z134" i="2"/>
  <c r="Z90" i="2"/>
  <c r="Z264" i="2"/>
  <c r="Z341" i="2"/>
  <c r="Z61" i="2"/>
  <c r="Z452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<sst xmlns="http://schemas.openxmlformats.org/spreadsheetml/2006/main" count="4310" uniqueCount="900">
  <si>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</si>
  <si>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</si>
  <si>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</si>
  <si>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</si>
  <si>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</si>
  <si>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</si>
  <si>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</si>
  <si>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</si>
  <si>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</si>
  <si>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</si>
  <si>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</si>
  <si>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</si>
  <si>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</si>
  <si>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</si>
  <si>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</si>
  <si>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</si>
  <si>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</si>
  <si>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</si>
  <si>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</si>
  <si>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</si>
  <si>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</si>
  <si>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</si>
  <si>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</si>
  <si>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</si>
  <si>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</si>
  <si>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</si>
  <si>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</si>
  <si>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</si>
  <si>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</si>
  <si>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</si>
  <si>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</si>
  <si>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</si>
  <si>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</si>
  <si>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</si>
  <si>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</si>
  <si>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</si>
  <si>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</si>
  <si>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</si>
  <si>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</si>
  <si>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</si>
  <si>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</si>
  <si>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</si>
  <si>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</si>
  <si>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</si>
  <si>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</si>
  <si>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</si>
  <si>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</si>
  <si>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</si>
  <si>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</si>
  <si>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</si>
  <si>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</si>
  <si>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</si>
  <si>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</si>
  <si>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</si>
  <si>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</si>
  <si>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</si>
  <si>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</si>
  <si>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</si>
  <si>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</si>
  <si>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</si>
  <si>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</si>
  <si>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</si>
  <si>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</si>
  <si>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</si>
  <si>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</si>
  <si>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</si>
  <si>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</si>
  <si>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</si>
  <si>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</si>
  <si>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</si>
  <si>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</si>
  <si>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</si>
  <si>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</si>
  <si>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</si>
  <si>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</si>
  <si>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</si>
  <si>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</si>
  <si>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</si>
  <si>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</si>
  <si>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</si>
  <si>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</si>
  <si>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</si>
  <si>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</si>
  <si>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</si>
  <si>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</si>
  <si>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</si>
  <si>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</si>
  <si>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</si>
  <si>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</si>
  <si>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</si>
  <si>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</si>
  <si>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</si>
  <si>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</si>
  <si>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</si>
  <si>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</si>
  <si>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</si>
  <si>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</si>
  <si>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</si>
  <si>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</si>
  <si>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</si>
  <si>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</si>
  <si>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</si>
  <si>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</si>
  <si>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</si>
  <si>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</si>
  <si>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</si>
  <si>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</si>
  <si>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</si>
  <si>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</si>
  <si>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</si>
  <si>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</si>
  <si>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</si>
  <si>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</si>
  <si>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</si>
  <si>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</si>
  <si>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</si>
  <si>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</si>
  <si>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</si>
  <si>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</si>
  <si>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</si>
  <si>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</si>
  <si>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</si>
  <si>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</si>
  <si>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</si>
  <si>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</si>
  <si>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</si>
  <si>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</si>
  <si>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</si>
  <si>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</si>
  <si>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</si>
  <si>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</si>
  <si>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</si>
  <si>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</si>
  <si>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</si>
  <si>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</si>
  <si>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</si>
  <si>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</si>
  <si>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</si>
  <si>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</si>
  <si>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</si>
  <si>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</si>
  <si>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</si>
  <si>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</si>
  <si>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</si>
  <si>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</si>
  <si>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</si>
  <si>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</si>
  <si>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</si>
  <si>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</si>
  <si>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</si>
  <si>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</si>
  <si>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</si>
  <si>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</si>
  <si>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</si>
  <si>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</si>
  <si>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</si>
  <si>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</si>
  <si>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</si>
  <si>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</si>
  <si>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</si>
  <si>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</si>
  <si>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</si>
  <si>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</si>
  <si>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</si>
  <si>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</si>
  <si>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</si>
  <si>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</si>
  <si>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</si>
  <si>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</si>
  <si>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</si>
  <si>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</si>
  <si>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</si>
  <si>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</si>
  <si>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</si>
  <si>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</si>
  <si>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</si>
  <si>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</si>
  <si>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</si>
  <si>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</si>
  <si>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</si>
  <si>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</si>
  <si>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</si>
  <si>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</si>
  <si>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</si>
  <si>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</si>
  <si>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</si>
  <si>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</si>
  <si>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</si>
  <si>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</si>
  <si>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</si>
  <si>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</si>
  <si>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</si>
  <si>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</si>
  <si>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</si>
  <si>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</si>
  <si>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</si>
  <si>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</si>
  <si>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</si>
  <si>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</si>
  <si>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</si>
  <si>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</si>
  <si>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</si>
  <si>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</si>
  <si>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</si>
  <si>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</si>
  <si>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</si>
  <si>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</si>
  <si>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</si>
  <si>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</si>
  <si>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</si>
  <si>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</si>
  <si>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</si>
  <si>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</si>
  <si>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</si>
  <si>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</si>
  <si>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</si>
  <si>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</si>
  <si>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</si>
  <si>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</si>
  <si>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</si>
  <si>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</si>
  <si>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</si>
  <si>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</si>
  <si>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</si>
  <si>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</si>
  <si>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</si>
  <si>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</si>
  <si>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</si>
  <si>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</si>
  <si>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</si>
  <si>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</si>
  <si>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</si>
  <si>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</si>
  <si>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</si>
  <si>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</si>
  <si>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</si>
  <si>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</si>
  <si>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</si>
  <si>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</si>
  <si>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</si>
  <si>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</si>
  <si>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</si>
  <si>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</si>
  <si>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</si>
  <si>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</si>
  <si>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</si>
  <si>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</si>
  <si>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</si>
  <si>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</si>
  <si>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</si>
  <si>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</si>
  <si>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</si>
  <si>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</si>
  <si>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</si>
  <si>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</si>
  <si>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</si>
  <si>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</si>
  <si>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</si>
  <si>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</si>
  <si>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</si>
  <si>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</si>
  <si>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</si>
  <si>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</si>
  <si>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</si>
  <si>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</si>
  <si>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</si>
  <si>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</si>
  <si>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</si>
  <si>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</si>
  <si>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</si>
  <si>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</si>
  <si>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</si>
  <si>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</si>
  <si>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</si>
  <si>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</si>
  <si>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</si>
  <si>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</si>
  <si>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</si>
  <si>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</si>
  <si>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</si>
  <si>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</si>
  <si>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</si>
  <si>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</si>
  <si>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</si>
  <si>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</si>
  <si>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</si>
  <si>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</si>
  <si>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</si>
  <si>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</si>
  <si>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</si>
  <si>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</si>
  <si>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</si>
  <si>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</si>
  <si>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</si>
  <si>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</si>
  <si>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</si>
  <si>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</si>
  <si>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</si>
  <si>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</si>
  <si>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</si>
  <si>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</si>
  <si>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</si>
  <si>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</si>
  <si>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</si>
  <si>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</si>
  <si>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</si>
  <si>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</si>
  <si>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</si>
  <si>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</si>
  <si>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</si>
  <si>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</si>
  <si>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</si>
  <si>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</si>
  <si>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</si>
  <si>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</si>
  <si>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</si>
  <si>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</si>
  <si>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</si>
  <si>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</si>
  <si>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</si>
  <si>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</si>
  <si>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</si>
  <si>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</si>
  <si>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</si>
  <si>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</si>
  <si>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</si>
  <si>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</si>
  <si>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</si>
  <si>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</si>
  <si>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</si>
  <si>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</si>
  <si>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</si>
  <si>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</si>
  <si>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</si>
  <si>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</si>
  <si>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</si>
  <si>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</si>
  <si>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</si>
  <si>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</si>
  <si>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</si>
  <si>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</si>
  <si>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</si>
  <si>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</si>
  <si>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</si>
  <si>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</si>
  <si>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</si>
  <si>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</si>
  <si>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</si>
  <si>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</si>
  <si>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</si>
  <si>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</si>
  <si>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</si>
  <si>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</si>
  <si>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</si>
  <si>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</si>
  <si>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</si>
  <si>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</si>
  <si>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</si>
  <si>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</si>
  <si>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</si>
  <si>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</si>
  <si>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</si>
  <si>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</si>
  <si>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</si>
  <si>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</si>
  <si>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</si>
  <si>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</si>
  <si>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</si>
  <si>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</si>
  <si>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</si>
  <si>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</si>
  <si>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</si>
  <si>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</si>
  <si>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</si>
  <si>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</si>
  <si>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</si>
  <si>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</si>
  <si>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</si>
  <si>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</si>
  <si>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</si>
  <si>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</si>
  <si>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</si>
  <si>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</si>
  <si>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</si>
  <si>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</si>
  <si>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</si>
  <si>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</si>
  <si>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</si>
  <si>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</si>
  <si>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</si>
  <si>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</si>
  <si>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</si>
  <si>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</si>
  <si>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</si>
  <si>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</si>
  <si>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</si>
  <si>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</si>
  <si>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</si>
  <si>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</si>
  <si>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</si>
  <si>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</si>
  <si>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</si>
  <si>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</si>
  <si>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</si>
  <si>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</si>
  <si>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</si>
  <si>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</si>
  <si>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</si>
  <si>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</si>
  <si>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</si>
  <si>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</si>
  <si>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</si>
  <si>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</si>
  <si>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</si>
  <si>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</si>
  <si>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</si>
  <si>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</si>
  <si>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</si>
  <si>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</si>
  <si>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</si>
  <si>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</si>
  <si>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</si>
  <si>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</si>
  <si>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</si>
  <si>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</si>
  <si>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</si>
  <si>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</si>
  <si>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</si>
  <si>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</si>
  <si>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</si>
  <si>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</si>
  <si>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</si>
  <si>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</si>
  <si>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</si>
  <si>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</si>
  <si>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</si>
  <si>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</si>
  <si>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</si>
  <si>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</si>
  <si>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</si>
  <si>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</si>
  <si>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</si>
  <si>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</si>
  <si>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</si>
  <si>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</si>
  <si>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</si>
  <si>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</si>
  <si>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</si>
  <si>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</si>
  <si>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</si>
  <si>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</si>
  <si>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</si>
  <si>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</si>
  <si>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</si>
  <si>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</si>
  <si>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</si>
  <si>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</si>
  <si>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</si>
  <si>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</si>
  <si>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</si>
  <si>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</si>
  <si>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</si>
  <si>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</si>
  <si>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</si>
  <si>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</si>
  <si>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</si>
  <si>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</si>
  <si>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</si>
  <si>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</si>
  <si>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</si>
  <si>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</si>
  <si>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</si>
  <si>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</si>
  <si>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</si>
  <si>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</si>
  <si>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</si>
  <si>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</si>
  <si>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</si>
  <si>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</si>
  <si>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</si>
  <si>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</si>
  <si>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</si>
  <si>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</si>
  <si>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</si>
  <si>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</si>
  <si>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</si>
  <si>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</si>
  <si>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</si>
  <si>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</si>
  <si>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</si>
  <si>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</si>
  <si>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</si>
  <si>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</si>
  <si>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</si>
  <si>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</si>
  <si>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</si>
  <si>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</si>
  <si>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</si>
  <si>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</si>
  <si>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</si>
  <si>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</si>
  <si>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</si>
  <si>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</si>
  <si>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</si>
  <si>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</si>
  <si>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</si>
  <si>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</si>
  <si>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</si>
  <si>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</si>
  <si>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</si>
  <si>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</si>
  <si>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</si>
  <si>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</si>
  <si>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</si>
  <si>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</si>
  <si>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</si>
  <si>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</si>
  <si>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</si>
  <si>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</si>
  <si>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</si>
  <si>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</si>
  <si>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</si>
  <si>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</si>
  <si>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</si>
  <si>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</si>
  <si>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</si>
  <si>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</si>
  <si>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</si>
  <si>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</si>
  <si>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</si>
  <si>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</si>
  <si>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</si>
  <si>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</si>
  <si>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</si>
  <si>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</si>
  <si>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</si>
  <si>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</si>
  <si>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</si>
  <si>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</si>
  <si>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</si>
  <si>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</si>
  <si>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</si>
  <si>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</si>
  <si>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</si>
  <si>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</si>
  <si>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</si>
  <si>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</si>
  <si>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</si>
  <si>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</si>
  <si>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</si>
  <si>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</si>
  <si>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</si>
  <si>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</si>
  <si>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</si>
  <si>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</si>
  <si>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</si>
  <si>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</si>
  <si>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</si>
  <si>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</si>
  <si>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</si>
  <si>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</si>
  <si>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</si>
  <si>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</si>
  <si>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</si>
  <si>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</si>
  <si>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</si>
  <si>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</si>
  <si>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</si>
  <si>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</si>
  <si>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</si>
  <si>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</si>
  <si>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</si>
  <si>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</si>
  <si>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</si>
  <si>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</si>
  <si>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</si>
  <si>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</si>
  <si>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</si>
  <si>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</si>
  <si>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</si>
  <si>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</si>
  <si>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</si>
  <si>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</si>
  <si>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</si>
  <si>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</si>
  <si>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</si>
  <si>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</si>
  <si>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</si>
  <si>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</si>
  <si>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</si>
  <si>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</si>
  <si>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</si>
  <si>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</si>
  <si>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</si>
  <si>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</si>
  <si>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</si>
  <si>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</si>
  <si>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</si>
  <si>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</si>
  <si>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</si>
  <si>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</si>
  <si>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</si>
  <si>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</si>
  <si>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</si>
  <si>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</si>
  <si>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</si>
  <si>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</si>
  <si>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</si>
  <si>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</si>
  <si>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</si>
  <si>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</si>
  <si>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</si>
  <si>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</si>
  <si>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</si>
  <si>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</si>
  <si>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</si>
  <si>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</si>
  <si>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</si>
  <si>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</si>
  <si>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</si>
  <si>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</si>
  <si>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</si>
  <si>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</si>
  <si>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</si>
  <si>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</si>
  <si>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</si>
  <si>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</si>
  <si>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</si>
  <si>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</si>
  <si>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</si>
  <si>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</si>
  <si>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</si>
  <si>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</si>
  <si>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</si>
  <si>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</si>
  <si>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</si>
  <si>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</si>
  <si>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</si>
  <si>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</si>
  <si>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</si>
  <si>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</si>
  <si>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</si>
  <si>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</si>
  <si>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</si>
  <si>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</si>
  <si>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</si>
  <si>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</si>
  <si>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</si>
  <si>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</si>
  <si>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</si>
  <si>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</si>
  <si>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</si>
  <si>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</si>
  <si>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</si>
  <si>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</si>
  <si>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</si>
  <si>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</si>
  <si>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</si>
  <si>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</si>
  <si>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</si>
  <si>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</si>
  <si>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</si>
  <si>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</si>
  <si>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</si>
  <si>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</si>
  <si>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</si>
  <si>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</si>
  <si>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</si>
  <si>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</si>
  <si>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</si>
  <si>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</si>
  <si>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</si>
  <si>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</si>
  <si>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</si>
  <si>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</si>
  <si>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</si>
  <si>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</si>
  <si>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</si>
  <si>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</si>
  <si>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</si>
  <si>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</si>
  <si>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</si>
  <si>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</si>
  <si>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</si>
  <si>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</si>
  <si>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</si>
  <si>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</si>
  <si>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</si>
  <si>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</si>
  <si>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</si>
  <si>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</si>
  <si>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</si>
  <si>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</si>
  <si>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</si>
  <si>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</si>
  <si>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</si>
  <si>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</si>
  <si>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</si>
  <si>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</si>
  <si>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</si>
  <si>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</si>
  <si>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</si>
  <si>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</si>
  <si>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</si>
  <si>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</si>
  <si>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</si>
  <si>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</si>
  <si>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</si>
  <si>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</si>
  <si>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</si>
  <si>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</si>
  <si>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</si>
  <si>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</si>
  <si>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</si>
  <si>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</si>
  <si>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</si>
  <si>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</si>
  <si>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</si>
  <si>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</si>
  <si>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</si>
  <si>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</si>
  <si>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</si>
  <si>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</si>
  <si>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</si>
  <si>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</si>
  <si>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</si>
  <si>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</si>
  <si>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</si>
  <si>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</si>
  <si>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</si>
  <si>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</si>
  <si>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</si>
  <si>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</si>
  <si>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</si>
  <si>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</si>
  <si>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</si>
  <si>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</si>
  <si>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</si>
  <si>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</si>
  <si>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</si>
  <si>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</si>
  <si>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</si>
  <si>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</si>
  <si>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</si>
  <si>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</si>
  <si>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</si>
  <si>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</si>
  <si>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</si>
  <si>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</si>
  <si>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</si>
  <si>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</si>
  <si>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</si>
  <si>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</si>
  <si>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</si>
  <si>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</si>
  <si>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</si>
  <si>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</si>
  <si>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</si>
  <si>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</si>
  <si>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</si>
  <si>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</si>
  <si>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</si>
  <si>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</si>
  <si>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</si>
  <si>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</si>
  <si>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</si>
  <si>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</si>
  <si>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</si>
  <si>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</si>
  <si>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</si>
  <si>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</si>
  <si>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</si>
  <si>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</si>
  <si>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</si>
  <si>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</si>
  <si>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</si>
  <si>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</si>
  <si>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</si>
  <si>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</si>
  <si>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</si>
  <si>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</si>
  <si>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</si>
  <si>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</si>
  <si>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</si>
  <si>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</si>
  <si>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</si>
  <si>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</si>
  <si>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</si>
  <si>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</si>
  <si>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</si>
  <si>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</si>
  <si>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</si>
  <si>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</si>
  <si>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</si>
  <si>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</si>
  <si>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</si>
  <si>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</si>
  <si>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</si>
  <si>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</si>
  <si>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</si>
  <si>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</si>
  <si>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</si>
  <si>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</si>
  <si>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</si>
  <si>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</si>
  <si>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</si>
  <si>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</si>
  <si>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</si>
  <si>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</si>
  <si>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</si>
  <si>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</si>
  <si>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</si>
  <si>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</si>
  <si>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</si>
  <si>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</si>
  <si>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</si>
  <si>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</si>
  <si>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</si>
  <si>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</si>
  <si>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</si>
  <si>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</si>
  <si>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</si>
  <si>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</si>
  <si>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</si>
  <si>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</si>
  <si>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</si>
  <si>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</si>
  <si>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</si>
  <si>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</si>
  <si>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</si>
  <si>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</si>
  <si>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</si>
  <si>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</si>
  <si>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</si>
  <si>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</si>
  <si>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</si>
  <si>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</si>
  <si>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</si>
  <si>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</si>
  <si>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</si>
  <si>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</si>
  <si>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</si>
  <si>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</si>
  <si>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</si>
  <si>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</si>
  <si>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</si>
  <si>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</si>
  <si>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</si>
  <si>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</si>
  <si>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</si>
  <si>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</si>
  <si>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</si>
  <si>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</si>
  <si>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</si>
  <si>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</si>
  <si>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</si>
  <si>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</si>
  <si>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</si>
  <si>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</si>
  <si>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</si>
  <si>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</si>
  <si>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</si>
  <si>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</si>
  <si>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</si>
  <si>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</si>
  <si>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</si>
  <si>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</si>
  <si>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</si>
  <si>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</si>
  <si>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</si>
  <si>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</si>
  <si>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</si>
  <si>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</si>
  <si>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</si>
  <si>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</si>
  <si>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</si>
  <si>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</si>
  <si>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</si>
  <si>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</si>
  <si>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</si>
  <si>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</si>
  <si>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</si>
  <si>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</si>
  <si>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</si>
  <si>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</si>
  <si>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</si>
  <si>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</si>
  <si>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</si>
  <si>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</si>
  <si>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</si>
  <si>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</si>
  <si>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</si>
  <si>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</si>
  <si>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</si>
  <si>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</si>
  <si>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</si>
  <si>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</si>
  <si>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</si>
  <si>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</si>
  <si>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 от 28,09,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</si>
</sst>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899</v>
      </c>
      <c r="I5" s="1001"/>
      <c r="J5" s="1001"/>
      <c r="K5" s="1001"/>
      <c r="L5" s="1001"/>
      <c r="M5" s="1001"/>
      <c r="N5" s="72"/>
      <c r="P5" s="27" t="s">
        <v>4</v>
      </c>
      <c r="Q5" s="1003">
        <v>46294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Вторник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0.41666666666666669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898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300</v>
      </c>
      <c r="Y433" s="55">
        <f t="shared" si="68"/>
        <v>300</v>
      </c>
      <c r="Z433" s="41">
        <f>IFERROR(IF(Y433=0,"",ROUNDUP(Y433/H433,0)*0.02175),"")</f>
        <v>0.43499999999999994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309.39999999999998</v>
      </c>
      <c r="BN433" s="78">
        <f t="shared" si="70"/>
        <v>309.39999999999998</v>
      </c>
      <c r="BO433" s="78">
        <f t="shared" si="71"/>
        <v>0.41666666666666663</v>
      </c>
      <c r="BP433" s="78">
        <f t="shared" si="72"/>
        <v>0.41666666666666663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200</v>
      </c>
      <c r="Y434" s="55">
        <f t="shared" si="68"/>
        <v>210</v>
      </c>
      <c r="Z434" s="41">
        <f>IFERROR(IF(Y434=0,"",ROUNDUP(Y434/H434,0)*0.02175),"")</f>
        <v>0.30449999999999999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206.26666666666668</v>
      </c>
      <c r="BN434" s="78">
        <f t="shared" si="70"/>
        <v>216.58</v>
      </c>
      <c r="BO434" s="78">
        <f t="shared" si="71"/>
        <v>0.27777777777777779</v>
      </c>
      <c r="BP434" s="78">
        <f t="shared" si="72"/>
        <v>0.29166666666666663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300</v>
      </c>
      <c r="Y435" s="55">
        <f t="shared" si="68"/>
        <v>300</v>
      </c>
      <c r="Z435" s="41">
        <f>IFERROR(IF(Y435=0,"",ROUNDUP(Y435/H435,0)*0.02175),"")</f>
        <v>0.43499999999999994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309.39999999999998</v>
      </c>
      <c r="BN435" s="78">
        <f t="shared" si="70"/>
        <v>309.39999999999998</v>
      </c>
      <c r="BO435" s="78">
        <f t="shared" si="71"/>
        <v>0.41666666666666663</v>
      </c>
      <c r="BP435" s="78">
        <f t="shared" si="72"/>
        <v>0.41666666666666663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200</v>
      </c>
      <c r="Y436" s="55">
        <f t="shared" si="68"/>
        <v>210</v>
      </c>
      <c r="Z436" s="41">
        <f>IFERROR(IF(Y436=0,"",ROUNDUP(Y436/H436,0)*0.02175),"")</f>
        <v>0.30449999999999999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206.26666666666668</v>
      </c>
      <c r="BN436" s="78">
        <f t="shared" si="70"/>
        <v>216.58</v>
      </c>
      <c r="BO436" s="78">
        <f t="shared" si="71"/>
        <v>0.27777777777777779</v>
      </c>
      <c r="BP436" s="78">
        <f t="shared" si="72"/>
        <v>0.29166666666666663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66.666666666666671</v>
      </c>
      <c r="Y440" s="43">
        <f>IFERROR(Y432/H432,"0")+IFERROR(Y433/H433,"0")+IFERROR(Y434/H434,"0")+IFERROR(Y435/H435,"0")+IFERROR(Y436/H436,"0")+IFERROR(Y437/H437,"0")+IFERROR(Y438/H438,"0")+IFERROR(Y439/H439,"0")</f>
        <v>68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1.4789999999999999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1000</v>
      </c>
      <c r="Y441" s="43">
        <f>IFERROR(SUM(Y432:Y439),"0")</f>
        <v>1020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200</v>
      </c>
      <c r="Y443" s="55">
        <f>IFERROR(IF(X443="",0,CEILING((X443/$H443),1)*$H443),"")</f>
        <v>210</v>
      </c>
      <c r="Z443" s="41">
        <f>IFERROR(IF(Y443=0,"",ROUNDUP(Y443/H443,0)*0.02175),"")</f>
        <v>0.30449999999999999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206.26666666666668</v>
      </c>
      <c r="BN443" s="78">
        <f>IFERROR(Y443*I443/H443,"0")</f>
        <v>216.58</v>
      </c>
      <c r="BO443" s="78">
        <f>IFERROR(1/J443*(X443/H443),"0")</f>
        <v>0.27777777777777779</v>
      </c>
      <c r="BP443" s="78">
        <f>IFERROR(1/J443*(Y443/H443),"0")</f>
        <v>0.29166666666666663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13.333333333333334</v>
      </c>
      <c r="Y446" s="43">
        <f>IFERROR(Y443/H443,"0")+IFERROR(Y444/H444,"0")+IFERROR(Y445/H445,"0")</f>
        <v>14</v>
      </c>
      <c r="Z446" s="43">
        <f>IFERROR(IF(Z443="",0,Z443),"0")+IFERROR(IF(Z444="",0,Z444),"0")+IFERROR(IF(Z445="",0,Z445),"0")</f>
        <v>0.30449999999999999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200</v>
      </c>
      <c r="Y447" s="43">
        <f>IFERROR(SUM(Y443:Y445),"0")</f>
        <v>210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1200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1230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1237.5999999999999</v>
      </c>
      <c r="Y561" s="43">
        <f>IFERROR(SUM(BN22:BN557),"0")</f>
        <v>1268.54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2</v>
      </c>
      <c r="Y562" s="44">
        <f>ROUNDUP(SUM(BP22:BP557),0)</f>
        <v>2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1287.5999999999999</v>
      </c>
      <c r="Y563" s="43">
        <f>GrossWeightTotalR+PalletQtyTotalR*25</f>
        <v>1318.54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80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82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1.7834999999999999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1230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237,60"/>
        <filter val="1 287,60"/>
        <filter val="13,33"/>
        <filter val="2"/>
        <filter val="200,00"/>
        <filter val="300,00"/>
        <filter val="66,67"/>
        <filter val="8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2026-09-29T07:24:29Z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