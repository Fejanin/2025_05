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5E4E89C-79F4-4E02-9846-42582E9D9D0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Y527" i="1"/>
  <c r="BN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N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N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N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N478" i="1"/>
  <c r="BM478" i="1"/>
  <c r="Y478" i="1"/>
  <c r="BP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O460" i="1"/>
  <c r="BN460" i="1"/>
  <c r="BM460" i="1"/>
  <c r="Y460" i="1"/>
  <c r="BP460" i="1" s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N431" i="1" s="1"/>
  <c r="P431" i="1"/>
  <c r="X427" i="1"/>
  <c r="X426" i="1"/>
  <c r="BO425" i="1"/>
  <c r="BM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Y419" i="1"/>
  <c r="X419" i="1"/>
  <c r="BO418" i="1"/>
  <c r="BN418" i="1"/>
  <c r="BM418" i="1"/>
  <c r="Y418" i="1"/>
  <c r="BP418" i="1" s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N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N397" i="1"/>
  <c r="BM397" i="1"/>
  <c r="Y397" i="1"/>
  <c r="BP397" i="1" s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N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N379" i="1"/>
  <c r="BM379" i="1"/>
  <c r="Y379" i="1"/>
  <c r="BP379" i="1" s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N375" i="1"/>
  <c r="BM375" i="1"/>
  <c r="Y375" i="1"/>
  <c r="BP375" i="1" s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BO358" i="1"/>
  <c r="BM358" i="1"/>
  <c r="Y358" i="1"/>
  <c r="BN358" i="1" s="1"/>
  <c r="P358" i="1"/>
  <c r="BO357" i="1"/>
  <c r="BM357" i="1"/>
  <c r="Y357" i="1"/>
  <c r="P357" i="1"/>
  <c r="X354" i="1"/>
  <c r="X353" i="1"/>
  <c r="BO352" i="1"/>
  <c r="BM352" i="1"/>
  <c r="Y352" i="1"/>
  <c r="P352" i="1"/>
  <c r="BO351" i="1"/>
  <c r="BM351" i="1"/>
  <c r="Y351" i="1"/>
  <c r="P351" i="1"/>
  <c r="X349" i="1"/>
  <c r="X348" i="1"/>
  <c r="BO347" i="1"/>
  <c r="BN347" i="1"/>
  <c r="BM347" i="1"/>
  <c r="Y347" i="1"/>
  <c r="BP347" i="1" s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N343" i="1"/>
  <c r="BM343" i="1"/>
  <c r="Y343" i="1"/>
  <c r="BP343" i="1" s="1"/>
  <c r="P343" i="1"/>
  <c r="X340" i="1"/>
  <c r="X339" i="1"/>
  <c r="BO338" i="1"/>
  <c r="BN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BN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P298" i="1"/>
  <c r="BO297" i="1"/>
  <c r="BN297" i="1"/>
  <c r="BM297" i="1"/>
  <c r="Y297" i="1"/>
  <c r="BP297" i="1" s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N287" i="1"/>
  <c r="BM287" i="1"/>
  <c r="Y287" i="1"/>
  <c r="BP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O283" i="1"/>
  <c r="BN283" i="1"/>
  <c r="BM283" i="1"/>
  <c r="Y283" i="1"/>
  <c r="BP283" i="1" s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N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M261" i="1"/>
  <c r="Z261" i="1"/>
  <c r="Y261" i="1"/>
  <c r="BN261" i="1" s="1"/>
  <c r="P261" i="1"/>
  <c r="X258" i="1"/>
  <c r="Y257" i="1"/>
  <c r="X257" i="1"/>
  <c r="BO256" i="1"/>
  <c r="BN256" i="1"/>
  <c r="BM256" i="1"/>
  <c r="Y256" i="1"/>
  <c r="Y258" i="1" s="1"/>
  <c r="P256" i="1"/>
  <c r="X254" i="1"/>
  <c r="X253" i="1"/>
  <c r="BO252" i="1"/>
  <c r="BM252" i="1"/>
  <c r="Y252" i="1"/>
  <c r="BN252" i="1" s="1"/>
  <c r="P252" i="1"/>
  <c r="BO251" i="1"/>
  <c r="BM251" i="1"/>
  <c r="Y251" i="1"/>
  <c r="P251" i="1"/>
  <c r="BO250" i="1"/>
  <c r="BM250" i="1"/>
  <c r="Y250" i="1"/>
  <c r="Y254" i="1" s="1"/>
  <c r="P250" i="1"/>
  <c r="X248" i="1"/>
  <c r="X247" i="1"/>
  <c r="BP246" i="1"/>
  <c r="BO246" i="1"/>
  <c r="BM246" i="1"/>
  <c r="Z246" i="1"/>
  <c r="Y246" i="1"/>
  <c r="BN246" i="1" s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O242" i="1"/>
  <c r="BM242" i="1"/>
  <c r="Y242" i="1"/>
  <c r="BN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N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N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N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M220" i="1"/>
  <c r="Z220" i="1"/>
  <c r="Y220" i="1"/>
  <c r="BN220" i="1" s="1"/>
  <c r="P220" i="1"/>
  <c r="X218" i="1"/>
  <c r="Y217" i="1"/>
  <c r="X217" i="1"/>
  <c r="BO216" i="1"/>
  <c r="BN216" i="1"/>
  <c r="BM216" i="1"/>
  <c r="Y216" i="1"/>
  <c r="BP216" i="1" s="1"/>
  <c r="P216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N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N205" i="1"/>
  <c r="BM205" i="1"/>
  <c r="Y205" i="1"/>
  <c r="BP205" i="1" s="1"/>
  <c r="P205" i="1"/>
  <c r="X201" i="1"/>
  <c r="X200" i="1"/>
  <c r="BP199" i="1"/>
  <c r="BO199" i="1"/>
  <c r="BM199" i="1"/>
  <c r="Z199" i="1"/>
  <c r="Z200" i="1" s="1"/>
  <c r="Y199" i="1"/>
  <c r="Y201" i="1" s="1"/>
  <c r="P199" i="1"/>
  <c r="X197" i="1"/>
  <c r="Y196" i="1"/>
  <c r="X196" i="1"/>
  <c r="BO195" i="1"/>
  <c r="BN195" i="1"/>
  <c r="BM195" i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BN189" i="1" s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P183" i="1"/>
  <c r="BO183" i="1"/>
  <c r="BM183" i="1"/>
  <c r="Z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N175" i="1"/>
  <c r="BM175" i="1"/>
  <c r="Y175" i="1"/>
  <c r="BP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BP166" i="1" s="1"/>
  <c r="P166" i="1"/>
  <c r="BO165" i="1"/>
  <c r="BN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X160" i="1"/>
  <c r="X159" i="1"/>
  <c r="BO158" i="1"/>
  <c r="BM158" i="1"/>
  <c r="Y158" i="1"/>
  <c r="Y160" i="1" s="1"/>
  <c r="P158" i="1"/>
  <c r="X156" i="1"/>
  <c r="X155" i="1"/>
  <c r="BP154" i="1"/>
  <c r="BO154" i="1"/>
  <c r="BM154" i="1"/>
  <c r="Z154" i="1"/>
  <c r="Y154" i="1"/>
  <c r="BN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N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1" i="1"/>
  <c r="X140" i="1"/>
  <c r="BO139" i="1"/>
  <c r="BN139" i="1"/>
  <c r="BM139" i="1"/>
  <c r="Y139" i="1"/>
  <c r="BP139" i="1" s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BP133" i="1" s="1"/>
  <c r="P133" i="1"/>
  <c r="X130" i="1"/>
  <c r="X129" i="1"/>
  <c r="BO128" i="1"/>
  <c r="BM128" i="1"/>
  <c r="Y128" i="1"/>
  <c r="Y130" i="1" s="1"/>
  <c r="P128" i="1"/>
  <c r="X126" i="1"/>
  <c r="X125" i="1"/>
  <c r="BO124" i="1"/>
  <c r="BM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P116" i="1"/>
  <c r="BO116" i="1"/>
  <c r="BM116" i="1"/>
  <c r="Z116" i="1"/>
  <c r="Y116" i="1"/>
  <c r="BN116" i="1" s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N95" i="1"/>
  <c r="BM95" i="1"/>
  <c r="Y95" i="1"/>
  <c r="BP95" i="1" s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N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BN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M76" i="1"/>
  <c r="Z76" i="1"/>
  <c r="Y76" i="1"/>
  <c r="BN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N68" i="1"/>
  <c r="BM68" i="1"/>
  <c r="Z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N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P31" i="1"/>
  <c r="BO31" i="1"/>
  <c r="BM31" i="1"/>
  <c r="Z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X561" i="1" s="1"/>
  <c r="BM22" i="1"/>
  <c r="Y22" i="1"/>
  <c r="P22" i="1"/>
  <c r="H10" i="1"/>
  <c r="A9" i="1"/>
  <c r="F10" i="1" s="1"/>
  <c r="D7" i="1"/>
  <c r="Q6" i="1"/>
  <c r="P2" i="1"/>
  <c r="X563" i="1" l="1"/>
  <c r="Z27" i="1"/>
  <c r="BP27" i="1"/>
  <c r="Z39" i="1"/>
  <c r="BP39" i="1"/>
  <c r="Z82" i="1"/>
  <c r="BP82" i="1"/>
  <c r="Z124" i="1"/>
  <c r="BP124" i="1"/>
  <c r="Z150" i="1"/>
  <c r="BP150" i="1"/>
  <c r="Z179" i="1"/>
  <c r="BP179" i="1"/>
  <c r="Z189" i="1"/>
  <c r="BP189" i="1"/>
  <c r="Z209" i="1"/>
  <c r="BP209" i="1"/>
  <c r="Z232" i="1"/>
  <c r="BP232" i="1"/>
  <c r="Z242" i="1"/>
  <c r="BP242" i="1"/>
  <c r="Z252" i="1"/>
  <c r="BP252" i="1"/>
  <c r="Z291" i="1"/>
  <c r="BP291" i="1"/>
  <c r="Z331" i="1"/>
  <c r="BP331" i="1"/>
  <c r="Z358" i="1"/>
  <c r="BP358" i="1"/>
  <c r="Z431" i="1"/>
  <c r="BP431" i="1"/>
  <c r="Z443" i="1"/>
  <c r="BP443" i="1"/>
  <c r="Z527" i="1"/>
  <c r="BP527" i="1"/>
  <c r="B569" i="1"/>
  <c r="Z47" i="1"/>
  <c r="Z60" i="1"/>
  <c r="Z89" i="1"/>
  <c r="Z139" i="1"/>
  <c r="Z175" i="1"/>
  <c r="Z195" i="1"/>
  <c r="Z196" i="1" s="1"/>
  <c r="BP195" i="1"/>
  <c r="BN199" i="1"/>
  <c r="Y200" i="1"/>
  <c r="Z205" i="1"/>
  <c r="Z216" i="1"/>
  <c r="Z217" i="1" s="1"/>
  <c r="Z228" i="1"/>
  <c r="Z238" i="1"/>
  <c r="Z256" i="1"/>
  <c r="Z257" i="1" s="1"/>
  <c r="BP256" i="1"/>
  <c r="Z275" i="1"/>
  <c r="Z287" i="1"/>
  <c r="Z297" i="1"/>
  <c r="Z327" i="1"/>
  <c r="Z338" i="1"/>
  <c r="Z347" i="1"/>
  <c r="Z367" i="1"/>
  <c r="Z379" i="1"/>
  <c r="Z397" i="1"/>
  <c r="Z418" i="1"/>
  <c r="Z460" i="1"/>
  <c r="Z482" i="1"/>
  <c r="Z523" i="1"/>
  <c r="Z95" i="1"/>
  <c r="Z108" i="1"/>
  <c r="Z165" i="1"/>
  <c r="Z271" i="1"/>
  <c r="Z283" i="1"/>
  <c r="Z306" i="1"/>
  <c r="Z343" i="1"/>
  <c r="Z375" i="1"/>
  <c r="Z387" i="1"/>
  <c r="Z405" i="1"/>
  <c r="Z478" i="1"/>
  <c r="Z497" i="1"/>
  <c r="Z511" i="1"/>
  <c r="Y253" i="1"/>
  <c r="BP293" i="1"/>
  <c r="BN293" i="1"/>
  <c r="Z293" i="1"/>
  <c r="BP308" i="1"/>
  <c r="BN308" i="1"/>
  <c r="Z308" i="1"/>
  <c r="BP336" i="1"/>
  <c r="BN336" i="1"/>
  <c r="Z336" i="1"/>
  <c r="BP351" i="1"/>
  <c r="BN351" i="1"/>
  <c r="Z351" i="1"/>
  <c r="BP369" i="1"/>
  <c r="BN369" i="1"/>
  <c r="Z369" i="1"/>
  <c r="BP385" i="1"/>
  <c r="BN385" i="1"/>
  <c r="Z385" i="1"/>
  <c r="BP399" i="1"/>
  <c r="BN399" i="1"/>
  <c r="Z399" i="1"/>
  <c r="BP425" i="1"/>
  <c r="BN425" i="1"/>
  <c r="Z425" i="1"/>
  <c r="BP437" i="1"/>
  <c r="BN437" i="1"/>
  <c r="Z437" i="1"/>
  <c r="BP470" i="1"/>
  <c r="BN470" i="1"/>
  <c r="Z470" i="1"/>
  <c r="BP486" i="1"/>
  <c r="BN486" i="1"/>
  <c r="Z486" i="1"/>
  <c r="BP509" i="1"/>
  <c r="BN509" i="1"/>
  <c r="Z509" i="1"/>
  <c r="BP525" i="1"/>
  <c r="BN525" i="1"/>
  <c r="Z525" i="1"/>
  <c r="X560" i="1"/>
  <c r="X562" i="1" s="1"/>
  <c r="Z23" i="1"/>
  <c r="BN23" i="1"/>
  <c r="X559" i="1"/>
  <c r="Y33" i="1"/>
  <c r="Z29" i="1"/>
  <c r="BN29" i="1"/>
  <c r="Z37" i="1"/>
  <c r="BN37" i="1"/>
  <c r="Z41" i="1"/>
  <c r="BN41" i="1"/>
  <c r="Z49" i="1"/>
  <c r="BN49" i="1"/>
  <c r="E569" i="1"/>
  <c r="Z58" i="1"/>
  <c r="BN58" i="1"/>
  <c r="Z62" i="1"/>
  <c r="BN62" i="1"/>
  <c r="Y72" i="1"/>
  <c r="Z70" i="1"/>
  <c r="BN70" i="1"/>
  <c r="Z80" i="1"/>
  <c r="BN80" i="1"/>
  <c r="BP80" i="1"/>
  <c r="Z87" i="1"/>
  <c r="BN87" i="1"/>
  <c r="Z91" i="1"/>
  <c r="BN91" i="1"/>
  <c r="Y99" i="1"/>
  <c r="Z97" i="1"/>
  <c r="BN97" i="1"/>
  <c r="G569" i="1"/>
  <c r="Z106" i="1"/>
  <c r="BN106" i="1"/>
  <c r="Z110" i="1"/>
  <c r="BN110" i="1"/>
  <c r="Y118" i="1"/>
  <c r="Z122" i="1"/>
  <c r="BN122" i="1"/>
  <c r="Z128" i="1"/>
  <c r="Z129" i="1" s="1"/>
  <c r="BN128" i="1"/>
  <c r="BP128" i="1"/>
  <c r="Y129" i="1"/>
  <c r="Z133" i="1"/>
  <c r="BN133" i="1"/>
  <c r="Z143" i="1"/>
  <c r="BN143" i="1"/>
  <c r="BP143" i="1"/>
  <c r="I569" i="1"/>
  <c r="Z152" i="1"/>
  <c r="BN152" i="1"/>
  <c r="Z158" i="1"/>
  <c r="Z159" i="1" s="1"/>
  <c r="BN158" i="1"/>
  <c r="BP158" i="1"/>
  <c r="Y159" i="1"/>
  <c r="Z163" i="1"/>
  <c r="Z167" i="1" s="1"/>
  <c r="BN163" i="1"/>
  <c r="Z171" i="1"/>
  <c r="BN171" i="1"/>
  <c r="Y187" i="1"/>
  <c r="Z177" i="1"/>
  <c r="BN177" i="1"/>
  <c r="Z181" i="1"/>
  <c r="BN181" i="1"/>
  <c r="Z185" i="1"/>
  <c r="BN185" i="1"/>
  <c r="Z191" i="1"/>
  <c r="BN191" i="1"/>
  <c r="Z207" i="1"/>
  <c r="BN207" i="1"/>
  <c r="Z211" i="1"/>
  <c r="BN211" i="1"/>
  <c r="Z222" i="1"/>
  <c r="BN222" i="1"/>
  <c r="Z226" i="1"/>
  <c r="BN226" i="1"/>
  <c r="Z230" i="1"/>
  <c r="BN230" i="1"/>
  <c r="Z234" i="1"/>
  <c r="BN234" i="1"/>
  <c r="Y248" i="1"/>
  <c r="Z240" i="1"/>
  <c r="BN240" i="1"/>
  <c r="Z244" i="1"/>
  <c r="BN244" i="1"/>
  <c r="Z250" i="1"/>
  <c r="BN250" i="1"/>
  <c r="BP250" i="1"/>
  <c r="Z267" i="1"/>
  <c r="BN267" i="1"/>
  <c r="Y279" i="1"/>
  <c r="Z273" i="1"/>
  <c r="BN273" i="1"/>
  <c r="Z277" i="1"/>
  <c r="BN277" i="1"/>
  <c r="Z285" i="1"/>
  <c r="BN285" i="1"/>
  <c r="Z289" i="1"/>
  <c r="BN289" i="1"/>
  <c r="BP304" i="1"/>
  <c r="BN304" i="1"/>
  <c r="Z304" i="1"/>
  <c r="BP329" i="1"/>
  <c r="BN329" i="1"/>
  <c r="Z329" i="1"/>
  <c r="Y339" i="1"/>
  <c r="BP345" i="1"/>
  <c r="BN345" i="1"/>
  <c r="Z345" i="1"/>
  <c r="BP365" i="1"/>
  <c r="BN365" i="1"/>
  <c r="Z365" i="1"/>
  <c r="BP377" i="1"/>
  <c r="BN377" i="1"/>
  <c r="Z377" i="1"/>
  <c r="Y395" i="1"/>
  <c r="BP391" i="1"/>
  <c r="BN391" i="1"/>
  <c r="Z391" i="1"/>
  <c r="BP411" i="1"/>
  <c r="BN411" i="1"/>
  <c r="Z411" i="1"/>
  <c r="BP433" i="1"/>
  <c r="BN433" i="1"/>
  <c r="Z433" i="1"/>
  <c r="BP449" i="1"/>
  <c r="BN449" i="1"/>
  <c r="Z449" i="1"/>
  <c r="BP480" i="1"/>
  <c r="BN480" i="1"/>
  <c r="Z480" i="1"/>
  <c r="BP505" i="1"/>
  <c r="BN505" i="1"/>
  <c r="Z505" i="1"/>
  <c r="BP517" i="1"/>
  <c r="BN517" i="1"/>
  <c r="Z517" i="1"/>
  <c r="BP551" i="1"/>
  <c r="BN551" i="1"/>
  <c r="Z551" i="1"/>
  <c r="AC569" i="1"/>
  <c r="Y557" i="1"/>
  <c r="BP556" i="1"/>
  <c r="BN556" i="1"/>
  <c r="Z556" i="1"/>
  <c r="Z557" i="1" s="1"/>
  <c r="Y299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19" i="1"/>
  <c r="Y125" i="1"/>
  <c r="Y136" i="1"/>
  <c r="Y140" i="1"/>
  <c r="Y146" i="1"/>
  <c r="Y155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62" i="1"/>
  <c r="BN262" i="1"/>
  <c r="Z262" i="1"/>
  <c r="Z263" i="1" s="1"/>
  <c r="Y264" i="1"/>
  <c r="Y269" i="1"/>
  <c r="BP266" i="1"/>
  <c r="BN266" i="1"/>
  <c r="Z266" i="1"/>
  <c r="Z268" i="1" s="1"/>
  <c r="BP274" i="1"/>
  <c r="BN274" i="1"/>
  <c r="Z274" i="1"/>
  <c r="BP278" i="1"/>
  <c r="BN278" i="1"/>
  <c r="Z278" i="1"/>
  <c r="Y280" i="1"/>
  <c r="Y295" i="1"/>
  <c r="Y294" i="1"/>
  <c r="BP282" i="1"/>
  <c r="BN282" i="1"/>
  <c r="Z282" i="1"/>
  <c r="BP286" i="1"/>
  <c r="BN286" i="1"/>
  <c r="Z286" i="1"/>
  <c r="BP305" i="1"/>
  <c r="BN305" i="1"/>
  <c r="Z305" i="1"/>
  <c r="BP309" i="1"/>
  <c r="BN309" i="1"/>
  <c r="Z309" i="1"/>
  <c r="Y311" i="1"/>
  <c r="Y314" i="1"/>
  <c r="BP313" i="1"/>
  <c r="BN313" i="1"/>
  <c r="Z313" i="1"/>
  <c r="Z314" i="1" s="1"/>
  <c r="Y315" i="1"/>
  <c r="Y318" i="1"/>
  <c r="BP317" i="1"/>
  <c r="BN317" i="1"/>
  <c r="Z317" i="1"/>
  <c r="Z318" i="1" s="1"/>
  <c r="Y319" i="1"/>
  <c r="Y322" i="1"/>
  <c r="BP321" i="1"/>
  <c r="BN321" i="1"/>
  <c r="Z321" i="1"/>
  <c r="Z322" i="1" s="1"/>
  <c r="Y323" i="1"/>
  <c r="Y333" i="1"/>
  <c r="BP326" i="1"/>
  <c r="BN326" i="1"/>
  <c r="Z326" i="1"/>
  <c r="Y332" i="1"/>
  <c r="BP330" i="1"/>
  <c r="BN330" i="1"/>
  <c r="Z330" i="1"/>
  <c r="BP398" i="1"/>
  <c r="BN398" i="1"/>
  <c r="Z398" i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P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2" i="1" s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9" i="1"/>
  <c r="Z88" i="1"/>
  <c r="BN88" i="1"/>
  <c r="Z90" i="1"/>
  <c r="BN90" i="1"/>
  <c r="Y93" i="1"/>
  <c r="Z96" i="1"/>
  <c r="BN96" i="1"/>
  <c r="Z98" i="1"/>
  <c r="BN98" i="1"/>
  <c r="Z103" i="1"/>
  <c r="Z112" i="1" s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Z118" i="1" s="1"/>
  <c r="BN115" i="1"/>
  <c r="BP115" i="1"/>
  <c r="Z117" i="1"/>
  <c r="BN117" i="1"/>
  <c r="Z121" i="1"/>
  <c r="BN121" i="1"/>
  <c r="BP121" i="1"/>
  <c r="Z123" i="1"/>
  <c r="BN123" i="1"/>
  <c r="H569" i="1"/>
  <c r="Z134" i="1"/>
  <c r="BN134" i="1"/>
  <c r="Y135" i="1"/>
  <c r="Z138" i="1"/>
  <c r="Z140" i="1" s="1"/>
  <c r="BN138" i="1"/>
  <c r="BP138" i="1"/>
  <c r="Z144" i="1"/>
  <c r="BN144" i="1"/>
  <c r="Z149" i="1"/>
  <c r="BN149" i="1"/>
  <c r="BP149" i="1"/>
  <c r="Z151" i="1"/>
  <c r="BN151" i="1"/>
  <c r="Z153" i="1"/>
  <c r="BN153" i="1"/>
  <c r="Y156" i="1"/>
  <c r="J569" i="1"/>
  <c r="Y167" i="1"/>
  <c r="Z164" i="1"/>
  <c r="BN164" i="1"/>
  <c r="Z166" i="1"/>
  <c r="BN166" i="1"/>
  <c r="Y172" i="1"/>
  <c r="BP176" i="1"/>
  <c r="BN176" i="1"/>
  <c r="Z176" i="1"/>
  <c r="BP180" i="1"/>
  <c r="BN180" i="1"/>
  <c r="Z180" i="1"/>
  <c r="BP184" i="1"/>
  <c r="BN184" i="1"/>
  <c r="Z184" i="1"/>
  <c r="Y193" i="1"/>
  <c r="Y192" i="1"/>
  <c r="BP206" i="1"/>
  <c r="BN206" i="1"/>
  <c r="Z206" i="1"/>
  <c r="BP210" i="1"/>
  <c r="BN210" i="1"/>
  <c r="Z210" i="1"/>
  <c r="Z212" i="1" s="1"/>
  <c r="Y236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Y268" i="1"/>
  <c r="BP272" i="1"/>
  <c r="BN272" i="1"/>
  <c r="Z272" i="1"/>
  <c r="BP276" i="1"/>
  <c r="BN276" i="1"/>
  <c r="Z276" i="1"/>
  <c r="BP284" i="1"/>
  <c r="BN284" i="1"/>
  <c r="Z284" i="1"/>
  <c r="BP288" i="1"/>
  <c r="BN288" i="1"/>
  <c r="Z288" i="1"/>
  <c r="BP292" i="1"/>
  <c r="BN292" i="1"/>
  <c r="Z292" i="1"/>
  <c r="BP344" i="1"/>
  <c r="BN344" i="1"/>
  <c r="Z344" i="1"/>
  <c r="Y348" i="1"/>
  <c r="BP352" i="1"/>
  <c r="BN352" i="1"/>
  <c r="Z352" i="1"/>
  <c r="Z353" i="1" s="1"/>
  <c r="Y354" i="1"/>
  <c r="S569" i="1"/>
  <c r="Y360" i="1"/>
  <c r="BP357" i="1"/>
  <c r="BN357" i="1"/>
  <c r="Z357" i="1"/>
  <c r="Y36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K569" i="1"/>
  <c r="Y213" i="1"/>
  <c r="L569" i="1"/>
  <c r="Y218" i="1"/>
  <c r="M569" i="1"/>
  <c r="Y263" i="1"/>
  <c r="BP290" i="1"/>
  <c r="BN290" i="1"/>
  <c r="Z290" i="1"/>
  <c r="BP298" i="1"/>
  <c r="BN298" i="1"/>
  <c r="Z298" i="1"/>
  <c r="Z299" i="1" s="1"/>
  <c r="Y300" i="1"/>
  <c r="O569" i="1"/>
  <c r="Y310" i="1"/>
  <c r="BP303" i="1"/>
  <c r="BN303" i="1"/>
  <c r="Z303" i="1"/>
  <c r="BP307" i="1"/>
  <c r="BN307" i="1"/>
  <c r="Z307" i="1"/>
  <c r="BP328" i="1"/>
  <c r="BN328" i="1"/>
  <c r="Z328" i="1"/>
  <c r="BP337" i="1"/>
  <c r="BN337" i="1"/>
  <c r="Z337" i="1"/>
  <c r="BP346" i="1"/>
  <c r="BN346" i="1"/>
  <c r="Z346" i="1"/>
  <c r="Y353" i="1"/>
  <c r="BP359" i="1"/>
  <c r="BN359" i="1"/>
  <c r="Z359" i="1"/>
  <c r="T569" i="1"/>
  <c r="Y371" i="1"/>
  <c r="BP364" i="1"/>
  <c r="BN364" i="1"/>
  <c r="Z364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Q569" i="1"/>
  <c r="Y340" i="1"/>
  <c r="R569" i="1"/>
  <c r="Y349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253" i="1" l="1"/>
  <c r="Z339" i="1"/>
  <c r="Z348" i="1"/>
  <c r="Z135" i="1"/>
  <c r="Z439" i="1"/>
  <c r="Z99" i="1"/>
  <c r="Z32" i="1"/>
  <c r="Z401" i="1"/>
  <c r="Z247" i="1"/>
  <c r="Z186" i="1"/>
  <c r="Z145" i="1"/>
  <c r="Z92" i="1"/>
  <c r="Z51" i="1"/>
  <c r="Z42" i="1"/>
  <c r="Z235" i="1"/>
  <c r="Z529" i="1"/>
  <c r="Z472" i="1"/>
  <c r="Z451" i="1"/>
  <c r="Z381" i="1"/>
  <c r="Z360" i="1"/>
  <c r="Y561" i="1"/>
  <c r="Z332" i="1"/>
  <c r="Y563" i="1"/>
  <c r="Z513" i="1"/>
  <c r="Z483" i="1"/>
  <c r="Z499" i="1"/>
  <c r="Z407" i="1"/>
  <c r="Z371" i="1"/>
  <c r="Z310" i="1"/>
  <c r="Z279" i="1"/>
  <c r="Z155" i="1"/>
  <c r="Z125" i="1"/>
  <c r="Y559" i="1"/>
  <c r="Y560" i="1"/>
  <c r="Y562" i="1" s="1"/>
  <c r="Z413" i="1"/>
  <c r="Z294" i="1"/>
  <c r="Z564" i="1" l="1"/>
</calcChain>
</file>

<file path=xl/sharedStrings.xml><?xml version="1.0" encoding="utf-8"?>
<sst xmlns="http://schemas.openxmlformats.org/spreadsheetml/2006/main" count="2540" uniqueCount="905">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</sst>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5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80"/>
      <c r="F1" s="680"/>
      <c r="G1" s="12" t="s">
        <v>1</v>
      </c>
      <c r="H1" s="721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4" t="s">
        <v>8</v>
      </c>
      <c r="B5" s="697"/>
      <c r="C5" s="698"/>
      <c r="D5" s="728"/>
      <c r="E5" s="729"/>
      <c r="F5" s="963" t="s">
        <v>9</v>
      </c>
      <c r="G5" s="698"/>
      <c r="H5" s="728" t="s">
        <v>904</v>
      </c>
      <c r="I5" s="891"/>
      <c r="J5" s="891"/>
      <c r="K5" s="891"/>
      <c r="L5" s="891"/>
      <c r="M5" s="729"/>
      <c r="N5" s="58"/>
      <c r="P5" s="24" t="s">
        <v>10</v>
      </c>
      <c r="Q5" s="982">
        <v>46293</v>
      </c>
      <c r="R5" s="761"/>
      <c r="T5" s="828" t="s">
        <v>11</v>
      </c>
      <c r="U5" s="829"/>
      <c r="V5" s="831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4" t="s">
        <v>13</v>
      </c>
      <c r="B6" s="697"/>
      <c r="C6" s="698"/>
      <c r="D6" s="895" t="s">
        <v>882</v>
      </c>
      <c r="E6" s="896"/>
      <c r="F6" s="896"/>
      <c r="G6" s="896"/>
      <c r="H6" s="896"/>
      <c r="I6" s="896"/>
      <c r="J6" s="896"/>
      <c r="K6" s="896"/>
      <c r="L6" s="896"/>
      <c r="M6" s="761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53"/>
      <c r="T6" s="857" t="s">
        <v>15</v>
      </c>
      <c r="U6" s="829"/>
      <c r="V6" s="958" t="s">
        <v>16</v>
      </c>
      <c r="W6" s="72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5" t="str">
        <f>IFERROR(VLOOKUP(DeliveryAddress,Table,3,0),1)</f>
        <v>4</v>
      </c>
      <c r="E7" s="706"/>
      <c r="F7" s="706"/>
      <c r="G7" s="706"/>
      <c r="H7" s="706"/>
      <c r="I7" s="706"/>
      <c r="J7" s="706"/>
      <c r="K7" s="706"/>
      <c r="L7" s="706"/>
      <c r="M7" s="707"/>
      <c r="N7" s="60"/>
      <c r="P7" s="24"/>
      <c r="Q7" s="42"/>
      <c r="R7" s="42"/>
      <c r="T7" s="655"/>
      <c r="U7" s="829"/>
      <c r="V7" s="959"/>
      <c r="W7" s="960"/>
      <c r="AB7" s="51"/>
      <c r="AC7" s="51"/>
      <c r="AD7" s="51"/>
      <c r="AE7" s="51"/>
    </row>
    <row r="8" spans="1:32" s="637" customFormat="1" ht="25.5" customHeight="1" x14ac:dyDescent="0.2">
      <c r="A8" s="1002" t="s">
        <v>17</v>
      </c>
      <c r="B8" s="650"/>
      <c r="C8" s="651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71">
        <v>0.41666666666666669</v>
      </c>
      <c r="R8" s="707"/>
      <c r="T8" s="655"/>
      <c r="U8" s="829"/>
      <c r="V8" s="959"/>
      <c r="W8" s="960"/>
      <c r="AB8" s="51"/>
      <c r="AC8" s="51"/>
      <c r="AD8" s="51"/>
      <c r="AE8" s="51"/>
    </row>
    <row r="9" spans="1:32" s="637" customFormat="1" ht="39.950000000000003" customHeight="1" x14ac:dyDescent="0.2">
      <c r="A9" s="7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87"/>
      <c r="E9" s="657"/>
      <c r="F9" s="7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5"/>
      <c r="P9" s="26" t="s">
        <v>19</v>
      </c>
      <c r="Q9" s="758"/>
      <c r="R9" s="759"/>
      <c r="T9" s="655"/>
      <c r="U9" s="829"/>
      <c r="V9" s="961"/>
      <c r="W9" s="96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87"/>
      <c r="E10" s="657"/>
      <c r="F10" s="7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71" t="str">
        <f>IFERROR(VLOOKUP($D$10,Proxy,2,FALSE),"")</f>
        <v/>
      </c>
      <c r="I10" s="655"/>
      <c r="J10" s="655"/>
      <c r="K10" s="655"/>
      <c r="L10" s="655"/>
      <c r="M10" s="655"/>
      <c r="N10" s="636"/>
      <c r="P10" s="26" t="s">
        <v>20</v>
      </c>
      <c r="Q10" s="858"/>
      <c r="R10" s="859"/>
      <c r="U10" s="24" t="s">
        <v>21</v>
      </c>
      <c r="V10" s="722" t="s">
        <v>22</v>
      </c>
      <c r="W10" s="72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6" t="s">
        <v>26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6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1"/>
      <c r="R12" s="707"/>
      <c r="S12" s="23"/>
      <c r="U12" s="24"/>
      <c r="V12" s="680"/>
      <c r="W12" s="655"/>
      <c r="AB12" s="51"/>
      <c r="AC12" s="51"/>
      <c r="AD12" s="51"/>
      <c r="AE12" s="51"/>
    </row>
    <row r="13" spans="1:32" s="637" customFormat="1" ht="23.25" customHeight="1" x14ac:dyDescent="0.2">
      <c r="A13" s="816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16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6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64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798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9"/>
      <c r="Q16" s="799"/>
      <c r="R16" s="799"/>
      <c r="S16" s="799"/>
      <c r="T16" s="79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34</v>
      </c>
      <c r="B17" s="694" t="s">
        <v>35</v>
      </c>
      <c r="C17" s="782" t="s">
        <v>36</v>
      </c>
      <c r="D17" s="694" t="s">
        <v>37</v>
      </c>
      <c r="E17" s="774"/>
      <c r="F17" s="694" t="s">
        <v>38</v>
      </c>
      <c r="G17" s="694" t="s">
        <v>39</v>
      </c>
      <c r="H17" s="694" t="s">
        <v>40</v>
      </c>
      <c r="I17" s="694" t="s">
        <v>41</v>
      </c>
      <c r="J17" s="694" t="s">
        <v>42</v>
      </c>
      <c r="K17" s="694" t="s">
        <v>43</v>
      </c>
      <c r="L17" s="694" t="s">
        <v>44</v>
      </c>
      <c r="M17" s="694" t="s">
        <v>45</v>
      </c>
      <c r="N17" s="694" t="s">
        <v>46</v>
      </c>
      <c r="O17" s="694" t="s">
        <v>47</v>
      </c>
      <c r="P17" s="694" t="s">
        <v>48</v>
      </c>
      <c r="Q17" s="773"/>
      <c r="R17" s="773"/>
      <c r="S17" s="773"/>
      <c r="T17" s="774"/>
      <c r="U17" s="1014" t="s">
        <v>49</v>
      </c>
      <c r="V17" s="698"/>
      <c r="W17" s="694" t="s">
        <v>50</v>
      </c>
      <c r="X17" s="694" t="s">
        <v>51</v>
      </c>
      <c r="Y17" s="1018" t="s">
        <v>52</v>
      </c>
      <c r="Z17" s="885" t="s">
        <v>53</v>
      </c>
      <c r="AA17" s="869" t="s">
        <v>54</v>
      </c>
      <c r="AB17" s="869" t="s">
        <v>55</v>
      </c>
      <c r="AC17" s="869" t="s">
        <v>56</v>
      </c>
      <c r="AD17" s="869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95"/>
      <c r="B18" s="695"/>
      <c r="C18" s="695"/>
      <c r="D18" s="775"/>
      <c r="E18" s="777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75"/>
      <c r="Q18" s="776"/>
      <c r="R18" s="776"/>
      <c r="S18" s="776"/>
      <c r="T18" s="777"/>
      <c r="U18" s="67" t="s">
        <v>59</v>
      </c>
      <c r="V18" s="67" t="s">
        <v>60</v>
      </c>
      <c r="W18" s="695"/>
      <c r="X18" s="695"/>
      <c r="Y18" s="1019"/>
      <c r="Z18" s="886"/>
      <c r="AA18" s="870"/>
      <c r="AB18" s="870"/>
      <c r="AC18" s="870"/>
      <c r="AD18" s="955"/>
      <c r="AE18" s="956"/>
      <c r="AF18" s="957"/>
      <c r="AG18" s="66"/>
      <c r="BD18" s="65"/>
    </row>
    <row r="19" spans="1:68" ht="27.75" hidden="1" customHeight="1" x14ac:dyDescent="0.2">
      <c r="A19" s="647" t="s">
        <v>61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668" t="s">
        <v>61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8"/>
      <c r="AB20" s="638"/>
      <c r="AC20" s="638"/>
    </row>
    <row r="21" spans="1:68" ht="14.25" hidden="1" customHeight="1" x14ac:dyDescent="0.25">
      <c r="A21" s="654" t="s">
        <v>62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2">
        <v>4680115886643</v>
      </c>
      <c r="E22" s="653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2">
        <v>4680115889071</v>
      </c>
      <c r="E23" s="653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66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66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4" t="s">
        <v>74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2">
        <v>4680115885912</v>
      </c>
      <c r="E27" s="653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2">
        <v>4607091388237</v>
      </c>
      <c r="E28" s="653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2">
        <v>4680115887350</v>
      </c>
      <c r="E29" s="653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4"/>
      <c r="V29" s="34"/>
      <c r="W29" s="35" t="s">
        <v>67</v>
      </c>
      <c r="X29" s="643">
        <v>45</v>
      </c>
      <c r="Y29" s="644">
        <f>IFERROR(IF(X29="",0,CEILING((X29/$H29),1)*$H29),"")</f>
        <v>45</v>
      </c>
      <c r="Z29" s="36">
        <f>IFERROR(IF(Y29=0,"",ROUNDUP(Y29/H29,0)*0.00651),"")</f>
        <v>0.16275000000000001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79.5</v>
      </c>
      <c r="BN29" s="64">
        <f>IFERROR(Y29*I29/H29,"0")</f>
        <v>79.5</v>
      </c>
      <c r="BO29" s="64">
        <f>IFERROR(1/J29*(X29/H29),"0")</f>
        <v>0.13736263736263737</v>
      </c>
      <c r="BP29" s="64">
        <f>IFERROR(1/J29*(Y29/H29),"0")</f>
        <v>0.13736263736263737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2">
        <v>4680115885905</v>
      </c>
      <c r="E30" s="653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2">
        <v>4680115887619</v>
      </c>
      <c r="E31" s="653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66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25</v>
      </c>
      <c r="Y32" s="645">
        <f>IFERROR(Y27/H27,"0")+IFERROR(Y28/H28,"0")+IFERROR(Y29/H29,"0")+IFERROR(Y30/H30,"0")+IFERROR(Y31/H31,"0")</f>
        <v>25</v>
      </c>
      <c r="Z32" s="645">
        <f>IFERROR(IF(Z27="",0,Z27),"0")+IFERROR(IF(Z28="",0,Z28),"0")+IFERROR(IF(Z29="",0,Z29),"0")+IFERROR(IF(Z30="",0,Z30),"0")+IFERROR(IF(Z31="",0,Z31),"0")</f>
        <v>0.16275000000000001</v>
      </c>
      <c r="AA32" s="646"/>
      <c r="AB32" s="646"/>
      <c r="AC32" s="646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66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45</v>
      </c>
      <c r="Y33" s="645">
        <f>IFERROR(SUM(Y27:Y31),"0")</f>
        <v>45</v>
      </c>
      <c r="Z33" s="37"/>
      <c r="AA33" s="646"/>
      <c r="AB33" s="646"/>
      <c r="AC33" s="646"/>
    </row>
    <row r="34" spans="1:68" ht="27.75" hidden="1" customHeight="1" x14ac:dyDescent="0.2">
      <c r="A34" s="647" t="s">
        <v>92</v>
      </c>
      <c r="B34" s="648"/>
      <c r="C34" s="648"/>
      <c r="D34" s="648"/>
      <c r="E34" s="648"/>
      <c r="F34" s="648"/>
      <c r="G34" s="648"/>
      <c r="H34" s="648"/>
      <c r="I34" s="648"/>
      <c r="J34" s="648"/>
      <c r="K34" s="648"/>
      <c r="L34" s="648"/>
      <c r="M34" s="648"/>
      <c r="N34" s="648"/>
      <c r="O34" s="648"/>
      <c r="P34" s="648"/>
      <c r="Q34" s="648"/>
      <c r="R34" s="648"/>
      <c r="S34" s="648"/>
      <c r="T34" s="648"/>
      <c r="U34" s="648"/>
      <c r="V34" s="648"/>
      <c r="W34" s="648"/>
      <c r="X34" s="648"/>
      <c r="Y34" s="648"/>
      <c r="Z34" s="648"/>
      <c r="AA34" s="48"/>
      <c r="AB34" s="48"/>
      <c r="AC34" s="48"/>
    </row>
    <row r="35" spans="1:68" ht="16.5" hidden="1" customHeight="1" x14ac:dyDescent="0.25">
      <c r="A35" s="668" t="s">
        <v>93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8"/>
      <c r="AB35" s="638"/>
      <c r="AC35" s="638"/>
    </row>
    <row r="36" spans="1:68" ht="14.25" hidden="1" customHeight="1" x14ac:dyDescent="0.25">
      <c r="A36" s="654" t="s">
        <v>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2">
        <v>4680115889354</v>
      </c>
      <c r="E37" s="653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2">
        <v>4680115888463</v>
      </c>
      <c r="E38" s="653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2">
        <v>4680115889590</v>
      </c>
      <c r="E39" s="653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9"/>
      <c r="R39" s="659"/>
      <c r="S39" s="659"/>
      <c r="T39" s="660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2">
        <v>4680115888272</v>
      </c>
      <c r="E40" s="653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2">
        <v>4680115888364</v>
      </c>
      <c r="E41" s="653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66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66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47" t="s">
        <v>109</v>
      </c>
      <c r="B44" s="648"/>
      <c r="C44" s="648"/>
      <c r="D44" s="648"/>
      <c r="E44" s="648"/>
      <c r="F44" s="648"/>
      <c r="G44" s="648"/>
      <c r="H44" s="648"/>
      <c r="I44" s="648"/>
      <c r="J44" s="648"/>
      <c r="K44" s="648"/>
      <c r="L44" s="648"/>
      <c r="M44" s="648"/>
      <c r="N44" s="648"/>
      <c r="O44" s="648"/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48"/>
      <c r="AB44" s="48"/>
      <c r="AC44" s="48"/>
    </row>
    <row r="45" spans="1:68" ht="16.5" hidden="1" customHeight="1" x14ac:dyDescent="0.25">
      <c r="A45" s="668" t="s">
        <v>110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38"/>
      <c r="AB45" s="638"/>
      <c r="AC45" s="638"/>
    </row>
    <row r="46" spans="1:68" ht="14.25" hidden="1" customHeight="1" x14ac:dyDescent="0.25">
      <c r="A46" s="654" t="s">
        <v>111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2">
        <v>4607091385670</v>
      </c>
      <c r="E47" s="653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4"/>
      <c r="V47" s="34"/>
      <c r="W47" s="35" t="s">
        <v>67</v>
      </c>
      <c r="X47" s="643">
        <v>1436</v>
      </c>
      <c r="Y47" s="644">
        <f>IFERROR(IF(X47="",0,CEILING((X47/$H47),1)*$H47),"")</f>
        <v>1436.4</v>
      </c>
      <c r="Z47" s="36">
        <f>IFERROR(IF(Y47=0,"",ROUNDUP(Y47/H47,0)*0.01898),"")</f>
        <v>2.52434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1490.5148148148148</v>
      </c>
      <c r="BN47" s="64">
        <f>IFERROR(Y47*I47/H47,"0")</f>
        <v>1490.93</v>
      </c>
      <c r="BO47" s="64">
        <f>IFERROR(1/J47*(X47/H47),"0")</f>
        <v>2.0775462962962963</v>
      </c>
      <c r="BP47" s="64">
        <f>IFERROR(1/J47*(Y47/H47),"0")</f>
        <v>2.078125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2">
        <v>4680115887725</v>
      </c>
      <c r="E48" s="653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2">
        <v>4607091385687</v>
      </c>
      <c r="E49" s="653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2">
        <v>4680115882539</v>
      </c>
      <c r="E50" s="653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4"/>
      <c r="V50" s="34"/>
      <c r="W50" s="35" t="s">
        <v>67</v>
      </c>
      <c r="X50" s="643">
        <v>91</v>
      </c>
      <c r="Y50" s="644">
        <f>IFERROR(IF(X50="",0,CEILING((X50/$H50),1)*$H50),"")</f>
        <v>92.5</v>
      </c>
      <c r="Z50" s="36">
        <f>IFERROR(IF(Y50=0,"",ROUNDUP(Y50/H50,0)*0.00902),"")</f>
        <v>0.22550000000000001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95.672972972972971</v>
      </c>
      <c r="BN50" s="64">
        <f>IFERROR(Y50*I50/H50,"0")</f>
        <v>97.249999999999986</v>
      </c>
      <c r="BO50" s="64">
        <f>IFERROR(1/J50*(X50/H50),"0")</f>
        <v>0.18632268632268631</v>
      </c>
      <c r="BP50" s="64">
        <f>IFERROR(1/J50*(Y50/H50),"0")</f>
        <v>0.18939393939393939</v>
      </c>
    </row>
    <row r="51" spans="1:68" x14ac:dyDescent="0.2">
      <c r="A51" s="66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66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157.55755755755754</v>
      </c>
      <c r="Y51" s="645">
        <f>IFERROR(Y47/H47,"0")+IFERROR(Y48/H48,"0")+IFERROR(Y49/H49,"0")+IFERROR(Y50/H50,"0")</f>
        <v>158</v>
      </c>
      <c r="Z51" s="645">
        <f>IFERROR(IF(Z47="",0,Z47),"0")+IFERROR(IF(Z48="",0,Z48),"0")+IFERROR(IF(Z49="",0,Z49),"0")+IFERROR(IF(Z50="",0,Z50),"0")</f>
        <v>2.7498399999999998</v>
      </c>
      <c r="AA51" s="646"/>
      <c r="AB51" s="646"/>
      <c r="AC51" s="646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66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1527</v>
      </c>
      <c r="Y52" s="645">
        <f>IFERROR(SUM(Y47:Y50),"0")</f>
        <v>1528.9</v>
      </c>
      <c r="Z52" s="37"/>
      <c r="AA52" s="646"/>
      <c r="AB52" s="646"/>
      <c r="AC52" s="646"/>
    </row>
    <row r="53" spans="1:68" ht="16.5" hidden="1" customHeight="1" x14ac:dyDescent="0.25">
      <c r="A53" s="668" t="s">
        <v>126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38"/>
      <c r="AB53" s="638"/>
      <c r="AC53" s="638"/>
    </row>
    <row r="54" spans="1:68" ht="14.25" hidden="1" customHeight="1" x14ac:dyDescent="0.25">
      <c r="A54" s="654" t="s">
        <v>111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2">
        <v>4680115885882</v>
      </c>
      <c r="E55" s="653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9"/>
      <c r="R55" s="659"/>
      <c r="S55" s="659"/>
      <c r="T55" s="660"/>
      <c r="U55" s="34"/>
      <c r="V55" s="34"/>
      <c r="W55" s="35" t="s">
        <v>67</v>
      </c>
      <c r="X55" s="643">
        <v>345</v>
      </c>
      <c r="Y55" s="644">
        <f t="shared" ref="Y55:Y63" si="0">IFERROR(IF(X55="",0,CEILING((X55/$H55),1)*$H55),"")</f>
        <v>347.2</v>
      </c>
      <c r="Z55" s="36">
        <f>IFERROR(IF(Y55=0,"",ROUNDUP(Y55/H55,0)*0.01898),"")</f>
        <v>0.58838000000000001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357.62946428571428</v>
      </c>
      <c r="BN55" s="64">
        <f t="shared" ref="BN55:BN63" si="2">IFERROR(Y55*I55/H55,"0")</f>
        <v>359.91</v>
      </c>
      <c r="BO55" s="64">
        <f t="shared" ref="BO55:BO63" si="3">IFERROR(1/J55*(X55/H55),"0")</f>
        <v>0.4813058035714286</v>
      </c>
      <c r="BP55" s="64">
        <f t="shared" ref="BP55:BP63" si="4">IFERROR(1/J55*(Y55/H55),"0")</f>
        <v>0.484375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2">
        <v>4680115881426</v>
      </c>
      <c r="E56" s="653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9"/>
      <c r="R56" s="659"/>
      <c r="S56" s="659"/>
      <c r="T56" s="660"/>
      <c r="U56" s="34"/>
      <c r="V56" s="34"/>
      <c r="W56" s="35" t="s">
        <v>67</v>
      </c>
      <c r="X56" s="643">
        <v>198</v>
      </c>
      <c r="Y56" s="644">
        <f t="shared" si="0"/>
        <v>205.20000000000002</v>
      </c>
      <c r="Z56" s="36">
        <f>IFERROR(IF(Y56=0,"",ROUNDUP(Y56/H56,0)*0.01898),"")</f>
        <v>0.36062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205.51666666666668</v>
      </c>
      <c r="BN56" s="64">
        <f t="shared" si="2"/>
        <v>212.99</v>
      </c>
      <c r="BO56" s="64">
        <f t="shared" si="3"/>
        <v>0.28645833333333331</v>
      </c>
      <c r="BP56" s="64">
        <f t="shared" si="4"/>
        <v>0.296875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2">
        <v>4680115881426</v>
      </c>
      <c r="E57" s="653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9"/>
      <c r="R57" s="659"/>
      <c r="S57" s="659"/>
      <c r="T57" s="660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2">
        <v>4680115880283</v>
      </c>
      <c r="E58" s="653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9"/>
      <c r="R58" s="659"/>
      <c r="S58" s="659"/>
      <c r="T58" s="660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52">
        <v>4680115881525</v>
      </c>
      <c r="E59" s="653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9"/>
      <c r="R59" s="659"/>
      <c r="S59" s="659"/>
      <c r="T59" s="660"/>
      <c r="U59" s="34"/>
      <c r="V59" s="34"/>
      <c r="W59" s="35" t="s">
        <v>67</v>
      </c>
      <c r="X59" s="643">
        <v>50</v>
      </c>
      <c r="Y59" s="644">
        <f t="shared" si="0"/>
        <v>52</v>
      </c>
      <c r="Z59" s="36">
        <f>IFERROR(IF(Y59=0,"",ROUNDUP(Y59/H59,0)*0.00902),"")</f>
        <v>0.11726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52.375000000000007</v>
      </c>
      <c r="BN59" s="64">
        <f t="shared" si="2"/>
        <v>54.470000000000006</v>
      </c>
      <c r="BO59" s="64">
        <f t="shared" si="3"/>
        <v>9.4696969696969696E-2</v>
      </c>
      <c r="BP59" s="64">
        <f t="shared" si="4"/>
        <v>9.8484848484848481E-2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2">
        <v>4680115881525</v>
      </c>
      <c r="E60" s="653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9"/>
      <c r="R60" s="659"/>
      <c r="S60" s="659"/>
      <c r="T60" s="660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2">
        <v>4680115885899</v>
      </c>
      <c r="E61" s="653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52">
        <v>4680115881419</v>
      </c>
      <c r="E62" s="653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2">
        <v>4680115881419</v>
      </c>
      <c r="E63" s="653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814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9"/>
      <c r="R63" s="659"/>
      <c r="S63" s="659"/>
      <c r="T63" s="660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6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66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61.636904761904759</v>
      </c>
      <c r="Y64" s="645">
        <f>IFERROR(Y55/H55,"0")+IFERROR(Y56/H56,"0")+IFERROR(Y57/H57,"0")+IFERROR(Y58/H58,"0")+IFERROR(Y59/H59,"0")+IFERROR(Y60/H60,"0")+IFERROR(Y61/H61,"0")+IFERROR(Y62/H62,"0")+IFERROR(Y63/H63,"0")</f>
        <v>63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1.06626</v>
      </c>
      <c r="AA64" s="646"/>
      <c r="AB64" s="646"/>
      <c r="AC64" s="646"/>
    </row>
    <row r="65" spans="1:68" x14ac:dyDescent="0.2">
      <c r="A65" s="655"/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66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593</v>
      </c>
      <c r="Y65" s="645">
        <f>IFERROR(SUM(Y55:Y63),"0")</f>
        <v>604.4</v>
      </c>
      <c r="Z65" s="37"/>
      <c r="AA65" s="646"/>
      <c r="AB65" s="646"/>
      <c r="AC65" s="646"/>
    </row>
    <row r="66" spans="1:68" ht="14.25" hidden="1" customHeight="1" x14ac:dyDescent="0.25">
      <c r="A66" s="654" t="s">
        <v>148</v>
      </c>
      <c r="B66" s="655"/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52">
        <v>4680115881440</v>
      </c>
      <c r="E67" s="653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9"/>
      <c r="R67" s="659"/>
      <c r="S67" s="659"/>
      <c r="T67" s="660"/>
      <c r="U67" s="34"/>
      <c r="V67" s="34"/>
      <c r="W67" s="35" t="s">
        <v>67</v>
      </c>
      <c r="X67" s="643">
        <v>311</v>
      </c>
      <c r="Y67" s="644">
        <f>IFERROR(IF(X67="",0,CEILING((X67/$H67),1)*$H67),"")</f>
        <v>313.20000000000005</v>
      </c>
      <c r="Z67" s="36">
        <f>IFERROR(IF(Y67=0,"",ROUNDUP(Y67/H67,0)*0.01898),"")</f>
        <v>0.55042000000000002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322.80648148148151</v>
      </c>
      <c r="BN67" s="64">
        <f>IFERROR(Y67*I67/H67,"0")</f>
        <v>325.09000000000003</v>
      </c>
      <c r="BO67" s="64">
        <f>IFERROR(1/J67*(X67/H67),"0")</f>
        <v>0.44994212962962959</v>
      </c>
      <c r="BP67" s="64">
        <f>IFERROR(1/J67*(Y67/H67),"0")</f>
        <v>0.45312500000000006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2">
        <v>4680115881440</v>
      </c>
      <c r="E68" s="653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9"/>
      <c r="R68" s="659"/>
      <c r="S68" s="659"/>
      <c r="T68" s="660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2">
        <v>4680115885950</v>
      </c>
      <c r="E69" s="653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9"/>
      <c r="R69" s="659"/>
      <c r="S69" s="659"/>
      <c r="T69" s="660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2">
        <v>4680115887688</v>
      </c>
      <c r="E70" s="653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9"/>
      <c r="R70" s="659"/>
      <c r="S70" s="659"/>
      <c r="T70" s="660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2">
        <v>4680115881433</v>
      </c>
      <c r="E71" s="653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9"/>
      <c r="R71" s="659"/>
      <c r="S71" s="659"/>
      <c r="T71" s="660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65"/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66"/>
      <c r="P72" s="649" t="s">
        <v>72</v>
      </c>
      <c r="Q72" s="650"/>
      <c r="R72" s="650"/>
      <c r="S72" s="650"/>
      <c r="T72" s="650"/>
      <c r="U72" s="650"/>
      <c r="V72" s="651"/>
      <c r="W72" s="37" t="s">
        <v>73</v>
      </c>
      <c r="X72" s="645">
        <f>IFERROR(X67/H67,"0")+IFERROR(X68/H68,"0")+IFERROR(X69/H69,"0")+IFERROR(X70/H70,"0")+IFERROR(X71/H71,"0")</f>
        <v>28.796296296296294</v>
      </c>
      <c r="Y72" s="645">
        <f>IFERROR(Y67/H67,"0")+IFERROR(Y68/H68,"0")+IFERROR(Y69/H69,"0")+IFERROR(Y70/H70,"0")+IFERROR(Y71/H71,"0")</f>
        <v>29.000000000000004</v>
      </c>
      <c r="Z72" s="645">
        <f>IFERROR(IF(Z67="",0,Z67),"0")+IFERROR(IF(Z68="",0,Z68),"0")+IFERROR(IF(Z69="",0,Z69),"0")+IFERROR(IF(Z70="",0,Z70),"0")+IFERROR(IF(Z71="",0,Z71),"0")</f>
        <v>0.55042000000000002</v>
      </c>
      <c r="AA72" s="646"/>
      <c r="AB72" s="646"/>
      <c r="AC72" s="646"/>
    </row>
    <row r="73" spans="1:68" x14ac:dyDescent="0.2">
      <c r="A73" s="655"/>
      <c r="B73" s="655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66"/>
      <c r="P73" s="649" t="s">
        <v>72</v>
      </c>
      <c r="Q73" s="650"/>
      <c r="R73" s="650"/>
      <c r="S73" s="650"/>
      <c r="T73" s="650"/>
      <c r="U73" s="650"/>
      <c r="V73" s="651"/>
      <c r="W73" s="37" t="s">
        <v>67</v>
      </c>
      <c r="X73" s="645">
        <f>IFERROR(SUM(X67:X71),"0")</f>
        <v>311</v>
      </c>
      <c r="Y73" s="645">
        <f>IFERROR(SUM(Y67:Y71),"0")</f>
        <v>313.20000000000005</v>
      </c>
      <c r="Z73" s="37"/>
      <c r="AA73" s="646"/>
      <c r="AB73" s="646"/>
      <c r="AC73" s="646"/>
    </row>
    <row r="74" spans="1:68" ht="14.25" hidden="1" customHeight="1" x14ac:dyDescent="0.25">
      <c r="A74" s="654" t="s">
        <v>74</v>
      </c>
      <c r="B74" s="655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5"/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2">
        <v>4680115884311</v>
      </c>
      <c r="E75" s="653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9"/>
      <c r="R75" s="659"/>
      <c r="S75" s="659"/>
      <c r="T75" s="660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2">
        <v>4680115884403</v>
      </c>
      <c r="E76" s="653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3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9"/>
      <c r="R76" s="659"/>
      <c r="S76" s="659"/>
      <c r="T76" s="660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5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66"/>
      <c r="P77" s="649" t="s">
        <v>72</v>
      </c>
      <c r="Q77" s="650"/>
      <c r="R77" s="650"/>
      <c r="S77" s="650"/>
      <c r="T77" s="650"/>
      <c r="U77" s="650"/>
      <c r="V77" s="651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66"/>
      <c r="P78" s="649" t="s">
        <v>72</v>
      </c>
      <c r="Q78" s="650"/>
      <c r="R78" s="650"/>
      <c r="S78" s="650"/>
      <c r="T78" s="650"/>
      <c r="U78" s="650"/>
      <c r="V78" s="651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54" t="s">
        <v>167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9"/>
      <c r="AB79" s="639"/>
      <c r="AC79" s="6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652">
        <v>4680115881532</v>
      </c>
      <c r="E80" s="653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8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9"/>
      <c r="R80" s="659"/>
      <c r="S80" s="659"/>
      <c r="T80" s="660"/>
      <c r="U80" s="34"/>
      <c r="V80" s="34"/>
      <c r="W80" s="35" t="s">
        <v>67</v>
      </c>
      <c r="X80" s="643">
        <v>87</v>
      </c>
      <c r="Y80" s="644">
        <f>IFERROR(IF(X80="",0,CEILING((X80/$H80),1)*$H80),"")</f>
        <v>93.6</v>
      </c>
      <c r="Z80" s="36">
        <f>IFERROR(IF(Y80=0,"",ROUNDUP(Y80/H80,0)*0.01898),"")</f>
        <v>0.22776000000000002</v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91.57307692307694</v>
      </c>
      <c r="BN80" s="64">
        <f>IFERROR(Y80*I80/H80,"0")</f>
        <v>98.52000000000001</v>
      </c>
      <c r="BO80" s="64">
        <f>IFERROR(1/J80*(X80/H80),"0")</f>
        <v>0.17427884615384615</v>
      </c>
      <c r="BP80" s="64">
        <f>IFERROR(1/J80*(Y80/H80),"0")</f>
        <v>0.1875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2">
        <v>4680115881532</v>
      </c>
      <c r="E81" s="653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9"/>
      <c r="R81" s="659"/>
      <c r="S81" s="659"/>
      <c r="T81" s="660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2">
        <v>4680115881464</v>
      </c>
      <c r="E82" s="653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9"/>
      <c r="R82" s="659"/>
      <c r="S82" s="659"/>
      <c r="T82" s="660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6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66"/>
      <c r="P83" s="649" t="s">
        <v>72</v>
      </c>
      <c r="Q83" s="650"/>
      <c r="R83" s="650"/>
      <c r="S83" s="650"/>
      <c r="T83" s="650"/>
      <c r="U83" s="650"/>
      <c r="V83" s="651"/>
      <c r="W83" s="37" t="s">
        <v>73</v>
      </c>
      <c r="X83" s="645">
        <f>IFERROR(X80/H80,"0")+IFERROR(X81/H81,"0")+IFERROR(X82/H82,"0")</f>
        <v>11.153846153846153</v>
      </c>
      <c r="Y83" s="645">
        <f>IFERROR(Y80/H80,"0")+IFERROR(Y81/H81,"0")+IFERROR(Y82/H82,"0")</f>
        <v>12</v>
      </c>
      <c r="Z83" s="645">
        <f>IFERROR(IF(Z80="",0,Z80),"0")+IFERROR(IF(Z81="",0,Z81),"0")+IFERROR(IF(Z82="",0,Z82),"0")</f>
        <v>0.22776000000000002</v>
      </c>
      <c r="AA83" s="646"/>
      <c r="AB83" s="646"/>
      <c r="AC83" s="646"/>
    </row>
    <row r="84" spans="1:68" x14ac:dyDescent="0.2">
      <c r="A84" s="655"/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66"/>
      <c r="P84" s="649" t="s">
        <v>72</v>
      </c>
      <c r="Q84" s="650"/>
      <c r="R84" s="650"/>
      <c r="S84" s="650"/>
      <c r="T84" s="650"/>
      <c r="U84" s="650"/>
      <c r="V84" s="651"/>
      <c r="W84" s="37" t="s">
        <v>67</v>
      </c>
      <c r="X84" s="645">
        <f>IFERROR(SUM(X80:X82),"0")</f>
        <v>87</v>
      </c>
      <c r="Y84" s="645">
        <f>IFERROR(SUM(Y80:Y82),"0")</f>
        <v>93.6</v>
      </c>
      <c r="Z84" s="37"/>
      <c r="AA84" s="646"/>
      <c r="AB84" s="646"/>
      <c r="AC84" s="646"/>
    </row>
    <row r="85" spans="1:68" ht="16.5" hidden="1" customHeight="1" x14ac:dyDescent="0.25">
      <c r="A85" s="668" t="s">
        <v>175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8"/>
      <c r="AB85" s="638"/>
      <c r="AC85" s="638"/>
    </row>
    <row r="86" spans="1:68" ht="14.25" hidden="1" customHeight="1" x14ac:dyDescent="0.25">
      <c r="A86" s="654" t="s">
        <v>111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39"/>
      <c r="AB86" s="639"/>
      <c r="AC86" s="639"/>
    </row>
    <row r="87" spans="1:68" ht="27" customHeight="1" x14ac:dyDescent="0.25">
      <c r="A87" s="54" t="s">
        <v>176</v>
      </c>
      <c r="B87" s="54" t="s">
        <v>177</v>
      </c>
      <c r="C87" s="31">
        <v>4301011468</v>
      </c>
      <c r="D87" s="652">
        <v>4680115881327</v>
      </c>
      <c r="E87" s="653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4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9"/>
      <c r="R87" s="659"/>
      <c r="S87" s="659"/>
      <c r="T87" s="660"/>
      <c r="U87" s="34"/>
      <c r="V87" s="34"/>
      <c r="W87" s="35" t="s">
        <v>67</v>
      </c>
      <c r="X87" s="643">
        <v>296</v>
      </c>
      <c r="Y87" s="644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307.23703703703706</v>
      </c>
      <c r="BN87" s="64">
        <f>IFERROR(Y87*I87/H87,"0")</f>
        <v>313.88</v>
      </c>
      <c r="BO87" s="64">
        <f>IFERROR(1/J87*(X87/H87),"0")</f>
        <v>0.4282407407407407</v>
      </c>
      <c r="BP87" s="64">
        <f>IFERROR(1/J87*(Y87/H87),"0")</f>
        <v>0.4375</v>
      </c>
    </row>
    <row r="88" spans="1:68" ht="27" customHeight="1" x14ac:dyDescent="0.25">
      <c r="A88" s="54" t="s">
        <v>179</v>
      </c>
      <c r="B88" s="54" t="s">
        <v>180</v>
      </c>
      <c r="C88" s="31">
        <v>4301012392</v>
      </c>
      <c r="D88" s="652">
        <v>4680115887732</v>
      </c>
      <c r="E88" s="653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9"/>
      <c r="R88" s="659"/>
      <c r="S88" s="659"/>
      <c r="T88" s="660"/>
      <c r="U88" s="34"/>
      <c r="V88" s="34"/>
      <c r="W88" s="35" t="s">
        <v>67</v>
      </c>
      <c r="X88" s="643">
        <v>2</v>
      </c>
      <c r="Y88" s="644">
        <f>IFERROR(IF(X88="",0,CEILING((X88/$H88),1)*$H88),"")</f>
        <v>2.72</v>
      </c>
      <c r="Z88" s="36">
        <f>IFERROR(IF(Y88=0,"",ROUNDUP(Y88/H88,0)*0.00726),"")</f>
        <v>1.452E-2</v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2.2647058823529411</v>
      </c>
      <c r="BN88" s="64">
        <f>IFERROR(Y88*I88/H88,"0")</f>
        <v>3.08</v>
      </c>
      <c r="BO88" s="64">
        <f>IFERROR(1/J88*(X88/H88),"0")</f>
        <v>7.6593137254901949E-3</v>
      </c>
      <c r="BP88" s="64">
        <f>IFERROR(1/J88*(Y88/H88),"0")</f>
        <v>1.0416666666666666E-2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2">
        <v>4680115881518</v>
      </c>
      <c r="E89" s="653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9"/>
      <c r="R89" s="659"/>
      <c r="S89" s="659"/>
      <c r="T89" s="660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2">
        <v>4680115881518</v>
      </c>
      <c r="E90" s="653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6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9"/>
      <c r="R90" s="659"/>
      <c r="S90" s="659"/>
      <c r="T90" s="660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4301012250</v>
      </c>
      <c r="D91" s="652">
        <v>4680115881303</v>
      </c>
      <c r="E91" s="653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9"/>
      <c r="R91" s="659"/>
      <c r="S91" s="659"/>
      <c r="T91" s="660"/>
      <c r="U91" s="34"/>
      <c r="V91" s="34"/>
      <c r="W91" s="35" t="s">
        <v>67</v>
      </c>
      <c r="X91" s="643">
        <v>157</v>
      </c>
      <c r="Y91" s="644">
        <f>IFERROR(IF(X91="",0,CEILING((X91/$H91),1)*$H91),"")</f>
        <v>157.5</v>
      </c>
      <c r="Z91" s="36">
        <f>IFERROR(IF(Y91=0,"",ROUNDUP(Y91/H91,0)*0.00902),"")</f>
        <v>0.31569999999999998</v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163.62888888888889</v>
      </c>
      <c r="BN91" s="64">
        <f>IFERROR(Y91*I91/H91,"0")</f>
        <v>164.15</v>
      </c>
      <c r="BO91" s="64">
        <f>IFERROR(1/J91*(X91/H91),"0")</f>
        <v>0.26430976430976427</v>
      </c>
      <c r="BP91" s="64">
        <f>IFERROR(1/J91*(Y91/H91),"0")</f>
        <v>0.26515151515151514</v>
      </c>
    </row>
    <row r="92" spans="1:68" x14ac:dyDescent="0.2">
      <c r="A92" s="66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66"/>
      <c r="P92" s="649" t="s">
        <v>72</v>
      </c>
      <c r="Q92" s="650"/>
      <c r="R92" s="650"/>
      <c r="S92" s="650"/>
      <c r="T92" s="650"/>
      <c r="U92" s="650"/>
      <c r="V92" s="651"/>
      <c r="W92" s="37" t="s">
        <v>73</v>
      </c>
      <c r="X92" s="645">
        <f>IFERROR(X87/H87,"0")+IFERROR(X88/H88,"0")+IFERROR(X89/H89,"0")+IFERROR(X90/H90,"0")+IFERROR(X91/H91,"0")</f>
        <v>63.766884531590406</v>
      </c>
      <c r="Y92" s="645">
        <f>IFERROR(Y87/H87,"0")+IFERROR(Y88/H88,"0")+IFERROR(Y89/H89,"0")+IFERROR(Y90/H90,"0")+IFERROR(Y91/H91,"0")</f>
        <v>65</v>
      </c>
      <c r="Z92" s="645">
        <f>IFERROR(IF(Z87="",0,Z87),"0")+IFERROR(IF(Z88="",0,Z88),"0")+IFERROR(IF(Z89="",0,Z89),"0")+IFERROR(IF(Z90="",0,Z90),"0")+IFERROR(IF(Z91="",0,Z91),"0")</f>
        <v>0.86165999999999998</v>
      </c>
      <c r="AA92" s="646"/>
      <c r="AB92" s="646"/>
      <c r="AC92" s="646"/>
    </row>
    <row r="93" spans="1:68" x14ac:dyDescent="0.2">
      <c r="A93" s="655"/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66"/>
      <c r="P93" s="649" t="s">
        <v>72</v>
      </c>
      <c r="Q93" s="650"/>
      <c r="R93" s="650"/>
      <c r="S93" s="650"/>
      <c r="T93" s="650"/>
      <c r="U93" s="650"/>
      <c r="V93" s="651"/>
      <c r="W93" s="37" t="s">
        <v>67</v>
      </c>
      <c r="X93" s="645">
        <f>IFERROR(SUM(X87:X91),"0")</f>
        <v>455</v>
      </c>
      <c r="Y93" s="645">
        <f>IFERROR(SUM(Y87:Y91),"0")</f>
        <v>462.62000000000006</v>
      </c>
      <c r="Z93" s="37"/>
      <c r="AA93" s="646"/>
      <c r="AB93" s="646"/>
      <c r="AC93" s="646"/>
    </row>
    <row r="94" spans="1:68" ht="14.25" hidden="1" customHeight="1" x14ac:dyDescent="0.25">
      <c r="A94" s="654" t="s">
        <v>74</v>
      </c>
      <c r="B94" s="655"/>
      <c r="C94" s="655"/>
      <c r="D94" s="655"/>
      <c r="E94" s="655"/>
      <c r="F94" s="655"/>
      <c r="G94" s="655"/>
      <c r="H94" s="655"/>
      <c r="I94" s="655"/>
      <c r="J94" s="655"/>
      <c r="K94" s="655"/>
      <c r="L94" s="655"/>
      <c r="M94" s="655"/>
      <c r="N94" s="655"/>
      <c r="O94" s="655"/>
      <c r="P94" s="655"/>
      <c r="Q94" s="655"/>
      <c r="R94" s="655"/>
      <c r="S94" s="655"/>
      <c r="T94" s="655"/>
      <c r="U94" s="655"/>
      <c r="V94" s="655"/>
      <c r="W94" s="655"/>
      <c r="X94" s="655"/>
      <c r="Y94" s="655"/>
      <c r="Z94" s="655"/>
      <c r="AA94" s="639"/>
      <c r="AB94" s="639"/>
      <c r="AC94" s="639"/>
    </row>
    <row r="95" spans="1:68" ht="27" customHeight="1" x14ac:dyDescent="0.25">
      <c r="A95" s="54" t="s">
        <v>187</v>
      </c>
      <c r="B95" s="54" t="s">
        <v>188</v>
      </c>
      <c r="C95" s="31">
        <v>4301052101</v>
      </c>
      <c r="D95" s="652">
        <v>4607091386967</v>
      </c>
      <c r="E95" s="653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9"/>
      <c r="R95" s="659"/>
      <c r="S95" s="659"/>
      <c r="T95" s="660"/>
      <c r="U95" s="34"/>
      <c r="V95" s="34"/>
      <c r="W95" s="35" t="s">
        <v>67</v>
      </c>
      <c r="X95" s="643">
        <v>330</v>
      </c>
      <c r="Y95" s="644">
        <f>IFERROR(IF(X95="",0,CEILING((X95/$H95),1)*$H95),"")</f>
        <v>332.09999999999997</v>
      </c>
      <c r="Z95" s="36">
        <f>IFERROR(IF(Y95=0,"",ROUNDUP(Y95/H95,0)*0.01898),"")</f>
        <v>0.77817999999999998</v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350.12592592592591</v>
      </c>
      <c r="BN95" s="64">
        <f>IFERROR(Y95*I95/H95,"0")</f>
        <v>352.35399999999993</v>
      </c>
      <c r="BO95" s="64">
        <f>IFERROR(1/J95*(X95/H95),"0")</f>
        <v>0.63657407407407407</v>
      </c>
      <c r="BP95" s="64">
        <f>IFERROR(1/J95*(Y95/H95),"0")</f>
        <v>0.640625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2">
        <v>4680115884953</v>
      </c>
      <c r="E96" s="653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6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9"/>
      <c r="R96" s="659"/>
      <c r="S96" s="659"/>
      <c r="T96" s="660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4301052094</v>
      </c>
      <c r="D97" s="652">
        <v>4607091385731</v>
      </c>
      <c r="E97" s="653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9"/>
      <c r="R97" s="659"/>
      <c r="S97" s="659"/>
      <c r="T97" s="660"/>
      <c r="U97" s="34"/>
      <c r="V97" s="34"/>
      <c r="W97" s="35" t="s">
        <v>67</v>
      </c>
      <c r="X97" s="643">
        <v>153</v>
      </c>
      <c r="Y97" s="644">
        <f>IFERROR(IF(X97="",0,CEILING((X97/$H97),1)*$H97),"")</f>
        <v>153.9</v>
      </c>
      <c r="Z97" s="36">
        <f>IFERROR(IF(Y97=0,"",ROUNDUP(Y97/H97,0)*0.00651),"")</f>
        <v>0.37107000000000001</v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167.28</v>
      </c>
      <c r="BN97" s="64">
        <f>IFERROR(Y97*I97/H97,"0")</f>
        <v>168.26400000000001</v>
      </c>
      <c r="BO97" s="64">
        <f>IFERROR(1/J97*(X97/H97),"0")</f>
        <v>0.31135531135531136</v>
      </c>
      <c r="BP97" s="64">
        <f>IFERROR(1/J97*(Y97/H97),"0")</f>
        <v>0.31318681318681318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2">
        <v>4680115880894</v>
      </c>
      <c r="E98" s="653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9"/>
      <c r="R98" s="659"/>
      <c r="S98" s="659"/>
      <c r="T98" s="660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6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66"/>
      <c r="P99" s="649" t="s">
        <v>72</v>
      </c>
      <c r="Q99" s="650"/>
      <c r="R99" s="650"/>
      <c r="S99" s="650"/>
      <c r="T99" s="650"/>
      <c r="U99" s="650"/>
      <c r="V99" s="651"/>
      <c r="W99" s="37" t="s">
        <v>73</v>
      </c>
      <c r="X99" s="645">
        <f>IFERROR(X95/H95,"0")+IFERROR(X96/H96,"0")+IFERROR(X97/H97,"0")+IFERROR(X98/H98,"0")</f>
        <v>97.407407407407405</v>
      </c>
      <c r="Y99" s="645">
        <f>IFERROR(Y95/H95,"0")+IFERROR(Y96/H96,"0")+IFERROR(Y97/H97,"0")+IFERROR(Y98/H98,"0")</f>
        <v>98</v>
      </c>
      <c r="Z99" s="645">
        <f>IFERROR(IF(Z95="",0,Z95),"0")+IFERROR(IF(Z96="",0,Z96),"0")+IFERROR(IF(Z97="",0,Z97),"0")+IFERROR(IF(Z98="",0,Z98),"0")</f>
        <v>1.1492499999999999</v>
      </c>
      <c r="AA99" s="646"/>
      <c r="AB99" s="646"/>
      <c r="AC99" s="646"/>
    </row>
    <row r="100" spans="1:68" x14ac:dyDescent="0.2">
      <c r="A100" s="655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66"/>
      <c r="P100" s="649" t="s">
        <v>72</v>
      </c>
      <c r="Q100" s="650"/>
      <c r="R100" s="650"/>
      <c r="S100" s="650"/>
      <c r="T100" s="650"/>
      <c r="U100" s="650"/>
      <c r="V100" s="651"/>
      <c r="W100" s="37" t="s">
        <v>67</v>
      </c>
      <c r="X100" s="645">
        <f>IFERROR(SUM(X95:X98),"0")</f>
        <v>483</v>
      </c>
      <c r="Y100" s="645">
        <f>IFERROR(SUM(Y95:Y98),"0")</f>
        <v>486</v>
      </c>
      <c r="Z100" s="37"/>
      <c r="AA100" s="646"/>
      <c r="AB100" s="646"/>
      <c r="AC100" s="646"/>
    </row>
    <row r="101" spans="1:68" ht="16.5" hidden="1" customHeight="1" x14ac:dyDescent="0.25">
      <c r="A101" s="668" t="s">
        <v>198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38"/>
      <c r="AB101" s="638"/>
      <c r="AC101" s="638"/>
    </row>
    <row r="102" spans="1:68" ht="14.25" hidden="1" customHeight="1" x14ac:dyDescent="0.25">
      <c r="A102" s="654" t="s">
        <v>111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2">
        <v>4680115882133</v>
      </c>
      <c r="E103" s="653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9"/>
      <c r="R103" s="659"/>
      <c r="S103" s="659"/>
      <c r="T103" s="660"/>
      <c r="U103" s="34"/>
      <c r="V103" s="34"/>
      <c r="W103" s="35" t="s">
        <v>67</v>
      </c>
      <c r="X103" s="643">
        <v>421</v>
      </c>
      <c r="Y103" s="644">
        <f t="shared" ref="Y103:Y111" si="5">IFERROR(IF(X103="",0,CEILING((X103/$H103),1)*$H103),"")</f>
        <v>421.20000000000005</v>
      </c>
      <c r="Z103" s="36">
        <f>IFERROR(IF(Y103=0,"",ROUNDUP(Y103/H103,0)*0.01898),"")</f>
        <v>0.74021999999999999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436.98240740740744</v>
      </c>
      <c r="BN103" s="64">
        <f t="shared" ref="BN103:BN111" si="7">IFERROR(Y103*I103/H103,"0")</f>
        <v>437.19000000000005</v>
      </c>
      <c r="BO103" s="64">
        <f t="shared" ref="BO103:BO111" si="8">IFERROR(1/J103*(X103/H103),"0")</f>
        <v>0.60908564814814814</v>
      </c>
      <c r="BP103" s="64">
        <f t="shared" ref="BP103:BP111" si="9">IFERROR(1/J103*(Y103/H103),"0")</f>
        <v>0.609375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2">
        <v>4680115882133</v>
      </c>
      <c r="E104" s="653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9"/>
      <c r="R104" s="659"/>
      <c r="S104" s="659"/>
      <c r="T104" s="660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2">
        <v>4680115887718</v>
      </c>
      <c r="E105" s="653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1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9"/>
      <c r="R105" s="659"/>
      <c r="S105" s="659"/>
      <c r="T105" s="660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2">
        <v>4680115880269</v>
      </c>
      <c r="E106" s="653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9"/>
      <c r="R106" s="659"/>
      <c r="S106" s="659"/>
      <c r="T106" s="660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2">
        <v>4680115880269</v>
      </c>
      <c r="E107" s="653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100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9"/>
      <c r="R107" s="659"/>
      <c r="S107" s="659"/>
      <c r="T107" s="660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4301012254</v>
      </c>
      <c r="D108" s="652">
        <v>4680115880429</v>
      </c>
      <c r="E108" s="653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9"/>
      <c r="R108" s="659"/>
      <c r="S108" s="659"/>
      <c r="T108" s="660"/>
      <c r="U108" s="34"/>
      <c r="V108" s="34"/>
      <c r="W108" s="35" t="s">
        <v>67</v>
      </c>
      <c r="X108" s="643">
        <v>100</v>
      </c>
      <c r="Y108" s="644">
        <f t="shared" si="5"/>
        <v>103.5</v>
      </c>
      <c r="Z108" s="36">
        <f>IFERROR(IF(Y108=0,"",ROUNDUP(Y108/H108,0)*0.00902),"")</f>
        <v>0.20746000000000001</v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104.22222222222223</v>
      </c>
      <c r="BN108" s="64">
        <f t="shared" si="7"/>
        <v>107.87</v>
      </c>
      <c r="BO108" s="64">
        <f t="shared" si="8"/>
        <v>0.16835016835016836</v>
      </c>
      <c r="BP108" s="64">
        <f t="shared" si="9"/>
        <v>0.17424242424242425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2">
        <v>4680115881457</v>
      </c>
      <c r="E109" s="653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9"/>
      <c r="R109" s="659"/>
      <c r="S109" s="659"/>
      <c r="T109" s="660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2">
        <v>4680115881457</v>
      </c>
      <c r="E110" s="653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9"/>
      <c r="R110" s="659"/>
      <c r="S110" s="659"/>
      <c r="T110" s="660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2">
        <v>4680115889477</v>
      </c>
      <c r="E111" s="653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0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9"/>
      <c r="R111" s="659"/>
      <c r="S111" s="659"/>
      <c r="T111" s="660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5"/>
      <c r="B112" s="655"/>
      <c r="C112" s="655"/>
      <c r="D112" s="655"/>
      <c r="E112" s="655"/>
      <c r="F112" s="655"/>
      <c r="G112" s="655"/>
      <c r="H112" s="655"/>
      <c r="I112" s="655"/>
      <c r="J112" s="655"/>
      <c r="K112" s="655"/>
      <c r="L112" s="655"/>
      <c r="M112" s="655"/>
      <c r="N112" s="655"/>
      <c r="O112" s="666"/>
      <c r="P112" s="649" t="s">
        <v>72</v>
      </c>
      <c r="Q112" s="650"/>
      <c r="R112" s="650"/>
      <c r="S112" s="650"/>
      <c r="T112" s="650"/>
      <c r="U112" s="650"/>
      <c r="V112" s="651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61.203703703703702</v>
      </c>
      <c r="Y112" s="645">
        <f>IFERROR(Y103/H103,"0")+IFERROR(Y104/H104,"0")+IFERROR(Y105/H105,"0")+IFERROR(Y106/H106,"0")+IFERROR(Y107/H107,"0")+IFERROR(Y108/H108,"0")+IFERROR(Y109/H109,"0")+IFERROR(Y110/H110,"0")+IFERROR(Y111/H111,"0")</f>
        <v>62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0.94767999999999997</v>
      </c>
      <c r="AA112" s="646"/>
      <c r="AB112" s="646"/>
      <c r="AC112" s="646"/>
    </row>
    <row r="113" spans="1:68" x14ac:dyDescent="0.2">
      <c r="A113" s="655"/>
      <c r="B113" s="655"/>
      <c r="C113" s="655"/>
      <c r="D113" s="655"/>
      <c r="E113" s="655"/>
      <c r="F113" s="655"/>
      <c r="G113" s="655"/>
      <c r="H113" s="655"/>
      <c r="I113" s="655"/>
      <c r="J113" s="655"/>
      <c r="K113" s="655"/>
      <c r="L113" s="655"/>
      <c r="M113" s="655"/>
      <c r="N113" s="655"/>
      <c r="O113" s="666"/>
      <c r="P113" s="649" t="s">
        <v>72</v>
      </c>
      <c r="Q113" s="650"/>
      <c r="R113" s="650"/>
      <c r="S113" s="650"/>
      <c r="T113" s="650"/>
      <c r="U113" s="650"/>
      <c r="V113" s="651"/>
      <c r="W113" s="37" t="s">
        <v>67</v>
      </c>
      <c r="X113" s="645">
        <f>IFERROR(SUM(X103:X111),"0")</f>
        <v>521</v>
      </c>
      <c r="Y113" s="645">
        <f>IFERROR(SUM(Y103:Y111),"0")</f>
        <v>524.70000000000005</v>
      </c>
      <c r="Z113" s="37"/>
      <c r="AA113" s="646"/>
      <c r="AB113" s="646"/>
      <c r="AC113" s="646"/>
    </row>
    <row r="114" spans="1:68" ht="14.25" hidden="1" customHeight="1" x14ac:dyDescent="0.25">
      <c r="A114" s="654" t="s">
        <v>148</v>
      </c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5"/>
      <c r="P114" s="655"/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2">
        <v>4680115881488</v>
      </c>
      <c r="E115" s="653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9"/>
      <c r="R115" s="659"/>
      <c r="S115" s="659"/>
      <c r="T115" s="660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2">
        <v>4680115882775</v>
      </c>
      <c r="E116" s="653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9"/>
      <c r="R116" s="659"/>
      <c r="S116" s="659"/>
      <c r="T116" s="660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223</v>
      </c>
      <c r="B117" s="54" t="s">
        <v>224</v>
      </c>
      <c r="C117" s="31">
        <v>4301020392</v>
      </c>
      <c r="D117" s="652">
        <v>4680115880658</v>
      </c>
      <c r="E117" s="653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9"/>
      <c r="R117" s="659"/>
      <c r="S117" s="659"/>
      <c r="T117" s="660"/>
      <c r="U117" s="34"/>
      <c r="V117" s="34"/>
      <c r="W117" s="35" t="s">
        <v>67</v>
      </c>
      <c r="X117" s="643">
        <v>84</v>
      </c>
      <c r="Y117" s="644">
        <f>IFERROR(IF(X117="",0,CEILING((X117/$H117),1)*$H117),"")</f>
        <v>84</v>
      </c>
      <c r="Z117" s="36">
        <f>IFERROR(IF(Y117=0,"",ROUNDUP(Y117/H117,0)*0.00651),"")</f>
        <v>0.22785</v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90.3</v>
      </c>
      <c r="BN117" s="64">
        <f>IFERROR(Y117*I117/H117,"0")</f>
        <v>90.3</v>
      </c>
      <c r="BO117" s="64">
        <f>IFERROR(1/J117*(X117/H117),"0")</f>
        <v>0.19230769230769232</v>
      </c>
      <c r="BP117" s="64">
        <f>IFERROR(1/J117*(Y117/H117),"0")</f>
        <v>0.19230769230769232</v>
      </c>
    </row>
    <row r="118" spans="1:68" x14ac:dyDescent="0.2">
      <c r="A118" s="665"/>
      <c r="B118" s="655"/>
      <c r="C118" s="655"/>
      <c r="D118" s="655"/>
      <c r="E118" s="655"/>
      <c r="F118" s="655"/>
      <c r="G118" s="655"/>
      <c r="H118" s="655"/>
      <c r="I118" s="655"/>
      <c r="J118" s="655"/>
      <c r="K118" s="655"/>
      <c r="L118" s="655"/>
      <c r="M118" s="655"/>
      <c r="N118" s="655"/>
      <c r="O118" s="666"/>
      <c r="P118" s="649" t="s">
        <v>72</v>
      </c>
      <c r="Q118" s="650"/>
      <c r="R118" s="650"/>
      <c r="S118" s="650"/>
      <c r="T118" s="650"/>
      <c r="U118" s="650"/>
      <c r="V118" s="651"/>
      <c r="W118" s="37" t="s">
        <v>73</v>
      </c>
      <c r="X118" s="645">
        <f>IFERROR(X115/H115,"0")+IFERROR(X116/H116,"0")+IFERROR(X117/H117,"0")</f>
        <v>35</v>
      </c>
      <c r="Y118" s="645">
        <f>IFERROR(Y115/H115,"0")+IFERROR(Y116/H116,"0")+IFERROR(Y117/H117,"0")</f>
        <v>35</v>
      </c>
      <c r="Z118" s="645">
        <f>IFERROR(IF(Z115="",0,Z115),"0")+IFERROR(IF(Z116="",0,Z116),"0")+IFERROR(IF(Z117="",0,Z117),"0")</f>
        <v>0.22785</v>
      </c>
      <c r="AA118" s="646"/>
      <c r="AB118" s="646"/>
      <c r="AC118" s="646"/>
    </row>
    <row r="119" spans="1:68" x14ac:dyDescent="0.2">
      <c r="A119" s="655"/>
      <c r="B119" s="655"/>
      <c r="C119" s="655"/>
      <c r="D119" s="655"/>
      <c r="E119" s="655"/>
      <c r="F119" s="655"/>
      <c r="G119" s="655"/>
      <c r="H119" s="655"/>
      <c r="I119" s="655"/>
      <c r="J119" s="655"/>
      <c r="K119" s="655"/>
      <c r="L119" s="655"/>
      <c r="M119" s="655"/>
      <c r="N119" s="655"/>
      <c r="O119" s="666"/>
      <c r="P119" s="649" t="s">
        <v>72</v>
      </c>
      <c r="Q119" s="650"/>
      <c r="R119" s="650"/>
      <c r="S119" s="650"/>
      <c r="T119" s="650"/>
      <c r="U119" s="650"/>
      <c r="V119" s="651"/>
      <c r="W119" s="37" t="s">
        <v>67</v>
      </c>
      <c r="X119" s="645">
        <f>IFERROR(SUM(X115:X117),"0")</f>
        <v>84</v>
      </c>
      <c r="Y119" s="645">
        <f>IFERROR(SUM(Y115:Y117),"0")</f>
        <v>84</v>
      </c>
      <c r="Z119" s="37"/>
      <c r="AA119" s="646"/>
      <c r="AB119" s="646"/>
      <c r="AC119" s="646"/>
    </row>
    <row r="120" spans="1:68" ht="14.25" hidden="1" customHeight="1" x14ac:dyDescent="0.25">
      <c r="A120" s="654" t="s">
        <v>74</v>
      </c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39"/>
      <c r="AB120" s="639"/>
      <c r="AC120" s="639"/>
    </row>
    <row r="121" spans="1:68" ht="27" customHeight="1" x14ac:dyDescent="0.25">
      <c r="A121" s="54" t="s">
        <v>225</v>
      </c>
      <c r="B121" s="54" t="s">
        <v>226</v>
      </c>
      <c r="C121" s="31">
        <v>4301052088</v>
      </c>
      <c r="D121" s="652">
        <v>4607091385168</v>
      </c>
      <c r="E121" s="653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9"/>
      <c r="R121" s="659"/>
      <c r="S121" s="659"/>
      <c r="T121" s="660"/>
      <c r="U121" s="34"/>
      <c r="V121" s="34"/>
      <c r="W121" s="35" t="s">
        <v>67</v>
      </c>
      <c r="X121" s="643">
        <v>397</v>
      </c>
      <c r="Y121" s="644">
        <f>IFERROR(IF(X121="",0,CEILING((X121/$H121),1)*$H121),"")</f>
        <v>405</v>
      </c>
      <c r="Z121" s="36">
        <f>IFERROR(IF(Y121=0,"",ROUNDUP(Y121/H121,0)*0.01898),"")</f>
        <v>0.94900000000000007</v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420.91802469135803</v>
      </c>
      <c r="BN121" s="64">
        <f>IFERROR(Y121*I121/H121,"0")</f>
        <v>429.4</v>
      </c>
      <c r="BO121" s="64">
        <f>IFERROR(1/J121*(X121/H121),"0")</f>
        <v>0.76581790123456794</v>
      </c>
      <c r="BP121" s="64">
        <f>IFERROR(1/J121*(Y121/H121),"0")</f>
        <v>0.78125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2">
        <v>4607091383256</v>
      </c>
      <c r="E122" s="653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4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9"/>
      <c r="R122" s="659"/>
      <c r="S122" s="659"/>
      <c r="T122" s="660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230</v>
      </c>
      <c r="B123" s="54" t="s">
        <v>231</v>
      </c>
      <c r="C123" s="31">
        <v>4301052086</v>
      </c>
      <c r="D123" s="652">
        <v>4607091385748</v>
      </c>
      <c r="E123" s="653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9"/>
      <c r="R123" s="659"/>
      <c r="S123" s="659"/>
      <c r="T123" s="660"/>
      <c r="U123" s="34"/>
      <c r="V123" s="34"/>
      <c r="W123" s="35" t="s">
        <v>67</v>
      </c>
      <c r="X123" s="643">
        <v>223</v>
      </c>
      <c r="Y123" s="644">
        <f>IFERROR(IF(X123="",0,CEILING((X123/$H123),1)*$H123),"")</f>
        <v>224.10000000000002</v>
      </c>
      <c r="Z123" s="36">
        <f>IFERROR(IF(Y123=0,"",ROUNDUP(Y123/H123,0)*0.00651),"")</f>
        <v>0.54032999999999998</v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243.8133333333333</v>
      </c>
      <c r="BN123" s="64">
        <f>IFERROR(Y123*I123/H123,"0")</f>
        <v>245.01600000000002</v>
      </c>
      <c r="BO123" s="64">
        <f>IFERROR(1/J123*(X123/H123),"0")</f>
        <v>0.45380545380545378</v>
      </c>
      <c r="BP123" s="64">
        <f>IFERROR(1/J123*(Y123/H123),"0")</f>
        <v>0.45604395604395609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2">
        <v>4680115884533</v>
      </c>
      <c r="E124" s="653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9"/>
      <c r="R124" s="659"/>
      <c r="S124" s="659"/>
      <c r="T124" s="660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66"/>
      <c r="P125" s="649" t="s">
        <v>72</v>
      </c>
      <c r="Q125" s="650"/>
      <c r="R125" s="650"/>
      <c r="S125" s="650"/>
      <c r="T125" s="650"/>
      <c r="U125" s="650"/>
      <c r="V125" s="651"/>
      <c r="W125" s="37" t="s">
        <v>73</v>
      </c>
      <c r="X125" s="645">
        <f>IFERROR(X121/H121,"0")+IFERROR(X122/H122,"0")+IFERROR(X123/H123,"0")+IFERROR(X124/H124,"0")</f>
        <v>131.60493827160494</v>
      </c>
      <c r="Y125" s="645">
        <f>IFERROR(Y121/H121,"0")+IFERROR(Y122/H122,"0")+IFERROR(Y123/H123,"0")+IFERROR(Y124/H124,"0")</f>
        <v>133</v>
      </c>
      <c r="Z125" s="645">
        <f>IFERROR(IF(Z121="",0,Z121),"0")+IFERROR(IF(Z122="",0,Z122),"0")+IFERROR(IF(Z123="",0,Z123),"0")+IFERROR(IF(Z124="",0,Z124),"0")</f>
        <v>1.48933</v>
      </c>
      <c r="AA125" s="646"/>
      <c r="AB125" s="646"/>
      <c r="AC125" s="646"/>
    </row>
    <row r="126" spans="1:68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66"/>
      <c r="P126" s="649" t="s">
        <v>72</v>
      </c>
      <c r="Q126" s="650"/>
      <c r="R126" s="650"/>
      <c r="S126" s="650"/>
      <c r="T126" s="650"/>
      <c r="U126" s="650"/>
      <c r="V126" s="651"/>
      <c r="W126" s="37" t="s">
        <v>67</v>
      </c>
      <c r="X126" s="645">
        <f>IFERROR(SUM(X121:X124),"0")</f>
        <v>620</v>
      </c>
      <c r="Y126" s="645">
        <f>IFERROR(SUM(Y121:Y124),"0")</f>
        <v>629.1</v>
      </c>
      <c r="Z126" s="37"/>
      <c r="AA126" s="646"/>
      <c r="AB126" s="646"/>
      <c r="AC126" s="646"/>
    </row>
    <row r="127" spans="1:68" ht="14.25" hidden="1" customHeight="1" x14ac:dyDescent="0.25">
      <c r="A127" s="654" t="s">
        <v>167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39"/>
      <c r="AB127" s="639"/>
      <c r="AC127" s="639"/>
    </row>
    <row r="128" spans="1:68" ht="16.5" customHeight="1" x14ac:dyDescent="0.25">
      <c r="A128" s="54" t="s">
        <v>235</v>
      </c>
      <c r="B128" s="54" t="s">
        <v>236</v>
      </c>
      <c r="C128" s="31">
        <v>4301060525</v>
      </c>
      <c r="D128" s="652">
        <v>4680115880238</v>
      </c>
      <c r="E128" s="653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4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9"/>
      <c r="R128" s="659"/>
      <c r="S128" s="659"/>
      <c r="T128" s="660"/>
      <c r="U128" s="34"/>
      <c r="V128" s="34"/>
      <c r="W128" s="35" t="s">
        <v>67</v>
      </c>
      <c r="X128" s="643">
        <v>5</v>
      </c>
      <c r="Y128" s="644">
        <f>IFERROR(IF(X128="",0,CEILING((X128/$H128),1)*$H128),"")</f>
        <v>5.9399999999999995</v>
      </c>
      <c r="Z128" s="36">
        <f>IFERROR(IF(Y128=0,"",ROUNDUP(Y128/H128,0)*0.00651),"")</f>
        <v>1.9529999999999999E-2</v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5.6515151515151514</v>
      </c>
      <c r="BN128" s="64">
        <f>IFERROR(Y128*I128/H128,"0")</f>
        <v>6.7139999999999995</v>
      </c>
      <c r="BO128" s="64">
        <f>IFERROR(1/J128*(X128/H128),"0")</f>
        <v>1.3875013875013876E-2</v>
      </c>
      <c r="BP128" s="64">
        <f>IFERROR(1/J128*(Y128/H128),"0")</f>
        <v>1.6483516483516484E-2</v>
      </c>
    </row>
    <row r="129" spans="1:68" x14ac:dyDescent="0.2">
      <c r="A129" s="665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66"/>
      <c r="P129" s="649" t="s">
        <v>72</v>
      </c>
      <c r="Q129" s="650"/>
      <c r="R129" s="650"/>
      <c r="S129" s="650"/>
      <c r="T129" s="650"/>
      <c r="U129" s="650"/>
      <c r="V129" s="651"/>
      <c r="W129" s="37" t="s">
        <v>73</v>
      </c>
      <c r="X129" s="645">
        <f>IFERROR(X128/H128,"0")</f>
        <v>2.5252525252525251</v>
      </c>
      <c r="Y129" s="645">
        <f>IFERROR(Y128/H128,"0")</f>
        <v>2.9999999999999996</v>
      </c>
      <c r="Z129" s="645">
        <f>IFERROR(IF(Z128="",0,Z128),"0")</f>
        <v>1.9529999999999999E-2</v>
      </c>
      <c r="AA129" s="646"/>
      <c r="AB129" s="646"/>
      <c r="AC129" s="646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66"/>
      <c r="P130" s="649" t="s">
        <v>72</v>
      </c>
      <c r="Q130" s="650"/>
      <c r="R130" s="650"/>
      <c r="S130" s="650"/>
      <c r="T130" s="650"/>
      <c r="U130" s="650"/>
      <c r="V130" s="651"/>
      <c r="W130" s="37" t="s">
        <v>67</v>
      </c>
      <c r="X130" s="645">
        <f>IFERROR(SUM(X128:X128),"0")</f>
        <v>5</v>
      </c>
      <c r="Y130" s="645">
        <f>IFERROR(SUM(Y128:Y128),"0")</f>
        <v>5.9399999999999995</v>
      </c>
      <c r="Z130" s="37"/>
      <c r="AA130" s="646"/>
      <c r="AB130" s="646"/>
      <c r="AC130" s="646"/>
    </row>
    <row r="131" spans="1:68" ht="16.5" hidden="1" customHeight="1" x14ac:dyDescent="0.25">
      <c r="A131" s="668" t="s">
        <v>238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8"/>
      <c r="AB131" s="638"/>
      <c r="AC131" s="638"/>
    </row>
    <row r="132" spans="1:68" ht="14.25" hidden="1" customHeight="1" x14ac:dyDescent="0.25">
      <c r="A132" s="654" t="s">
        <v>111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9"/>
      <c r="AB132" s="639"/>
      <c r="AC132" s="639"/>
    </row>
    <row r="133" spans="1:68" ht="27" customHeight="1" x14ac:dyDescent="0.25">
      <c r="A133" s="54" t="s">
        <v>239</v>
      </c>
      <c r="B133" s="54" t="s">
        <v>240</v>
      </c>
      <c r="C133" s="31">
        <v>4301011562</v>
      </c>
      <c r="D133" s="652">
        <v>4680115882577</v>
      </c>
      <c r="E133" s="653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9"/>
      <c r="R133" s="659"/>
      <c r="S133" s="659"/>
      <c r="T133" s="660"/>
      <c r="U133" s="34"/>
      <c r="V133" s="34"/>
      <c r="W133" s="35" t="s">
        <v>67</v>
      </c>
      <c r="X133" s="643">
        <v>47</v>
      </c>
      <c r="Y133" s="644">
        <f>IFERROR(IF(X133="",0,CEILING((X133/$H133),1)*$H133),"")</f>
        <v>48</v>
      </c>
      <c r="Z133" s="36">
        <f>IFERROR(IF(Y133=0,"",ROUNDUP(Y133/H133,0)*0.00651),"")</f>
        <v>9.7650000000000001E-2</v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49.64374999999999</v>
      </c>
      <c r="BN133" s="64">
        <f>IFERROR(Y133*I133/H133,"0")</f>
        <v>50.7</v>
      </c>
      <c r="BO133" s="64">
        <f>IFERROR(1/J133*(X133/H133),"0")</f>
        <v>8.0700549450549455E-2</v>
      </c>
      <c r="BP133" s="64">
        <f>IFERROR(1/J133*(Y133/H133),"0")</f>
        <v>8.241758241758243E-2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2">
        <v>4680115882577</v>
      </c>
      <c r="E134" s="653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9"/>
      <c r="R134" s="659"/>
      <c r="S134" s="659"/>
      <c r="T134" s="660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65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66"/>
      <c r="P135" s="649" t="s">
        <v>72</v>
      </c>
      <c r="Q135" s="650"/>
      <c r="R135" s="650"/>
      <c r="S135" s="650"/>
      <c r="T135" s="650"/>
      <c r="U135" s="650"/>
      <c r="V135" s="651"/>
      <c r="W135" s="37" t="s">
        <v>73</v>
      </c>
      <c r="X135" s="645">
        <f>IFERROR(X133/H133,"0")+IFERROR(X134/H134,"0")</f>
        <v>14.6875</v>
      </c>
      <c r="Y135" s="645">
        <f>IFERROR(Y133/H133,"0")+IFERROR(Y134/H134,"0")</f>
        <v>15</v>
      </c>
      <c r="Z135" s="645">
        <f>IFERROR(IF(Z133="",0,Z133),"0")+IFERROR(IF(Z134="",0,Z134),"0")</f>
        <v>9.7650000000000001E-2</v>
      </c>
      <c r="AA135" s="646"/>
      <c r="AB135" s="646"/>
      <c r="AC135" s="646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66"/>
      <c r="P136" s="649" t="s">
        <v>72</v>
      </c>
      <c r="Q136" s="650"/>
      <c r="R136" s="650"/>
      <c r="S136" s="650"/>
      <c r="T136" s="650"/>
      <c r="U136" s="650"/>
      <c r="V136" s="651"/>
      <c r="W136" s="37" t="s">
        <v>67</v>
      </c>
      <c r="X136" s="645">
        <f>IFERROR(SUM(X133:X134),"0")</f>
        <v>47</v>
      </c>
      <c r="Y136" s="645">
        <f>IFERROR(SUM(Y133:Y134),"0")</f>
        <v>48</v>
      </c>
      <c r="Z136" s="37"/>
      <c r="AA136" s="646"/>
      <c r="AB136" s="646"/>
      <c r="AC136" s="646"/>
    </row>
    <row r="137" spans="1:68" ht="14.25" hidden="1" customHeight="1" x14ac:dyDescent="0.25">
      <c r="A137" s="654" t="s">
        <v>62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9"/>
      <c r="AB137" s="639"/>
      <c r="AC137" s="639"/>
    </row>
    <row r="138" spans="1:68" ht="27" customHeight="1" x14ac:dyDescent="0.25">
      <c r="A138" s="54" t="s">
        <v>244</v>
      </c>
      <c r="B138" s="54" t="s">
        <v>245</v>
      </c>
      <c r="C138" s="31">
        <v>4301031234</v>
      </c>
      <c r="D138" s="652">
        <v>4680115883444</v>
      </c>
      <c r="E138" s="653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9"/>
      <c r="R138" s="659"/>
      <c r="S138" s="659"/>
      <c r="T138" s="660"/>
      <c r="U138" s="34"/>
      <c r="V138" s="34"/>
      <c r="W138" s="35" t="s">
        <v>67</v>
      </c>
      <c r="X138" s="643">
        <v>18</v>
      </c>
      <c r="Y138" s="644">
        <f>IFERROR(IF(X138="",0,CEILING((X138/$H138),1)*$H138),"")</f>
        <v>19.599999999999998</v>
      </c>
      <c r="Z138" s="36">
        <f>IFERROR(IF(Y138=0,"",ROUNDUP(Y138/H138,0)*0.00651),"")</f>
        <v>4.5569999999999999E-2</v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19.722857142857144</v>
      </c>
      <c r="BN138" s="64">
        <f>IFERROR(Y138*I138/H138,"0")</f>
        <v>21.475999999999999</v>
      </c>
      <c r="BO138" s="64">
        <f>IFERROR(1/J138*(X138/H138),"0")</f>
        <v>3.5321821036106753E-2</v>
      </c>
      <c r="BP138" s="64">
        <f>IFERROR(1/J138*(Y138/H138),"0")</f>
        <v>3.8461538461538464E-2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2">
        <v>4680115883444</v>
      </c>
      <c r="E139" s="653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1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9"/>
      <c r="R139" s="659"/>
      <c r="S139" s="659"/>
      <c r="T139" s="660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6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66"/>
      <c r="P140" s="649" t="s">
        <v>72</v>
      </c>
      <c r="Q140" s="650"/>
      <c r="R140" s="650"/>
      <c r="S140" s="650"/>
      <c r="T140" s="650"/>
      <c r="U140" s="650"/>
      <c r="V140" s="651"/>
      <c r="W140" s="37" t="s">
        <v>73</v>
      </c>
      <c r="X140" s="645">
        <f>IFERROR(X138/H138,"0")+IFERROR(X139/H139,"0")</f>
        <v>6.4285714285714288</v>
      </c>
      <c r="Y140" s="645">
        <f>IFERROR(Y138/H138,"0")+IFERROR(Y139/H139,"0")</f>
        <v>7</v>
      </c>
      <c r="Z140" s="645">
        <f>IFERROR(IF(Z138="",0,Z138),"0")+IFERROR(IF(Z139="",0,Z139),"0")</f>
        <v>4.5569999999999999E-2</v>
      </c>
      <c r="AA140" s="646"/>
      <c r="AB140" s="646"/>
      <c r="AC140" s="646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66"/>
      <c r="P141" s="649" t="s">
        <v>72</v>
      </c>
      <c r="Q141" s="650"/>
      <c r="R141" s="650"/>
      <c r="S141" s="650"/>
      <c r="T141" s="650"/>
      <c r="U141" s="650"/>
      <c r="V141" s="651"/>
      <c r="W141" s="37" t="s">
        <v>67</v>
      </c>
      <c r="X141" s="645">
        <f>IFERROR(SUM(X138:X139),"0")</f>
        <v>18</v>
      </c>
      <c r="Y141" s="645">
        <f>IFERROR(SUM(Y138:Y139),"0")</f>
        <v>19.599999999999998</v>
      </c>
      <c r="Z141" s="37"/>
      <c r="AA141" s="646"/>
      <c r="AB141" s="646"/>
      <c r="AC141" s="646"/>
    </row>
    <row r="142" spans="1:68" ht="14.25" hidden="1" customHeight="1" x14ac:dyDescent="0.25">
      <c r="A142" s="654" t="s">
        <v>74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9"/>
      <c r="AB142" s="639"/>
      <c r="AC142" s="639"/>
    </row>
    <row r="143" spans="1:68" ht="16.5" customHeight="1" x14ac:dyDescent="0.25">
      <c r="A143" s="54" t="s">
        <v>248</v>
      </c>
      <c r="B143" s="54" t="s">
        <v>249</v>
      </c>
      <c r="C143" s="31">
        <v>4301051476</v>
      </c>
      <c r="D143" s="652">
        <v>4680115882584</v>
      </c>
      <c r="E143" s="653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4"/>
      <c r="V143" s="34"/>
      <c r="W143" s="35" t="s">
        <v>67</v>
      </c>
      <c r="X143" s="643">
        <v>20</v>
      </c>
      <c r="Y143" s="644">
        <f>IFERROR(IF(X143="",0,CEILING((X143/$H143),1)*$H143),"")</f>
        <v>21.12</v>
      </c>
      <c r="Z143" s="36">
        <f>IFERROR(IF(Y143=0,"",ROUNDUP(Y143/H143,0)*0.00651),"")</f>
        <v>5.2080000000000001E-2</v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22.030303030303028</v>
      </c>
      <c r="BN143" s="64">
        <f>IFERROR(Y143*I143/H143,"0")</f>
        <v>23.263999999999999</v>
      </c>
      <c r="BO143" s="64">
        <f>IFERROR(1/J143*(X143/H143),"0")</f>
        <v>4.1625041625041624E-2</v>
      </c>
      <c r="BP143" s="64">
        <f>IFERROR(1/J143*(Y143/H143),"0")</f>
        <v>4.3956043956043959E-2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2">
        <v>4680115882584</v>
      </c>
      <c r="E144" s="653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73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5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66"/>
      <c r="P145" s="649" t="s">
        <v>72</v>
      </c>
      <c r="Q145" s="650"/>
      <c r="R145" s="650"/>
      <c r="S145" s="650"/>
      <c r="T145" s="650"/>
      <c r="U145" s="650"/>
      <c r="V145" s="651"/>
      <c r="W145" s="37" t="s">
        <v>73</v>
      </c>
      <c r="X145" s="645">
        <f>IFERROR(X143/H143,"0")+IFERROR(X144/H144,"0")</f>
        <v>7.5757575757575752</v>
      </c>
      <c r="Y145" s="645">
        <f>IFERROR(Y143/H143,"0")+IFERROR(Y144/H144,"0")</f>
        <v>8</v>
      </c>
      <c r="Z145" s="645">
        <f>IFERROR(IF(Z143="",0,Z143),"0")+IFERROR(IF(Z144="",0,Z144),"0")</f>
        <v>5.2080000000000001E-2</v>
      </c>
      <c r="AA145" s="646"/>
      <c r="AB145" s="646"/>
      <c r="AC145" s="646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66"/>
      <c r="P146" s="649" t="s">
        <v>72</v>
      </c>
      <c r="Q146" s="650"/>
      <c r="R146" s="650"/>
      <c r="S146" s="650"/>
      <c r="T146" s="650"/>
      <c r="U146" s="650"/>
      <c r="V146" s="651"/>
      <c r="W146" s="37" t="s">
        <v>67</v>
      </c>
      <c r="X146" s="645">
        <f>IFERROR(SUM(X143:X144),"0")</f>
        <v>20</v>
      </c>
      <c r="Y146" s="645">
        <f>IFERROR(SUM(Y143:Y144),"0")</f>
        <v>21.12</v>
      </c>
      <c r="Z146" s="37"/>
      <c r="AA146" s="646"/>
      <c r="AB146" s="646"/>
      <c r="AC146" s="646"/>
    </row>
    <row r="147" spans="1:68" ht="16.5" hidden="1" customHeight="1" x14ac:dyDescent="0.25">
      <c r="A147" s="668" t="s">
        <v>251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8"/>
      <c r="AB147" s="638"/>
      <c r="AC147" s="638"/>
    </row>
    <row r="148" spans="1:68" ht="14.25" hidden="1" customHeight="1" x14ac:dyDescent="0.25">
      <c r="A148" s="654" t="s">
        <v>74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2">
        <v>4680115888203</v>
      </c>
      <c r="E149" s="653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2">
        <v>4680115888180</v>
      </c>
      <c r="E150" s="653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2">
        <v>4680115888180</v>
      </c>
      <c r="E151" s="653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2">
        <v>4680115888197</v>
      </c>
      <c r="E152" s="653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2">
        <v>4680115888210</v>
      </c>
      <c r="E153" s="653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2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9"/>
      <c r="R153" s="659"/>
      <c r="S153" s="659"/>
      <c r="T153" s="660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2">
        <v>4680115888210</v>
      </c>
      <c r="E154" s="653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65"/>
      <c r="B155" s="655"/>
      <c r="C155" s="655"/>
      <c r="D155" s="655"/>
      <c r="E155" s="655"/>
      <c r="F155" s="655"/>
      <c r="G155" s="655"/>
      <c r="H155" s="655"/>
      <c r="I155" s="655"/>
      <c r="J155" s="655"/>
      <c r="K155" s="655"/>
      <c r="L155" s="655"/>
      <c r="M155" s="655"/>
      <c r="N155" s="655"/>
      <c r="O155" s="666"/>
      <c r="P155" s="649" t="s">
        <v>72</v>
      </c>
      <c r="Q155" s="650"/>
      <c r="R155" s="650"/>
      <c r="S155" s="650"/>
      <c r="T155" s="650"/>
      <c r="U155" s="650"/>
      <c r="V155" s="651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5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66"/>
      <c r="P156" s="649" t="s">
        <v>72</v>
      </c>
      <c r="Q156" s="650"/>
      <c r="R156" s="650"/>
      <c r="S156" s="650"/>
      <c r="T156" s="650"/>
      <c r="U156" s="650"/>
      <c r="V156" s="651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54" t="s">
        <v>266</v>
      </c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2">
        <v>4680115889132</v>
      </c>
      <c r="E158" s="653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9"/>
      <c r="R158" s="659"/>
      <c r="S158" s="659"/>
      <c r="T158" s="660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65"/>
      <c r="B159" s="655"/>
      <c r="C159" s="655"/>
      <c r="D159" s="655"/>
      <c r="E159" s="655"/>
      <c r="F159" s="655"/>
      <c r="G159" s="655"/>
      <c r="H159" s="655"/>
      <c r="I159" s="655"/>
      <c r="J159" s="655"/>
      <c r="K159" s="655"/>
      <c r="L159" s="655"/>
      <c r="M159" s="655"/>
      <c r="N159" s="655"/>
      <c r="O159" s="666"/>
      <c r="P159" s="649" t="s">
        <v>72</v>
      </c>
      <c r="Q159" s="650"/>
      <c r="R159" s="650"/>
      <c r="S159" s="650"/>
      <c r="T159" s="650"/>
      <c r="U159" s="650"/>
      <c r="V159" s="651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5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66"/>
      <c r="P160" s="649" t="s">
        <v>72</v>
      </c>
      <c r="Q160" s="650"/>
      <c r="R160" s="650"/>
      <c r="S160" s="650"/>
      <c r="T160" s="650"/>
      <c r="U160" s="650"/>
      <c r="V160" s="651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8" t="s">
        <v>109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38"/>
      <c r="AB161" s="638"/>
      <c r="AC161" s="638"/>
    </row>
    <row r="162" spans="1:68" ht="14.25" hidden="1" customHeight="1" x14ac:dyDescent="0.25">
      <c r="A162" s="654" t="s">
        <v>111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39"/>
      <c r="AB162" s="639"/>
      <c r="AC162" s="639"/>
    </row>
    <row r="163" spans="1:68" ht="27" customHeight="1" x14ac:dyDescent="0.25">
      <c r="A163" s="54" t="s">
        <v>273</v>
      </c>
      <c r="B163" s="54" t="s">
        <v>274</v>
      </c>
      <c r="C163" s="31">
        <v>4301012338</v>
      </c>
      <c r="D163" s="652">
        <v>4680115887374</v>
      </c>
      <c r="E163" s="653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2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9"/>
      <c r="R163" s="659"/>
      <c r="S163" s="659"/>
      <c r="T163" s="660"/>
      <c r="U163" s="34"/>
      <c r="V163" s="34"/>
      <c r="W163" s="35" t="s">
        <v>67</v>
      </c>
      <c r="X163" s="643">
        <v>33</v>
      </c>
      <c r="Y163" s="644">
        <f>IFERROR(IF(X163="",0,CEILING((X163/$H163),1)*$H163),"")</f>
        <v>36</v>
      </c>
      <c r="Z163" s="36">
        <f>IFERROR(IF(Y163=0,"",ROUNDUP(Y163/H163,0)*0.01196),"")</f>
        <v>7.1760000000000004E-2</v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34.924999999999997</v>
      </c>
      <c r="BN163" s="64">
        <f>IFERROR(Y163*I163/H163,"0")</f>
        <v>38.1</v>
      </c>
      <c r="BO163" s="64">
        <f>IFERROR(1/J163*(X163/H163),"0")</f>
        <v>5.2884615384615391E-2</v>
      </c>
      <c r="BP163" s="64">
        <f>IFERROR(1/J163*(Y163/H163),"0")</f>
        <v>5.7692307692307696E-2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2">
        <v>4607091384604</v>
      </c>
      <c r="E164" s="653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8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9"/>
      <c r="R164" s="659"/>
      <c r="S164" s="659"/>
      <c r="T164" s="660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2">
        <v>4607091384604</v>
      </c>
      <c r="E165" s="653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9"/>
      <c r="R165" s="659"/>
      <c r="S165" s="659"/>
      <c r="T165" s="660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2">
        <v>4680115888876</v>
      </c>
      <c r="E166" s="653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66"/>
      <c r="P167" s="649" t="s">
        <v>72</v>
      </c>
      <c r="Q167" s="650"/>
      <c r="R167" s="650"/>
      <c r="S167" s="650"/>
      <c r="T167" s="650"/>
      <c r="U167" s="650"/>
      <c r="V167" s="651"/>
      <c r="W167" s="37" t="s">
        <v>73</v>
      </c>
      <c r="X167" s="645">
        <f>IFERROR(X163/H163,"0")+IFERROR(X164/H164,"0")+IFERROR(X165/H165,"0")+IFERROR(X166/H166,"0")</f>
        <v>5.5</v>
      </c>
      <c r="Y167" s="645">
        <f>IFERROR(Y163/H163,"0")+IFERROR(Y164/H164,"0")+IFERROR(Y165/H165,"0")+IFERROR(Y166/H166,"0")</f>
        <v>6</v>
      </c>
      <c r="Z167" s="645">
        <f>IFERROR(IF(Z163="",0,Z163),"0")+IFERROR(IF(Z164="",0,Z164),"0")+IFERROR(IF(Z165="",0,Z165),"0")+IFERROR(IF(Z166="",0,Z166),"0")</f>
        <v>7.1760000000000004E-2</v>
      </c>
      <c r="AA167" s="646"/>
      <c r="AB167" s="646"/>
      <c r="AC167" s="646"/>
    </row>
    <row r="168" spans="1:68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66"/>
      <c r="P168" s="649" t="s">
        <v>72</v>
      </c>
      <c r="Q168" s="650"/>
      <c r="R168" s="650"/>
      <c r="S168" s="650"/>
      <c r="T168" s="650"/>
      <c r="U168" s="650"/>
      <c r="V168" s="651"/>
      <c r="W168" s="37" t="s">
        <v>67</v>
      </c>
      <c r="X168" s="645">
        <f>IFERROR(SUM(X163:X166),"0")</f>
        <v>33</v>
      </c>
      <c r="Y168" s="645">
        <f>IFERROR(SUM(Y163:Y166),"0")</f>
        <v>36</v>
      </c>
      <c r="Z168" s="37"/>
      <c r="AA168" s="646"/>
      <c r="AB168" s="646"/>
      <c r="AC168" s="646"/>
    </row>
    <row r="169" spans="1:68" ht="14.25" hidden="1" customHeight="1" x14ac:dyDescent="0.25">
      <c r="A169" s="654" t="s">
        <v>148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2">
        <v>4680115887695</v>
      </c>
      <c r="E170" s="653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2">
        <v>4680115889491</v>
      </c>
      <c r="E171" s="653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5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66"/>
      <c r="P172" s="649" t="s">
        <v>72</v>
      </c>
      <c r="Q172" s="650"/>
      <c r="R172" s="650"/>
      <c r="S172" s="650"/>
      <c r="T172" s="650"/>
      <c r="U172" s="650"/>
      <c r="V172" s="651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66"/>
      <c r="P173" s="649" t="s">
        <v>72</v>
      </c>
      <c r="Q173" s="650"/>
      <c r="R173" s="650"/>
      <c r="S173" s="650"/>
      <c r="T173" s="650"/>
      <c r="U173" s="650"/>
      <c r="V173" s="651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4" t="s">
        <v>62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39"/>
      <c r="AB174" s="639"/>
      <c r="AC174" s="639"/>
    </row>
    <row r="175" spans="1:68" ht="27" hidden="1" customHeight="1" x14ac:dyDescent="0.25">
      <c r="A175" s="54" t="s">
        <v>289</v>
      </c>
      <c r="B175" s="54" t="s">
        <v>290</v>
      </c>
      <c r="C175" s="31">
        <v>4301031496</v>
      </c>
      <c r="D175" s="652">
        <v>4680115887428</v>
      </c>
      <c r="E175" s="653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89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4"/>
      <c r="V175" s="34"/>
      <c r="W175" s="35" t="s">
        <v>67</v>
      </c>
      <c r="X175" s="643">
        <v>0</v>
      </c>
      <c r="Y175" s="64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2">
        <v>4680115889170</v>
      </c>
      <c r="E176" s="653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4301031522</v>
      </c>
      <c r="D177" s="652">
        <v>4680115887398</v>
      </c>
      <c r="E177" s="653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4"/>
      <c r="V177" s="34"/>
      <c r="W177" s="35" t="s">
        <v>67</v>
      </c>
      <c r="X177" s="643">
        <v>120</v>
      </c>
      <c r="Y177" s="644">
        <f t="shared" si="16"/>
        <v>122.5</v>
      </c>
      <c r="Z177" s="36">
        <f>IFERROR(IF(Y177=0,"",ROUNDUP(Y177/H177,0)*0.00902),"")</f>
        <v>0.31569999999999998</v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126.51428571428572</v>
      </c>
      <c r="BN177" s="64">
        <f t="shared" si="18"/>
        <v>129.15</v>
      </c>
      <c r="BO177" s="64">
        <f t="shared" si="19"/>
        <v>0.25974025974025972</v>
      </c>
      <c r="BP177" s="64">
        <f t="shared" si="20"/>
        <v>0.26515151515151514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2">
        <v>4680115887336</v>
      </c>
      <c r="E178" s="653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2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4"/>
      <c r="V178" s="34"/>
      <c r="W178" s="35" t="s">
        <v>67</v>
      </c>
      <c r="X178" s="643">
        <v>400</v>
      </c>
      <c r="Y178" s="644">
        <f t="shared" si="16"/>
        <v>402.5</v>
      </c>
      <c r="Z178" s="36">
        <f>IFERROR(IF(Y178=0,"",ROUNDUP(Y178/H178,0)*0.00902),"")</f>
        <v>1.0373000000000001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421.71428571428572</v>
      </c>
      <c r="BN178" s="64">
        <f t="shared" si="18"/>
        <v>424.34999999999997</v>
      </c>
      <c r="BO178" s="64">
        <f t="shared" si="19"/>
        <v>0.8658008658008659</v>
      </c>
      <c r="BP178" s="64">
        <f t="shared" si="20"/>
        <v>0.87121212121212122</v>
      </c>
    </row>
    <row r="179" spans="1:68" ht="16.5" hidden="1" customHeight="1" x14ac:dyDescent="0.25">
      <c r="A179" s="54" t="s">
        <v>301</v>
      </c>
      <c r="B179" s="54" t="s">
        <v>302</v>
      </c>
      <c r="C179" s="31">
        <v>4301032049</v>
      </c>
      <c r="D179" s="652">
        <v>4680115887787</v>
      </c>
      <c r="E179" s="653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4"/>
      <c r="V179" s="34"/>
      <c r="W179" s="35" t="s">
        <v>67</v>
      </c>
      <c r="X179" s="643">
        <v>0</v>
      </c>
      <c r="Y179" s="64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2">
        <v>4680115887787</v>
      </c>
      <c r="E180" s="653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6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9"/>
      <c r="R180" s="659"/>
      <c r="S180" s="659"/>
      <c r="T180" s="660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305</v>
      </c>
      <c r="B181" s="54" t="s">
        <v>306</v>
      </c>
      <c r="C181" s="31">
        <v>4301031448</v>
      </c>
      <c r="D181" s="652">
        <v>4680115887503</v>
      </c>
      <c r="E181" s="653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9"/>
      <c r="R181" s="659"/>
      <c r="S181" s="659"/>
      <c r="T181" s="660"/>
      <c r="U181" s="34"/>
      <c r="V181" s="34"/>
      <c r="W181" s="35" t="s">
        <v>67</v>
      </c>
      <c r="X181" s="643">
        <v>0</v>
      </c>
      <c r="Y181" s="644">
        <f t="shared" si="16"/>
        <v>0</v>
      </c>
      <c r="Z181" s="36" t="str">
        <f>IFERROR(IF(Y181=0,"",ROUNDUP(Y181/H181,0)*0.00502),"")</f>
        <v/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307</v>
      </c>
      <c r="B182" s="54" t="s">
        <v>308</v>
      </c>
      <c r="C182" s="31">
        <v>4301031389</v>
      </c>
      <c r="D182" s="652">
        <v>4680115887763</v>
      </c>
      <c r="E182" s="653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4"/>
      <c r="V182" s="34"/>
      <c r="W182" s="35" t="s">
        <v>67</v>
      </c>
      <c r="X182" s="643">
        <v>8</v>
      </c>
      <c r="Y182" s="644">
        <f t="shared" si="16"/>
        <v>8.1</v>
      </c>
      <c r="Z182" s="36">
        <f>IFERROR(IF(Y182=0,"",ROUNDUP(Y182/H182,0)*0.00417),"")</f>
        <v>3.7530000000000001E-2</v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9.8666666666666671</v>
      </c>
      <c r="BN182" s="64">
        <f t="shared" si="18"/>
        <v>9.99</v>
      </c>
      <c r="BO182" s="64">
        <f t="shared" si="19"/>
        <v>2.6455026455026454E-2</v>
      </c>
      <c r="BP182" s="64">
        <f t="shared" si="20"/>
        <v>2.6785714285714284E-2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4301031521</v>
      </c>
      <c r="D183" s="652">
        <v>4680115887480</v>
      </c>
      <c r="E183" s="653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2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4"/>
      <c r="V183" s="34"/>
      <c r="W183" s="35" t="s">
        <v>67</v>
      </c>
      <c r="X183" s="643">
        <v>0</v>
      </c>
      <c r="Y183" s="64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4301031434</v>
      </c>
      <c r="D184" s="652">
        <v>4680115888067</v>
      </c>
      <c r="E184" s="653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4"/>
      <c r="V184" s="34"/>
      <c r="W184" s="35" t="s">
        <v>67</v>
      </c>
      <c r="X184" s="643">
        <v>0</v>
      </c>
      <c r="Y184" s="64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2">
        <v>4680115887435</v>
      </c>
      <c r="E185" s="653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0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4"/>
      <c r="V185" s="34"/>
      <c r="W185" s="35" t="s">
        <v>67</v>
      </c>
      <c r="X185" s="643">
        <v>23</v>
      </c>
      <c r="Y185" s="644">
        <f t="shared" si="16"/>
        <v>23.52</v>
      </c>
      <c r="Z185" s="36">
        <f>IFERROR(IF(Y185=0,"",ROUNDUP(Y185/H185,0)*0.00502),"")</f>
        <v>7.0280000000000009E-2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24.369047619047617</v>
      </c>
      <c r="BN185" s="64">
        <f t="shared" si="18"/>
        <v>24.92</v>
      </c>
      <c r="BO185" s="64">
        <f t="shared" si="19"/>
        <v>5.8506308506308516E-2</v>
      </c>
      <c r="BP185" s="64">
        <f t="shared" si="20"/>
        <v>5.9829059829059839E-2</v>
      </c>
    </row>
    <row r="186" spans="1:68" x14ac:dyDescent="0.2">
      <c r="A186" s="665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66"/>
      <c r="P186" s="649" t="s">
        <v>72</v>
      </c>
      <c r="Q186" s="650"/>
      <c r="R186" s="650"/>
      <c r="S186" s="650"/>
      <c r="T186" s="650"/>
      <c r="U186" s="650"/>
      <c r="V186" s="651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171.15079365079367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173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1.4608100000000004</v>
      </c>
      <c r="AA186" s="646"/>
      <c r="AB186" s="646"/>
      <c r="AC186" s="646"/>
    </row>
    <row r="187" spans="1:68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66"/>
      <c r="P187" s="649" t="s">
        <v>72</v>
      </c>
      <c r="Q187" s="650"/>
      <c r="R187" s="650"/>
      <c r="S187" s="650"/>
      <c r="T187" s="650"/>
      <c r="U187" s="650"/>
      <c r="V187" s="651"/>
      <c r="W187" s="37" t="s">
        <v>67</v>
      </c>
      <c r="X187" s="645">
        <f>IFERROR(SUM(X175:X185),"0")</f>
        <v>551</v>
      </c>
      <c r="Y187" s="645">
        <f>IFERROR(SUM(Y175:Y185),"0")</f>
        <v>556.62</v>
      </c>
      <c r="Z187" s="37"/>
      <c r="AA187" s="646"/>
      <c r="AB187" s="646"/>
      <c r="AC187" s="646"/>
    </row>
    <row r="188" spans="1:68" ht="14.25" hidden="1" customHeight="1" x14ac:dyDescent="0.25">
      <c r="A188" s="654" t="s">
        <v>74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2">
        <v>4680115888395</v>
      </c>
      <c r="E189" s="653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2">
        <v>4680115888371</v>
      </c>
      <c r="E190" s="653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2">
        <v>4680115887459</v>
      </c>
      <c r="E191" s="653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5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66"/>
      <c r="P192" s="649" t="s">
        <v>72</v>
      </c>
      <c r="Q192" s="650"/>
      <c r="R192" s="650"/>
      <c r="S192" s="650"/>
      <c r="T192" s="650"/>
      <c r="U192" s="650"/>
      <c r="V192" s="651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66"/>
      <c r="P193" s="649" t="s">
        <v>72</v>
      </c>
      <c r="Q193" s="650"/>
      <c r="R193" s="650"/>
      <c r="S193" s="650"/>
      <c r="T193" s="650"/>
      <c r="U193" s="650"/>
      <c r="V193" s="651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54" t="s">
        <v>266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2">
        <v>4680115889026</v>
      </c>
      <c r="E195" s="653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5"/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66"/>
      <c r="P196" s="649" t="s">
        <v>72</v>
      </c>
      <c r="Q196" s="650"/>
      <c r="R196" s="650"/>
      <c r="S196" s="650"/>
      <c r="T196" s="650"/>
      <c r="U196" s="650"/>
      <c r="V196" s="651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5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66"/>
      <c r="P197" s="649" t="s">
        <v>72</v>
      </c>
      <c r="Q197" s="650"/>
      <c r="R197" s="650"/>
      <c r="S197" s="650"/>
      <c r="T197" s="650"/>
      <c r="U197" s="650"/>
      <c r="V197" s="651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54" t="s">
        <v>330</v>
      </c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2">
        <v>4680115889033</v>
      </c>
      <c r="E199" s="653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9"/>
      <c r="R199" s="659"/>
      <c r="S199" s="659"/>
      <c r="T199" s="660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66"/>
      <c r="P200" s="649" t="s">
        <v>72</v>
      </c>
      <c r="Q200" s="650"/>
      <c r="R200" s="650"/>
      <c r="S200" s="650"/>
      <c r="T200" s="650"/>
      <c r="U200" s="650"/>
      <c r="V200" s="651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5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66"/>
      <c r="P201" s="649" t="s">
        <v>72</v>
      </c>
      <c r="Q201" s="650"/>
      <c r="R201" s="650"/>
      <c r="S201" s="650"/>
      <c r="T201" s="650"/>
      <c r="U201" s="650"/>
      <c r="V201" s="651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47" t="s">
        <v>334</v>
      </c>
      <c r="B202" s="648"/>
      <c r="C202" s="648"/>
      <c r="D202" s="648"/>
      <c r="E202" s="648"/>
      <c r="F202" s="648"/>
      <c r="G202" s="648"/>
      <c r="H202" s="648"/>
      <c r="I202" s="648"/>
      <c r="J202" s="648"/>
      <c r="K202" s="648"/>
      <c r="L202" s="648"/>
      <c r="M202" s="648"/>
      <c r="N202" s="648"/>
      <c r="O202" s="648"/>
      <c r="P202" s="648"/>
      <c r="Q202" s="648"/>
      <c r="R202" s="648"/>
      <c r="S202" s="648"/>
      <c r="T202" s="648"/>
      <c r="U202" s="648"/>
      <c r="V202" s="648"/>
      <c r="W202" s="648"/>
      <c r="X202" s="648"/>
      <c r="Y202" s="648"/>
      <c r="Z202" s="648"/>
      <c r="AA202" s="48"/>
      <c r="AB202" s="48"/>
      <c r="AC202" s="48"/>
    </row>
    <row r="203" spans="1:68" ht="16.5" hidden="1" customHeight="1" x14ac:dyDescent="0.25">
      <c r="A203" s="668" t="s">
        <v>335</v>
      </c>
      <c r="B203" s="655"/>
      <c r="C203" s="655"/>
      <c r="D203" s="655"/>
      <c r="E203" s="655"/>
      <c r="F203" s="655"/>
      <c r="G203" s="655"/>
      <c r="H203" s="655"/>
      <c r="I203" s="655"/>
      <c r="J203" s="655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38"/>
      <c r="AB203" s="638"/>
      <c r="AC203" s="638"/>
    </row>
    <row r="204" spans="1:68" ht="14.25" hidden="1" customHeight="1" x14ac:dyDescent="0.25">
      <c r="A204" s="654" t="s">
        <v>111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2">
        <v>4607091383423</v>
      </c>
      <c r="E205" s="653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9"/>
      <c r="R205" s="659"/>
      <c r="S205" s="659"/>
      <c r="T205" s="660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2">
        <v>4680115888760</v>
      </c>
      <c r="E206" s="653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9"/>
      <c r="R206" s="659"/>
      <c r="S206" s="659"/>
      <c r="T206" s="660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2">
        <v>4680115888807</v>
      </c>
      <c r="E207" s="653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9"/>
      <c r="R207" s="659"/>
      <c r="S207" s="659"/>
      <c r="T207" s="660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2">
        <v>4680115888852</v>
      </c>
      <c r="E208" s="653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9"/>
      <c r="R208" s="659"/>
      <c r="S208" s="659"/>
      <c r="T208" s="660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2">
        <v>4680115886957</v>
      </c>
      <c r="E209" s="653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9"/>
      <c r="R209" s="659"/>
      <c r="S209" s="659"/>
      <c r="T209" s="660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2">
        <v>4680115885660</v>
      </c>
      <c r="E210" s="653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9"/>
      <c r="R210" s="659"/>
      <c r="S210" s="659"/>
      <c r="T210" s="660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2">
        <v>4680115886773</v>
      </c>
      <c r="E211" s="653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9"/>
      <c r="R211" s="659"/>
      <c r="S211" s="659"/>
      <c r="T211" s="660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65"/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66"/>
      <c r="P212" s="649" t="s">
        <v>72</v>
      </c>
      <c r="Q212" s="650"/>
      <c r="R212" s="650"/>
      <c r="S212" s="650"/>
      <c r="T212" s="650"/>
      <c r="U212" s="650"/>
      <c r="V212" s="651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5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66"/>
      <c r="P213" s="649" t="s">
        <v>72</v>
      </c>
      <c r="Q213" s="650"/>
      <c r="R213" s="650"/>
      <c r="S213" s="650"/>
      <c r="T213" s="650"/>
      <c r="U213" s="650"/>
      <c r="V213" s="651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8" t="s">
        <v>356</v>
      </c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38"/>
      <c r="AB214" s="638"/>
      <c r="AC214" s="638"/>
    </row>
    <row r="215" spans="1:68" ht="14.25" hidden="1" customHeight="1" x14ac:dyDescent="0.25">
      <c r="A215" s="654" t="s">
        <v>148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2">
        <v>4680115886223</v>
      </c>
      <c r="E216" s="653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9"/>
      <c r="R216" s="659"/>
      <c r="S216" s="659"/>
      <c r="T216" s="660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5"/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66"/>
      <c r="P217" s="649" t="s">
        <v>72</v>
      </c>
      <c r="Q217" s="650"/>
      <c r="R217" s="650"/>
      <c r="S217" s="650"/>
      <c r="T217" s="650"/>
      <c r="U217" s="650"/>
      <c r="V217" s="651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5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66"/>
      <c r="P218" s="649" t="s">
        <v>72</v>
      </c>
      <c r="Q218" s="650"/>
      <c r="R218" s="650"/>
      <c r="S218" s="650"/>
      <c r="T218" s="650"/>
      <c r="U218" s="650"/>
      <c r="V218" s="651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54" t="s">
        <v>62</v>
      </c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39"/>
      <c r="AB219" s="639"/>
      <c r="AC219" s="639"/>
    </row>
    <row r="220" spans="1:68" ht="27" customHeight="1" x14ac:dyDescent="0.25">
      <c r="A220" s="54" t="s">
        <v>360</v>
      </c>
      <c r="B220" s="54" t="s">
        <v>361</v>
      </c>
      <c r="C220" s="31">
        <v>4301031191</v>
      </c>
      <c r="D220" s="652">
        <v>4680115880993</v>
      </c>
      <c r="E220" s="653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9"/>
      <c r="R220" s="659"/>
      <c r="S220" s="659"/>
      <c r="T220" s="660"/>
      <c r="U220" s="34"/>
      <c r="V220" s="34"/>
      <c r="W220" s="35" t="s">
        <v>67</v>
      </c>
      <c r="X220" s="643">
        <v>50</v>
      </c>
      <c r="Y220" s="644">
        <f t="shared" ref="Y220:Y234" si="27">IFERROR(IF(X220="",0,CEILING((X220/$H220),1)*$H220),"")</f>
        <v>50.400000000000006</v>
      </c>
      <c r="Z220" s="36">
        <f>IFERROR(IF(Y220=0,"",ROUNDUP(Y220/H220,0)*0.00902),"")</f>
        <v>0.10824</v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52.976190476190474</v>
      </c>
      <c r="BN220" s="64">
        <f t="shared" ref="BN220:BN234" si="29">IFERROR(Y220*I220/H220,"0")</f>
        <v>53.400000000000006</v>
      </c>
      <c r="BO220" s="64">
        <f t="shared" ref="BO220:BO234" si="30">IFERROR(1/J220*(X220/H220),"0")</f>
        <v>9.0187590187590191E-2</v>
      </c>
      <c r="BP220" s="64">
        <f t="shared" ref="BP220:BP234" si="31">IFERROR(1/J220*(Y220/H220),"0")</f>
        <v>9.0909090909090912E-2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2">
        <v>4680115881761</v>
      </c>
      <c r="E221" s="653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9"/>
      <c r="R221" s="659"/>
      <c r="S221" s="659"/>
      <c r="T221" s="660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366</v>
      </c>
      <c r="B222" s="54" t="s">
        <v>367</v>
      </c>
      <c r="C222" s="31">
        <v>4301031201</v>
      </c>
      <c r="D222" s="652">
        <v>4680115881563</v>
      </c>
      <c r="E222" s="653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9"/>
      <c r="R222" s="659"/>
      <c r="S222" s="659"/>
      <c r="T222" s="660"/>
      <c r="U222" s="34"/>
      <c r="V222" s="34"/>
      <c r="W222" s="35" t="s">
        <v>67</v>
      </c>
      <c r="X222" s="643">
        <v>0</v>
      </c>
      <c r="Y222" s="64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37.5" customHeight="1" x14ac:dyDescent="0.25">
      <c r="A223" s="54" t="s">
        <v>369</v>
      </c>
      <c r="B223" s="54" t="s">
        <v>370</v>
      </c>
      <c r="C223" s="31">
        <v>4301031447</v>
      </c>
      <c r="D223" s="652">
        <v>4680115887565</v>
      </c>
      <c r="E223" s="653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9"/>
      <c r="R223" s="659"/>
      <c r="S223" s="659"/>
      <c r="T223" s="660"/>
      <c r="U223" s="34"/>
      <c r="V223" s="34"/>
      <c r="W223" s="35" t="s">
        <v>67</v>
      </c>
      <c r="X223" s="643">
        <v>8</v>
      </c>
      <c r="Y223" s="644">
        <f t="shared" si="27"/>
        <v>8</v>
      </c>
      <c r="Z223" s="36">
        <f>IFERROR(IF(Y223=0,"",ROUNDUP(Y223/H223,0)*0.00556),"")</f>
        <v>5.5599999999999997E-2</v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9.3000000000000007</v>
      </c>
      <c r="BN223" s="64">
        <f t="shared" si="29"/>
        <v>9.3000000000000007</v>
      </c>
      <c r="BO223" s="64">
        <f t="shared" si="30"/>
        <v>3.968253968253968E-2</v>
      </c>
      <c r="BP223" s="64">
        <f t="shared" si="31"/>
        <v>3.968253968253968E-2</v>
      </c>
    </row>
    <row r="224" spans="1:68" ht="27" hidden="1" customHeight="1" x14ac:dyDescent="0.25">
      <c r="A224" s="54" t="s">
        <v>372</v>
      </c>
      <c r="B224" s="54" t="s">
        <v>373</v>
      </c>
      <c r="C224" s="31">
        <v>4301031199</v>
      </c>
      <c r="D224" s="652">
        <v>4680115880986</v>
      </c>
      <c r="E224" s="653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9"/>
      <c r="R224" s="659"/>
      <c r="S224" s="659"/>
      <c r="T224" s="660"/>
      <c r="U224" s="34"/>
      <c r="V224" s="34"/>
      <c r="W224" s="35" t="s">
        <v>67</v>
      </c>
      <c r="X224" s="643">
        <v>0</v>
      </c>
      <c r="Y224" s="644">
        <f t="shared" si="27"/>
        <v>0</v>
      </c>
      <c r="Z224" s="36" t="str">
        <f t="shared" ref="Z224:Z229" si="32">IFERROR(IF(Y224=0,"",ROUNDUP(Y224/H224,0)*0.00502),"")</f>
        <v/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2">
        <v>4680115887213</v>
      </c>
      <c r="E225" s="653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89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9"/>
      <c r="R225" s="659"/>
      <c r="S225" s="659"/>
      <c r="T225" s="660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2">
        <v>4680115881785</v>
      </c>
      <c r="E226" s="653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9"/>
      <c r="R226" s="659"/>
      <c r="S226" s="659"/>
      <c r="T226" s="660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2">
        <v>4680115888432</v>
      </c>
      <c r="E227" s="653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9"/>
      <c r="R227" s="659"/>
      <c r="S227" s="659"/>
      <c r="T227" s="660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2">
        <v>4680115888104</v>
      </c>
      <c r="E228" s="653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9"/>
      <c r="R228" s="659"/>
      <c r="S228" s="659"/>
      <c r="T228" s="660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2">
        <v>4680115886537</v>
      </c>
      <c r="E229" s="653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6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9"/>
      <c r="R229" s="659"/>
      <c r="S229" s="659"/>
      <c r="T229" s="660"/>
      <c r="U229" s="34"/>
      <c r="V229" s="34"/>
      <c r="W229" s="35" t="s">
        <v>67</v>
      </c>
      <c r="X229" s="643">
        <v>9</v>
      </c>
      <c r="Y229" s="644">
        <f t="shared" si="27"/>
        <v>9</v>
      </c>
      <c r="Z229" s="36">
        <f t="shared" si="32"/>
        <v>2.5100000000000001E-2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9.65</v>
      </c>
      <c r="BN229" s="64">
        <f t="shared" si="29"/>
        <v>9.65</v>
      </c>
      <c r="BO229" s="64">
        <f t="shared" si="30"/>
        <v>2.1367521367521368E-2</v>
      </c>
      <c r="BP229" s="64">
        <f t="shared" si="31"/>
        <v>2.1367521367521368E-2</v>
      </c>
    </row>
    <row r="230" spans="1:68" ht="27" customHeight="1" x14ac:dyDescent="0.25">
      <c r="A230" s="54" t="s">
        <v>388</v>
      </c>
      <c r="B230" s="54" t="s">
        <v>389</v>
      </c>
      <c r="C230" s="31">
        <v>4301031279</v>
      </c>
      <c r="D230" s="652">
        <v>4680115887596</v>
      </c>
      <c r="E230" s="653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9"/>
      <c r="R230" s="659"/>
      <c r="S230" s="659"/>
      <c r="T230" s="660"/>
      <c r="U230" s="34"/>
      <c r="V230" s="34"/>
      <c r="W230" s="35" t="s">
        <v>67</v>
      </c>
      <c r="X230" s="643">
        <v>9</v>
      </c>
      <c r="Y230" s="644">
        <f t="shared" si="27"/>
        <v>9.6000000000000014</v>
      </c>
      <c r="Z230" s="36">
        <f>IFERROR(IF(Y230=0,"",ROUNDUP(Y230/H230,0)*0.00417),"")</f>
        <v>5.0040000000000001E-2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11.362499999999999</v>
      </c>
      <c r="BN230" s="64">
        <f t="shared" si="29"/>
        <v>12.120000000000001</v>
      </c>
      <c r="BO230" s="64">
        <f t="shared" si="30"/>
        <v>3.3482142857142856E-2</v>
      </c>
      <c r="BP230" s="64">
        <f t="shared" si="31"/>
        <v>3.5714285714285719E-2</v>
      </c>
    </row>
    <row r="231" spans="1:68" ht="37.5" hidden="1" customHeight="1" x14ac:dyDescent="0.25">
      <c r="A231" s="54" t="s">
        <v>391</v>
      </c>
      <c r="B231" s="54" t="s">
        <v>392</v>
      </c>
      <c r="C231" s="31">
        <v>4301031530</v>
      </c>
      <c r="D231" s="652">
        <v>4680115881679</v>
      </c>
      <c r="E231" s="653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7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9"/>
      <c r="R231" s="659"/>
      <c r="S231" s="659"/>
      <c r="T231" s="660"/>
      <c r="U231" s="34"/>
      <c r="V231" s="34"/>
      <c r="W231" s="35" t="s">
        <v>67</v>
      </c>
      <c r="X231" s="643">
        <v>0</v>
      </c>
      <c r="Y231" s="644">
        <f t="shared" si="27"/>
        <v>0</v>
      </c>
      <c r="Z231" s="36" t="str">
        <f>IFERROR(IF(Y231=0,"",ROUNDUP(Y231/H231,0)*0.00502),"")</f>
        <v/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2">
        <v>4680115880191</v>
      </c>
      <c r="E232" s="653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9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9"/>
      <c r="R232" s="659"/>
      <c r="S232" s="659"/>
      <c r="T232" s="660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2">
        <v>4680115880191</v>
      </c>
      <c r="E233" s="653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5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9"/>
      <c r="R233" s="659"/>
      <c r="S233" s="659"/>
      <c r="T233" s="660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2">
        <v>4680115883963</v>
      </c>
      <c r="E234" s="653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5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66"/>
      <c r="P235" s="649" t="s">
        <v>72</v>
      </c>
      <c r="Q235" s="650"/>
      <c r="R235" s="650"/>
      <c r="S235" s="650"/>
      <c r="T235" s="650"/>
      <c r="U235" s="650"/>
      <c r="V235" s="651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38.154761904761905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39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0.23898</v>
      </c>
      <c r="AA235" s="646"/>
      <c r="AB235" s="646"/>
      <c r="AC235" s="646"/>
    </row>
    <row r="236" spans="1:68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66"/>
      <c r="P236" s="649" t="s">
        <v>72</v>
      </c>
      <c r="Q236" s="650"/>
      <c r="R236" s="650"/>
      <c r="S236" s="650"/>
      <c r="T236" s="650"/>
      <c r="U236" s="650"/>
      <c r="V236" s="651"/>
      <c r="W236" s="37" t="s">
        <v>67</v>
      </c>
      <c r="X236" s="645">
        <f>IFERROR(SUM(X220:X234),"0")</f>
        <v>76</v>
      </c>
      <c r="Y236" s="645">
        <f>IFERROR(SUM(Y220:Y234),"0")</f>
        <v>77</v>
      </c>
      <c r="Z236" s="37"/>
      <c r="AA236" s="646"/>
      <c r="AB236" s="646"/>
      <c r="AC236" s="646"/>
    </row>
    <row r="237" spans="1:68" ht="14.25" hidden="1" customHeight="1" x14ac:dyDescent="0.25">
      <c r="A237" s="654" t="s">
        <v>74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2">
        <v>4680115888692</v>
      </c>
      <c r="E238" s="653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6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2">
        <v>4680115888692</v>
      </c>
      <c r="E239" s="653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9"/>
      <c r="R239" s="659"/>
      <c r="S239" s="659"/>
      <c r="T239" s="660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2">
        <v>4680115888722</v>
      </c>
      <c r="E240" s="653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66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9"/>
      <c r="R240" s="659"/>
      <c r="S240" s="659"/>
      <c r="T240" s="660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2">
        <v>4680115888722</v>
      </c>
      <c r="E241" s="653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1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9"/>
      <c r="R241" s="659"/>
      <c r="S241" s="659"/>
      <c r="T241" s="660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2">
        <v>4680115888951</v>
      </c>
      <c r="E242" s="653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9"/>
      <c r="R242" s="659"/>
      <c r="S242" s="659"/>
      <c r="T242" s="660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2">
        <v>4680115888951</v>
      </c>
      <c r="E243" s="653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9"/>
      <c r="R243" s="659"/>
      <c r="S243" s="659"/>
      <c r="T243" s="660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2">
        <v>4680115888975</v>
      </c>
      <c r="E244" s="653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7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9"/>
      <c r="R244" s="659"/>
      <c r="S244" s="659"/>
      <c r="T244" s="660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2">
        <v>4680115888982</v>
      </c>
      <c r="E245" s="653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9"/>
      <c r="R245" s="659"/>
      <c r="S245" s="659"/>
      <c r="T245" s="660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2">
        <v>4680115888982</v>
      </c>
      <c r="E246" s="653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80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9"/>
      <c r="R246" s="659"/>
      <c r="S246" s="659"/>
      <c r="T246" s="660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65"/>
      <c r="B247" s="655"/>
      <c r="C247" s="655"/>
      <c r="D247" s="655"/>
      <c r="E247" s="655"/>
      <c r="F247" s="655"/>
      <c r="G247" s="655"/>
      <c r="H247" s="655"/>
      <c r="I247" s="655"/>
      <c r="J247" s="655"/>
      <c r="K247" s="655"/>
      <c r="L247" s="655"/>
      <c r="M247" s="655"/>
      <c r="N247" s="655"/>
      <c r="O247" s="666"/>
      <c r="P247" s="649" t="s">
        <v>72</v>
      </c>
      <c r="Q247" s="650"/>
      <c r="R247" s="650"/>
      <c r="S247" s="650"/>
      <c r="T247" s="650"/>
      <c r="U247" s="650"/>
      <c r="V247" s="651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5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66"/>
      <c r="P248" s="649" t="s">
        <v>72</v>
      </c>
      <c r="Q248" s="650"/>
      <c r="R248" s="650"/>
      <c r="S248" s="650"/>
      <c r="T248" s="650"/>
      <c r="U248" s="650"/>
      <c r="V248" s="651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54" t="s">
        <v>266</v>
      </c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2">
        <v>4680115886780</v>
      </c>
      <c r="E250" s="653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9"/>
      <c r="R250" s="659"/>
      <c r="S250" s="659"/>
      <c r="T250" s="660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422</v>
      </c>
      <c r="B251" s="54" t="s">
        <v>423</v>
      </c>
      <c r="C251" s="31">
        <v>4301032051</v>
      </c>
      <c r="D251" s="652">
        <v>4680115886742</v>
      </c>
      <c r="E251" s="653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9"/>
      <c r="R251" s="659"/>
      <c r="S251" s="659"/>
      <c r="T251" s="660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2">
        <v>4680115886766</v>
      </c>
      <c r="E252" s="653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9"/>
      <c r="R252" s="659"/>
      <c r="S252" s="659"/>
      <c r="T252" s="660"/>
      <c r="U252" s="34"/>
      <c r="V252" s="34"/>
      <c r="W252" s="35" t="s">
        <v>67</v>
      </c>
      <c r="X252" s="643">
        <v>5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5.753968253968254</v>
      </c>
      <c r="BN252" s="64">
        <f>IFERROR(Y252*I252/H252,"0")</f>
        <v>5.8</v>
      </c>
      <c r="BO252" s="64">
        <f>IFERROR(1/J252*(X252/H252),"0")</f>
        <v>1.8371546149323927E-2</v>
      </c>
      <c r="BP252" s="64">
        <f>IFERROR(1/J252*(Y252/H252),"0")</f>
        <v>1.8518518518518517E-2</v>
      </c>
    </row>
    <row r="253" spans="1:68" x14ac:dyDescent="0.2">
      <c r="A253" s="665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66"/>
      <c r="P253" s="649" t="s">
        <v>72</v>
      </c>
      <c r="Q253" s="650"/>
      <c r="R253" s="650"/>
      <c r="S253" s="650"/>
      <c r="T253" s="650"/>
      <c r="U253" s="650"/>
      <c r="V253" s="651"/>
      <c r="W253" s="37" t="s">
        <v>73</v>
      </c>
      <c r="X253" s="645">
        <f>IFERROR(X250/H250,"0")+IFERROR(X251/H251,"0")+IFERROR(X252/H252,"0")</f>
        <v>3.9682539682539684</v>
      </c>
      <c r="Y253" s="645">
        <f>IFERROR(Y250/H250,"0")+IFERROR(Y251/H251,"0")+IFERROR(Y252/H252,"0")</f>
        <v>4</v>
      </c>
      <c r="Z253" s="645">
        <f>IFERROR(IF(Z250="",0,Z250),"0")+IFERROR(IF(Z251="",0,Z251),"0")+IFERROR(IF(Z252="",0,Z252),"0")</f>
        <v>2.3599999999999999E-2</v>
      </c>
      <c r="AA253" s="646"/>
      <c r="AB253" s="646"/>
      <c r="AC253" s="646"/>
    </row>
    <row r="254" spans="1:68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66"/>
      <c r="P254" s="649" t="s">
        <v>72</v>
      </c>
      <c r="Q254" s="650"/>
      <c r="R254" s="650"/>
      <c r="S254" s="650"/>
      <c r="T254" s="650"/>
      <c r="U254" s="650"/>
      <c r="V254" s="651"/>
      <c r="W254" s="37" t="s">
        <v>67</v>
      </c>
      <c r="X254" s="645">
        <f>IFERROR(SUM(X250:X252),"0")</f>
        <v>5</v>
      </c>
      <c r="Y254" s="645">
        <f>IFERROR(SUM(Y250:Y252),"0")</f>
        <v>5.04</v>
      </c>
      <c r="Z254" s="37"/>
      <c r="AA254" s="646"/>
      <c r="AB254" s="646"/>
      <c r="AC254" s="646"/>
    </row>
    <row r="255" spans="1:68" ht="14.25" hidden="1" customHeight="1" x14ac:dyDescent="0.25">
      <c r="A255" s="654" t="s">
        <v>427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39"/>
      <c r="AB255" s="639"/>
      <c r="AC255" s="639"/>
    </row>
    <row r="256" spans="1:68" ht="27" customHeight="1" x14ac:dyDescent="0.25">
      <c r="A256" s="54" t="s">
        <v>428</v>
      </c>
      <c r="B256" s="54" t="s">
        <v>429</v>
      </c>
      <c r="C256" s="31">
        <v>4301170013</v>
      </c>
      <c r="D256" s="652">
        <v>4680115886797</v>
      </c>
      <c r="E256" s="653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9"/>
      <c r="R256" s="659"/>
      <c r="S256" s="659"/>
      <c r="T256" s="660"/>
      <c r="U256" s="34"/>
      <c r="V256" s="34"/>
      <c r="W256" s="35" t="s">
        <v>67</v>
      </c>
      <c r="X256" s="643">
        <v>3</v>
      </c>
      <c r="Y256" s="644">
        <f>IFERROR(IF(X256="",0,CEILING((X256/$H256),1)*$H256),"")</f>
        <v>3.7800000000000002</v>
      </c>
      <c r="Z256" s="36">
        <f>IFERROR(IF(Y256=0,"",ROUNDUP(Y256/H256,0)*0.0059),"")</f>
        <v>1.77E-2</v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3.4523809523809521</v>
      </c>
      <c r="BN256" s="64">
        <f>IFERROR(Y256*I256/H256,"0")</f>
        <v>4.3499999999999996</v>
      </c>
      <c r="BO256" s="64">
        <f>IFERROR(1/J256*(X256/H256),"0")</f>
        <v>1.1022927689594356E-2</v>
      </c>
      <c r="BP256" s="64">
        <f>IFERROR(1/J256*(Y256/H256),"0")</f>
        <v>1.3888888888888888E-2</v>
      </c>
    </row>
    <row r="257" spans="1:68" x14ac:dyDescent="0.2">
      <c r="A257" s="66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66"/>
      <c r="P257" s="649" t="s">
        <v>72</v>
      </c>
      <c r="Q257" s="650"/>
      <c r="R257" s="650"/>
      <c r="S257" s="650"/>
      <c r="T257" s="650"/>
      <c r="U257" s="650"/>
      <c r="V257" s="651"/>
      <c r="W257" s="37" t="s">
        <v>73</v>
      </c>
      <c r="X257" s="645">
        <f>IFERROR(X256/H256,"0")</f>
        <v>2.3809523809523809</v>
      </c>
      <c r="Y257" s="645">
        <f>IFERROR(Y256/H256,"0")</f>
        <v>3</v>
      </c>
      <c r="Z257" s="645">
        <f>IFERROR(IF(Z256="",0,Z256),"0")</f>
        <v>1.77E-2</v>
      </c>
      <c r="AA257" s="646"/>
      <c r="AB257" s="646"/>
      <c r="AC257" s="646"/>
    </row>
    <row r="258" spans="1:68" x14ac:dyDescent="0.2">
      <c r="A258" s="655"/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66"/>
      <c r="P258" s="649" t="s">
        <v>72</v>
      </c>
      <c r="Q258" s="650"/>
      <c r="R258" s="650"/>
      <c r="S258" s="650"/>
      <c r="T258" s="650"/>
      <c r="U258" s="650"/>
      <c r="V258" s="651"/>
      <c r="W258" s="37" t="s">
        <v>67</v>
      </c>
      <c r="X258" s="645">
        <f>IFERROR(SUM(X256:X256),"0")</f>
        <v>3</v>
      </c>
      <c r="Y258" s="645">
        <f>IFERROR(SUM(Y256:Y256),"0")</f>
        <v>3.7800000000000002</v>
      </c>
      <c r="Z258" s="37"/>
      <c r="AA258" s="646"/>
      <c r="AB258" s="646"/>
      <c r="AC258" s="646"/>
    </row>
    <row r="259" spans="1:68" ht="16.5" hidden="1" customHeight="1" x14ac:dyDescent="0.25">
      <c r="A259" s="668" t="s">
        <v>430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8"/>
      <c r="AB259" s="638"/>
      <c r="AC259" s="638"/>
    </row>
    <row r="260" spans="1:68" ht="14.25" hidden="1" customHeight="1" x14ac:dyDescent="0.25">
      <c r="A260" s="654" t="s">
        <v>111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2">
        <v>4680115881402</v>
      </c>
      <c r="E261" s="653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9"/>
      <c r="R261" s="659"/>
      <c r="S261" s="659"/>
      <c r="T261" s="660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2">
        <v>4680115881396</v>
      </c>
      <c r="E262" s="653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9"/>
      <c r="R262" s="659"/>
      <c r="S262" s="659"/>
      <c r="T262" s="660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65"/>
      <c r="B263" s="655"/>
      <c r="C263" s="655"/>
      <c r="D263" s="655"/>
      <c r="E263" s="655"/>
      <c r="F263" s="655"/>
      <c r="G263" s="655"/>
      <c r="H263" s="655"/>
      <c r="I263" s="655"/>
      <c r="J263" s="655"/>
      <c r="K263" s="655"/>
      <c r="L263" s="655"/>
      <c r="M263" s="655"/>
      <c r="N263" s="655"/>
      <c r="O263" s="666"/>
      <c r="P263" s="649" t="s">
        <v>72</v>
      </c>
      <c r="Q263" s="650"/>
      <c r="R263" s="650"/>
      <c r="S263" s="650"/>
      <c r="T263" s="650"/>
      <c r="U263" s="650"/>
      <c r="V263" s="651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5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66"/>
      <c r="P264" s="649" t="s">
        <v>72</v>
      </c>
      <c r="Q264" s="650"/>
      <c r="R264" s="650"/>
      <c r="S264" s="650"/>
      <c r="T264" s="650"/>
      <c r="U264" s="650"/>
      <c r="V264" s="651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54" t="s">
        <v>148</v>
      </c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2">
        <v>4680115882935</v>
      </c>
      <c r="E266" s="653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9"/>
      <c r="R266" s="659"/>
      <c r="S266" s="659"/>
      <c r="T266" s="660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2">
        <v>4680115880764</v>
      </c>
      <c r="E267" s="653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9"/>
      <c r="R267" s="659"/>
      <c r="S267" s="659"/>
      <c r="T267" s="660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65"/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66"/>
      <c r="P268" s="649" t="s">
        <v>72</v>
      </c>
      <c r="Q268" s="650"/>
      <c r="R268" s="650"/>
      <c r="S268" s="650"/>
      <c r="T268" s="650"/>
      <c r="U268" s="650"/>
      <c r="V268" s="651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5"/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66"/>
      <c r="P269" s="649" t="s">
        <v>72</v>
      </c>
      <c r="Q269" s="650"/>
      <c r="R269" s="650"/>
      <c r="S269" s="650"/>
      <c r="T269" s="650"/>
      <c r="U269" s="650"/>
      <c r="V269" s="651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54" t="s">
        <v>62</v>
      </c>
      <c r="B270" s="655"/>
      <c r="C270" s="655"/>
      <c r="D270" s="655"/>
      <c r="E270" s="655"/>
      <c r="F270" s="655"/>
      <c r="G270" s="655"/>
      <c r="H270" s="655"/>
      <c r="I270" s="655"/>
      <c r="J270" s="655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39"/>
      <c r="AB270" s="639"/>
      <c r="AC270" s="639"/>
    </row>
    <row r="271" spans="1:68" ht="27" hidden="1" customHeight="1" x14ac:dyDescent="0.25">
      <c r="A271" s="54" t="s">
        <v>441</v>
      </c>
      <c r="B271" s="54" t="s">
        <v>442</v>
      </c>
      <c r="C271" s="31">
        <v>4301031224</v>
      </c>
      <c r="D271" s="652">
        <v>4680115882683</v>
      </c>
      <c r="E271" s="653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9"/>
      <c r="R271" s="659"/>
      <c r="S271" s="659"/>
      <c r="T271" s="660"/>
      <c r="U271" s="34"/>
      <c r="V271" s="34"/>
      <c r="W271" s="35" t="s">
        <v>67</v>
      </c>
      <c r="X271" s="643">
        <v>0</v>
      </c>
      <c r="Y271" s="644">
        <f t="shared" ref="Y271:Y278" si="38">IFERROR(IF(X271="",0,CEILING((X271/$H271),1)*$H271),"")</f>
        <v>0</v>
      </c>
      <c r="Z271" s="36" t="str">
        <f>IFERROR(IF(Y271=0,"",ROUNDUP(Y271/H271,0)*0.00902),"")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0</v>
      </c>
      <c r="BN271" s="64">
        <f t="shared" ref="BN271:BN278" si="40">IFERROR(Y271*I271/H271,"0")</f>
        <v>0</v>
      </c>
      <c r="BO271" s="64">
        <f t="shared" ref="BO271:BO278" si="41">IFERROR(1/J271*(X271/H271),"0")</f>
        <v>0</v>
      </c>
      <c r="BP271" s="64">
        <f t="shared" ref="BP271:BP278" si="42">IFERROR(1/J271*(Y271/H271),"0")</f>
        <v>0</v>
      </c>
    </row>
    <row r="272" spans="1:68" ht="27" customHeight="1" x14ac:dyDescent="0.25">
      <c r="A272" s="54" t="s">
        <v>444</v>
      </c>
      <c r="B272" s="54" t="s">
        <v>445</v>
      </c>
      <c r="C272" s="31">
        <v>4301031230</v>
      </c>
      <c r="D272" s="652">
        <v>4680115882690</v>
      </c>
      <c r="E272" s="653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9"/>
      <c r="R272" s="659"/>
      <c r="S272" s="659"/>
      <c r="T272" s="660"/>
      <c r="U272" s="34"/>
      <c r="V272" s="34"/>
      <c r="W272" s="35" t="s">
        <v>67</v>
      </c>
      <c r="X272" s="643">
        <v>200</v>
      </c>
      <c r="Y272" s="644">
        <f t="shared" si="38"/>
        <v>205.20000000000002</v>
      </c>
      <c r="Z272" s="36">
        <f>IFERROR(IF(Y272=0,"",ROUNDUP(Y272/H272,0)*0.00902),"")</f>
        <v>0.34276000000000001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207.03703703703701</v>
      </c>
      <c r="BN272" s="64">
        <f t="shared" si="40"/>
        <v>212.42</v>
      </c>
      <c r="BO272" s="64">
        <f t="shared" si="41"/>
        <v>0.28058361391694725</v>
      </c>
      <c r="BP272" s="64">
        <f t="shared" si="42"/>
        <v>0.2878787878787879</v>
      </c>
    </row>
    <row r="273" spans="1:68" ht="27" hidden="1" customHeight="1" x14ac:dyDescent="0.25">
      <c r="A273" s="54" t="s">
        <v>447</v>
      </c>
      <c r="B273" s="54" t="s">
        <v>448</v>
      </c>
      <c r="C273" s="31">
        <v>4301031220</v>
      </c>
      <c r="D273" s="652">
        <v>4680115882669</v>
      </c>
      <c r="E273" s="653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9"/>
      <c r="R273" s="659"/>
      <c r="S273" s="659"/>
      <c r="T273" s="660"/>
      <c r="U273" s="34"/>
      <c r="V273" s="34"/>
      <c r="W273" s="35" t="s">
        <v>67</v>
      </c>
      <c r="X273" s="643">
        <v>0</v>
      </c>
      <c r="Y273" s="644">
        <f t="shared" si="38"/>
        <v>0</v>
      </c>
      <c r="Z273" s="36" t="str">
        <f>IFERROR(IF(Y273=0,"",ROUNDUP(Y273/H273,0)*0.00902),"")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0</v>
      </c>
      <c r="BN273" s="64">
        <f t="shared" si="40"/>
        <v>0</v>
      </c>
      <c r="BO273" s="64">
        <f t="shared" si="41"/>
        <v>0</v>
      </c>
      <c r="BP273" s="64">
        <f t="shared" si="42"/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4301031221</v>
      </c>
      <c r="D274" s="652">
        <v>4680115882676</v>
      </c>
      <c r="E274" s="653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9"/>
      <c r="R274" s="659"/>
      <c r="S274" s="659"/>
      <c r="T274" s="660"/>
      <c r="U274" s="34"/>
      <c r="V274" s="34"/>
      <c r="W274" s="35" t="s">
        <v>67</v>
      </c>
      <c r="X274" s="643">
        <v>0</v>
      </c>
      <c r="Y274" s="644">
        <f t="shared" si="38"/>
        <v>0</v>
      </c>
      <c r="Z274" s="36" t="str">
        <f>IFERROR(IF(Y274=0,"",ROUNDUP(Y274/H274,0)*0.00902),"")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0</v>
      </c>
      <c r="BN274" s="64">
        <f t="shared" si="40"/>
        <v>0</v>
      </c>
      <c r="BO274" s="64">
        <f t="shared" si="41"/>
        <v>0</v>
      </c>
      <c r="BP274" s="64">
        <f t="shared" si="42"/>
        <v>0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2">
        <v>4680115884014</v>
      </c>
      <c r="E275" s="653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9"/>
      <c r="R275" s="659"/>
      <c r="S275" s="659"/>
      <c r="T275" s="660"/>
      <c r="U275" s="34"/>
      <c r="V275" s="34"/>
      <c r="W275" s="35" t="s">
        <v>67</v>
      </c>
      <c r="X275" s="643">
        <v>17</v>
      </c>
      <c r="Y275" s="644">
        <f t="shared" si="38"/>
        <v>18</v>
      </c>
      <c r="Z275" s="36">
        <f>IFERROR(IF(Y275=0,"",ROUNDUP(Y275/H275,0)*0.00502),"")</f>
        <v>5.0200000000000002E-2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18.227777777777778</v>
      </c>
      <c r="BN275" s="64">
        <f t="shared" si="40"/>
        <v>19.3</v>
      </c>
      <c r="BO275" s="64">
        <f t="shared" si="41"/>
        <v>4.0360873694207031E-2</v>
      </c>
      <c r="BP275" s="64">
        <f t="shared" si="42"/>
        <v>4.2735042735042736E-2</v>
      </c>
    </row>
    <row r="276" spans="1:68" ht="27" hidden="1" customHeight="1" x14ac:dyDescent="0.25">
      <c r="A276" s="54" t="s">
        <v>455</v>
      </c>
      <c r="B276" s="54" t="s">
        <v>456</v>
      </c>
      <c r="C276" s="31">
        <v>4301031222</v>
      </c>
      <c r="D276" s="652">
        <v>4680115884007</v>
      </c>
      <c r="E276" s="653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9"/>
      <c r="R276" s="659"/>
      <c r="S276" s="659"/>
      <c r="T276" s="660"/>
      <c r="U276" s="34"/>
      <c r="V276" s="34"/>
      <c r="W276" s="35" t="s">
        <v>67</v>
      </c>
      <c r="X276" s="643">
        <v>0</v>
      </c>
      <c r="Y276" s="644">
        <f t="shared" si="38"/>
        <v>0</v>
      </c>
      <c r="Z276" s="36" t="str">
        <f>IFERROR(IF(Y276=0,"",ROUNDUP(Y276/H276,0)*0.00502),"")</f>
        <v/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0</v>
      </c>
      <c r="BN276" s="64">
        <f t="shared" si="40"/>
        <v>0</v>
      </c>
      <c r="BO276" s="64">
        <f t="shared" si="41"/>
        <v>0</v>
      </c>
      <c r="BP276" s="64">
        <f t="shared" si="42"/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2">
        <v>4680115884038</v>
      </c>
      <c r="E277" s="653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9"/>
      <c r="R277" s="659"/>
      <c r="S277" s="659"/>
      <c r="T277" s="660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hidden="1" customHeight="1" x14ac:dyDescent="0.25">
      <c r="A278" s="54" t="s">
        <v>459</v>
      </c>
      <c r="B278" s="54" t="s">
        <v>460</v>
      </c>
      <c r="C278" s="31">
        <v>4301031225</v>
      </c>
      <c r="D278" s="652">
        <v>4680115884021</v>
      </c>
      <c r="E278" s="653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9"/>
      <c r="R278" s="659"/>
      <c r="S278" s="659"/>
      <c r="T278" s="660"/>
      <c r="U278" s="34"/>
      <c r="V278" s="34"/>
      <c r="W278" s="35" t="s">
        <v>67</v>
      </c>
      <c r="X278" s="643">
        <v>0</v>
      </c>
      <c r="Y278" s="644">
        <f t="shared" si="38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0</v>
      </c>
      <c r="BN278" s="64">
        <f t="shared" si="40"/>
        <v>0</v>
      </c>
      <c r="BO278" s="64">
        <f t="shared" si="41"/>
        <v>0</v>
      </c>
      <c r="BP278" s="64">
        <f t="shared" si="42"/>
        <v>0</v>
      </c>
    </row>
    <row r="279" spans="1:68" x14ac:dyDescent="0.2">
      <c r="A279" s="665"/>
      <c r="B279" s="655"/>
      <c r="C279" s="655"/>
      <c r="D279" s="655"/>
      <c r="E279" s="655"/>
      <c r="F279" s="655"/>
      <c r="G279" s="655"/>
      <c r="H279" s="655"/>
      <c r="I279" s="655"/>
      <c r="J279" s="655"/>
      <c r="K279" s="655"/>
      <c r="L279" s="655"/>
      <c r="M279" s="655"/>
      <c r="N279" s="655"/>
      <c r="O279" s="666"/>
      <c r="P279" s="649" t="s">
        <v>72</v>
      </c>
      <c r="Q279" s="650"/>
      <c r="R279" s="650"/>
      <c r="S279" s="650"/>
      <c r="T279" s="650"/>
      <c r="U279" s="650"/>
      <c r="V279" s="651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46.481481481481481</v>
      </c>
      <c r="Y279" s="645">
        <f>IFERROR(Y271/H271,"0")+IFERROR(Y272/H272,"0")+IFERROR(Y273/H273,"0")+IFERROR(Y274/H274,"0")+IFERROR(Y275/H275,"0")+IFERROR(Y276/H276,"0")+IFERROR(Y277/H277,"0")+IFERROR(Y278/H278,"0")</f>
        <v>48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0.39296000000000003</v>
      </c>
      <c r="AA279" s="646"/>
      <c r="AB279" s="646"/>
      <c r="AC279" s="646"/>
    </row>
    <row r="280" spans="1:68" x14ac:dyDescent="0.2">
      <c r="A280" s="655"/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66"/>
      <c r="P280" s="649" t="s">
        <v>72</v>
      </c>
      <c r="Q280" s="650"/>
      <c r="R280" s="650"/>
      <c r="S280" s="650"/>
      <c r="T280" s="650"/>
      <c r="U280" s="650"/>
      <c r="V280" s="651"/>
      <c r="W280" s="37" t="s">
        <v>67</v>
      </c>
      <c r="X280" s="645">
        <f>IFERROR(SUM(X271:X278),"0")</f>
        <v>217</v>
      </c>
      <c r="Y280" s="645">
        <f>IFERROR(SUM(Y271:Y278),"0")</f>
        <v>223.20000000000002</v>
      </c>
      <c r="Z280" s="37"/>
      <c r="AA280" s="646"/>
      <c r="AB280" s="646"/>
      <c r="AC280" s="646"/>
    </row>
    <row r="281" spans="1:68" ht="14.25" hidden="1" customHeight="1" x14ac:dyDescent="0.25">
      <c r="A281" s="654" t="s">
        <v>74</v>
      </c>
      <c r="B281" s="655"/>
      <c r="C281" s="655"/>
      <c r="D281" s="655"/>
      <c r="E281" s="655"/>
      <c r="F281" s="655"/>
      <c r="G281" s="655"/>
      <c r="H281" s="655"/>
      <c r="I281" s="655"/>
      <c r="J281" s="655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2">
        <v>4680115881594</v>
      </c>
      <c r="E282" s="653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9"/>
      <c r="R282" s="659"/>
      <c r="S282" s="659"/>
      <c r="T282" s="660"/>
      <c r="U282" s="34"/>
      <c r="V282" s="34"/>
      <c r="W282" s="35" t="s">
        <v>67</v>
      </c>
      <c r="X282" s="643">
        <v>255</v>
      </c>
      <c r="Y282" s="644">
        <f t="shared" ref="Y282:Y293" si="43">IFERROR(IF(X282="",0,CEILING((X282/$H282),1)*$H282),"")</f>
        <v>259.2</v>
      </c>
      <c r="Z282" s="36">
        <f>IFERROR(IF(Y282=0,"",ROUNDUP(Y282/H282,0)*0.01898),"")</f>
        <v>0.60736000000000001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270.55185185185184</v>
      </c>
      <c r="BN282" s="64">
        <f t="shared" ref="BN282:BN293" si="45">IFERROR(Y282*I282/H282,"0")</f>
        <v>275.00799999999998</v>
      </c>
      <c r="BO282" s="64">
        <f t="shared" ref="BO282:BO293" si="46">IFERROR(1/J282*(X282/H282),"0")</f>
        <v>0.4918981481481482</v>
      </c>
      <c r="BP282" s="64">
        <f t="shared" ref="BP282:BP293" si="47">IFERROR(1/J282*(Y282/H282),"0")</f>
        <v>0.5</v>
      </c>
    </row>
    <row r="283" spans="1:68" ht="27" customHeight="1" x14ac:dyDescent="0.25">
      <c r="A283" s="54" t="s">
        <v>464</v>
      </c>
      <c r="B283" s="54" t="s">
        <v>465</v>
      </c>
      <c r="C283" s="31">
        <v>4301051411</v>
      </c>
      <c r="D283" s="652">
        <v>4680115881617</v>
      </c>
      <c r="E283" s="653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9"/>
      <c r="R283" s="659"/>
      <c r="S283" s="659"/>
      <c r="T283" s="660"/>
      <c r="U283" s="34"/>
      <c r="V283" s="34"/>
      <c r="W283" s="35" t="s">
        <v>67</v>
      </c>
      <c r="X283" s="643">
        <v>19</v>
      </c>
      <c r="Y283" s="644">
        <f t="shared" si="43"/>
        <v>24.299999999999997</v>
      </c>
      <c r="Z283" s="36">
        <f>IFERROR(IF(Y283=0,"",ROUNDUP(Y283/H283,0)*0.01898),"")</f>
        <v>5.6940000000000004E-2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20.116543209876546</v>
      </c>
      <c r="BN283" s="64">
        <f t="shared" si="45"/>
        <v>25.727999999999998</v>
      </c>
      <c r="BO283" s="64">
        <f t="shared" si="46"/>
        <v>3.6651234567901238E-2</v>
      </c>
      <c r="BP283" s="64">
        <f t="shared" si="47"/>
        <v>4.6875E-2</v>
      </c>
    </row>
    <row r="284" spans="1:68" ht="27" customHeight="1" x14ac:dyDescent="0.25">
      <c r="A284" s="54" t="s">
        <v>467</v>
      </c>
      <c r="B284" s="54" t="s">
        <v>468</v>
      </c>
      <c r="C284" s="31">
        <v>4301051656</v>
      </c>
      <c r="D284" s="652">
        <v>4680115880573</v>
      </c>
      <c r="E284" s="653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9"/>
      <c r="R284" s="659"/>
      <c r="S284" s="659"/>
      <c r="T284" s="660"/>
      <c r="U284" s="34"/>
      <c r="V284" s="34"/>
      <c r="W284" s="35" t="s">
        <v>67</v>
      </c>
      <c r="X284" s="643">
        <v>64</v>
      </c>
      <c r="Y284" s="644">
        <f t="shared" si="43"/>
        <v>69.599999999999994</v>
      </c>
      <c r="Z284" s="36">
        <f>IFERROR(IF(Y284=0,"",ROUNDUP(Y284/H284,0)*0.01898),"")</f>
        <v>0.15184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67.634022988505762</v>
      </c>
      <c r="BN284" s="64">
        <f t="shared" si="45"/>
        <v>73.552000000000007</v>
      </c>
      <c r="BO284" s="64">
        <f t="shared" si="46"/>
        <v>0.1149425287356322</v>
      </c>
      <c r="BP284" s="64">
        <f t="shared" si="47"/>
        <v>0.125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2">
        <v>4680115882195</v>
      </c>
      <c r="E285" s="653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4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9"/>
      <c r="R285" s="659"/>
      <c r="S285" s="659"/>
      <c r="T285" s="660"/>
      <c r="U285" s="34"/>
      <c r="V285" s="34"/>
      <c r="W285" s="35" t="s">
        <v>67</v>
      </c>
      <c r="X285" s="643">
        <v>198</v>
      </c>
      <c r="Y285" s="644">
        <f t="shared" si="43"/>
        <v>199.2</v>
      </c>
      <c r="Z285" s="36">
        <f>IFERROR(IF(Y285=0,"",ROUNDUP(Y285/H285,0)*0.00651),"")</f>
        <v>0.54032999999999998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220.27500000000001</v>
      </c>
      <c r="BN285" s="64">
        <f t="shared" si="45"/>
        <v>221.60999999999999</v>
      </c>
      <c r="BO285" s="64">
        <f t="shared" si="46"/>
        <v>0.45329670329670335</v>
      </c>
      <c r="BP285" s="64">
        <f t="shared" si="47"/>
        <v>0.45604395604395609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2">
        <v>4680115882607</v>
      </c>
      <c r="E286" s="653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4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9"/>
      <c r="R286" s="659"/>
      <c r="S286" s="659"/>
      <c r="T286" s="660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2">
        <v>4680115882607</v>
      </c>
      <c r="E287" s="653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9"/>
      <c r="R287" s="659"/>
      <c r="S287" s="659"/>
      <c r="T287" s="660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customHeight="1" x14ac:dyDescent="0.25">
      <c r="A288" s="54" t="s">
        <v>477</v>
      </c>
      <c r="B288" s="54" t="s">
        <v>478</v>
      </c>
      <c r="C288" s="31">
        <v>4301051666</v>
      </c>
      <c r="D288" s="652">
        <v>4680115880092</v>
      </c>
      <c r="E288" s="653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9"/>
      <c r="R288" s="659"/>
      <c r="S288" s="659"/>
      <c r="T288" s="660"/>
      <c r="U288" s="34"/>
      <c r="V288" s="34"/>
      <c r="W288" s="35" t="s">
        <v>67</v>
      </c>
      <c r="X288" s="643">
        <v>1988</v>
      </c>
      <c r="Y288" s="644">
        <f t="shared" si="43"/>
        <v>1989.6</v>
      </c>
      <c r="Z288" s="36">
        <f>IFERROR(IF(Y288=0,"",ROUNDUP(Y288/H288,0)*0.00651),"")</f>
        <v>5.3967900000000002</v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2196.7400000000002</v>
      </c>
      <c r="BN288" s="64">
        <f t="shared" si="45"/>
        <v>2198.5080000000003</v>
      </c>
      <c r="BO288" s="64">
        <f t="shared" si="46"/>
        <v>4.551282051282052</v>
      </c>
      <c r="BP288" s="64">
        <f t="shared" si="47"/>
        <v>4.5549450549450556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2">
        <v>4680115889064</v>
      </c>
      <c r="E289" s="653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9"/>
      <c r="R289" s="659"/>
      <c r="S289" s="659"/>
      <c r="T289" s="660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4301051668</v>
      </c>
      <c r="D290" s="652">
        <v>4680115880221</v>
      </c>
      <c r="E290" s="653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9"/>
      <c r="R290" s="659"/>
      <c r="S290" s="659"/>
      <c r="T290" s="660"/>
      <c r="U290" s="34"/>
      <c r="V290" s="34"/>
      <c r="W290" s="35" t="s">
        <v>67</v>
      </c>
      <c r="X290" s="643">
        <v>161</v>
      </c>
      <c r="Y290" s="644">
        <f t="shared" si="43"/>
        <v>163.19999999999999</v>
      </c>
      <c r="Z290" s="36">
        <f>IFERROR(IF(Y290=0,"",ROUNDUP(Y290/H290,0)*0.00651),"")</f>
        <v>0.44268000000000002</v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177.90500000000003</v>
      </c>
      <c r="BN290" s="64">
        <f t="shared" si="45"/>
        <v>180.33600000000001</v>
      </c>
      <c r="BO290" s="64">
        <f t="shared" si="46"/>
        <v>0.36858974358974367</v>
      </c>
      <c r="BP290" s="64">
        <f t="shared" si="47"/>
        <v>0.37362637362637363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2">
        <v>4680115880504</v>
      </c>
      <c r="E291" s="653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9"/>
      <c r="R291" s="659"/>
      <c r="S291" s="659"/>
      <c r="T291" s="660"/>
      <c r="U291" s="34"/>
      <c r="V291" s="34"/>
      <c r="W291" s="35" t="s">
        <v>67</v>
      </c>
      <c r="X291" s="643">
        <v>222</v>
      </c>
      <c r="Y291" s="644">
        <f t="shared" si="43"/>
        <v>223.2</v>
      </c>
      <c r="Z291" s="36">
        <f>IFERROR(IF(Y291=0,"",ROUNDUP(Y291/H291,0)*0.00651),"")</f>
        <v>0.60543000000000002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245.31000000000003</v>
      </c>
      <c r="BN291" s="64">
        <f t="shared" si="45"/>
        <v>246.636</v>
      </c>
      <c r="BO291" s="64">
        <f t="shared" si="46"/>
        <v>0.50824175824175832</v>
      </c>
      <c r="BP291" s="64">
        <f t="shared" si="47"/>
        <v>0.51098901098901106</v>
      </c>
    </row>
    <row r="292" spans="1:68" ht="27" customHeight="1" x14ac:dyDescent="0.25">
      <c r="A292" s="54" t="s">
        <v>486</v>
      </c>
      <c r="B292" s="54" t="s">
        <v>487</v>
      </c>
      <c r="C292" s="31">
        <v>4301051410</v>
      </c>
      <c r="D292" s="652">
        <v>4680115882164</v>
      </c>
      <c r="E292" s="653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9"/>
      <c r="R292" s="659"/>
      <c r="S292" s="659"/>
      <c r="T292" s="660"/>
      <c r="U292" s="34"/>
      <c r="V292" s="34"/>
      <c r="W292" s="35" t="s">
        <v>67</v>
      </c>
      <c r="X292" s="643">
        <v>101</v>
      </c>
      <c r="Y292" s="644">
        <f t="shared" si="43"/>
        <v>103.2</v>
      </c>
      <c r="Z292" s="36">
        <f>IFERROR(IF(Y292=0,"",ROUNDUP(Y292/H292,0)*0.00651),"")</f>
        <v>0.27993000000000001</v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111.85749999999999</v>
      </c>
      <c r="BN292" s="64">
        <f t="shared" si="45"/>
        <v>114.29400000000001</v>
      </c>
      <c r="BO292" s="64">
        <f t="shared" si="46"/>
        <v>0.23122710622710627</v>
      </c>
      <c r="BP292" s="64">
        <f t="shared" si="47"/>
        <v>0.23626373626373628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2">
        <v>4680115888340</v>
      </c>
      <c r="E293" s="653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9"/>
      <c r="R293" s="659"/>
      <c r="S293" s="659"/>
      <c r="T293" s="660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65"/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66"/>
      <c r="P294" s="649" t="s">
        <v>72</v>
      </c>
      <c r="Q294" s="650"/>
      <c r="R294" s="650"/>
      <c r="S294" s="650"/>
      <c r="T294" s="650"/>
      <c r="U294" s="650"/>
      <c r="V294" s="651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1153.6834823329075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1159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8.0813000000000006</v>
      </c>
      <c r="AA294" s="646"/>
      <c r="AB294" s="646"/>
      <c r="AC294" s="646"/>
    </row>
    <row r="295" spans="1:68" x14ac:dyDescent="0.2">
      <c r="A295" s="655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66"/>
      <c r="P295" s="649" t="s">
        <v>72</v>
      </c>
      <c r="Q295" s="650"/>
      <c r="R295" s="650"/>
      <c r="S295" s="650"/>
      <c r="T295" s="650"/>
      <c r="U295" s="650"/>
      <c r="V295" s="651"/>
      <c r="W295" s="37" t="s">
        <v>67</v>
      </c>
      <c r="X295" s="645">
        <f>IFERROR(SUM(X282:X293),"0")</f>
        <v>3008</v>
      </c>
      <c r="Y295" s="645">
        <f>IFERROR(SUM(Y282:Y293),"0")</f>
        <v>3031.4999999999991</v>
      </c>
      <c r="Z295" s="37"/>
      <c r="AA295" s="646"/>
      <c r="AB295" s="646"/>
      <c r="AC295" s="646"/>
    </row>
    <row r="296" spans="1:68" ht="14.25" hidden="1" customHeight="1" x14ac:dyDescent="0.25">
      <c r="A296" s="654" t="s">
        <v>167</v>
      </c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2">
        <v>4680115880818</v>
      </c>
      <c r="E297" s="653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9"/>
      <c r="R297" s="659"/>
      <c r="S297" s="659"/>
      <c r="T297" s="660"/>
      <c r="U297" s="34"/>
      <c r="V297" s="34"/>
      <c r="W297" s="35" t="s">
        <v>67</v>
      </c>
      <c r="X297" s="643">
        <v>50</v>
      </c>
      <c r="Y297" s="644">
        <f>IFERROR(IF(X297="",0,CEILING((X297/$H297),1)*$H297),"")</f>
        <v>50.4</v>
      </c>
      <c r="Z297" s="36">
        <f>IFERROR(IF(Y297=0,"",ROUNDUP(Y297/H297,0)*0.00651),"")</f>
        <v>0.13671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55.25</v>
      </c>
      <c r="BN297" s="64">
        <f>IFERROR(Y297*I297/H297,"0")</f>
        <v>55.692</v>
      </c>
      <c r="BO297" s="64">
        <f>IFERROR(1/J297*(X297/H297),"0")</f>
        <v>0.11446886446886449</v>
      </c>
      <c r="BP297" s="64">
        <f>IFERROR(1/J297*(Y297/H297),"0")</f>
        <v>0.11538461538461539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4301060389</v>
      </c>
      <c r="D298" s="652">
        <v>4680115880801</v>
      </c>
      <c r="E298" s="653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9"/>
      <c r="R298" s="659"/>
      <c r="S298" s="659"/>
      <c r="T298" s="660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65"/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66"/>
      <c r="P299" s="649" t="s">
        <v>72</v>
      </c>
      <c r="Q299" s="650"/>
      <c r="R299" s="650"/>
      <c r="S299" s="650"/>
      <c r="T299" s="650"/>
      <c r="U299" s="650"/>
      <c r="V299" s="651"/>
      <c r="W299" s="37" t="s">
        <v>73</v>
      </c>
      <c r="X299" s="645">
        <f>IFERROR(X297/H297,"0")+IFERROR(X298/H298,"0")</f>
        <v>20.833333333333336</v>
      </c>
      <c r="Y299" s="645">
        <f>IFERROR(Y297/H297,"0")+IFERROR(Y298/H298,"0")</f>
        <v>21</v>
      </c>
      <c r="Z299" s="645">
        <f>IFERROR(IF(Z297="",0,Z297),"0")+IFERROR(IF(Z298="",0,Z298),"0")</f>
        <v>0.13671</v>
      </c>
      <c r="AA299" s="646"/>
      <c r="AB299" s="646"/>
      <c r="AC299" s="646"/>
    </row>
    <row r="300" spans="1:68" x14ac:dyDescent="0.2">
      <c r="A300" s="655"/>
      <c r="B300" s="655"/>
      <c r="C300" s="655"/>
      <c r="D300" s="655"/>
      <c r="E300" s="655"/>
      <c r="F300" s="655"/>
      <c r="G300" s="655"/>
      <c r="H300" s="655"/>
      <c r="I300" s="655"/>
      <c r="J300" s="655"/>
      <c r="K300" s="655"/>
      <c r="L300" s="655"/>
      <c r="M300" s="655"/>
      <c r="N300" s="655"/>
      <c r="O300" s="666"/>
      <c r="P300" s="649" t="s">
        <v>72</v>
      </c>
      <c r="Q300" s="650"/>
      <c r="R300" s="650"/>
      <c r="S300" s="650"/>
      <c r="T300" s="650"/>
      <c r="U300" s="650"/>
      <c r="V300" s="651"/>
      <c r="W300" s="37" t="s">
        <v>67</v>
      </c>
      <c r="X300" s="645">
        <f>IFERROR(SUM(X297:X298),"0")</f>
        <v>50</v>
      </c>
      <c r="Y300" s="645">
        <f>IFERROR(SUM(Y297:Y298),"0")</f>
        <v>50.4</v>
      </c>
      <c r="Z300" s="37"/>
      <c r="AA300" s="646"/>
      <c r="AB300" s="646"/>
      <c r="AC300" s="646"/>
    </row>
    <row r="301" spans="1:68" ht="16.5" hidden="1" customHeight="1" x14ac:dyDescent="0.25">
      <c r="A301" s="668" t="s">
        <v>498</v>
      </c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38"/>
      <c r="AB301" s="638"/>
      <c r="AC301" s="638"/>
    </row>
    <row r="302" spans="1:68" ht="14.25" hidden="1" customHeight="1" x14ac:dyDescent="0.25">
      <c r="A302" s="654" t="s">
        <v>111</v>
      </c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2">
        <v>4680115884137</v>
      </c>
      <c r="E303" s="653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7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9"/>
      <c r="R303" s="659"/>
      <c r="S303" s="659"/>
      <c r="T303" s="660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customHeight="1" x14ac:dyDescent="0.25">
      <c r="A304" s="54" t="s">
        <v>502</v>
      </c>
      <c r="B304" s="54" t="s">
        <v>503</v>
      </c>
      <c r="C304" s="31">
        <v>4301011724</v>
      </c>
      <c r="D304" s="652">
        <v>4680115884236</v>
      </c>
      <c r="E304" s="653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9"/>
      <c r="R304" s="659"/>
      <c r="S304" s="659"/>
      <c r="T304" s="660"/>
      <c r="U304" s="34"/>
      <c r="V304" s="34"/>
      <c r="W304" s="35" t="s">
        <v>67</v>
      </c>
      <c r="X304" s="643">
        <v>30</v>
      </c>
      <c r="Y304" s="644">
        <f t="shared" si="48"/>
        <v>34.799999999999997</v>
      </c>
      <c r="Z304" s="36">
        <f>IFERROR(IF(Y304=0,"",ROUNDUP(Y304/H304,0)*0.01898),"")</f>
        <v>5.6940000000000004E-2</v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31.06034482758621</v>
      </c>
      <c r="BN304" s="64">
        <f t="shared" si="50"/>
        <v>36.03</v>
      </c>
      <c r="BO304" s="64">
        <f t="shared" si="51"/>
        <v>4.0409482758620691E-2</v>
      </c>
      <c r="BP304" s="64">
        <f t="shared" si="52"/>
        <v>4.6875E-2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2">
        <v>4680115884175</v>
      </c>
      <c r="E305" s="653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9"/>
      <c r="R305" s="659"/>
      <c r="S305" s="659"/>
      <c r="T305" s="660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2">
        <v>4680115884144</v>
      </c>
      <c r="E306" s="653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9"/>
      <c r="R306" s="659"/>
      <c r="S306" s="659"/>
      <c r="T306" s="660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2">
        <v>4680115886551</v>
      </c>
      <c r="E307" s="653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9"/>
      <c r="R307" s="659"/>
      <c r="S307" s="659"/>
      <c r="T307" s="660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2">
        <v>4680115887282</v>
      </c>
      <c r="E308" s="653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9"/>
      <c r="R308" s="659"/>
      <c r="S308" s="659"/>
      <c r="T308" s="660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customHeight="1" x14ac:dyDescent="0.25">
      <c r="A309" s="54" t="s">
        <v>515</v>
      </c>
      <c r="B309" s="54" t="s">
        <v>516</v>
      </c>
      <c r="C309" s="31">
        <v>4301011722</v>
      </c>
      <c r="D309" s="652">
        <v>4680115884205</v>
      </c>
      <c r="E309" s="653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9"/>
      <c r="R309" s="659"/>
      <c r="S309" s="659"/>
      <c r="T309" s="660"/>
      <c r="U309" s="34"/>
      <c r="V309" s="34"/>
      <c r="W309" s="35" t="s">
        <v>67</v>
      </c>
      <c r="X309" s="643">
        <v>8</v>
      </c>
      <c r="Y309" s="644">
        <f t="shared" si="48"/>
        <v>8</v>
      </c>
      <c r="Z309" s="36">
        <f>IFERROR(IF(Y309=0,"",ROUNDUP(Y309/H309,0)*0.00902),"")</f>
        <v>1.804E-2</v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8.3800000000000008</v>
      </c>
      <c r="BN309" s="64">
        <f t="shared" si="50"/>
        <v>8.3800000000000008</v>
      </c>
      <c r="BO309" s="64">
        <f t="shared" si="51"/>
        <v>1.5151515151515152E-2</v>
      </c>
      <c r="BP309" s="64">
        <f t="shared" si="52"/>
        <v>1.5151515151515152E-2</v>
      </c>
    </row>
    <row r="310" spans="1:68" x14ac:dyDescent="0.2">
      <c r="A310" s="665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66"/>
      <c r="P310" s="649" t="s">
        <v>72</v>
      </c>
      <c r="Q310" s="650"/>
      <c r="R310" s="650"/>
      <c r="S310" s="650"/>
      <c r="T310" s="650"/>
      <c r="U310" s="650"/>
      <c r="V310" s="651"/>
      <c r="W310" s="37" t="s">
        <v>73</v>
      </c>
      <c r="X310" s="645">
        <f>IFERROR(X303/H303,"0")+IFERROR(X304/H304,"0")+IFERROR(X305/H305,"0")+IFERROR(X306/H306,"0")+IFERROR(X307/H307,"0")+IFERROR(X308/H308,"0")+IFERROR(X309/H309,"0")</f>
        <v>4.5862068965517242</v>
      </c>
      <c r="Y310" s="645">
        <f>IFERROR(Y303/H303,"0")+IFERROR(Y304/H304,"0")+IFERROR(Y305/H305,"0")+IFERROR(Y306/H306,"0")+IFERROR(Y307/H307,"0")+IFERROR(Y308/H308,"0")+IFERROR(Y309/H309,"0")</f>
        <v>5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7.4980000000000005E-2</v>
      </c>
      <c r="AA310" s="646"/>
      <c r="AB310" s="646"/>
      <c r="AC310" s="646"/>
    </row>
    <row r="311" spans="1:68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66"/>
      <c r="P311" s="649" t="s">
        <v>72</v>
      </c>
      <c r="Q311" s="650"/>
      <c r="R311" s="650"/>
      <c r="S311" s="650"/>
      <c r="T311" s="650"/>
      <c r="U311" s="650"/>
      <c r="V311" s="651"/>
      <c r="W311" s="37" t="s">
        <v>67</v>
      </c>
      <c r="X311" s="645">
        <f>IFERROR(SUM(X303:X309),"0")</f>
        <v>38</v>
      </c>
      <c r="Y311" s="645">
        <f>IFERROR(SUM(Y303:Y309),"0")</f>
        <v>42.8</v>
      </c>
      <c r="Z311" s="37"/>
      <c r="AA311" s="646"/>
      <c r="AB311" s="646"/>
      <c r="AC311" s="646"/>
    </row>
    <row r="312" spans="1:68" ht="14.25" hidden="1" customHeight="1" x14ac:dyDescent="0.25">
      <c r="A312" s="654" t="s">
        <v>148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2">
        <v>4680115885981</v>
      </c>
      <c r="E313" s="653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9"/>
      <c r="R313" s="659"/>
      <c r="S313" s="659"/>
      <c r="T313" s="660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5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66"/>
      <c r="P314" s="649" t="s">
        <v>72</v>
      </c>
      <c r="Q314" s="650"/>
      <c r="R314" s="650"/>
      <c r="S314" s="650"/>
      <c r="T314" s="650"/>
      <c r="U314" s="650"/>
      <c r="V314" s="651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66"/>
      <c r="P315" s="649" t="s">
        <v>72</v>
      </c>
      <c r="Q315" s="650"/>
      <c r="R315" s="650"/>
      <c r="S315" s="650"/>
      <c r="T315" s="650"/>
      <c r="U315" s="650"/>
      <c r="V315" s="651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54" t="s">
        <v>520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2">
        <v>4680115886803</v>
      </c>
      <c r="E317" s="653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9"/>
      <c r="R317" s="659"/>
      <c r="S317" s="659"/>
      <c r="T317" s="660"/>
      <c r="U317" s="34"/>
      <c r="V317" s="34"/>
      <c r="W317" s="35" t="s">
        <v>67</v>
      </c>
      <c r="X317" s="643">
        <v>6</v>
      </c>
      <c r="Y317" s="644">
        <f>IFERROR(IF(X317="",0,CEILING((X317/$H317),1)*$H317),"")</f>
        <v>7.2</v>
      </c>
      <c r="Z317" s="36">
        <f>IFERROR(IF(Y317=0,"",ROUNDUP(Y317/H317,0)*0.0059),"")</f>
        <v>2.3599999999999999E-2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6.5833333333333339</v>
      </c>
      <c r="BN317" s="64">
        <f>IFERROR(Y317*I317/H317,"0")</f>
        <v>7.9</v>
      </c>
      <c r="BO317" s="64">
        <f>IFERROR(1/J317*(X317/H317),"0")</f>
        <v>1.5432098765432096E-2</v>
      </c>
      <c r="BP317" s="64">
        <f>IFERROR(1/J317*(Y317/H317),"0")</f>
        <v>1.8518518518518517E-2</v>
      </c>
    </row>
    <row r="318" spans="1:68" x14ac:dyDescent="0.2">
      <c r="A318" s="66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66"/>
      <c r="P318" s="649" t="s">
        <v>72</v>
      </c>
      <c r="Q318" s="650"/>
      <c r="R318" s="650"/>
      <c r="S318" s="650"/>
      <c r="T318" s="650"/>
      <c r="U318" s="650"/>
      <c r="V318" s="651"/>
      <c r="W318" s="37" t="s">
        <v>73</v>
      </c>
      <c r="X318" s="645">
        <f>IFERROR(X317/H317,"0")</f>
        <v>3.333333333333333</v>
      </c>
      <c r="Y318" s="645">
        <f>IFERROR(Y317/H317,"0")</f>
        <v>4</v>
      </c>
      <c r="Z318" s="645">
        <f>IFERROR(IF(Z317="",0,Z317),"0")</f>
        <v>2.3599999999999999E-2</v>
      </c>
      <c r="AA318" s="646"/>
      <c r="AB318" s="646"/>
      <c r="AC318" s="646"/>
    </row>
    <row r="319" spans="1:68" x14ac:dyDescent="0.2">
      <c r="A319" s="655"/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66"/>
      <c r="P319" s="649" t="s">
        <v>72</v>
      </c>
      <c r="Q319" s="650"/>
      <c r="R319" s="650"/>
      <c r="S319" s="650"/>
      <c r="T319" s="650"/>
      <c r="U319" s="650"/>
      <c r="V319" s="651"/>
      <c r="W319" s="37" t="s">
        <v>67</v>
      </c>
      <c r="X319" s="645">
        <f>IFERROR(SUM(X317:X317),"0")</f>
        <v>6</v>
      </c>
      <c r="Y319" s="645">
        <f>IFERROR(SUM(Y317:Y317),"0")</f>
        <v>7.2</v>
      </c>
      <c r="Z319" s="37"/>
      <c r="AA319" s="646"/>
      <c r="AB319" s="646"/>
      <c r="AC319" s="646"/>
    </row>
    <row r="320" spans="1:68" ht="14.25" hidden="1" customHeight="1" x14ac:dyDescent="0.25">
      <c r="A320" s="654" t="s">
        <v>330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2">
        <v>4680115886681</v>
      </c>
      <c r="E321" s="653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9"/>
      <c r="R321" s="659"/>
      <c r="S321" s="659"/>
      <c r="T321" s="660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6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66"/>
      <c r="P322" s="649" t="s">
        <v>72</v>
      </c>
      <c r="Q322" s="650"/>
      <c r="R322" s="650"/>
      <c r="S322" s="650"/>
      <c r="T322" s="650"/>
      <c r="U322" s="650"/>
      <c r="V322" s="651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66"/>
      <c r="P323" s="649" t="s">
        <v>72</v>
      </c>
      <c r="Q323" s="650"/>
      <c r="R323" s="650"/>
      <c r="S323" s="650"/>
      <c r="T323" s="650"/>
      <c r="U323" s="650"/>
      <c r="V323" s="651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8" t="s">
        <v>527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38"/>
      <c r="AB324" s="638"/>
      <c r="AC324" s="638"/>
    </row>
    <row r="325" spans="1:68" ht="14.25" hidden="1" customHeight="1" x14ac:dyDescent="0.25">
      <c r="A325" s="654" t="s">
        <v>111</v>
      </c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2">
        <v>4680115889637</v>
      </c>
      <c r="E326" s="653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9"/>
      <c r="R326" s="659"/>
      <c r="S326" s="659"/>
      <c r="T326" s="660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2">
        <v>4680115885837</v>
      </c>
      <c r="E327" s="653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9"/>
      <c r="R327" s="659"/>
      <c r="S327" s="659"/>
      <c r="T327" s="660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2">
        <v>4680115887237</v>
      </c>
      <c r="E328" s="653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9"/>
      <c r="R328" s="659"/>
      <c r="S328" s="659"/>
      <c r="T328" s="660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2">
        <v>4680115885806</v>
      </c>
      <c r="E329" s="653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9"/>
      <c r="R329" s="659"/>
      <c r="S329" s="659"/>
      <c r="T329" s="660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2">
        <v>4680115885844</v>
      </c>
      <c r="E330" s="653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9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9"/>
      <c r="R330" s="659"/>
      <c r="S330" s="659"/>
      <c r="T330" s="660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2">
        <v>4680115885820</v>
      </c>
      <c r="E331" s="653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9"/>
      <c r="R331" s="659"/>
      <c r="S331" s="659"/>
      <c r="T331" s="660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6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66"/>
      <c r="P332" s="649" t="s">
        <v>72</v>
      </c>
      <c r="Q332" s="650"/>
      <c r="R332" s="650"/>
      <c r="S332" s="650"/>
      <c r="T332" s="650"/>
      <c r="U332" s="650"/>
      <c r="V332" s="651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66"/>
      <c r="P333" s="649" t="s">
        <v>72</v>
      </c>
      <c r="Q333" s="650"/>
      <c r="R333" s="650"/>
      <c r="S333" s="650"/>
      <c r="T333" s="650"/>
      <c r="U333" s="650"/>
      <c r="V333" s="651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8" t="s">
        <v>547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8"/>
      <c r="AB334" s="638"/>
      <c r="AC334" s="638"/>
    </row>
    <row r="335" spans="1:68" ht="14.25" hidden="1" customHeight="1" x14ac:dyDescent="0.25">
      <c r="A335" s="654" t="s">
        <v>74</v>
      </c>
      <c r="B335" s="655"/>
      <c r="C335" s="655"/>
      <c r="D335" s="655"/>
      <c r="E335" s="655"/>
      <c r="F335" s="655"/>
      <c r="G335" s="655"/>
      <c r="H335" s="655"/>
      <c r="I335" s="655"/>
      <c r="J335" s="655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2">
        <v>4680115886186</v>
      </c>
      <c r="E336" s="653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9"/>
      <c r="R336" s="659"/>
      <c r="S336" s="659"/>
      <c r="T336" s="660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2">
        <v>4680115881228</v>
      </c>
      <c r="E337" s="653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9"/>
      <c r="R337" s="659"/>
      <c r="S337" s="659"/>
      <c r="T337" s="660"/>
      <c r="U337" s="34"/>
      <c r="V337" s="34"/>
      <c r="W337" s="35" t="s">
        <v>67</v>
      </c>
      <c r="X337" s="643">
        <v>275</v>
      </c>
      <c r="Y337" s="644">
        <f>IFERROR(IF(X337="",0,CEILING((X337/$H337),1)*$H337),"")</f>
        <v>276</v>
      </c>
      <c r="Z337" s="36">
        <f>IFERROR(IF(Y337=0,"",ROUNDUP(Y337/H337,0)*0.00651),"")</f>
        <v>0.74865000000000004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303.87500000000006</v>
      </c>
      <c r="BN337" s="64">
        <f>IFERROR(Y337*I337/H337,"0")</f>
        <v>304.98</v>
      </c>
      <c r="BO337" s="64">
        <f>IFERROR(1/J337*(X337/H337),"0")</f>
        <v>0.62957875457875467</v>
      </c>
      <c r="BP337" s="64">
        <f>IFERROR(1/J337*(Y337/H337),"0")</f>
        <v>0.63186813186813195</v>
      </c>
    </row>
    <row r="338" spans="1:68" ht="27" customHeight="1" x14ac:dyDescent="0.25">
      <c r="A338" s="54" t="s">
        <v>554</v>
      </c>
      <c r="B338" s="54" t="s">
        <v>555</v>
      </c>
      <c r="C338" s="31">
        <v>4301051388</v>
      </c>
      <c r="D338" s="652">
        <v>4680115881211</v>
      </c>
      <c r="E338" s="653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9"/>
      <c r="R338" s="659"/>
      <c r="S338" s="659"/>
      <c r="T338" s="660"/>
      <c r="U338" s="34"/>
      <c r="V338" s="34"/>
      <c r="W338" s="35" t="s">
        <v>67</v>
      </c>
      <c r="X338" s="643">
        <v>97</v>
      </c>
      <c r="Y338" s="644">
        <f>IFERROR(IF(X338="",0,CEILING((X338/$H338),1)*$H338),"")</f>
        <v>98.399999999999991</v>
      </c>
      <c r="Z338" s="36">
        <f>IFERROR(IF(Y338=0,"",ROUNDUP(Y338/H338,0)*0.00651),"")</f>
        <v>0.26690999999999998</v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104.27500000000001</v>
      </c>
      <c r="BN338" s="64">
        <f>IFERROR(Y338*I338/H338,"0")</f>
        <v>105.78</v>
      </c>
      <c r="BO338" s="64">
        <f>IFERROR(1/J338*(X338/H338),"0")</f>
        <v>0.22206959706959711</v>
      </c>
      <c r="BP338" s="64">
        <f>IFERROR(1/J338*(Y338/H338),"0")</f>
        <v>0.22527472527472528</v>
      </c>
    </row>
    <row r="339" spans="1:68" x14ac:dyDescent="0.2">
      <c r="A339" s="66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66"/>
      <c r="P339" s="649" t="s">
        <v>72</v>
      </c>
      <c r="Q339" s="650"/>
      <c r="R339" s="650"/>
      <c r="S339" s="650"/>
      <c r="T339" s="650"/>
      <c r="U339" s="650"/>
      <c r="V339" s="651"/>
      <c r="W339" s="37" t="s">
        <v>73</v>
      </c>
      <c r="X339" s="645">
        <f>IFERROR(X336/H336,"0")+IFERROR(X337/H337,"0")+IFERROR(X338/H338,"0")</f>
        <v>155</v>
      </c>
      <c r="Y339" s="645">
        <f>IFERROR(Y336/H336,"0")+IFERROR(Y337/H337,"0")+IFERROR(Y338/H338,"0")</f>
        <v>156</v>
      </c>
      <c r="Z339" s="645">
        <f>IFERROR(IF(Z336="",0,Z336),"0")+IFERROR(IF(Z337="",0,Z337),"0")+IFERROR(IF(Z338="",0,Z338),"0")</f>
        <v>1.01556</v>
      </c>
      <c r="AA339" s="646"/>
      <c r="AB339" s="646"/>
      <c r="AC339" s="646"/>
    </row>
    <row r="340" spans="1:68" x14ac:dyDescent="0.2">
      <c r="A340" s="655"/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66"/>
      <c r="P340" s="649" t="s">
        <v>72</v>
      </c>
      <c r="Q340" s="650"/>
      <c r="R340" s="650"/>
      <c r="S340" s="650"/>
      <c r="T340" s="650"/>
      <c r="U340" s="650"/>
      <c r="V340" s="651"/>
      <c r="W340" s="37" t="s">
        <v>67</v>
      </c>
      <c r="X340" s="645">
        <f>IFERROR(SUM(X336:X338),"0")</f>
        <v>372</v>
      </c>
      <c r="Y340" s="645">
        <f>IFERROR(SUM(Y336:Y338),"0")</f>
        <v>374.4</v>
      </c>
      <c r="Z340" s="37"/>
      <c r="AA340" s="646"/>
      <c r="AB340" s="646"/>
      <c r="AC340" s="646"/>
    </row>
    <row r="341" spans="1:68" ht="16.5" hidden="1" customHeight="1" x14ac:dyDescent="0.25">
      <c r="A341" s="668" t="s">
        <v>556</v>
      </c>
      <c r="B341" s="655"/>
      <c r="C341" s="655"/>
      <c r="D341" s="655"/>
      <c r="E341" s="655"/>
      <c r="F341" s="655"/>
      <c r="G341" s="655"/>
      <c r="H341" s="655"/>
      <c r="I341" s="655"/>
      <c r="J341" s="655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38"/>
      <c r="AB341" s="638"/>
      <c r="AC341" s="638"/>
    </row>
    <row r="342" spans="1:68" ht="14.25" hidden="1" customHeight="1" x14ac:dyDescent="0.25">
      <c r="A342" s="654" t="s">
        <v>62</v>
      </c>
      <c r="B342" s="655"/>
      <c r="C342" s="655"/>
      <c r="D342" s="655"/>
      <c r="E342" s="655"/>
      <c r="F342" s="655"/>
      <c r="G342" s="655"/>
      <c r="H342" s="655"/>
      <c r="I342" s="655"/>
      <c r="J342" s="655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2">
        <v>4680115888319</v>
      </c>
      <c r="E343" s="653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9"/>
      <c r="R343" s="659"/>
      <c r="S343" s="659"/>
      <c r="T343" s="660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2">
        <v>4680115884700</v>
      </c>
      <c r="E344" s="653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9"/>
      <c r="R344" s="659"/>
      <c r="S344" s="659"/>
      <c r="T344" s="660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2">
        <v>4680115880344</v>
      </c>
      <c r="E345" s="653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9"/>
      <c r="R345" s="659"/>
      <c r="S345" s="659"/>
      <c r="T345" s="660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2">
        <v>4680115886919</v>
      </c>
      <c r="E346" s="653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9"/>
      <c r="R346" s="659"/>
      <c r="S346" s="659"/>
      <c r="T346" s="660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2">
        <v>4680115883970</v>
      </c>
      <c r="E347" s="653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9"/>
      <c r="R347" s="659"/>
      <c r="S347" s="659"/>
      <c r="T347" s="660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6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66"/>
      <c r="P348" s="649" t="s">
        <v>72</v>
      </c>
      <c r="Q348" s="650"/>
      <c r="R348" s="650"/>
      <c r="S348" s="650"/>
      <c r="T348" s="650"/>
      <c r="U348" s="650"/>
      <c r="V348" s="651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5"/>
      <c r="B349" s="655"/>
      <c r="C349" s="655"/>
      <c r="D349" s="655"/>
      <c r="E349" s="655"/>
      <c r="F349" s="655"/>
      <c r="G349" s="655"/>
      <c r="H349" s="655"/>
      <c r="I349" s="655"/>
      <c r="J349" s="655"/>
      <c r="K349" s="655"/>
      <c r="L349" s="655"/>
      <c r="M349" s="655"/>
      <c r="N349" s="655"/>
      <c r="O349" s="666"/>
      <c r="P349" s="649" t="s">
        <v>72</v>
      </c>
      <c r="Q349" s="650"/>
      <c r="R349" s="650"/>
      <c r="S349" s="650"/>
      <c r="T349" s="650"/>
      <c r="U349" s="650"/>
      <c r="V349" s="651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54" t="s">
        <v>74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2">
        <v>4680115884618</v>
      </c>
      <c r="E351" s="653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9"/>
      <c r="R351" s="659"/>
      <c r="S351" s="659"/>
      <c r="T351" s="660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2">
        <v>4680115887114</v>
      </c>
      <c r="E352" s="653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9"/>
      <c r="R352" s="659"/>
      <c r="S352" s="659"/>
      <c r="T352" s="660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6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66"/>
      <c r="P353" s="649" t="s">
        <v>72</v>
      </c>
      <c r="Q353" s="650"/>
      <c r="R353" s="650"/>
      <c r="S353" s="650"/>
      <c r="T353" s="650"/>
      <c r="U353" s="650"/>
      <c r="V353" s="651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5"/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66"/>
      <c r="P354" s="649" t="s">
        <v>72</v>
      </c>
      <c r="Q354" s="650"/>
      <c r="R354" s="650"/>
      <c r="S354" s="650"/>
      <c r="T354" s="650"/>
      <c r="U354" s="650"/>
      <c r="V354" s="651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8" t="s">
        <v>577</v>
      </c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38"/>
      <c r="AB355" s="638"/>
      <c r="AC355" s="638"/>
    </row>
    <row r="356" spans="1:68" ht="14.25" hidden="1" customHeight="1" x14ac:dyDescent="0.25">
      <c r="A356" s="654" t="s">
        <v>111</v>
      </c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39"/>
      <c r="AB356" s="639"/>
      <c r="AC356" s="639"/>
    </row>
    <row r="357" spans="1:68" ht="27" customHeight="1" x14ac:dyDescent="0.25">
      <c r="A357" s="54" t="s">
        <v>578</v>
      </c>
      <c r="B357" s="54" t="s">
        <v>579</v>
      </c>
      <c r="C357" s="31">
        <v>4301012324</v>
      </c>
      <c r="D357" s="652">
        <v>4680115887947</v>
      </c>
      <c r="E357" s="653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9"/>
      <c r="R357" s="659"/>
      <c r="S357" s="659"/>
      <c r="T357" s="660"/>
      <c r="U357" s="34"/>
      <c r="V357" s="34"/>
      <c r="W357" s="35" t="s">
        <v>67</v>
      </c>
      <c r="X357" s="643">
        <v>198</v>
      </c>
      <c r="Y357" s="644">
        <f>IFERROR(IF(X357="",0,CEILING((X357/$H357),1)*$H357),"")</f>
        <v>202.79999999999998</v>
      </c>
      <c r="Z357" s="36">
        <f>IFERROR(IF(Y357=0,"",ROUNDUP(Y357/H357,0)*0.01898),"")</f>
        <v>0.49348000000000003</v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208.40769230769234</v>
      </c>
      <c r="BN357" s="64">
        <f>IFERROR(Y357*I357/H357,"0")</f>
        <v>213.46</v>
      </c>
      <c r="BO357" s="64">
        <f>IFERROR(1/J357*(X357/H357),"0")</f>
        <v>0.39663461538461542</v>
      </c>
      <c r="BP357" s="64">
        <f>IFERROR(1/J357*(Y357/H357),"0")</f>
        <v>0.40625</v>
      </c>
    </row>
    <row r="358" spans="1:68" ht="27" customHeight="1" x14ac:dyDescent="0.25">
      <c r="A358" s="54" t="s">
        <v>580</v>
      </c>
      <c r="B358" s="54" t="s">
        <v>581</v>
      </c>
      <c r="C358" s="31">
        <v>4301012325</v>
      </c>
      <c r="D358" s="652">
        <v>4680115887978</v>
      </c>
      <c r="E358" s="653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9"/>
      <c r="R358" s="659"/>
      <c r="S358" s="659"/>
      <c r="T358" s="660"/>
      <c r="U358" s="34"/>
      <c r="V358" s="34"/>
      <c r="W358" s="35" t="s">
        <v>67</v>
      </c>
      <c r="X358" s="643">
        <v>368</v>
      </c>
      <c r="Y358" s="644">
        <f>IFERROR(IF(X358="",0,CEILING((X358/$H358),1)*$H358),"")</f>
        <v>374.4</v>
      </c>
      <c r="Z358" s="36">
        <f>IFERROR(IF(Y358=0,"",ROUNDUP(Y358/H358,0)*0.01898),"")</f>
        <v>0.91104000000000007</v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387.3435897435898</v>
      </c>
      <c r="BN358" s="64">
        <f>IFERROR(Y358*I358/H358,"0")</f>
        <v>394.08000000000004</v>
      </c>
      <c r="BO358" s="64">
        <f>IFERROR(1/J358*(X358/H358),"0")</f>
        <v>0.73717948717948723</v>
      </c>
      <c r="BP358" s="64">
        <f>IFERROR(1/J358*(Y358/H358),"0")</f>
        <v>0.75</v>
      </c>
    </row>
    <row r="359" spans="1:68" ht="27" hidden="1" customHeight="1" x14ac:dyDescent="0.25">
      <c r="A359" s="54" t="s">
        <v>583</v>
      </c>
      <c r="B359" s="54" t="s">
        <v>584</v>
      </c>
      <c r="C359" s="31">
        <v>4301012327</v>
      </c>
      <c r="D359" s="652">
        <v>4680115887992</v>
      </c>
      <c r="E359" s="653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9"/>
      <c r="R359" s="659"/>
      <c r="S359" s="659"/>
      <c r="T359" s="660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66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66"/>
      <c r="P360" s="649" t="s">
        <v>72</v>
      </c>
      <c r="Q360" s="650"/>
      <c r="R360" s="650"/>
      <c r="S360" s="650"/>
      <c r="T360" s="650"/>
      <c r="U360" s="650"/>
      <c r="V360" s="651"/>
      <c r="W360" s="37" t="s">
        <v>73</v>
      </c>
      <c r="X360" s="645">
        <f>IFERROR(X357/H357,"0")+IFERROR(X358/H358,"0")+IFERROR(X359/H359,"0")</f>
        <v>72.564102564102569</v>
      </c>
      <c r="Y360" s="645">
        <f>IFERROR(Y357/H357,"0")+IFERROR(Y358/H358,"0")+IFERROR(Y359/H359,"0")</f>
        <v>74</v>
      </c>
      <c r="Z360" s="645">
        <f>IFERROR(IF(Z357="",0,Z357),"0")+IFERROR(IF(Z358="",0,Z358),"0")+IFERROR(IF(Z359="",0,Z359),"0")</f>
        <v>1.4045200000000002</v>
      </c>
      <c r="AA360" s="646"/>
      <c r="AB360" s="646"/>
      <c r="AC360" s="646"/>
    </row>
    <row r="361" spans="1:68" x14ac:dyDescent="0.2">
      <c r="A361" s="655"/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66"/>
      <c r="P361" s="649" t="s">
        <v>72</v>
      </c>
      <c r="Q361" s="650"/>
      <c r="R361" s="650"/>
      <c r="S361" s="650"/>
      <c r="T361" s="650"/>
      <c r="U361" s="650"/>
      <c r="V361" s="651"/>
      <c r="W361" s="37" t="s">
        <v>67</v>
      </c>
      <c r="X361" s="645">
        <f>IFERROR(SUM(X357:X359),"0")</f>
        <v>566</v>
      </c>
      <c r="Y361" s="645">
        <f>IFERROR(SUM(Y357:Y359),"0")</f>
        <v>577.19999999999993</v>
      </c>
      <c r="Z361" s="37"/>
      <c r="AA361" s="646"/>
      <c r="AB361" s="646"/>
      <c r="AC361" s="646"/>
    </row>
    <row r="362" spans="1:68" ht="16.5" hidden="1" customHeight="1" x14ac:dyDescent="0.25">
      <c r="A362" s="668" t="s">
        <v>586</v>
      </c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38"/>
      <c r="AB362" s="638"/>
      <c r="AC362" s="638"/>
    </row>
    <row r="363" spans="1:68" ht="14.25" hidden="1" customHeight="1" x14ac:dyDescent="0.25">
      <c r="A363" s="654" t="s">
        <v>111</v>
      </c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2">
        <v>4680115889880</v>
      </c>
      <c r="E364" s="653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9"/>
      <c r="R364" s="659"/>
      <c r="S364" s="659"/>
      <c r="T364" s="660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2">
        <v>4680115889293</v>
      </c>
      <c r="E365" s="653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3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9"/>
      <c r="R365" s="659"/>
      <c r="S365" s="659"/>
      <c r="T365" s="660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2">
        <v>4680115887190</v>
      </c>
      <c r="E366" s="653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9"/>
      <c r="R366" s="659"/>
      <c r="S366" s="659"/>
      <c r="T366" s="660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2">
        <v>4680115887138</v>
      </c>
      <c r="E367" s="653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9"/>
      <c r="R367" s="659"/>
      <c r="S367" s="659"/>
      <c r="T367" s="660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4301012016</v>
      </c>
      <c r="D368" s="652">
        <v>4680115885554</v>
      </c>
      <c r="E368" s="653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9"/>
      <c r="R368" s="659"/>
      <c r="S368" s="659"/>
      <c r="T368" s="660"/>
      <c r="U368" s="34"/>
      <c r="V368" s="34"/>
      <c r="W368" s="35" t="s">
        <v>67</v>
      </c>
      <c r="X368" s="643">
        <v>60</v>
      </c>
      <c r="Y368" s="644">
        <f t="shared" si="58"/>
        <v>64.800000000000011</v>
      </c>
      <c r="Z368" s="36">
        <f>IFERROR(IF(Y368=0,"",ROUNDUP(Y368/H368,0)*0.01898),"")</f>
        <v>0.11388000000000001</v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62.277777777777779</v>
      </c>
      <c r="BN368" s="64">
        <f t="shared" si="60"/>
        <v>67.260000000000005</v>
      </c>
      <c r="BO368" s="64">
        <f t="shared" si="61"/>
        <v>8.6805555555555552E-2</v>
      </c>
      <c r="BP368" s="64">
        <f t="shared" si="62"/>
        <v>9.3750000000000014E-2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2">
        <v>4680115887220</v>
      </c>
      <c r="E369" s="653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9"/>
      <c r="R369" s="659"/>
      <c r="S369" s="659"/>
      <c r="T369" s="660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2">
        <v>4680115885608</v>
      </c>
      <c r="E370" s="653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9"/>
      <c r="R370" s="659"/>
      <c r="S370" s="659"/>
      <c r="T370" s="660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x14ac:dyDescent="0.2">
      <c r="A371" s="665"/>
      <c r="B371" s="655"/>
      <c r="C371" s="655"/>
      <c r="D371" s="655"/>
      <c r="E371" s="655"/>
      <c r="F371" s="655"/>
      <c r="G371" s="655"/>
      <c r="H371" s="655"/>
      <c r="I371" s="655"/>
      <c r="J371" s="655"/>
      <c r="K371" s="655"/>
      <c r="L371" s="655"/>
      <c r="M371" s="655"/>
      <c r="N371" s="655"/>
      <c r="O371" s="666"/>
      <c r="P371" s="649" t="s">
        <v>72</v>
      </c>
      <c r="Q371" s="650"/>
      <c r="R371" s="650"/>
      <c r="S371" s="650"/>
      <c r="T371" s="650"/>
      <c r="U371" s="650"/>
      <c r="V371" s="651"/>
      <c r="W371" s="37" t="s">
        <v>73</v>
      </c>
      <c r="X371" s="645">
        <f>IFERROR(X364/H364,"0")+IFERROR(X365/H365,"0")+IFERROR(X366/H366,"0")+IFERROR(X367/H367,"0")+IFERROR(X368/H368,"0")+IFERROR(X369/H369,"0")+IFERROR(X370/H370,"0")</f>
        <v>5.5555555555555554</v>
      </c>
      <c r="Y371" s="645">
        <f>IFERROR(Y364/H364,"0")+IFERROR(Y365/H365,"0")+IFERROR(Y366/H366,"0")+IFERROR(Y367/H367,"0")+IFERROR(Y368/H368,"0")+IFERROR(Y369/H369,"0")+IFERROR(Y370/H370,"0")</f>
        <v>6.0000000000000009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0.11388000000000001</v>
      </c>
      <c r="AA371" s="646"/>
      <c r="AB371" s="646"/>
      <c r="AC371" s="646"/>
    </row>
    <row r="372" spans="1:68" x14ac:dyDescent="0.2">
      <c r="A372" s="655"/>
      <c r="B372" s="655"/>
      <c r="C372" s="655"/>
      <c r="D372" s="655"/>
      <c r="E372" s="655"/>
      <c r="F372" s="655"/>
      <c r="G372" s="655"/>
      <c r="H372" s="655"/>
      <c r="I372" s="655"/>
      <c r="J372" s="655"/>
      <c r="K372" s="655"/>
      <c r="L372" s="655"/>
      <c r="M372" s="655"/>
      <c r="N372" s="655"/>
      <c r="O372" s="666"/>
      <c r="P372" s="649" t="s">
        <v>72</v>
      </c>
      <c r="Q372" s="650"/>
      <c r="R372" s="650"/>
      <c r="S372" s="650"/>
      <c r="T372" s="650"/>
      <c r="U372" s="650"/>
      <c r="V372" s="651"/>
      <c r="W372" s="37" t="s">
        <v>67</v>
      </c>
      <c r="X372" s="645">
        <f>IFERROR(SUM(X364:X370),"0")</f>
        <v>60</v>
      </c>
      <c r="Y372" s="645">
        <f>IFERROR(SUM(Y364:Y370),"0")</f>
        <v>64.800000000000011</v>
      </c>
      <c r="Z372" s="37"/>
      <c r="AA372" s="646"/>
      <c r="AB372" s="646"/>
      <c r="AC372" s="646"/>
    </row>
    <row r="373" spans="1:68" ht="14.25" hidden="1" customHeight="1" x14ac:dyDescent="0.25">
      <c r="A373" s="654" t="s">
        <v>62</v>
      </c>
      <c r="B373" s="655"/>
      <c r="C373" s="655"/>
      <c r="D373" s="655"/>
      <c r="E373" s="655"/>
      <c r="F373" s="655"/>
      <c r="G373" s="655"/>
      <c r="H373" s="655"/>
      <c r="I373" s="655"/>
      <c r="J373" s="655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2">
        <v>4607091387193</v>
      </c>
      <c r="E374" s="653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9"/>
      <c r="R374" s="659"/>
      <c r="S374" s="659"/>
      <c r="T374" s="660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4301031153</v>
      </c>
      <c r="D375" s="652">
        <v>4607091387230</v>
      </c>
      <c r="E375" s="653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9"/>
      <c r="R375" s="659"/>
      <c r="S375" s="659"/>
      <c r="T375" s="660"/>
      <c r="U375" s="34"/>
      <c r="V375" s="34"/>
      <c r="W375" s="35" t="s">
        <v>67</v>
      </c>
      <c r="X375" s="643">
        <v>85</v>
      </c>
      <c r="Y375" s="644">
        <f t="shared" si="63"/>
        <v>88.2</v>
      </c>
      <c r="Z375" s="36">
        <f>IFERROR(IF(Y375=0,"",ROUNDUP(Y375/H375,0)*0.00902),"")</f>
        <v>0.18942000000000001</v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90.05952380952381</v>
      </c>
      <c r="BN375" s="64">
        <f t="shared" si="65"/>
        <v>93.45</v>
      </c>
      <c r="BO375" s="64">
        <f t="shared" si="66"/>
        <v>0.15331890331890333</v>
      </c>
      <c r="BP375" s="64">
        <f t="shared" si="67"/>
        <v>0.15909090909090909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2">
        <v>4607091387292</v>
      </c>
      <c r="E376" s="653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9"/>
      <c r="R376" s="659"/>
      <c r="S376" s="659"/>
      <c r="T376" s="660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2">
        <v>4607091387285</v>
      </c>
      <c r="E377" s="653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9"/>
      <c r="R377" s="659"/>
      <c r="S377" s="659"/>
      <c r="T377" s="660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2">
        <v>4607091389845</v>
      </c>
      <c r="E378" s="653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9"/>
      <c r="R378" s="659"/>
      <c r="S378" s="659"/>
      <c r="T378" s="660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2">
        <v>4680115887442</v>
      </c>
      <c r="E379" s="653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7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9"/>
      <c r="R379" s="659"/>
      <c r="S379" s="659"/>
      <c r="T379" s="660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customHeight="1" x14ac:dyDescent="0.25">
      <c r="A380" s="54" t="s">
        <v>622</v>
      </c>
      <c r="B380" s="54" t="s">
        <v>623</v>
      </c>
      <c r="C380" s="31">
        <v>4301031066</v>
      </c>
      <c r="D380" s="652">
        <v>4607091383836</v>
      </c>
      <c r="E380" s="653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9"/>
      <c r="R380" s="659"/>
      <c r="S380" s="659"/>
      <c r="T380" s="660"/>
      <c r="U380" s="34"/>
      <c r="V380" s="34"/>
      <c r="W380" s="35" t="s">
        <v>67</v>
      </c>
      <c r="X380" s="643">
        <v>34</v>
      </c>
      <c r="Y380" s="644">
        <f t="shared" si="63"/>
        <v>34.200000000000003</v>
      </c>
      <c r="Z380" s="36">
        <f>IFERROR(IF(Y380=0,"",ROUNDUP(Y380/H380,0)*0.00651),"")</f>
        <v>0.12369000000000001</v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38.306666666666665</v>
      </c>
      <c r="BN380" s="64">
        <f t="shared" si="65"/>
        <v>38.532000000000004</v>
      </c>
      <c r="BO380" s="64">
        <f t="shared" si="66"/>
        <v>0.10378510378510379</v>
      </c>
      <c r="BP380" s="64">
        <f t="shared" si="67"/>
        <v>0.1043956043956044</v>
      </c>
    </row>
    <row r="381" spans="1:68" x14ac:dyDescent="0.2">
      <c r="A381" s="665"/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66"/>
      <c r="P381" s="649" t="s">
        <v>72</v>
      </c>
      <c r="Q381" s="650"/>
      <c r="R381" s="650"/>
      <c r="S381" s="650"/>
      <c r="T381" s="650"/>
      <c r="U381" s="650"/>
      <c r="V381" s="651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39.126984126984127</v>
      </c>
      <c r="Y381" s="645">
        <f>IFERROR(Y374/H374,"0")+IFERROR(Y375/H375,"0")+IFERROR(Y376/H376,"0")+IFERROR(Y377/H377,"0")+IFERROR(Y378/H378,"0")+IFERROR(Y379/H379,"0")+IFERROR(Y380/H380,"0")</f>
        <v>40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0.31311</v>
      </c>
      <c r="AA381" s="646"/>
      <c r="AB381" s="646"/>
      <c r="AC381" s="646"/>
    </row>
    <row r="382" spans="1:68" x14ac:dyDescent="0.2">
      <c r="A382" s="655"/>
      <c r="B382" s="655"/>
      <c r="C382" s="655"/>
      <c r="D382" s="655"/>
      <c r="E382" s="655"/>
      <c r="F382" s="655"/>
      <c r="G382" s="655"/>
      <c r="H382" s="655"/>
      <c r="I382" s="655"/>
      <c r="J382" s="655"/>
      <c r="K382" s="655"/>
      <c r="L382" s="655"/>
      <c r="M382" s="655"/>
      <c r="N382" s="655"/>
      <c r="O382" s="666"/>
      <c r="P382" s="649" t="s">
        <v>72</v>
      </c>
      <c r="Q382" s="650"/>
      <c r="R382" s="650"/>
      <c r="S382" s="650"/>
      <c r="T382" s="650"/>
      <c r="U382" s="650"/>
      <c r="V382" s="651"/>
      <c r="W382" s="37" t="s">
        <v>67</v>
      </c>
      <c r="X382" s="645">
        <f>IFERROR(SUM(X374:X380),"0")</f>
        <v>119</v>
      </c>
      <c r="Y382" s="645">
        <f>IFERROR(SUM(Y374:Y380),"0")</f>
        <v>122.4</v>
      </c>
      <c r="Z382" s="37"/>
      <c r="AA382" s="646"/>
      <c r="AB382" s="646"/>
      <c r="AC382" s="646"/>
    </row>
    <row r="383" spans="1:68" ht="14.25" hidden="1" customHeight="1" x14ac:dyDescent="0.25">
      <c r="A383" s="654" t="s">
        <v>74</v>
      </c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2">
        <v>4607091387766</v>
      </c>
      <c r="E384" s="653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9"/>
      <c r="R384" s="659"/>
      <c r="S384" s="659"/>
      <c r="T384" s="660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2">
        <v>4607091387957</v>
      </c>
      <c r="E385" s="653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9"/>
      <c r="R385" s="659"/>
      <c r="S385" s="659"/>
      <c r="T385" s="660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2">
        <v>4607091387964</v>
      </c>
      <c r="E386" s="653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9"/>
      <c r="R386" s="659"/>
      <c r="S386" s="659"/>
      <c r="T386" s="660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2">
        <v>4680115884588</v>
      </c>
      <c r="E387" s="653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9"/>
      <c r="R387" s="659"/>
      <c r="S387" s="659"/>
      <c r="T387" s="660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65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66"/>
      <c r="P388" s="649" t="s">
        <v>72</v>
      </c>
      <c r="Q388" s="650"/>
      <c r="R388" s="650"/>
      <c r="S388" s="650"/>
      <c r="T388" s="650"/>
      <c r="U388" s="650"/>
      <c r="V388" s="651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66"/>
      <c r="P389" s="649" t="s">
        <v>72</v>
      </c>
      <c r="Q389" s="650"/>
      <c r="R389" s="650"/>
      <c r="S389" s="650"/>
      <c r="T389" s="650"/>
      <c r="U389" s="650"/>
      <c r="V389" s="651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4" t="s">
        <v>167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9"/>
      <c r="AB390" s="639"/>
      <c r="AC390" s="639"/>
    </row>
    <row r="391" spans="1:68" ht="27" customHeight="1" x14ac:dyDescent="0.25">
      <c r="A391" s="54" t="s">
        <v>636</v>
      </c>
      <c r="B391" s="54" t="s">
        <v>637</v>
      </c>
      <c r="C391" s="31">
        <v>4301060387</v>
      </c>
      <c r="D391" s="652">
        <v>4607091380880</v>
      </c>
      <c r="E391" s="653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9"/>
      <c r="R391" s="659"/>
      <c r="S391" s="659"/>
      <c r="T391" s="660"/>
      <c r="U391" s="34"/>
      <c r="V391" s="34"/>
      <c r="W391" s="35" t="s">
        <v>67</v>
      </c>
      <c r="X391" s="643">
        <v>78</v>
      </c>
      <c r="Y391" s="644">
        <f>IFERROR(IF(X391="",0,CEILING((X391/$H391),1)*$H391),"")</f>
        <v>84</v>
      </c>
      <c r="Z391" s="36">
        <f>IFERROR(IF(Y391=0,"",ROUNDUP(Y391/H391,0)*0.01898),"")</f>
        <v>0.1898</v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82.587142857142851</v>
      </c>
      <c r="BN391" s="64">
        <f>IFERROR(Y391*I391/H391,"0")</f>
        <v>88.94</v>
      </c>
      <c r="BO391" s="64">
        <f>IFERROR(1/J391*(X391/H391),"0")</f>
        <v>0.1450892857142857</v>
      </c>
      <c r="BP391" s="64">
        <f>IFERROR(1/J391*(Y391/H391),"0")</f>
        <v>0.15625</v>
      </c>
    </row>
    <row r="392" spans="1:68" ht="27" customHeight="1" x14ac:dyDescent="0.25">
      <c r="A392" s="54" t="s">
        <v>639</v>
      </c>
      <c r="B392" s="54" t="s">
        <v>640</v>
      </c>
      <c r="C392" s="31">
        <v>4301060406</v>
      </c>
      <c r="D392" s="652">
        <v>4607091384482</v>
      </c>
      <c r="E392" s="653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9"/>
      <c r="R392" s="659"/>
      <c r="S392" s="659"/>
      <c r="T392" s="660"/>
      <c r="U392" s="34"/>
      <c r="V392" s="34"/>
      <c r="W392" s="35" t="s">
        <v>67</v>
      </c>
      <c r="X392" s="643">
        <v>647</v>
      </c>
      <c r="Y392" s="644">
        <f>IFERROR(IF(X392="",0,CEILING((X392/$H392),1)*$H392),"")</f>
        <v>647.4</v>
      </c>
      <c r="Z392" s="36">
        <f>IFERROR(IF(Y392=0,"",ROUNDUP(Y392/H392,0)*0.01898),"")</f>
        <v>1.57534</v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687.9766666666668</v>
      </c>
      <c r="BN392" s="64">
        <f>IFERROR(Y392*I392/H392,"0")</f>
        <v>688.40200000000004</v>
      </c>
      <c r="BO392" s="64">
        <f>IFERROR(1/J392*(X392/H392),"0")</f>
        <v>1.2960737179487181</v>
      </c>
      <c r="BP392" s="64">
        <f>IFERROR(1/J392*(Y392/H392),"0")</f>
        <v>1.296875</v>
      </c>
    </row>
    <row r="393" spans="1:68" ht="27" customHeight="1" x14ac:dyDescent="0.25">
      <c r="A393" s="54" t="s">
        <v>642</v>
      </c>
      <c r="B393" s="54" t="s">
        <v>643</v>
      </c>
      <c r="C393" s="31">
        <v>4301060484</v>
      </c>
      <c r="D393" s="652">
        <v>4607091380897</v>
      </c>
      <c r="E393" s="653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9"/>
      <c r="R393" s="659"/>
      <c r="S393" s="659"/>
      <c r="T393" s="660"/>
      <c r="U393" s="34"/>
      <c r="V393" s="34"/>
      <c r="W393" s="35" t="s">
        <v>67</v>
      </c>
      <c r="X393" s="643">
        <v>135</v>
      </c>
      <c r="Y393" s="644">
        <f>IFERROR(IF(X393="",0,CEILING((X393/$H393),1)*$H393),"")</f>
        <v>142.80000000000001</v>
      </c>
      <c r="Z393" s="36">
        <f>IFERROR(IF(Y393=0,"",ROUNDUP(Y393/H393,0)*0.01898),"")</f>
        <v>0.32266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142.93928571428572</v>
      </c>
      <c r="BN393" s="64">
        <f>IFERROR(Y393*I393/H393,"0")</f>
        <v>151.19800000000001</v>
      </c>
      <c r="BO393" s="64">
        <f>IFERROR(1/J393*(X393/H393),"0")</f>
        <v>0.2511160714285714</v>
      </c>
      <c r="BP393" s="64">
        <f>IFERROR(1/J393*(Y393/H393),"0")</f>
        <v>0.265625</v>
      </c>
    </row>
    <row r="394" spans="1:68" x14ac:dyDescent="0.2">
      <c r="A394" s="665"/>
      <c r="B394" s="655"/>
      <c r="C394" s="655"/>
      <c r="D394" s="655"/>
      <c r="E394" s="655"/>
      <c r="F394" s="655"/>
      <c r="G394" s="655"/>
      <c r="H394" s="655"/>
      <c r="I394" s="655"/>
      <c r="J394" s="655"/>
      <c r="K394" s="655"/>
      <c r="L394" s="655"/>
      <c r="M394" s="655"/>
      <c r="N394" s="655"/>
      <c r="O394" s="666"/>
      <c r="P394" s="649" t="s">
        <v>72</v>
      </c>
      <c r="Q394" s="650"/>
      <c r="R394" s="650"/>
      <c r="S394" s="650"/>
      <c r="T394" s="650"/>
      <c r="U394" s="650"/>
      <c r="V394" s="651"/>
      <c r="W394" s="37" t="s">
        <v>73</v>
      </c>
      <c r="X394" s="645">
        <f>IFERROR(X391/H391,"0")+IFERROR(X392/H392,"0")+IFERROR(X393/H393,"0")</f>
        <v>108.3058608058608</v>
      </c>
      <c r="Y394" s="645">
        <f>IFERROR(Y391/H391,"0")+IFERROR(Y392/H392,"0")+IFERROR(Y393/H393,"0")</f>
        <v>110</v>
      </c>
      <c r="Z394" s="645">
        <f>IFERROR(IF(Z391="",0,Z391),"0")+IFERROR(IF(Z392="",0,Z392),"0")+IFERROR(IF(Z393="",0,Z393),"0")</f>
        <v>2.0878000000000001</v>
      </c>
      <c r="AA394" s="646"/>
      <c r="AB394" s="646"/>
      <c r="AC394" s="646"/>
    </row>
    <row r="395" spans="1:68" x14ac:dyDescent="0.2">
      <c r="A395" s="655"/>
      <c r="B395" s="655"/>
      <c r="C395" s="655"/>
      <c r="D395" s="655"/>
      <c r="E395" s="655"/>
      <c r="F395" s="655"/>
      <c r="G395" s="655"/>
      <c r="H395" s="655"/>
      <c r="I395" s="655"/>
      <c r="J395" s="655"/>
      <c r="K395" s="655"/>
      <c r="L395" s="655"/>
      <c r="M395" s="655"/>
      <c r="N395" s="655"/>
      <c r="O395" s="666"/>
      <c r="P395" s="649" t="s">
        <v>72</v>
      </c>
      <c r="Q395" s="650"/>
      <c r="R395" s="650"/>
      <c r="S395" s="650"/>
      <c r="T395" s="650"/>
      <c r="U395" s="650"/>
      <c r="V395" s="651"/>
      <c r="W395" s="37" t="s">
        <v>67</v>
      </c>
      <c r="X395" s="645">
        <f>IFERROR(SUM(X391:X393),"0")</f>
        <v>860</v>
      </c>
      <c r="Y395" s="645">
        <f>IFERROR(SUM(Y391:Y393),"0")</f>
        <v>874.2</v>
      </c>
      <c r="Z395" s="37"/>
      <c r="AA395" s="646"/>
      <c r="AB395" s="646"/>
      <c r="AC395" s="646"/>
    </row>
    <row r="396" spans="1:68" ht="14.25" hidden="1" customHeight="1" x14ac:dyDescent="0.25">
      <c r="A396" s="654" t="s">
        <v>266</v>
      </c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39"/>
      <c r="AB396" s="639"/>
      <c r="AC396" s="639"/>
    </row>
    <row r="397" spans="1:68" ht="27" hidden="1" customHeight="1" x14ac:dyDescent="0.25">
      <c r="A397" s="54" t="s">
        <v>645</v>
      </c>
      <c r="B397" s="54" t="s">
        <v>646</v>
      </c>
      <c r="C397" s="31">
        <v>4301030235</v>
      </c>
      <c r="D397" s="652">
        <v>4607091388381</v>
      </c>
      <c r="E397" s="653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9"/>
      <c r="R397" s="659"/>
      <c r="S397" s="659"/>
      <c r="T397" s="660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4301030232</v>
      </c>
      <c r="D398" s="652">
        <v>4607091388374</v>
      </c>
      <c r="E398" s="653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89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9"/>
      <c r="R398" s="659"/>
      <c r="S398" s="659"/>
      <c r="T398" s="660"/>
      <c r="U398" s="34"/>
      <c r="V398" s="34"/>
      <c r="W398" s="35" t="s">
        <v>67</v>
      </c>
      <c r="X398" s="643">
        <v>4</v>
      </c>
      <c r="Y398" s="644">
        <f>IFERROR(IF(X398="",0,CEILING((X398/$H398),1)*$H398),"")</f>
        <v>6.08</v>
      </c>
      <c r="Z398" s="36">
        <f>IFERROR(IF(Y398=0,"",ROUNDUP(Y398/H398,0)*0.00902),"")</f>
        <v>1.804E-2</v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4.3026315789473681</v>
      </c>
      <c r="BN398" s="64">
        <f>IFERROR(Y398*I398/H398,"0")</f>
        <v>6.5399999999999991</v>
      </c>
      <c r="BO398" s="64">
        <f>IFERROR(1/J398*(X398/H398),"0")</f>
        <v>9.9681020733652318E-3</v>
      </c>
      <c r="BP398" s="64">
        <f>IFERROR(1/J398*(Y398/H398),"0")</f>
        <v>1.5151515151515152E-2</v>
      </c>
    </row>
    <row r="399" spans="1:68" ht="27" customHeight="1" x14ac:dyDescent="0.25">
      <c r="A399" s="54" t="s">
        <v>650</v>
      </c>
      <c r="B399" s="54" t="s">
        <v>651</v>
      </c>
      <c r="C399" s="31">
        <v>4301032015</v>
      </c>
      <c r="D399" s="652">
        <v>4607091383102</v>
      </c>
      <c r="E399" s="653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8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9"/>
      <c r="R399" s="659"/>
      <c r="S399" s="659"/>
      <c r="T399" s="660"/>
      <c r="U399" s="34"/>
      <c r="V399" s="34"/>
      <c r="W399" s="35" t="s">
        <v>67</v>
      </c>
      <c r="X399" s="643">
        <v>2</v>
      </c>
      <c r="Y399" s="644">
        <f>IFERROR(IF(X399="",0,CEILING((X399/$H399),1)*$H399),"")</f>
        <v>2.5499999999999998</v>
      </c>
      <c r="Z399" s="36">
        <f>IFERROR(IF(Y399=0,"",ROUNDUP(Y399/H399,0)*0.00651),"")</f>
        <v>6.5100000000000002E-3</v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2.3176470588235296</v>
      </c>
      <c r="BN399" s="64">
        <f>IFERROR(Y399*I399/H399,"0")</f>
        <v>2.9550000000000001</v>
      </c>
      <c r="BO399" s="64">
        <f>IFERROR(1/J399*(X399/H399),"0")</f>
        <v>4.3094160741219576E-3</v>
      </c>
      <c r="BP399" s="64">
        <f>IFERROR(1/J399*(Y399/H399),"0")</f>
        <v>5.4945054945054949E-3</v>
      </c>
    </row>
    <row r="400" spans="1:68" ht="27" customHeight="1" x14ac:dyDescent="0.25">
      <c r="A400" s="54" t="s">
        <v>652</v>
      </c>
      <c r="B400" s="54" t="s">
        <v>653</v>
      </c>
      <c r="C400" s="31">
        <v>4301030233</v>
      </c>
      <c r="D400" s="652">
        <v>4607091388404</v>
      </c>
      <c r="E400" s="653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9"/>
      <c r="R400" s="659"/>
      <c r="S400" s="659"/>
      <c r="T400" s="660"/>
      <c r="U400" s="34"/>
      <c r="V400" s="34"/>
      <c r="W400" s="35" t="s">
        <v>67</v>
      </c>
      <c r="X400" s="643">
        <v>16</v>
      </c>
      <c r="Y400" s="644">
        <f>IFERROR(IF(X400="",0,CEILING((X400/$H400),1)*$H400),"")</f>
        <v>17.849999999999998</v>
      </c>
      <c r="Z400" s="36">
        <f>IFERROR(IF(Y400=0,"",ROUNDUP(Y400/H400,0)*0.00651),"")</f>
        <v>4.5569999999999999E-2</v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18.070588235294117</v>
      </c>
      <c r="BN400" s="64">
        <f>IFERROR(Y400*I400/H400,"0")</f>
        <v>20.16</v>
      </c>
      <c r="BO400" s="64">
        <f>IFERROR(1/J400*(X400/H400),"0")</f>
        <v>3.4475328592975661E-2</v>
      </c>
      <c r="BP400" s="64">
        <f>IFERROR(1/J400*(Y400/H400),"0")</f>
        <v>3.8461538461538464E-2</v>
      </c>
    </row>
    <row r="401" spans="1:68" x14ac:dyDescent="0.2">
      <c r="A401" s="665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66"/>
      <c r="P401" s="649" t="s">
        <v>72</v>
      </c>
      <c r="Q401" s="650"/>
      <c r="R401" s="650"/>
      <c r="S401" s="650"/>
      <c r="T401" s="650"/>
      <c r="U401" s="650"/>
      <c r="V401" s="651"/>
      <c r="W401" s="37" t="s">
        <v>73</v>
      </c>
      <c r="X401" s="645">
        <f>IFERROR(X397/H397,"0")+IFERROR(X398/H398,"0")+IFERROR(X399/H399,"0")+IFERROR(X400/H400,"0")</f>
        <v>8.3746130030959769</v>
      </c>
      <c r="Y401" s="645">
        <f>IFERROR(Y397/H397,"0")+IFERROR(Y398/H398,"0")+IFERROR(Y399/H399,"0")+IFERROR(Y400/H400,"0")</f>
        <v>10</v>
      </c>
      <c r="Z401" s="645">
        <f>IFERROR(IF(Z397="",0,Z397),"0")+IFERROR(IF(Z398="",0,Z398),"0")+IFERROR(IF(Z399="",0,Z399),"0")+IFERROR(IF(Z400="",0,Z400),"0")</f>
        <v>7.0120000000000002E-2</v>
      </c>
      <c r="AA401" s="646"/>
      <c r="AB401" s="646"/>
      <c r="AC401" s="646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66"/>
      <c r="P402" s="649" t="s">
        <v>72</v>
      </c>
      <c r="Q402" s="650"/>
      <c r="R402" s="650"/>
      <c r="S402" s="650"/>
      <c r="T402" s="650"/>
      <c r="U402" s="650"/>
      <c r="V402" s="651"/>
      <c r="W402" s="37" t="s">
        <v>67</v>
      </c>
      <c r="X402" s="645">
        <f>IFERROR(SUM(X397:X400),"0")</f>
        <v>22</v>
      </c>
      <c r="Y402" s="645">
        <f>IFERROR(SUM(Y397:Y400),"0")</f>
        <v>26.479999999999997</v>
      </c>
      <c r="Z402" s="37"/>
      <c r="AA402" s="646"/>
      <c r="AB402" s="646"/>
      <c r="AC402" s="646"/>
    </row>
    <row r="403" spans="1:68" ht="14.25" hidden="1" customHeight="1" x14ac:dyDescent="0.25">
      <c r="A403" s="654" t="s">
        <v>654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9"/>
      <c r="AB403" s="639"/>
      <c r="AC403" s="639"/>
    </row>
    <row r="404" spans="1:68" ht="16.5" customHeight="1" x14ac:dyDescent="0.25">
      <c r="A404" s="54" t="s">
        <v>655</v>
      </c>
      <c r="B404" s="54" t="s">
        <v>656</v>
      </c>
      <c r="C404" s="31">
        <v>4301180007</v>
      </c>
      <c r="D404" s="652">
        <v>4680115881808</v>
      </c>
      <c r="E404" s="653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7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9"/>
      <c r="R404" s="659"/>
      <c r="S404" s="659"/>
      <c r="T404" s="660"/>
      <c r="U404" s="34"/>
      <c r="V404" s="34"/>
      <c r="W404" s="35" t="s">
        <v>67</v>
      </c>
      <c r="X404" s="643">
        <v>14</v>
      </c>
      <c r="Y404" s="644">
        <f>IFERROR(IF(X404="",0,CEILING((X404/$H404),1)*$H404),"")</f>
        <v>14</v>
      </c>
      <c r="Z404" s="36">
        <f>IFERROR(IF(Y404=0,"",ROUNDUP(Y404/H404,0)*0.00474),"")</f>
        <v>3.3180000000000001E-2</v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15.680000000000001</v>
      </c>
      <c r="BN404" s="64">
        <f>IFERROR(Y404*I404/H404,"0")</f>
        <v>15.680000000000001</v>
      </c>
      <c r="BO404" s="64">
        <f>IFERROR(1/J404*(X404/H404),"0")</f>
        <v>2.9411764705882353E-2</v>
      </c>
      <c r="BP404" s="64">
        <f>IFERROR(1/J404*(Y404/H404),"0")</f>
        <v>2.9411764705882353E-2</v>
      </c>
    </row>
    <row r="405" spans="1:68" ht="27" hidden="1" customHeight="1" x14ac:dyDescent="0.25">
      <c r="A405" s="54" t="s">
        <v>659</v>
      </c>
      <c r="B405" s="54" t="s">
        <v>660</v>
      </c>
      <c r="C405" s="31">
        <v>4301180006</v>
      </c>
      <c r="D405" s="652">
        <v>4680115881822</v>
      </c>
      <c r="E405" s="653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9"/>
      <c r="R405" s="659"/>
      <c r="S405" s="659"/>
      <c r="T405" s="660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661</v>
      </c>
      <c r="B406" s="54" t="s">
        <v>662</v>
      </c>
      <c r="C406" s="31">
        <v>4301180001</v>
      </c>
      <c r="D406" s="652">
        <v>4680115880016</v>
      </c>
      <c r="E406" s="653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7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9"/>
      <c r="R406" s="659"/>
      <c r="S406" s="659"/>
      <c r="T406" s="660"/>
      <c r="U406" s="34"/>
      <c r="V406" s="34"/>
      <c r="W406" s="35" t="s">
        <v>67</v>
      </c>
      <c r="X406" s="643">
        <v>22</v>
      </c>
      <c r="Y406" s="644">
        <f>IFERROR(IF(X406="",0,CEILING((X406/$H406),1)*$H406),"")</f>
        <v>22</v>
      </c>
      <c r="Z406" s="36">
        <f>IFERROR(IF(Y406=0,"",ROUNDUP(Y406/H406,0)*0.00474),"")</f>
        <v>5.2140000000000006E-2</v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24.64</v>
      </c>
      <c r="BN406" s="64">
        <f>IFERROR(Y406*I406/H406,"0")</f>
        <v>24.64</v>
      </c>
      <c r="BO406" s="64">
        <f>IFERROR(1/J406*(X406/H406),"0")</f>
        <v>4.6218487394957979E-2</v>
      </c>
      <c r="BP406" s="64">
        <f>IFERROR(1/J406*(Y406/H406),"0")</f>
        <v>4.6218487394957979E-2</v>
      </c>
    </row>
    <row r="407" spans="1:68" x14ac:dyDescent="0.2">
      <c r="A407" s="665"/>
      <c r="B407" s="655"/>
      <c r="C407" s="655"/>
      <c r="D407" s="655"/>
      <c r="E407" s="655"/>
      <c r="F407" s="655"/>
      <c r="G407" s="655"/>
      <c r="H407" s="655"/>
      <c r="I407" s="655"/>
      <c r="J407" s="655"/>
      <c r="K407" s="655"/>
      <c r="L407" s="655"/>
      <c r="M407" s="655"/>
      <c r="N407" s="655"/>
      <c r="O407" s="666"/>
      <c r="P407" s="649" t="s">
        <v>72</v>
      </c>
      <c r="Q407" s="650"/>
      <c r="R407" s="650"/>
      <c r="S407" s="650"/>
      <c r="T407" s="650"/>
      <c r="U407" s="650"/>
      <c r="V407" s="651"/>
      <c r="W407" s="37" t="s">
        <v>73</v>
      </c>
      <c r="X407" s="645">
        <f>IFERROR(X404/H404,"0")+IFERROR(X405/H405,"0")+IFERROR(X406/H406,"0")</f>
        <v>18</v>
      </c>
      <c r="Y407" s="645">
        <f>IFERROR(Y404/H404,"0")+IFERROR(Y405/H405,"0")+IFERROR(Y406/H406,"0")</f>
        <v>18</v>
      </c>
      <c r="Z407" s="645">
        <f>IFERROR(IF(Z404="",0,Z404),"0")+IFERROR(IF(Z405="",0,Z405),"0")+IFERROR(IF(Z406="",0,Z406),"0")</f>
        <v>8.5320000000000007E-2</v>
      </c>
      <c r="AA407" s="646"/>
      <c r="AB407" s="646"/>
      <c r="AC407" s="646"/>
    </row>
    <row r="408" spans="1:68" x14ac:dyDescent="0.2">
      <c r="A408" s="655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66"/>
      <c r="P408" s="649" t="s">
        <v>72</v>
      </c>
      <c r="Q408" s="650"/>
      <c r="R408" s="650"/>
      <c r="S408" s="650"/>
      <c r="T408" s="650"/>
      <c r="U408" s="650"/>
      <c r="V408" s="651"/>
      <c r="W408" s="37" t="s">
        <v>67</v>
      </c>
      <c r="X408" s="645">
        <f>IFERROR(SUM(X404:X406),"0")</f>
        <v>36</v>
      </c>
      <c r="Y408" s="645">
        <f>IFERROR(SUM(Y404:Y406),"0")</f>
        <v>36</v>
      </c>
      <c r="Z408" s="37"/>
      <c r="AA408" s="646"/>
      <c r="AB408" s="646"/>
      <c r="AC408" s="646"/>
    </row>
    <row r="409" spans="1:68" ht="14.25" hidden="1" customHeight="1" x14ac:dyDescent="0.25">
      <c r="A409" s="654" t="s">
        <v>663</v>
      </c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2">
        <v>4680115888678</v>
      </c>
      <c r="E410" s="653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9"/>
      <c r="R410" s="659"/>
      <c r="S410" s="659"/>
      <c r="T410" s="660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2">
        <v>4680115888654</v>
      </c>
      <c r="E411" s="653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9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9"/>
      <c r="R411" s="659"/>
      <c r="S411" s="659"/>
      <c r="T411" s="660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2">
        <v>4680115888753</v>
      </c>
      <c r="E412" s="653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9"/>
      <c r="R412" s="659"/>
      <c r="S412" s="659"/>
      <c r="T412" s="660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6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66"/>
      <c r="P413" s="649" t="s">
        <v>72</v>
      </c>
      <c r="Q413" s="650"/>
      <c r="R413" s="650"/>
      <c r="S413" s="650"/>
      <c r="T413" s="650"/>
      <c r="U413" s="650"/>
      <c r="V413" s="651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5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66"/>
      <c r="P414" s="649" t="s">
        <v>72</v>
      </c>
      <c r="Q414" s="650"/>
      <c r="R414" s="650"/>
      <c r="S414" s="650"/>
      <c r="T414" s="650"/>
      <c r="U414" s="650"/>
      <c r="V414" s="651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8" t="s">
        <v>672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8"/>
      <c r="AB415" s="638"/>
      <c r="AC415" s="638"/>
    </row>
    <row r="416" spans="1:68" ht="14.25" hidden="1" customHeight="1" x14ac:dyDescent="0.25">
      <c r="A416" s="654" t="s">
        <v>74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2">
        <v>4680115889415</v>
      </c>
      <c r="E417" s="653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102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9"/>
      <c r="R417" s="659"/>
      <c r="S417" s="659"/>
      <c r="T417" s="660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2">
        <v>4680115889422</v>
      </c>
      <c r="E418" s="653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9"/>
      <c r="R418" s="659"/>
      <c r="S418" s="659"/>
      <c r="T418" s="660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65"/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66"/>
      <c r="P419" s="649" t="s">
        <v>72</v>
      </c>
      <c r="Q419" s="650"/>
      <c r="R419" s="650"/>
      <c r="S419" s="650"/>
      <c r="T419" s="650"/>
      <c r="U419" s="650"/>
      <c r="V419" s="651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5"/>
      <c r="B420" s="655"/>
      <c r="C420" s="655"/>
      <c r="D420" s="655"/>
      <c r="E420" s="655"/>
      <c r="F420" s="655"/>
      <c r="G420" s="655"/>
      <c r="H420" s="655"/>
      <c r="I420" s="655"/>
      <c r="J420" s="655"/>
      <c r="K420" s="655"/>
      <c r="L420" s="655"/>
      <c r="M420" s="655"/>
      <c r="N420" s="655"/>
      <c r="O420" s="666"/>
      <c r="P420" s="649" t="s">
        <v>72</v>
      </c>
      <c r="Q420" s="650"/>
      <c r="R420" s="650"/>
      <c r="S420" s="650"/>
      <c r="T420" s="650"/>
      <c r="U420" s="650"/>
      <c r="V420" s="651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8" t="s">
        <v>679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38"/>
      <c r="AB421" s="638"/>
      <c r="AC421" s="638"/>
    </row>
    <row r="422" spans="1:68" ht="14.25" hidden="1" customHeight="1" x14ac:dyDescent="0.25">
      <c r="A422" s="654" t="s">
        <v>74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2">
        <v>4607091387919</v>
      </c>
      <c r="E423" s="653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9"/>
      <c r="R423" s="659"/>
      <c r="S423" s="659"/>
      <c r="T423" s="660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683</v>
      </c>
      <c r="B424" s="54" t="s">
        <v>684</v>
      </c>
      <c r="C424" s="31">
        <v>4301051461</v>
      </c>
      <c r="D424" s="652">
        <v>4680115883604</v>
      </c>
      <c r="E424" s="653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9"/>
      <c r="R424" s="659"/>
      <c r="S424" s="659"/>
      <c r="T424" s="660"/>
      <c r="U424" s="34"/>
      <c r="V424" s="34"/>
      <c r="W424" s="35" t="s">
        <v>67</v>
      </c>
      <c r="X424" s="643">
        <v>73</v>
      </c>
      <c r="Y424" s="644">
        <f>IFERROR(IF(X424="",0,CEILING((X424/$H424),1)*$H424),"")</f>
        <v>73.5</v>
      </c>
      <c r="Z424" s="36">
        <f>IFERROR(IF(Y424=0,"",ROUNDUP(Y424/H424,0)*0.00651),"")</f>
        <v>0.22785</v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81.759999999999991</v>
      </c>
      <c r="BN424" s="64">
        <f>IFERROR(Y424*I424/H424,"0")</f>
        <v>82.32</v>
      </c>
      <c r="BO424" s="64">
        <f>IFERROR(1/J424*(X424/H424),"0")</f>
        <v>0.19099947671376244</v>
      </c>
      <c r="BP424" s="64">
        <f>IFERROR(1/J424*(Y424/H424),"0")</f>
        <v>0.19230769230769232</v>
      </c>
    </row>
    <row r="425" spans="1:68" ht="27" customHeight="1" x14ac:dyDescent="0.25">
      <c r="A425" s="54" t="s">
        <v>686</v>
      </c>
      <c r="B425" s="54" t="s">
        <v>687</v>
      </c>
      <c r="C425" s="31">
        <v>4301051864</v>
      </c>
      <c r="D425" s="652">
        <v>4680115883567</v>
      </c>
      <c r="E425" s="653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9"/>
      <c r="R425" s="659"/>
      <c r="S425" s="659"/>
      <c r="T425" s="660"/>
      <c r="U425" s="34"/>
      <c r="V425" s="34"/>
      <c r="W425" s="35" t="s">
        <v>67</v>
      </c>
      <c r="X425" s="643">
        <v>11</v>
      </c>
      <c r="Y425" s="644">
        <f>IFERROR(IF(X425="",0,CEILING((X425/$H425),1)*$H425),"")</f>
        <v>12.600000000000001</v>
      </c>
      <c r="Z425" s="36">
        <f>IFERROR(IF(Y425=0,"",ROUNDUP(Y425/H425,0)*0.00651),"")</f>
        <v>3.9059999999999997E-2</v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12.257142857142856</v>
      </c>
      <c r="BN425" s="64">
        <f>IFERROR(Y425*I425/H425,"0")</f>
        <v>14.040000000000001</v>
      </c>
      <c r="BO425" s="64">
        <f>IFERROR(1/J425*(X425/H425),"0")</f>
        <v>2.8780743066457355E-2</v>
      </c>
      <c r="BP425" s="64">
        <f>IFERROR(1/J425*(Y425/H425),"0")</f>
        <v>3.2967032967032968E-2</v>
      </c>
    </row>
    <row r="426" spans="1:68" x14ac:dyDescent="0.2">
      <c r="A426" s="665"/>
      <c r="B426" s="655"/>
      <c r="C426" s="655"/>
      <c r="D426" s="655"/>
      <c r="E426" s="655"/>
      <c r="F426" s="655"/>
      <c r="G426" s="655"/>
      <c r="H426" s="655"/>
      <c r="I426" s="655"/>
      <c r="J426" s="655"/>
      <c r="K426" s="655"/>
      <c r="L426" s="655"/>
      <c r="M426" s="655"/>
      <c r="N426" s="655"/>
      <c r="O426" s="666"/>
      <c r="P426" s="649" t="s">
        <v>72</v>
      </c>
      <c r="Q426" s="650"/>
      <c r="R426" s="650"/>
      <c r="S426" s="650"/>
      <c r="T426" s="650"/>
      <c r="U426" s="650"/>
      <c r="V426" s="651"/>
      <c r="W426" s="37" t="s">
        <v>73</v>
      </c>
      <c r="X426" s="645">
        <f>IFERROR(X423/H423,"0")+IFERROR(X424/H424,"0")+IFERROR(X425/H425,"0")</f>
        <v>40</v>
      </c>
      <c r="Y426" s="645">
        <f>IFERROR(Y423/H423,"0")+IFERROR(Y424/H424,"0")+IFERROR(Y425/H425,"0")</f>
        <v>41</v>
      </c>
      <c r="Z426" s="645">
        <f>IFERROR(IF(Z423="",0,Z423),"0")+IFERROR(IF(Z424="",0,Z424),"0")+IFERROR(IF(Z425="",0,Z425),"0")</f>
        <v>0.26690999999999998</v>
      </c>
      <c r="AA426" s="646"/>
      <c r="AB426" s="646"/>
      <c r="AC426" s="646"/>
    </row>
    <row r="427" spans="1:68" x14ac:dyDescent="0.2">
      <c r="A427" s="655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66"/>
      <c r="P427" s="649" t="s">
        <v>72</v>
      </c>
      <c r="Q427" s="650"/>
      <c r="R427" s="650"/>
      <c r="S427" s="650"/>
      <c r="T427" s="650"/>
      <c r="U427" s="650"/>
      <c r="V427" s="651"/>
      <c r="W427" s="37" t="s">
        <v>67</v>
      </c>
      <c r="X427" s="645">
        <f>IFERROR(SUM(X423:X425),"0")</f>
        <v>84</v>
      </c>
      <c r="Y427" s="645">
        <f>IFERROR(SUM(Y423:Y425),"0")</f>
        <v>86.1</v>
      </c>
      <c r="Z427" s="37"/>
      <c r="AA427" s="646"/>
      <c r="AB427" s="646"/>
      <c r="AC427" s="646"/>
    </row>
    <row r="428" spans="1:68" ht="27.75" hidden="1" customHeight="1" x14ac:dyDescent="0.2">
      <c r="A428" s="647" t="s">
        <v>689</v>
      </c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8"/>
      <c r="P428" s="648"/>
      <c r="Q428" s="648"/>
      <c r="R428" s="648"/>
      <c r="S428" s="648"/>
      <c r="T428" s="648"/>
      <c r="U428" s="648"/>
      <c r="V428" s="648"/>
      <c r="W428" s="648"/>
      <c r="X428" s="648"/>
      <c r="Y428" s="648"/>
      <c r="Z428" s="648"/>
      <c r="AA428" s="48"/>
      <c r="AB428" s="48"/>
      <c r="AC428" s="48"/>
    </row>
    <row r="429" spans="1:68" ht="16.5" hidden="1" customHeight="1" x14ac:dyDescent="0.25">
      <c r="A429" s="668" t="s">
        <v>690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8"/>
      <c r="AB429" s="638"/>
      <c r="AC429" s="638"/>
    </row>
    <row r="430" spans="1:68" ht="14.25" hidden="1" customHeight="1" x14ac:dyDescent="0.25">
      <c r="A430" s="654" t="s">
        <v>111</v>
      </c>
      <c r="B430" s="655"/>
      <c r="C430" s="655"/>
      <c r="D430" s="655"/>
      <c r="E430" s="655"/>
      <c r="F430" s="655"/>
      <c r="G430" s="655"/>
      <c r="H430" s="655"/>
      <c r="I430" s="655"/>
      <c r="J430" s="655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39"/>
      <c r="AB430" s="639"/>
      <c r="AC430" s="639"/>
    </row>
    <row r="431" spans="1:68" ht="27" customHeight="1" x14ac:dyDescent="0.25">
      <c r="A431" s="54" t="s">
        <v>691</v>
      </c>
      <c r="B431" s="54" t="s">
        <v>692</v>
      </c>
      <c r="C431" s="31">
        <v>4301012332</v>
      </c>
      <c r="D431" s="652">
        <v>4680115888401</v>
      </c>
      <c r="E431" s="653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9"/>
      <c r="R431" s="659"/>
      <c r="S431" s="659"/>
      <c r="T431" s="660"/>
      <c r="U431" s="34"/>
      <c r="V431" s="34"/>
      <c r="W431" s="35" t="s">
        <v>67</v>
      </c>
      <c r="X431" s="643">
        <v>243</v>
      </c>
      <c r="Y431" s="644">
        <f t="shared" ref="Y431:Y438" si="68">IFERROR(IF(X431="",0,CEILING((X431/$H431),1)*$H431),"")</f>
        <v>255</v>
      </c>
      <c r="Z431" s="36">
        <f>IFERROR(IF(Y431=0,"",ROUNDUP(Y431/H431,0)*0.02175),"")</f>
        <v>0.36974999999999997</v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250.614</v>
      </c>
      <c r="BN431" s="64">
        <f t="shared" ref="BN431:BN438" si="70">IFERROR(Y431*I431/H431,"0")</f>
        <v>262.99</v>
      </c>
      <c r="BO431" s="64">
        <f t="shared" ref="BO431:BO438" si="71">IFERROR(1/J431*(X431/H431),"0")</f>
        <v>0.33749999999999997</v>
      </c>
      <c r="BP431" s="64">
        <f t="shared" ref="BP431:BP438" si="72">IFERROR(1/J431*(Y431/H431),"0")</f>
        <v>0.35416666666666663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2">
        <v>4680115884847</v>
      </c>
      <c r="E432" s="653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9"/>
      <c r="R432" s="659"/>
      <c r="S432" s="659"/>
      <c r="T432" s="660"/>
      <c r="U432" s="34"/>
      <c r="V432" s="34"/>
      <c r="W432" s="35" t="s">
        <v>67</v>
      </c>
      <c r="X432" s="643">
        <v>450</v>
      </c>
      <c r="Y432" s="644">
        <f t="shared" si="68"/>
        <v>450</v>
      </c>
      <c r="Z432" s="36">
        <f>IFERROR(IF(Y432=0,"",ROUNDUP(Y432/H432,0)*0.02175),"")</f>
        <v>0.65249999999999997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464.1</v>
      </c>
      <c r="BN432" s="64">
        <f t="shared" si="70"/>
        <v>464.1</v>
      </c>
      <c r="BO432" s="64">
        <f t="shared" si="71"/>
        <v>0.625</v>
      </c>
      <c r="BP432" s="64">
        <f t="shared" si="72"/>
        <v>0.625</v>
      </c>
    </row>
    <row r="433" spans="1:68" ht="27" customHeight="1" x14ac:dyDescent="0.25">
      <c r="A433" s="54" t="s">
        <v>697</v>
      </c>
      <c r="B433" s="54" t="s">
        <v>698</v>
      </c>
      <c r="C433" s="31">
        <v>4301012083</v>
      </c>
      <c r="D433" s="652">
        <v>4680115884854</v>
      </c>
      <c r="E433" s="653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9"/>
      <c r="R433" s="659"/>
      <c r="S433" s="659"/>
      <c r="T433" s="660"/>
      <c r="U433" s="34"/>
      <c r="V433" s="34"/>
      <c r="W433" s="35" t="s">
        <v>67</v>
      </c>
      <c r="X433" s="643">
        <v>700</v>
      </c>
      <c r="Y433" s="644">
        <f t="shared" si="68"/>
        <v>705</v>
      </c>
      <c r="Z433" s="36">
        <f>IFERROR(IF(Y433=0,"",ROUNDUP(Y433/H433,0)*0.02175),"")</f>
        <v>1.0222499999999999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721.93333333333328</v>
      </c>
      <c r="BN433" s="64">
        <f t="shared" si="70"/>
        <v>727.09</v>
      </c>
      <c r="BO433" s="64">
        <f t="shared" si="71"/>
        <v>0.9722222222222221</v>
      </c>
      <c r="BP433" s="64">
        <f t="shared" si="72"/>
        <v>0.97916666666666663</v>
      </c>
    </row>
    <row r="434" spans="1:68" ht="27" hidden="1" customHeight="1" x14ac:dyDescent="0.25">
      <c r="A434" s="54" t="s">
        <v>700</v>
      </c>
      <c r="B434" s="54" t="s">
        <v>701</v>
      </c>
      <c r="C434" s="31">
        <v>4301011867</v>
      </c>
      <c r="D434" s="652">
        <v>4680115884830</v>
      </c>
      <c r="E434" s="653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9"/>
      <c r="R434" s="659"/>
      <c r="S434" s="659"/>
      <c r="T434" s="660"/>
      <c r="U434" s="34"/>
      <c r="V434" s="34"/>
      <c r="W434" s="35" t="s">
        <v>67</v>
      </c>
      <c r="X434" s="643">
        <v>0</v>
      </c>
      <c r="Y434" s="644">
        <f t="shared" si="68"/>
        <v>0</v>
      </c>
      <c r="Z434" s="36" t="str">
        <f>IFERROR(IF(Y434=0,"",ROUNDUP(Y434/H434,0)*0.02175),"")</f>
        <v/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customHeight="1" x14ac:dyDescent="0.25">
      <c r="A435" s="54" t="s">
        <v>703</v>
      </c>
      <c r="B435" s="54" t="s">
        <v>704</v>
      </c>
      <c r="C435" s="31">
        <v>4301012356</v>
      </c>
      <c r="D435" s="652">
        <v>4680115889231</v>
      </c>
      <c r="E435" s="653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9"/>
      <c r="R435" s="659"/>
      <c r="S435" s="659"/>
      <c r="T435" s="660"/>
      <c r="U435" s="34"/>
      <c r="V435" s="34"/>
      <c r="W435" s="35" t="s">
        <v>67</v>
      </c>
      <c r="X435" s="643">
        <v>1300</v>
      </c>
      <c r="Y435" s="644">
        <f t="shared" si="68"/>
        <v>1305</v>
      </c>
      <c r="Z435" s="36">
        <f>IFERROR(IF(Y435=0,"",ROUNDUP(Y435/H435,0)*0.02175),"")</f>
        <v>1.8922499999999998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1340.7333333333333</v>
      </c>
      <c r="BN435" s="64">
        <f t="shared" si="70"/>
        <v>1345.89</v>
      </c>
      <c r="BO435" s="64">
        <f t="shared" si="71"/>
        <v>1.8055555555555556</v>
      </c>
      <c r="BP435" s="64">
        <f t="shared" si="72"/>
        <v>1.8125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2">
        <v>4680115882638</v>
      </c>
      <c r="E436" s="653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9"/>
      <c r="R436" s="659"/>
      <c r="S436" s="659"/>
      <c r="T436" s="660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2">
        <v>4680115884922</v>
      </c>
      <c r="E437" s="653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9"/>
      <c r="R437" s="659"/>
      <c r="S437" s="659"/>
      <c r="T437" s="660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2">
        <v>4680115884861</v>
      </c>
      <c r="E438" s="653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9"/>
      <c r="R438" s="659"/>
      <c r="S438" s="659"/>
      <c r="T438" s="660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6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66"/>
      <c r="P439" s="649" t="s">
        <v>72</v>
      </c>
      <c r="Q439" s="650"/>
      <c r="R439" s="650"/>
      <c r="S439" s="650"/>
      <c r="T439" s="650"/>
      <c r="U439" s="650"/>
      <c r="V439" s="651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179.53333333333336</v>
      </c>
      <c r="Y439" s="645">
        <f>IFERROR(Y431/H431,"0")+IFERROR(Y432/H432,"0")+IFERROR(Y433/H433,"0")+IFERROR(Y434/H434,"0")+IFERROR(Y435/H435,"0")+IFERROR(Y436/H436,"0")+IFERROR(Y437/H437,"0")+IFERROR(Y438/H438,"0")</f>
        <v>181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3.9367499999999995</v>
      </c>
      <c r="AA439" s="646"/>
      <c r="AB439" s="646"/>
      <c r="AC439" s="646"/>
    </row>
    <row r="440" spans="1:68" x14ac:dyDescent="0.2">
      <c r="A440" s="655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66"/>
      <c r="P440" s="649" t="s">
        <v>72</v>
      </c>
      <c r="Q440" s="650"/>
      <c r="R440" s="650"/>
      <c r="S440" s="650"/>
      <c r="T440" s="650"/>
      <c r="U440" s="650"/>
      <c r="V440" s="651"/>
      <c r="W440" s="37" t="s">
        <v>67</v>
      </c>
      <c r="X440" s="645">
        <f>IFERROR(SUM(X431:X438),"0")</f>
        <v>2693</v>
      </c>
      <c r="Y440" s="645">
        <f>IFERROR(SUM(Y431:Y438),"0")</f>
        <v>2715</v>
      </c>
      <c r="Z440" s="37"/>
      <c r="AA440" s="646"/>
      <c r="AB440" s="646"/>
      <c r="AC440" s="646"/>
    </row>
    <row r="441" spans="1:68" ht="14.25" hidden="1" customHeight="1" x14ac:dyDescent="0.25">
      <c r="A441" s="654" t="s">
        <v>148</v>
      </c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39"/>
      <c r="AB441" s="639"/>
      <c r="AC441" s="639"/>
    </row>
    <row r="442" spans="1:68" ht="27" hidden="1" customHeight="1" x14ac:dyDescent="0.25">
      <c r="A442" s="54" t="s">
        <v>715</v>
      </c>
      <c r="B442" s="54" t="s">
        <v>716</v>
      </c>
      <c r="C442" s="31">
        <v>4301020178</v>
      </c>
      <c r="D442" s="652">
        <v>4607091383980</v>
      </c>
      <c r="E442" s="653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9"/>
      <c r="R442" s="659"/>
      <c r="S442" s="659"/>
      <c r="T442" s="660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2">
        <v>4680115888425</v>
      </c>
      <c r="E443" s="653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9"/>
      <c r="R443" s="659"/>
      <c r="S443" s="659"/>
      <c r="T443" s="660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2">
        <v>4607091384178</v>
      </c>
      <c r="E444" s="653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9"/>
      <c r="R444" s="659"/>
      <c r="S444" s="659"/>
      <c r="T444" s="660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65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66"/>
      <c r="P445" s="649" t="s">
        <v>72</v>
      </c>
      <c r="Q445" s="650"/>
      <c r="R445" s="650"/>
      <c r="S445" s="650"/>
      <c r="T445" s="650"/>
      <c r="U445" s="650"/>
      <c r="V445" s="651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hidden="1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66"/>
      <c r="P446" s="649" t="s">
        <v>72</v>
      </c>
      <c r="Q446" s="650"/>
      <c r="R446" s="650"/>
      <c r="S446" s="650"/>
      <c r="T446" s="650"/>
      <c r="U446" s="650"/>
      <c r="V446" s="651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hidden="1" customHeight="1" x14ac:dyDescent="0.25">
      <c r="A447" s="654" t="s">
        <v>74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2">
        <v>4607091383928</v>
      </c>
      <c r="E448" s="653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9"/>
      <c r="R448" s="659"/>
      <c r="S448" s="659"/>
      <c r="T448" s="660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727</v>
      </c>
      <c r="B449" s="54" t="s">
        <v>728</v>
      </c>
      <c r="C449" s="31">
        <v>4301051897</v>
      </c>
      <c r="D449" s="652">
        <v>4607091384260</v>
      </c>
      <c r="E449" s="653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9"/>
      <c r="R449" s="659"/>
      <c r="S449" s="659"/>
      <c r="T449" s="660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2">
        <v>4680115889538</v>
      </c>
      <c r="E450" s="653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9"/>
      <c r="R450" s="659"/>
      <c r="S450" s="659"/>
      <c r="T450" s="660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5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66"/>
      <c r="P451" s="649" t="s">
        <v>72</v>
      </c>
      <c r="Q451" s="650"/>
      <c r="R451" s="650"/>
      <c r="S451" s="650"/>
      <c r="T451" s="650"/>
      <c r="U451" s="650"/>
      <c r="V451" s="651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66"/>
      <c r="P452" s="649" t="s">
        <v>72</v>
      </c>
      <c r="Q452" s="650"/>
      <c r="R452" s="650"/>
      <c r="S452" s="650"/>
      <c r="T452" s="650"/>
      <c r="U452" s="650"/>
      <c r="V452" s="651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4" t="s">
        <v>167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2">
        <v>4680115889545</v>
      </c>
      <c r="E454" s="653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9"/>
      <c r="R454" s="659"/>
      <c r="S454" s="659"/>
      <c r="T454" s="660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736</v>
      </c>
      <c r="B455" s="54" t="s">
        <v>737</v>
      </c>
      <c r="C455" s="31">
        <v>4301060524</v>
      </c>
      <c r="D455" s="652">
        <v>4607091384673</v>
      </c>
      <c r="E455" s="653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9"/>
      <c r="R455" s="659"/>
      <c r="S455" s="659"/>
      <c r="T455" s="660"/>
      <c r="U455" s="34"/>
      <c r="V455" s="34"/>
      <c r="W455" s="35" t="s">
        <v>67</v>
      </c>
      <c r="X455" s="643">
        <v>17</v>
      </c>
      <c r="Y455" s="644">
        <f>IFERROR(IF(X455="",0,CEILING((X455/$H455),1)*$H455),"")</f>
        <v>18</v>
      </c>
      <c r="Z455" s="36">
        <f>IFERROR(IF(Y455=0,"",ROUNDUP(Y455/H455,0)*0.01898),"")</f>
        <v>3.7960000000000001E-2</v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17.93311111111111</v>
      </c>
      <c r="BN455" s="64">
        <f>IFERROR(Y455*I455/H455,"0")</f>
        <v>18.988</v>
      </c>
      <c r="BO455" s="64">
        <f>IFERROR(1/J455*(X455/H455),"0")</f>
        <v>2.9513888888888888E-2</v>
      </c>
      <c r="BP455" s="64">
        <f>IFERROR(1/J455*(Y455/H455),"0")</f>
        <v>3.125E-2</v>
      </c>
    </row>
    <row r="456" spans="1:68" x14ac:dyDescent="0.2">
      <c r="A456" s="665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66"/>
      <c r="P456" s="649" t="s">
        <v>72</v>
      </c>
      <c r="Q456" s="650"/>
      <c r="R456" s="650"/>
      <c r="S456" s="650"/>
      <c r="T456" s="650"/>
      <c r="U456" s="650"/>
      <c r="V456" s="651"/>
      <c r="W456" s="37" t="s">
        <v>73</v>
      </c>
      <c r="X456" s="645">
        <f>IFERROR(X454/H454,"0")+IFERROR(X455/H455,"0")</f>
        <v>1.8888888888888888</v>
      </c>
      <c r="Y456" s="645">
        <f>IFERROR(Y454/H454,"0")+IFERROR(Y455/H455,"0")</f>
        <v>2</v>
      </c>
      <c r="Z456" s="645">
        <f>IFERROR(IF(Z454="",0,Z454),"0")+IFERROR(IF(Z455="",0,Z455),"0")</f>
        <v>3.7960000000000001E-2</v>
      </c>
      <c r="AA456" s="646"/>
      <c r="AB456" s="646"/>
      <c r="AC456" s="646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66"/>
      <c r="P457" s="649" t="s">
        <v>72</v>
      </c>
      <c r="Q457" s="650"/>
      <c r="R457" s="650"/>
      <c r="S457" s="650"/>
      <c r="T457" s="650"/>
      <c r="U457" s="650"/>
      <c r="V457" s="651"/>
      <c r="W457" s="37" t="s">
        <v>67</v>
      </c>
      <c r="X457" s="645">
        <f>IFERROR(SUM(X454:X455),"0")</f>
        <v>17</v>
      </c>
      <c r="Y457" s="645">
        <f>IFERROR(SUM(Y454:Y455),"0")</f>
        <v>18</v>
      </c>
      <c r="Z457" s="37"/>
      <c r="AA457" s="646"/>
      <c r="AB457" s="646"/>
      <c r="AC457" s="646"/>
    </row>
    <row r="458" spans="1:68" ht="16.5" hidden="1" customHeight="1" x14ac:dyDescent="0.25">
      <c r="A458" s="668" t="s">
        <v>739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8"/>
      <c r="AB458" s="638"/>
      <c r="AC458" s="638"/>
    </row>
    <row r="459" spans="1:68" ht="14.25" hidden="1" customHeight="1" x14ac:dyDescent="0.25">
      <c r="A459" s="654" t="s">
        <v>111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2">
        <v>4680115884885</v>
      </c>
      <c r="E460" s="653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9"/>
      <c r="R460" s="659"/>
      <c r="S460" s="659"/>
      <c r="T460" s="660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2">
        <v>4680115884908</v>
      </c>
      <c r="E461" s="653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8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9"/>
      <c r="R461" s="659"/>
      <c r="S461" s="659"/>
      <c r="T461" s="660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6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66"/>
      <c r="P462" s="649" t="s">
        <v>72</v>
      </c>
      <c r="Q462" s="650"/>
      <c r="R462" s="650"/>
      <c r="S462" s="650"/>
      <c r="T462" s="650"/>
      <c r="U462" s="650"/>
      <c r="V462" s="651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5"/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66"/>
      <c r="P463" s="649" t="s">
        <v>72</v>
      </c>
      <c r="Q463" s="650"/>
      <c r="R463" s="650"/>
      <c r="S463" s="650"/>
      <c r="T463" s="650"/>
      <c r="U463" s="650"/>
      <c r="V463" s="651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4" t="s">
        <v>62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2">
        <v>4607091384802</v>
      </c>
      <c r="E465" s="653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8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9"/>
      <c r="R465" s="659"/>
      <c r="S465" s="659"/>
      <c r="T465" s="660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65"/>
      <c r="B466" s="655"/>
      <c r="C466" s="655"/>
      <c r="D466" s="655"/>
      <c r="E466" s="655"/>
      <c r="F466" s="655"/>
      <c r="G466" s="655"/>
      <c r="H466" s="655"/>
      <c r="I466" s="655"/>
      <c r="J466" s="655"/>
      <c r="K466" s="655"/>
      <c r="L466" s="655"/>
      <c r="M466" s="655"/>
      <c r="N466" s="655"/>
      <c r="O466" s="666"/>
      <c r="P466" s="649" t="s">
        <v>72</v>
      </c>
      <c r="Q466" s="650"/>
      <c r="R466" s="650"/>
      <c r="S466" s="650"/>
      <c r="T466" s="650"/>
      <c r="U466" s="650"/>
      <c r="V466" s="651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5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66"/>
      <c r="P467" s="649" t="s">
        <v>72</v>
      </c>
      <c r="Q467" s="650"/>
      <c r="R467" s="650"/>
      <c r="S467" s="650"/>
      <c r="T467" s="650"/>
      <c r="U467" s="650"/>
      <c r="V467" s="651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4" t="s">
        <v>74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39"/>
      <c r="AB468" s="639"/>
      <c r="AC468" s="639"/>
    </row>
    <row r="469" spans="1:68" ht="27" customHeight="1" x14ac:dyDescent="0.25">
      <c r="A469" s="54" t="s">
        <v>748</v>
      </c>
      <c r="B469" s="54" t="s">
        <v>749</v>
      </c>
      <c r="C469" s="31">
        <v>4301051899</v>
      </c>
      <c r="D469" s="652">
        <v>4607091384246</v>
      </c>
      <c r="E469" s="653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7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9"/>
      <c r="R469" s="659"/>
      <c r="S469" s="659"/>
      <c r="T469" s="660"/>
      <c r="U469" s="34"/>
      <c r="V469" s="34"/>
      <c r="W469" s="35" t="s">
        <v>67</v>
      </c>
      <c r="X469" s="643">
        <v>651</v>
      </c>
      <c r="Y469" s="644">
        <f>IFERROR(IF(X469="",0,CEILING((X469/$H469),1)*$H469),"")</f>
        <v>657</v>
      </c>
      <c r="Z469" s="36">
        <f>IFERROR(IF(Y469=0,"",ROUNDUP(Y469/H469,0)*0.01898),"")</f>
        <v>1.38554</v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686.73266666666666</v>
      </c>
      <c r="BN469" s="64">
        <f>IFERROR(Y469*I469/H469,"0")</f>
        <v>693.06200000000001</v>
      </c>
      <c r="BO469" s="64">
        <f>IFERROR(1/J469*(X469/H469),"0")</f>
        <v>1.1302083333333333</v>
      </c>
      <c r="BP469" s="64">
        <f>IFERROR(1/J469*(Y469/H469),"0")</f>
        <v>1.140625</v>
      </c>
    </row>
    <row r="470" spans="1:68" ht="27" hidden="1" customHeight="1" x14ac:dyDescent="0.25">
      <c r="A470" s="54" t="s">
        <v>751</v>
      </c>
      <c r="B470" s="54" t="s">
        <v>752</v>
      </c>
      <c r="C470" s="31">
        <v>4301051660</v>
      </c>
      <c r="D470" s="652">
        <v>4607091384253</v>
      </c>
      <c r="E470" s="653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9"/>
      <c r="R470" s="659"/>
      <c r="S470" s="659"/>
      <c r="T470" s="660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2">
        <v>4607091384253</v>
      </c>
      <c r="E471" s="653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6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9"/>
      <c r="R471" s="659"/>
      <c r="S471" s="659"/>
      <c r="T471" s="660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65"/>
      <c r="B472" s="655"/>
      <c r="C472" s="655"/>
      <c r="D472" s="655"/>
      <c r="E472" s="655"/>
      <c r="F472" s="655"/>
      <c r="G472" s="655"/>
      <c r="H472" s="655"/>
      <c r="I472" s="655"/>
      <c r="J472" s="655"/>
      <c r="K472" s="655"/>
      <c r="L472" s="655"/>
      <c r="M472" s="655"/>
      <c r="N472" s="655"/>
      <c r="O472" s="666"/>
      <c r="P472" s="649" t="s">
        <v>72</v>
      </c>
      <c r="Q472" s="650"/>
      <c r="R472" s="650"/>
      <c r="S472" s="650"/>
      <c r="T472" s="650"/>
      <c r="U472" s="650"/>
      <c r="V472" s="651"/>
      <c r="W472" s="37" t="s">
        <v>73</v>
      </c>
      <c r="X472" s="645">
        <f>IFERROR(X469/H469,"0")+IFERROR(X470/H470,"0")+IFERROR(X471/H471,"0")</f>
        <v>72.333333333333329</v>
      </c>
      <c r="Y472" s="645">
        <f>IFERROR(Y469/H469,"0")+IFERROR(Y470/H470,"0")+IFERROR(Y471/H471,"0")</f>
        <v>73</v>
      </c>
      <c r="Z472" s="645">
        <f>IFERROR(IF(Z469="",0,Z469),"0")+IFERROR(IF(Z470="",0,Z470),"0")+IFERROR(IF(Z471="",0,Z471),"0")</f>
        <v>1.38554</v>
      </c>
      <c r="AA472" s="646"/>
      <c r="AB472" s="646"/>
      <c r="AC472" s="646"/>
    </row>
    <row r="473" spans="1:68" x14ac:dyDescent="0.2">
      <c r="A473" s="655"/>
      <c r="B473" s="655"/>
      <c r="C473" s="655"/>
      <c r="D473" s="655"/>
      <c r="E473" s="655"/>
      <c r="F473" s="655"/>
      <c r="G473" s="655"/>
      <c r="H473" s="655"/>
      <c r="I473" s="655"/>
      <c r="J473" s="655"/>
      <c r="K473" s="655"/>
      <c r="L473" s="655"/>
      <c r="M473" s="655"/>
      <c r="N473" s="655"/>
      <c r="O473" s="666"/>
      <c r="P473" s="649" t="s">
        <v>72</v>
      </c>
      <c r="Q473" s="650"/>
      <c r="R473" s="650"/>
      <c r="S473" s="650"/>
      <c r="T473" s="650"/>
      <c r="U473" s="650"/>
      <c r="V473" s="651"/>
      <c r="W473" s="37" t="s">
        <v>67</v>
      </c>
      <c r="X473" s="645">
        <f>IFERROR(SUM(X469:X471),"0")</f>
        <v>651</v>
      </c>
      <c r="Y473" s="645">
        <f>IFERROR(SUM(Y469:Y471),"0")</f>
        <v>657</v>
      </c>
      <c r="Z473" s="37"/>
      <c r="AA473" s="646"/>
      <c r="AB473" s="646"/>
      <c r="AC473" s="646"/>
    </row>
    <row r="474" spans="1:68" ht="27.75" hidden="1" customHeight="1" x14ac:dyDescent="0.2">
      <c r="A474" s="647" t="s">
        <v>755</v>
      </c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8"/>
      <c r="P474" s="648"/>
      <c r="Q474" s="648"/>
      <c r="R474" s="648"/>
      <c r="S474" s="648"/>
      <c r="T474" s="648"/>
      <c r="U474" s="648"/>
      <c r="V474" s="648"/>
      <c r="W474" s="648"/>
      <c r="X474" s="648"/>
      <c r="Y474" s="648"/>
      <c r="Z474" s="648"/>
      <c r="AA474" s="48"/>
      <c r="AB474" s="48"/>
      <c r="AC474" s="48"/>
    </row>
    <row r="475" spans="1:68" ht="16.5" hidden="1" customHeight="1" x14ac:dyDescent="0.25">
      <c r="A475" s="668" t="s">
        <v>756</v>
      </c>
      <c r="B475" s="655"/>
      <c r="C475" s="655"/>
      <c r="D475" s="655"/>
      <c r="E475" s="655"/>
      <c r="F475" s="655"/>
      <c r="G475" s="655"/>
      <c r="H475" s="655"/>
      <c r="I475" s="655"/>
      <c r="J475" s="655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38"/>
      <c r="AB475" s="638"/>
      <c r="AC475" s="638"/>
    </row>
    <row r="476" spans="1:68" ht="14.25" hidden="1" customHeight="1" x14ac:dyDescent="0.25">
      <c r="A476" s="654" t="s">
        <v>62</v>
      </c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2">
        <v>4680115886100</v>
      </c>
      <c r="E477" s="653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9"/>
      <c r="R477" s="659"/>
      <c r="S477" s="659"/>
      <c r="T477" s="660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2">
        <v>4680115886124</v>
      </c>
      <c r="E478" s="653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9"/>
      <c r="R478" s="659"/>
      <c r="S478" s="659"/>
      <c r="T478" s="660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2">
        <v>4607091384338</v>
      </c>
      <c r="E479" s="653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9"/>
      <c r="R479" s="659"/>
      <c r="S479" s="659"/>
      <c r="T479" s="660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2">
        <v>4680115883161</v>
      </c>
      <c r="E480" s="653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9"/>
      <c r="R480" s="659"/>
      <c r="S480" s="659"/>
      <c r="T480" s="660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2">
        <v>4607091389531</v>
      </c>
      <c r="E481" s="653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9"/>
      <c r="R481" s="659"/>
      <c r="S481" s="659"/>
      <c r="T481" s="660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2">
        <v>4607091384345</v>
      </c>
      <c r="E482" s="653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9"/>
      <c r="R482" s="659"/>
      <c r="S482" s="659"/>
      <c r="T482" s="660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65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66"/>
      <c r="P483" s="649" t="s">
        <v>72</v>
      </c>
      <c r="Q483" s="650"/>
      <c r="R483" s="650"/>
      <c r="S483" s="650"/>
      <c r="T483" s="650"/>
      <c r="U483" s="650"/>
      <c r="V483" s="651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66"/>
      <c r="P484" s="649" t="s">
        <v>72</v>
      </c>
      <c r="Q484" s="650"/>
      <c r="R484" s="650"/>
      <c r="S484" s="650"/>
      <c r="T484" s="650"/>
      <c r="U484" s="650"/>
      <c r="V484" s="651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4" t="s">
        <v>74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2">
        <v>4607091384352</v>
      </c>
      <c r="E486" s="653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9"/>
      <c r="R486" s="659"/>
      <c r="S486" s="659"/>
      <c r="T486" s="660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2">
        <v>4607091389654</v>
      </c>
      <c r="E487" s="653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9"/>
      <c r="R487" s="659"/>
      <c r="S487" s="659"/>
      <c r="T487" s="660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66"/>
      <c r="P488" s="649" t="s">
        <v>72</v>
      </c>
      <c r="Q488" s="650"/>
      <c r="R488" s="650"/>
      <c r="S488" s="650"/>
      <c r="T488" s="650"/>
      <c r="U488" s="650"/>
      <c r="V488" s="651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66"/>
      <c r="P489" s="649" t="s">
        <v>72</v>
      </c>
      <c r="Q489" s="650"/>
      <c r="R489" s="650"/>
      <c r="S489" s="650"/>
      <c r="T489" s="650"/>
      <c r="U489" s="650"/>
      <c r="V489" s="651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8" t="s">
        <v>779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38"/>
      <c r="AB490" s="638"/>
      <c r="AC490" s="638"/>
    </row>
    <row r="491" spans="1:68" ht="14.25" hidden="1" customHeight="1" x14ac:dyDescent="0.25">
      <c r="A491" s="654" t="s">
        <v>148</v>
      </c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2">
        <v>4680115885240</v>
      </c>
      <c r="E492" s="653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9"/>
      <c r="R492" s="659"/>
      <c r="S492" s="659"/>
      <c r="T492" s="660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65"/>
      <c r="B493" s="655"/>
      <c r="C493" s="655"/>
      <c r="D493" s="655"/>
      <c r="E493" s="655"/>
      <c r="F493" s="655"/>
      <c r="G493" s="655"/>
      <c r="H493" s="655"/>
      <c r="I493" s="655"/>
      <c r="J493" s="655"/>
      <c r="K493" s="655"/>
      <c r="L493" s="655"/>
      <c r="M493" s="655"/>
      <c r="N493" s="655"/>
      <c r="O493" s="666"/>
      <c r="P493" s="649" t="s">
        <v>72</v>
      </c>
      <c r="Q493" s="650"/>
      <c r="R493" s="650"/>
      <c r="S493" s="650"/>
      <c r="T493" s="650"/>
      <c r="U493" s="650"/>
      <c r="V493" s="651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5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66"/>
      <c r="P494" s="649" t="s">
        <v>72</v>
      </c>
      <c r="Q494" s="650"/>
      <c r="R494" s="650"/>
      <c r="S494" s="650"/>
      <c r="T494" s="650"/>
      <c r="U494" s="650"/>
      <c r="V494" s="651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4" t="s">
        <v>62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2">
        <v>4680115886094</v>
      </c>
      <c r="E496" s="653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9"/>
      <c r="R496" s="659"/>
      <c r="S496" s="659"/>
      <c r="T496" s="660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2">
        <v>4680115880771</v>
      </c>
      <c r="E497" s="653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9"/>
      <c r="R497" s="659"/>
      <c r="S497" s="659"/>
      <c r="T497" s="660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2">
        <v>4607091389500</v>
      </c>
      <c r="E498" s="653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9"/>
      <c r="R498" s="659"/>
      <c r="S498" s="659"/>
      <c r="T498" s="660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65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66"/>
      <c r="P499" s="649" t="s">
        <v>72</v>
      </c>
      <c r="Q499" s="650"/>
      <c r="R499" s="650"/>
      <c r="S499" s="650"/>
      <c r="T499" s="650"/>
      <c r="U499" s="650"/>
      <c r="V499" s="651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66"/>
      <c r="P500" s="649" t="s">
        <v>72</v>
      </c>
      <c r="Q500" s="650"/>
      <c r="R500" s="650"/>
      <c r="S500" s="650"/>
      <c r="T500" s="650"/>
      <c r="U500" s="650"/>
      <c r="V500" s="651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47" t="s">
        <v>791</v>
      </c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8"/>
      <c r="P501" s="648"/>
      <c r="Q501" s="648"/>
      <c r="R501" s="648"/>
      <c r="S501" s="648"/>
      <c r="T501" s="648"/>
      <c r="U501" s="648"/>
      <c r="V501" s="648"/>
      <c r="W501" s="648"/>
      <c r="X501" s="648"/>
      <c r="Y501" s="648"/>
      <c r="Z501" s="648"/>
      <c r="AA501" s="48"/>
      <c r="AB501" s="48"/>
      <c r="AC501" s="48"/>
    </row>
    <row r="502" spans="1:68" ht="16.5" hidden="1" customHeight="1" x14ac:dyDescent="0.25">
      <c r="A502" s="668" t="s">
        <v>791</v>
      </c>
      <c r="B502" s="655"/>
      <c r="C502" s="655"/>
      <c r="D502" s="655"/>
      <c r="E502" s="655"/>
      <c r="F502" s="655"/>
      <c r="G502" s="655"/>
      <c r="H502" s="655"/>
      <c r="I502" s="655"/>
      <c r="J502" s="655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38"/>
      <c r="AB502" s="638"/>
      <c r="AC502" s="638"/>
    </row>
    <row r="503" spans="1:68" ht="14.25" hidden="1" customHeight="1" x14ac:dyDescent="0.25">
      <c r="A503" s="654" t="s">
        <v>111</v>
      </c>
      <c r="B503" s="655"/>
      <c r="C503" s="655"/>
      <c r="D503" s="655"/>
      <c r="E503" s="655"/>
      <c r="F503" s="655"/>
      <c r="G503" s="655"/>
      <c r="H503" s="655"/>
      <c r="I503" s="655"/>
      <c r="J503" s="655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39"/>
      <c r="AB503" s="639"/>
      <c r="AC503" s="639"/>
    </row>
    <row r="504" spans="1:68" ht="27" customHeight="1" x14ac:dyDescent="0.25">
      <c r="A504" s="54" t="s">
        <v>792</v>
      </c>
      <c r="B504" s="54" t="s">
        <v>793</v>
      </c>
      <c r="C504" s="31">
        <v>4301011769</v>
      </c>
      <c r="D504" s="652">
        <v>4607091389067</v>
      </c>
      <c r="E504" s="653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9"/>
      <c r="R504" s="659"/>
      <c r="S504" s="659"/>
      <c r="T504" s="660"/>
      <c r="U504" s="34"/>
      <c r="V504" s="34"/>
      <c r="W504" s="35" t="s">
        <v>67</v>
      </c>
      <c r="X504" s="643">
        <v>82</v>
      </c>
      <c r="Y504" s="644">
        <f t="shared" ref="Y504:Y512" si="78">IFERROR(IF(X504="",0,CEILING((X504/$H504),1)*$H504),"")</f>
        <v>84.48</v>
      </c>
      <c r="Z504" s="36">
        <f t="shared" ref="Z504:Z509" si="79">IFERROR(IF(Y504=0,"",ROUNDUP(Y504/H504,0)*0.01196),"")</f>
        <v>0.19136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87.435606060606048</v>
      </c>
      <c r="BN504" s="64">
        <f t="shared" ref="BN504:BN512" si="81">IFERROR(Y504*I504/H504,"0")</f>
        <v>90.08</v>
      </c>
      <c r="BO504" s="64">
        <f t="shared" ref="BO504:BO512" si="82">IFERROR(1/J504*(X504/H504),"0")</f>
        <v>0.14932983682983683</v>
      </c>
      <c r="BP504" s="64">
        <f t="shared" ref="BP504:BP512" si="83">IFERROR(1/J504*(Y504/H504),"0")</f>
        <v>0.15384615384615385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2">
        <v>4680115889576</v>
      </c>
      <c r="E505" s="653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9"/>
      <c r="R505" s="659"/>
      <c r="S505" s="659"/>
      <c r="T505" s="660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797</v>
      </c>
      <c r="B506" s="54" t="s">
        <v>798</v>
      </c>
      <c r="C506" s="31">
        <v>4301011961</v>
      </c>
      <c r="D506" s="652">
        <v>4680115885271</v>
      </c>
      <c r="E506" s="653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9"/>
      <c r="R506" s="659"/>
      <c r="S506" s="659"/>
      <c r="T506" s="660"/>
      <c r="U506" s="34"/>
      <c r="V506" s="34"/>
      <c r="W506" s="35" t="s">
        <v>67</v>
      </c>
      <c r="X506" s="643">
        <v>53</v>
      </c>
      <c r="Y506" s="644">
        <f t="shared" si="78"/>
        <v>58.080000000000005</v>
      </c>
      <c r="Z506" s="36">
        <f t="shared" si="79"/>
        <v>0.13156000000000001</v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56.513257575757571</v>
      </c>
      <c r="BN506" s="64">
        <f t="shared" si="81"/>
        <v>61.93</v>
      </c>
      <c r="BO506" s="64">
        <f t="shared" si="82"/>
        <v>9.6518065268065265E-2</v>
      </c>
      <c r="BP506" s="64">
        <f t="shared" si="83"/>
        <v>0.10576923076923078</v>
      </c>
    </row>
    <row r="507" spans="1:68" ht="27" customHeight="1" x14ac:dyDescent="0.25">
      <c r="A507" s="54" t="s">
        <v>800</v>
      </c>
      <c r="B507" s="54" t="s">
        <v>801</v>
      </c>
      <c r="C507" s="31">
        <v>4301011369</v>
      </c>
      <c r="D507" s="652">
        <v>4680115885226</v>
      </c>
      <c r="E507" s="653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9"/>
      <c r="R507" s="659"/>
      <c r="S507" s="659"/>
      <c r="T507" s="660"/>
      <c r="U507" s="34"/>
      <c r="V507" s="34"/>
      <c r="W507" s="35" t="s">
        <v>67</v>
      </c>
      <c r="X507" s="643">
        <v>470</v>
      </c>
      <c r="Y507" s="644">
        <f t="shared" si="78"/>
        <v>475.20000000000005</v>
      </c>
      <c r="Z507" s="36">
        <f t="shared" si="79"/>
        <v>1.0764</v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501.155303030303</v>
      </c>
      <c r="BN507" s="64">
        <f t="shared" si="81"/>
        <v>506.7</v>
      </c>
      <c r="BO507" s="64">
        <f t="shared" si="82"/>
        <v>0.85591491841491851</v>
      </c>
      <c r="BP507" s="64">
        <f t="shared" si="83"/>
        <v>0.86538461538461542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2">
        <v>4680115884502</v>
      </c>
      <c r="E508" s="653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9"/>
      <c r="R508" s="659"/>
      <c r="S508" s="659"/>
      <c r="T508" s="660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4301011771</v>
      </c>
      <c r="D509" s="652">
        <v>4607091389104</v>
      </c>
      <c r="E509" s="653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9"/>
      <c r="R509" s="659"/>
      <c r="S509" s="659"/>
      <c r="T509" s="660"/>
      <c r="U509" s="34"/>
      <c r="V509" s="34"/>
      <c r="W509" s="35" t="s">
        <v>67</v>
      </c>
      <c r="X509" s="643">
        <v>588</v>
      </c>
      <c r="Y509" s="644">
        <f t="shared" si="78"/>
        <v>591.36</v>
      </c>
      <c r="Z509" s="36">
        <f t="shared" si="79"/>
        <v>1.33952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626.97727272727275</v>
      </c>
      <c r="BN509" s="64">
        <f t="shared" si="81"/>
        <v>630.55999999999995</v>
      </c>
      <c r="BO509" s="64">
        <f t="shared" si="82"/>
        <v>1.0708041958041958</v>
      </c>
      <c r="BP509" s="64">
        <f t="shared" si="83"/>
        <v>1.0769230769230771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2">
        <v>4680115886391</v>
      </c>
      <c r="E510" s="653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9"/>
      <c r="R510" s="659"/>
      <c r="S510" s="659"/>
      <c r="T510" s="660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811</v>
      </c>
      <c r="B511" s="54" t="s">
        <v>812</v>
      </c>
      <c r="C511" s="31">
        <v>4301012048</v>
      </c>
      <c r="D511" s="652">
        <v>4680115880603</v>
      </c>
      <c r="E511" s="653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9"/>
      <c r="R511" s="659"/>
      <c r="S511" s="659"/>
      <c r="T511" s="660"/>
      <c r="U511" s="34"/>
      <c r="V511" s="34"/>
      <c r="W511" s="35" t="s">
        <v>67</v>
      </c>
      <c r="X511" s="643">
        <v>13</v>
      </c>
      <c r="Y511" s="644">
        <f t="shared" si="78"/>
        <v>14.399999999999999</v>
      </c>
      <c r="Z511" s="36">
        <f>IFERROR(IF(Y511=0,"",ROUNDUP(Y511/H511,0)*0.00902),"")</f>
        <v>2.7060000000000001E-2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18.714583333333334</v>
      </c>
      <c r="BN511" s="64">
        <f t="shared" si="81"/>
        <v>20.73</v>
      </c>
      <c r="BO511" s="64">
        <f t="shared" si="82"/>
        <v>2.0517676767676768E-2</v>
      </c>
      <c r="BP511" s="64">
        <f t="shared" si="83"/>
        <v>2.2727272727272728E-2</v>
      </c>
    </row>
    <row r="512" spans="1:68" ht="27" customHeight="1" x14ac:dyDescent="0.25">
      <c r="A512" s="54" t="s">
        <v>813</v>
      </c>
      <c r="B512" s="54" t="s">
        <v>814</v>
      </c>
      <c r="C512" s="31">
        <v>4301012034</v>
      </c>
      <c r="D512" s="652">
        <v>4607091389982</v>
      </c>
      <c r="E512" s="653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9"/>
      <c r="R512" s="659"/>
      <c r="S512" s="659"/>
      <c r="T512" s="660"/>
      <c r="U512" s="34"/>
      <c r="V512" s="34"/>
      <c r="W512" s="35" t="s">
        <v>67</v>
      </c>
      <c r="X512" s="643">
        <v>12</v>
      </c>
      <c r="Y512" s="644">
        <f t="shared" si="78"/>
        <v>14.399999999999999</v>
      </c>
      <c r="Z512" s="36">
        <f>IFERROR(IF(Y512=0,"",ROUNDUP(Y512/H512,0)*0.00902),"")</f>
        <v>2.7060000000000001E-2</v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17.275000000000002</v>
      </c>
      <c r="BN512" s="64">
        <f t="shared" si="81"/>
        <v>20.73</v>
      </c>
      <c r="BO512" s="64">
        <f t="shared" si="82"/>
        <v>1.893939393939394E-2</v>
      </c>
      <c r="BP512" s="64">
        <f t="shared" si="83"/>
        <v>2.2727272727272728E-2</v>
      </c>
    </row>
    <row r="513" spans="1:68" x14ac:dyDescent="0.2">
      <c r="A513" s="665"/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66"/>
      <c r="P513" s="649" t="s">
        <v>72</v>
      </c>
      <c r="Q513" s="650"/>
      <c r="R513" s="650"/>
      <c r="S513" s="650"/>
      <c r="T513" s="650"/>
      <c r="U513" s="650"/>
      <c r="V513" s="651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231.15530303030303</v>
      </c>
      <c r="Y513" s="645">
        <f>IFERROR(Y504/H504,"0")+IFERROR(Y505/H505,"0")+IFERROR(Y506/H506,"0")+IFERROR(Y507/H507,"0")+IFERROR(Y508/H508,"0")+IFERROR(Y509/H509,"0")+IFERROR(Y510/H510,"0")+IFERROR(Y511/H511,"0")+IFERROR(Y512/H512,"0")</f>
        <v>235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2.7929599999999999</v>
      </c>
      <c r="AA513" s="646"/>
      <c r="AB513" s="646"/>
      <c r="AC513" s="646"/>
    </row>
    <row r="514" spans="1:68" x14ac:dyDescent="0.2">
      <c r="A514" s="655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66"/>
      <c r="P514" s="649" t="s">
        <v>72</v>
      </c>
      <c r="Q514" s="650"/>
      <c r="R514" s="650"/>
      <c r="S514" s="650"/>
      <c r="T514" s="650"/>
      <c r="U514" s="650"/>
      <c r="V514" s="651"/>
      <c r="W514" s="37" t="s">
        <v>67</v>
      </c>
      <c r="X514" s="645">
        <f>IFERROR(SUM(X504:X512),"0")</f>
        <v>1218</v>
      </c>
      <c r="Y514" s="645">
        <f>IFERROR(SUM(Y504:Y512),"0")</f>
        <v>1237.92</v>
      </c>
      <c r="Z514" s="37"/>
      <c r="AA514" s="646"/>
      <c r="AB514" s="646"/>
      <c r="AC514" s="646"/>
    </row>
    <row r="515" spans="1:68" ht="14.25" hidden="1" customHeight="1" x14ac:dyDescent="0.25">
      <c r="A515" s="654" t="s">
        <v>148</v>
      </c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39"/>
      <c r="AB515" s="639"/>
      <c r="AC515" s="639"/>
    </row>
    <row r="516" spans="1:68" ht="16.5" customHeight="1" x14ac:dyDescent="0.25">
      <c r="A516" s="54" t="s">
        <v>815</v>
      </c>
      <c r="B516" s="54" t="s">
        <v>816</v>
      </c>
      <c r="C516" s="31">
        <v>4301020334</v>
      </c>
      <c r="D516" s="652">
        <v>4607091388930</v>
      </c>
      <c r="E516" s="653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9"/>
      <c r="R516" s="659"/>
      <c r="S516" s="659"/>
      <c r="T516" s="660"/>
      <c r="U516" s="34"/>
      <c r="V516" s="34"/>
      <c r="W516" s="35" t="s">
        <v>67</v>
      </c>
      <c r="X516" s="643">
        <v>614</v>
      </c>
      <c r="Y516" s="644">
        <f>IFERROR(IF(X516="",0,CEILING((X516/$H516),1)*$H516),"")</f>
        <v>617.76</v>
      </c>
      <c r="Z516" s="36">
        <f>IFERROR(IF(Y516=0,"",ROUNDUP(Y516/H516,0)*0.01196),"")</f>
        <v>1.3993200000000001</v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654.70075757575751</v>
      </c>
      <c r="BN516" s="64">
        <f>IFERROR(Y516*I516/H516,"0")</f>
        <v>658.71</v>
      </c>
      <c r="BO516" s="64">
        <f>IFERROR(1/J516*(X516/H516),"0")</f>
        <v>1.1181526806526807</v>
      </c>
      <c r="BP516" s="64">
        <f>IFERROR(1/J516*(Y516/H516),"0")</f>
        <v>1.125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2">
        <v>4680115886407</v>
      </c>
      <c r="E517" s="653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9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9"/>
      <c r="R517" s="659"/>
      <c r="S517" s="659"/>
      <c r="T517" s="660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820</v>
      </c>
      <c r="B518" s="54" t="s">
        <v>821</v>
      </c>
      <c r="C518" s="31">
        <v>4301020385</v>
      </c>
      <c r="D518" s="652">
        <v>4680115880054</v>
      </c>
      <c r="E518" s="653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9"/>
      <c r="R518" s="659"/>
      <c r="S518" s="659"/>
      <c r="T518" s="660"/>
      <c r="U518" s="34"/>
      <c r="V518" s="34"/>
      <c r="W518" s="35" t="s">
        <v>67</v>
      </c>
      <c r="X518" s="643">
        <v>25</v>
      </c>
      <c r="Y518" s="644">
        <f>IFERROR(IF(X518="",0,CEILING((X518/$H518),1)*$H518),"")</f>
        <v>28.799999999999997</v>
      </c>
      <c r="Z518" s="36">
        <f>IFERROR(IF(Y518=0,"",ROUNDUP(Y518/H518,0)*0.00902),"")</f>
        <v>5.4120000000000001E-2</v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35.989583333333336</v>
      </c>
      <c r="BN518" s="64">
        <f>IFERROR(Y518*I518/H518,"0")</f>
        <v>41.46</v>
      </c>
      <c r="BO518" s="64">
        <f>IFERROR(1/J518*(X518/H518),"0")</f>
        <v>3.9457070707070711E-2</v>
      </c>
      <c r="BP518" s="64">
        <f>IFERROR(1/J518*(Y518/H518),"0")</f>
        <v>4.5454545454545456E-2</v>
      </c>
    </row>
    <row r="519" spans="1:68" x14ac:dyDescent="0.2">
      <c r="A519" s="665"/>
      <c r="B519" s="655"/>
      <c r="C519" s="655"/>
      <c r="D519" s="655"/>
      <c r="E519" s="655"/>
      <c r="F519" s="655"/>
      <c r="G519" s="655"/>
      <c r="H519" s="655"/>
      <c r="I519" s="655"/>
      <c r="J519" s="655"/>
      <c r="K519" s="655"/>
      <c r="L519" s="655"/>
      <c r="M519" s="655"/>
      <c r="N519" s="655"/>
      <c r="O519" s="666"/>
      <c r="P519" s="649" t="s">
        <v>72</v>
      </c>
      <c r="Q519" s="650"/>
      <c r="R519" s="650"/>
      <c r="S519" s="650"/>
      <c r="T519" s="650"/>
      <c r="U519" s="650"/>
      <c r="V519" s="651"/>
      <c r="W519" s="37" t="s">
        <v>73</v>
      </c>
      <c r="X519" s="645">
        <f>IFERROR(X516/H516,"0")+IFERROR(X517/H517,"0")+IFERROR(X518/H518,"0")</f>
        <v>121.49621212121211</v>
      </c>
      <c r="Y519" s="645">
        <f>IFERROR(Y516/H516,"0")+IFERROR(Y517/H517,"0")+IFERROR(Y518/H518,"0")</f>
        <v>122.99999999999999</v>
      </c>
      <c r="Z519" s="645">
        <f>IFERROR(IF(Z516="",0,Z516),"0")+IFERROR(IF(Z517="",0,Z517),"0")+IFERROR(IF(Z518="",0,Z518),"0")</f>
        <v>1.4534400000000001</v>
      </c>
      <c r="AA519" s="646"/>
      <c r="AB519" s="646"/>
      <c r="AC519" s="646"/>
    </row>
    <row r="520" spans="1:68" x14ac:dyDescent="0.2">
      <c r="A520" s="655"/>
      <c r="B520" s="655"/>
      <c r="C520" s="655"/>
      <c r="D520" s="655"/>
      <c r="E520" s="655"/>
      <c r="F520" s="655"/>
      <c r="G520" s="655"/>
      <c r="H520" s="655"/>
      <c r="I520" s="655"/>
      <c r="J520" s="655"/>
      <c r="K520" s="655"/>
      <c r="L520" s="655"/>
      <c r="M520" s="655"/>
      <c r="N520" s="655"/>
      <c r="O520" s="666"/>
      <c r="P520" s="649" t="s">
        <v>72</v>
      </c>
      <c r="Q520" s="650"/>
      <c r="R520" s="650"/>
      <c r="S520" s="650"/>
      <c r="T520" s="650"/>
      <c r="U520" s="650"/>
      <c r="V520" s="651"/>
      <c r="W520" s="37" t="s">
        <v>67</v>
      </c>
      <c r="X520" s="645">
        <f>IFERROR(SUM(X516:X518),"0")</f>
        <v>639</v>
      </c>
      <c r="Y520" s="645">
        <f>IFERROR(SUM(Y516:Y518),"0")</f>
        <v>646.55999999999995</v>
      </c>
      <c r="Z520" s="37"/>
      <c r="AA520" s="646"/>
      <c r="AB520" s="646"/>
      <c r="AC520" s="646"/>
    </row>
    <row r="521" spans="1:68" ht="14.25" hidden="1" customHeight="1" x14ac:dyDescent="0.25">
      <c r="A521" s="654" t="s">
        <v>62</v>
      </c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39"/>
      <c r="AB521" s="639"/>
      <c r="AC521" s="639"/>
    </row>
    <row r="522" spans="1:68" ht="27" customHeight="1" x14ac:dyDescent="0.25">
      <c r="A522" s="54" t="s">
        <v>822</v>
      </c>
      <c r="B522" s="54" t="s">
        <v>823</v>
      </c>
      <c r="C522" s="31">
        <v>4301031349</v>
      </c>
      <c r="D522" s="652">
        <v>4680115883116</v>
      </c>
      <c r="E522" s="653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9"/>
      <c r="R522" s="659"/>
      <c r="S522" s="659"/>
      <c r="T522" s="660"/>
      <c r="U522" s="34"/>
      <c r="V522" s="34"/>
      <c r="W522" s="35" t="s">
        <v>67</v>
      </c>
      <c r="X522" s="643">
        <v>136</v>
      </c>
      <c r="Y522" s="644">
        <f t="shared" ref="Y522:Y528" si="84">IFERROR(IF(X522="",0,CEILING((X522/$H522),1)*$H522),"")</f>
        <v>137.28</v>
      </c>
      <c r="Z522" s="36">
        <f>IFERROR(IF(Y522=0,"",ROUNDUP(Y522/H522,0)*0.01196),"")</f>
        <v>0.31096000000000001</v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145.0151515151515</v>
      </c>
      <c r="BN522" s="64">
        <f t="shared" ref="BN522:BN528" si="86">IFERROR(Y522*I522/H522,"0")</f>
        <v>146.38</v>
      </c>
      <c r="BO522" s="64">
        <f t="shared" ref="BO522:BO528" si="87">IFERROR(1/J522*(X522/H522),"0")</f>
        <v>0.24766899766899769</v>
      </c>
      <c r="BP522" s="64">
        <f t="shared" ref="BP522:BP528" si="88">IFERROR(1/J522*(Y522/H522),"0")</f>
        <v>0.25</v>
      </c>
    </row>
    <row r="523" spans="1:68" ht="27" customHeight="1" x14ac:dyDescent="0.25">
      <c r="A523" s="54" t="s">
        <v>825</v>
      </c>
      <c r="B523" s="54" t="s">
        <v>826</v>
      </c>
      <c r="C523" s="31">
        <v>4301031350</v>
      </c>
      <c r="D523" s="652">
        <v>4680115883093</v>
      </c>
      <c r="E523" s="653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9"/>
      <c r="R523" s="659"/>
      <c r="S523" s="659"/>
      <c r="T523" s="660"/>
      <c r="U523" s="34"/>
      <c r="V523" s="34"/>
      <c r="W523" s="35" t="s">
        <v>67</v>
      </c>
      <c r="X523" s="643">
        <v>283</v>
      </c>
      <c r="Y523" s="644">
        <f t="shared" si="84"/>
        <v>285.12</v>
      </c>
      <c r="Z523" s="36">
        <f>IFERROR(IF(Y523=0,"",ROUNDUP(Y523/H523,0)*0.01196),"")</f>
        <v>0.64583999999999997</v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301.75946969696969</v>
      </c>
      <c r="BN523" s="64">
        <f t="shared" si="86"/>
        <v>304.02</v>
      </c>
      <c r="BO523" s="64">
        <f t="shared" si="87"/>
        <v>0.5153700466200466</v>
      </c>
      <c r="BP523" s="64">
        <f t="shared" si="88"/>
        <v>0.51923076923076927</v>
      </c>
    </row>
    <row r="524" spans="1:68" ht="27" customHeight="1" x14ac:dyDescent="0.25">
      <c r="A524" s="54" t="s">
        <v>828</v>
      </c>
      <c r="B524" s="54" t="s">
        <v>829</v>
      </c>
      <c r="C524" s="31">
        <v>4301031353</v>
      </c>
      <c r="D524" s="652">
        <v>4680115883109</v>
      </c>
      <c r="E524" s="653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9"/>
      <c r="R524" s="659"/>
      <c r="S524" s="659"/>
      <c r="T524" s="660"/>
      <c r="U524" s="34"/>
      <c r="V524" s="34"/>
      <c r="W524" s="35" t="s">
        <v>67</v>
      </c>
      <c r="X524" s="643">
        <v>491</v>
      </c>
      <c r="Y524" s="644">
        <f t="shared" si="84"/>
        <v>491.04</v>
      </c>
      <c r="Z524" s="36">
        <f>IFERROR(IF(Y524=0,"",ROUNDUP(Y524/H524,0)*0.01196),"")</f>
        <v>1.1122799999999999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523.5473484848485</v>
      </c>
      <c r="BN524" s="64">
        <f t="shared" si="86"/>
        <v>523.59</v>
      </c>
      <c r="BO524" s="64">
        <f t="shared" si="87"/>
        <v>0.89415792540792538</v>
      </c>
      <c r="BP524" s="64">
        <f t="shared" si="88"/>
        <v>0.89423076923076927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2">
        <v>4680115882072</v>
      </c>
      <c r="E525" s="653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9"/>
      <c r="R525" s="659"/>
      <c r="S525" s="659"/>
      <c r="T525" s="660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2">
        <v>4680115882102</v>
      </c>
      <c r="E526" s="653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9"/>
      <c r="R526" s="659"/>
      <c r="S526" s="659"/>
      <c r="T526" s="660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2">
        <v>4680115882102</v>
      </c>
      <c r="E527" s="653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9"/>
      <c r="R527" s="659"/>
      <c r="S527" s="659"/>
      <c r="T527" s="660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customHeight="1" x14ac:dyDescent="0.25">
      <c r="A528" s="54" t="s">
        <v>836</v>
      </c>
      <c r="B528" s="54" t="s">
        <v>837</v>
      </c>
      <c r="C528" s="31">
        <v>4301031417</v>
      </c>
      <c r="D528" s="652">
        <v>4680115882096</v>
      </c>
      <c r="E528" s="653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9"/>
      <c r="R528" s="659"/>
      <c r="S528" s="659"/>
      <c r="T528" s="660"/>
      <c r="U528" s="34"/>
      <c r="V528" s="34"/>
      <c r="W528" s="35" t="s">
        <v>67</v>
      </c>
      <c r="X528" s="643">
        <v>5</v>
      </c>
      <c r="Y528" s="644">
        <f t="shared" si="84"/>
        <v>9.6</v>
      </c>
      <c r="Z528" s="36">
        <f>IFERROR(IF(Y528=0,"",ROUNDUP(Y528/H528,0)*0.00902),"")</f>
        <v>1.804E-2</v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6.947916666666667</v>
      </c>
      <c r="BN528" s="64">
        <f t="shared" si="86"/>
        <v>13.34</v>
      </c>
      <c r="BO528" s="64">
        <f t="shared" si="87"/>
        <v>7.8914141414141419E-3</v>
      </c>
      <c r="BP528" s="64">
        <f t="shared" si="88"/>
        <v>1.5151515151515152E-2</v>
      </c>
    </row>
    <row r="529" spans="1:68" x14ac:dyDescent="0.2">
      <c r="A529" s="665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66"/>
      <c r="P529" s="649" t="s">
        <v>72</v>
      </c>
      <c r="Q529" s="650"/>
      <c r="R529" s="650"/>
      <c r="S529" s="650"/>
      <c r="T529" s="650"/>
      <c r="U529" s="650"/>
      <c r="V529" s="651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173.39015151515147</v>
      </c>
      <c r="Y529" s="645">
        <f>IFERROR(Y522/H522,"0")+IFERROR(Y523/H523,"0")+IFERROR(Y524/H524,"0")+IFERROR(Y525/H525,"0")+IFERROR(Y526/H526,"0")+IFERROR(Y527/H527,"0")+IFERROR(Y528/H528,"0")</f>
        <v>175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2.0871200000000001</v>
      </c>
      <c r="AA529" s="646"/>
      <c r="AB529" s="646"/>
      <c r="AC529" s="646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66"/>
      <c r="P530" s="649" t="s">
        <v>72</v>
      </c>
      <c r="Q530" s="650"/>
      <c r="R530" s="650"/>
      <c r="S530" s="650"/>
      <c r="T530" s="650"/>
      <c r="U530" s="650"/>
      <c r="V530" s="651"/>
      <c r="W530" s="37" t="s">
        <v>67</v>
      </c>
      <c r="X530" s="645">
        <f>IFERROR(SUM(X522:X528),"0")</f>
        <v>915</v>
      </c>
      <c r="Y530" s="645">
        <f>IFERROR(SUM(Y522:Y528),"0")</f>
        <v>923.04000000000008</v>
      </c>
      <c r="Z530" s="37"/>
      <c r="AA530" s="646"/>
      <c r="AB530" s="646"/>
      <c r="AC530" s="646"/>
    </row>
    <row r="531" spans="1:68" ht="27.75" hidden="1" customHeight="1" x14ac:dyDescent="0.2">
      <c r="A531" s="647" t="s">
        <v>838</v>
      </c>
      <c r="B531" s="648"/>
      <c r="C531" s="648"/>
      <c r="D531" s="648"/>
      <c r="E531" s="648"/>
      <c r="F531" s="648"/>
      <c r="G531" s="648"/>
      <c r="H531" s="648"/>
      <c r="I531" s="648"/>
      <c r="J531" s="648"/>
      <c r="K531" s="648"/>
      <c r="L531" s="648"/>
      <c r="M531" s="648"/>
      <c r="N531" s="648"/>
      <c r="O531" s="648"/>
      <c r="P531" s="648"/>
      <c r="Q531" s="648"/>
      <c r="R531" s="648"/>
      <c r="S531" s="648"/>
      <c r="T531" s="648"/>
      <c r="U531" s="648"/>
      <c r="V531" s="648"/>
      <c r="W531" s="648"/>
      <c r="X531" s="648"/>
      <c r="Y531" s="648"/>
      <c r="Z531" s="648"/>
      <c r="AA531" s="48"/>
      <c r="AB531" s="48"/>
      <c r="AC531" s="48"/>
    </row>
    <row r="532" spans="1:68" ht="16.5" hidden="1" customHeight="1" x14ac:dyDescent="0.25">
      <c r="A532" s="668" t="s">
        <v>838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38"/>
      <c r="AB532" s="638"/>
      <c r="AC532" s="638"/>
    </row>
    <row r="533" spans="1:68" ht="14.25" hidden="1" customHeight="1" x14ac:dyDescent="0.25">
      <c r="A533" s="654" t="s">
        <v>111</v>
      </c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2">
        <v>4640242180564</v>
      </c>
      <c r="E534" s="653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9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9"/>
      <c r="R534" s="659"/>
      <c r="S534" s="659"/>
      <c r="T534" s="660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6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66"/>
      <c r="P535" s="649" t="s">
        <v>72</v>
      </c>
      <c r="Q535" s="650"/>
      <c r="R535" s="650"/>
      <c r="S535" s="650"/>
      <c r="T535" s="650"/>
      <c r="U535" s="650"/>
      <c r="V535" s="651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5"/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66"/>
      <c r="P536" s="649" t="s">
        <v>72</v>
      </c>
      <c r="Q536" s="650"/>
      <c r="R536" s="650"/>
      <c r="S536" s="650"/>
      <c r="T536" s="650"/>
      <c r="U536" s="650"/>
      <c r="V536" s="651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4" t="s">
        <v>148</v>
      </c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2">
        <v>4680115889781</v>
      </c>
      <c r="E538" s="653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4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9"/>
      <c r="R538" s="659"/>
      <c r="S538" s="659"/>
      <c r="T538" s="660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6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66"/>
      <c r="P539" s="649" t="s">
        <v>72</v>
      </c>
      <c r="Q539" s="650"/>
      <c r="R539" s="650"/>
      <c r="S539" s="650"/>
      <c r="T539" s="650"/>
      <c r="U539" s="650"/>
      <c r="V539" s="651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66"/>
      <c r="P540" s="649" t="s">
        <v>72</v>
      </c>
      <c r="Q540" s="650"/>
      <c r="R540" s="650"/>
      <c r="S540" s="650"/>
      <c r="T540" s="650"/>
      <c r="U540" s="650"/>
      <c r="V540" s="651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4" t="s">
        <v>62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2">
        <v>4640242180595</v>
      </c>
      <c r="E542" s="653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9"/>
      <c r="R542" s="659"/>
      <c r="S542" s="659"/>
      <c r="T542" s="660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6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66"/>
      <c r="P543" s="649" t="s">
        <v>72</v>
      </c>
      <c r="Q543" s="650"/>
      <c r="R543" s="650"/>
      <c r="S543" s="650"/>
      <c r="T543" s="650"/>
      <c r="U543" s="650"/>
      <c r="V543" s="651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5"/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66"/>
      <c r="P544" s="649" t="s">
        <v>72</v>
      </c>
      <c r="Q544" s="650"/>
      <c r="R544" s="650"/>
      <c r="S544" s="650"/>
      <c r="T544" s="650"/>
      <c r="U544" s="650"/>
      <c r="V544" s="651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4" t="s">
        <v>74</v>
      </c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2">
        <v>4640242180533</v>
      </c>
      <c r="E546" s="653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9"/>
      <c r="R546" s="659"/>
      <c r="S546" s="659"/>
      <c r="T546" s="660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5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66"/>
      <c r="P547" s="649" t="s">
        <v>72</v>
      </c>
      <c r="Q547" s="650"/>
      <c r="R547" s="650"/>
      <c r="S547" s="650"/>
      <c r="T547" s="650"/>
      <c r="U547" s="650"/>
      <c r="V547" s="651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66"/>
      <c r="P548" s="649" t="s">
        <v>72</v>
      </c>
      <c r="Q548" s="650"/>
      <c r="R548" s="650"/>
      <c r="S548" s="650"/>
      <c r="T548" s="650"/>
      <c r="U548" s="650"/>
      <c r="V548" s="651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4" t="s">
        <v>167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2">
        <v>4640242180120</v>
      </c>
      <c r="E550" s="653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9"/>
      <c r="R550" s="659"/>
      <c r="S550" s="659"/>
      <c r="T550" s="660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2">
        <v>4640242180137</v>
      </c>
      <c r="E551" s="653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0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9"/>
      <c r="R551" s="659"/>
      <c r="S551" s="659"/>
      <c r="T551" s="660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5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66"/>
      <c r="P552" s="649" t="s">
        <v>72</v>
      </c>
      <c r="Q552" s="650"/>
      <c r="R552" s="650"/>
      <c r="S552" s="650"/>
      <c r="T552" s="650"/>
      <c r="U552" s="650"/>
      <c r="V552" s="651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66"/>
      <c r="P553" s="649" t="s">
        <v>72</v>
      </c>
      <c r="Q553" s="650"/>
      <c r="R553" s="650"/>
      <c r="S553" s="650"/>
      <c r="T553" s="650"/>
      <c r="U553" s="650"/>
      <c r="V553" s="651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8" t="s">
        <v>856</v>
      </c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38"/>
      <c r="AB554" s="638"/>
      <c r="AC554" s="638"/>
    </row>
    <row r="555" spans="1:68" ht="14.25" hidden="1" customHeight="1" x14ac:dyDescent="0.25">
      <c r="A555" s="654" t="s">
        <v>148</v>
      </c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2">
        <v>4680115889798</v>
      </c>
      <c r="E556" s="653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9"/>
      <c r="R556" s="659"/>
      <c r="S556" s="659"/>
      <c r="T556" s="660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6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66"/>
      <c r="P557" s="649" t="s">
        <v>72</v>
      </c>
      <c r="Q557" s="650"/>
      <c r="R557" s="650"/>
      <c r="S557" s="650"/>
      <c r="T557" s="650"/>
      <c r="U557" s="650"/>
      <c r="V557" s="651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6"/>
      <c r="P558" s="649" t="s">
        <v>72</v>
      </c>
      <c r="Q558" s="650"/>
      <c r="R558" s="650"/>
      <c r="S558" s="650"/>
      <c r="T558" s="650"/>
      <c r="U558" s="650"/>
      <c r="V558" s="651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13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29"/>
      <c r="P559" s="696" t="s">
        <v>860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17055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17258.82</v>
      </c>
      <c r="Z559" s="37"/>
      <c r="AA559" s="646"/>
      <c r="AB559" s="646"/>
      <c r="AC559" s="646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829"/>
      <c r="P560" s="696" t="s">
        <v>861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18151.376233998722</v>
      </c>
      <c r="Y560" s="645">
        <f>IFERROR(SUM(BN22:BN556),"0")</f>
        <v>18371.608999999997</v>
      </c>
      <c r="Z560" s="37"/>
      <c r="AA560" s="646"/>
      <c r="AB560" s="646"/>
      <c r="AC560" s="646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829"/>
      <c r="P561" s="696" t="s">
        <v>862</v>
      </c>
      <c r="Q561" s="697"/>
      <c r="R561" s="697"/>
      <c r="S561" s="697"/>
      <c r="T561" s="697"/>
      <c r="U561" s="697"/>
      <c r="V561" s="698"/>
      <c r="W561" s="37" t="s">
        <v>863</v>
      </c>
      <c r="X561" s="38">
        <f>ROUNDUP(SUM(BO22:BO556),0)</f>
        <v>31</v>
      </c>
      <c r="Y561" s="38">
        <f>ROUNDUP(SUM(BP22:BP556),0)</f>
        <v>32</v>
      </c>
      <c r="Z561" s="37"/>
      <c r="AA561" s="646"/>
      <c r="AB561" s="646"/>
      <c r="AC561" s="646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829"/>
      <c r="P562" s="696" t="s">
        <v>864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18926.376233998722</v>
      </c>
      <c r="Y562" s="645">
        <f>GrossWeightTotalR+PalletQtyTotalR*25</f>
        <v>19171.608999999997</v>
      </c>
      <c r="Z562" s="37"/>
      <c r="AA562" s="646"/>
      <c r="AB562" s="646"/>
      <c r="AC562" s="646"/>
    </row>
    <row r="563" spans="1:32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829"/>
      <c r="P563" s="696" t="s">
        <v>865</v>
      </c>
      <c r="Q563" s="697"/>
      <c r="R563" s="697"/>
      <c r="S563" s="697"/>
      <c r="T563" s="697"/>
      <c r="U563" s="697"/>
      <c r="V563" s="698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3381.1415577736834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3419</v>
      </c>
      <c r="Z563" s="37"/>
      <c r="AA563" s="646"/>
      <c r="AB563" s="646"/>
      <c r="AC563" s="646"/>
    </row>
    <row r="564" spans="1:32" ht="14.25" hidden="1" customHeight="1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829"/>
      <c r="P564" s="696" t="s">
        <v>866</v>
      </c>
      <c r="Q564" s="697"/>
      <c r="R564" s="697"/>
      <c r="S564" s="697"/>
      <c r="T564" s="697"/>
      <c r="U564" s="697"/>
      <c r="V564" s="698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37.221019999999996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0" t="s">
        <v>109</v>
      </c>
      <c r="E566" s="826"/>
      <c r="F566" s="826"/>
      <c r="G566" s="826"/>
      <c r="H566" s="826"/>
      <c r="I566" s="826"/>
      <c r="J566" s="780"/>
      <c r="K566" s="700" t="s">
        <v>334</v>
      </c>
      <c r="L566" s="826"/>
      <c r="M566" s="826"/>
      <c r="N566" s="826"/>
      <c r="O566" s="826"/>
      <c r="P566" s="826"/>
      <c r="Q566" s="826"/>
      <c r="R566" s="826"/>
      <c r="S566" s="826"/>
      <c r="T566" s="826"/>
      <c r="U566" s="826"/>
      <c r="V566" s="780"/>
      <c r="W566" s="700" t="s">
        <v>689</v>
      </c>
      <c r="X566" s="780"/>
      <c r="Y566" s="700" t="s">
        <v>755</v>
      </c>
      <c r="Z566" s="780"/>
      <c r="AA566" s="640" t="s">
        <v>791</v>
      </c>
      <c r="AB566" s="700" t="s">
        <v>838</v>
      </c>
      <c r="AC566" s="780"/>
      <c r="AF566" s="641"/>
    </row>
    <row r="567" spans="1:32" ht="14.25" customHeight="1" thickTop="1" x14ac:dyDescent="0.2">
      <c r="A567" s="818" t="s">
        <v>869</v>
      </c>
      <c r="B567" s="700" t="s">
        <v>61</v>
      </c>
      <c r="C567" s="700" t="s">
        <v>93</v>
      </c>
      <c r="D567" s="700" t="s">
        <v>110</v>
      </c>
      <c r="E567" s="700" t="s">
        <v>126</v>
      </c>
      <c r="F567" s="700" t="s">
        <v>175</v>
      </c>
      <c r="G567" s="700" t="s">
        <v>198</v>
      </c>
      <c r="H567" s="700" t="s">
        <v>238</v>
      </c>
      <c r="I567" s="700" t="s">
        <v>251</v>
      </c>
      <c r="J567" s="700" t="s">
        <v>109</v>
      </c>
      <c r="K567" s="700" t="s">
        <v>335</v>
      </c>
      <c r="L567" s="700" t="s">
        <v>356</v>
      </c>
      <c r="M567" s="700" t="s">
        <v>430</v>
      </c>
      <c r="N567" s="641"/>
      <c r="O567" s="700" t="s">
        <v>498</v>
      </c>
      <c r="P567" s="700" t="s">
        <v>527</v>
      </c>
      <c r="Q567" s="700" t="s">
        <v>547</v>
      </c>
      <c r="R567" s="700" t="s">
        <v>556</v>
      </c>
      <c r="S567" s="700" t="s">
        <v>577</v>
      </c>
      <c r="T567" s="700" t="s">
        <v>586</v>
      </c>
      <c r="U567" s="700" t="s">
        <v>672</v>
      </c>
      <c r="V567" s="700" t="s">
        <v>679</v>
      </c>
      <c r="W567" s="700" t="s">
        <v>690</v>
      </c>
      <c r="X567" s="700" t="s">
        <v>739</v>
      </c>
      <c r="Y567" s="700" t="s">
        <v>756</v>
      </c>
      <c r="Z567" s="700" t="s">
        <v>779</v>
      </c>
      <c r="AA567" s="700" t="s">
        <v>791</v>
      </c>
      <c r="AB567" s="700" t="s">
        <v>838</v>
      </c>
      <c r="AC567" s="700" t="s">
        <v>856</v>
      </c>
      <c r="AF567" s="641"/>
    </row>
    <row r="568" spans="1:32" ht="13.5" customHeight="1" thickBot="1" x14ac:dyDescent="0.25">
      <c r="A568" s="819"/>
      <c r="B568" s="701"/>
      <c r="C568" s="701"/>
      <c r="D568" s="701"/>
      <c r="E568" s="701"/>
      <c r="F568" s="701"/>
      <c r="G568" s="701"/>
      <c r="H568" s="701"/>
      <c r="I568" s="701"/>
      <c r="J568" s="701"/>
      <c r="K568" s="701"/>
      <c r="L568" s="701"/>
      <c r="M568" s="701"/>
      <c r="N568" s="641"/>
      <c r="O568" s="701"/>
      <c r="P568" s="701"/>
      <c r="Q568" s="701"/>
      <c r="R568" s="701"/>
      <c r="S568" s="701"/>
      <c r="T568" s="701"/>
      <c r="U568" s="701"/>
      <c r="V568" s="701"/>
      <c r="W568" s="701"/>
      <c r="X568" s="701"/>
      <c r="Y568" s="701"/>
      <c r="Z568" s="701"/>
      <c r="AA568" s="701"/>
      <c r="AB568" s="701"/>
      <c r="AC568" s="701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45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1528.9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1011.2</v>
      </c>
      <c r="F569" s="46">
        <f>IFERROR(Y87*1,"0")+IFERROR(Y88*1,"0")+IFERROR(Y89*1,"0")+IFERROR(Y90*1,"0")+IFERROR(Y91*1,"0")+IFERROR(Y95*1,"0")+IFERROR(Y96*1,"0")+IFERROR(Y97*1,"0")+IFERROR(Y98*1,"0")</f>
        <v>948.62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1243.7400000000002</v>
      </c>
      <c r="H569" s="46">
        <f>IFERROR(Y133*1,"0")+IFERROR(Y134*1,"0")+IFERROR(Y138*1,"0")+IFERROR(Y139*1,"0")+IFERROR(Y143*1,"0")+IFERROR(Y144*1,"0")</f>
        <v>88.72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592.62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85.820000000000007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3305.0999999999995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50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374.4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577.19999999999993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1123.8799999999997</v>
      </c>
      <c r="U569" s="46">
        <f>IFERROR(Y417*1,"0")+IFERROR(Y418*1,"0")</f>
        <v>0</v>
      </c>
      <c r="V569" s="46">
        <f>IFERROR(Y423*1,"0")+IFERROR(Y424*1,"0")+IFERROR(Y425*1,"0")</f>
        <v>86.1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2733</v>
      </c>
      <c r="X569" s="46">
        <f>IFERROR(Y460*1,"0")+IFERROR(Y461*1,"0")+IFERROR(Y465*1,"0")+IFERROR(Y469*1,"0")+IFERROR(Y470*1,"0")+IFERROR(Y471*1,"0")</f>
        <v>657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2807.52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3,68"/>
        <filter val="1 218,00"/>
        <filter val="1 300,00"/>
        <filter val="1 436,00"/>
        <filter val="1 527,00"/>
        <filter val="1 988,00"/>
        <filter val="1,89"/>
        <filter val="100,00"/>
        <filter val="101,00"/>
        <filter val="108,31"/>
        <filter val="11,00"/>
        <filter val="11,15"/>
        <filter val="119,00"/>
        <filter val="12,00"/>
        <filter val="120,00"/>
        <filter val="121,50"/>
        <filter val="13,00"/>
        <filter val="131,60"/>
        <filter val="135,00"/>
        <filter val="136,00"/>
        <filter val="14,00"/>
        <filter val="14,69"/>
        <filter val="153,00"/>
        <filter val="155,00"/>
        <filter val="157,00"/>
        <filter val="157,56"/>
        <filter val="16,00"/>
        <filter val="161,00"/>
        <filter val="17 055,00"/>
        <filter val="17,00"/>
        <filter val="171,15"/>
        <filter val="173,39"/>
        <filter val="179,53"/>
        <filter val="18 151,38"/>
        <filter val="18 926,38"/>
        <filter val="18,00"/>
        <filter val="19,00"/>
        <filter val="198,00"/>
        <filter val="2 693,00"/>
        <filter val="2,00"/>
        <filter val="2,38"/>
        <filter val="2,53"/>
        <filter val="20,00"/>
        <filter val="20,83"/>
        <filter val="200,00"/>
        <filter val="217,00"/>
        <filter val="22,00"/>
        <filter val="222,00"/>
        <filter val="223,00"/>
        <filter val="23,00"/>
        <filter val="231,16"/>
        <filter val="243,00"/>
        <filter val="25,00"/>
        <filter val="255,00"/>
        <filter val="275,00"/>
        <filter val="28,80"/>
        <filter val="283,00"/>
        <filter val="296,00"/>
        <filter val="3 008,00"/>
        <filter val="3 381,14"/>
        <filter val="3,00"/>
        <filter val="3,33"/>
        <filter val="3,97"/>
        <filter val="30,00"/>
        <filter val="31"/>
        <filter val="311,00"/>
        <filter val="33,00"/>
        <filter val="330,00"/>
        <filter val="34,00"/>
        <filter val="345,00"/>
        <filter val="35,00"/>
        <filter val="36,00"/>
        <filter val="368,00"/>
        <filter val="372,00"/>
        <filter val="38,00"/>
        <filter val="38,15"/>
        <filter val="39,13"/>
        <filter val="397,00"/>
        <filter val="4,00"/>
        <filter val="4,59"/>
        <filter val="40,00"/>
        <filter val="400,00"/>
        <filter val="421,00"/>
        <filter val="45,00"/>
        <filter val="450,00"/>
        <filter val="455,00"/>
        <filter val="46,48"/>
        <filter val="47,00"/>
        <filter val="470,00"/>
        <filter val="483,00"/>
        <filter val="491,00"/>
        <filter val="5,00"/>
        <filter val="5,50"/>
        <filter val="5,56"/>
        <filter val="50,00"/>
        <filter val="521,00"/>
        <filter val="53,00"/>
        <filter val="551,00"/>
        <filter val="566,00"/>
        <filter val="588,00"/>
        <filter val="593,00"/>
        <filter val="6,00"/>
        <filter val="6,43"/>
        <filter val="60,00"/>
        <filter val="61,20"/>
        <filter val="61,64"/>
        <filter val="614,00"/>
        <filter val="620,00"/>
        <filter val="63,77"/>
        <filter val="639,00"/>
        <filter val="64,00"/>
        <filter val="647,00"/>
        <filter val="651,00"/>
        <filter val="7,58"/>
        <filter val="700,00"/>
        <filter val="72,33"/>
        <filter val="72,56"/>
        <filter val="73,00"/>
        <filter val="76,00"/>
        <filter val="78,00"/>
        <filter val="8,00"/>
        <filter val="8,37"/>
        <filter val="82,00"/>
        <filter val="84,00"/>
        <filter val="85,00"/>
        <filter val="860,00"/>
        <filter val="87,00"/>
        <filter val="9,00"/>
        <filter val="91,00"/>
        <filter val="915,00"/>
        <filter val="97,00"/>
        <filter val="97,41"/>
      </filters>
    </filterColumn>
    <filterColumn colId="29" showButton="0"/>
    <filterColumn colId="30" showButton="0"/>
  </autoFilter>
  <mergeCells count="1003">
    <mergeCell ref="D293:E293"/>
    <mergeCell ref="Y17:Y18"/>
    <mergeCell ref="P493:V493"/>
    <mergeCell ref="A531:Z531"/>
    <mergeCell ref="P336:T336"/>
    <mergeCell ref="O17:O18"/>
    <mergeCell ref="P187:V187"/>
    <mergeCell ref="P258:V258"/>
    <mergeCell ref="P52:V52"/>
    <mergeCell ref="P494:V494"/>
    <mergeCell ref="P417:T417"/>
    <mergeCell ref="P371:V371"/>
    <mergeCell ref="D252:E252"/>
    <mergeCell ref="P60:T60"/>
    <mergeCell ref="D95:E95"/>
    <mergeCell ref="P49:T49"/>
    <mergeCell ref="P107:T107"/>
    <mergeCell ref="D386:E386"/>
    <mergeCell ref="A426:O427"/>
    <mergeCell ref="A339:O340"/>
    <mergeCell ref="A409:Z409"/>
    <mergeCell ref="M17:M18"/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A20:Z20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D567:D568"/>
    <mergeCell ref="A555:Z555"/>
    <mergeCell ref="P433:T433"/>
    <mergeCell ref="D276:E276"/>
    <mergeCell ref="A549:Z549"/>
    <mergeCell ref="P353:V353"/>
    <mergeCell ref="P262:T262"/>
    <mergeCell ref="D291:E291"/>
    <mergeCell ref="D239:E239"/>
    <mergeCell ref="A279:O280"/>
    <mergeCell ref="D266:E266"/>
    <mergeCell ref="P149:T149"/>
    <mergeCell ref="P505:T505"/>
    <mergeCell ref="J567:J568"/>
    <mergeCell ref="L567:L568"/>
    <mergeCell ref="P478:T478"/>
    <mergeCell ref="D321:E321"/>
    <mergeCell ref="P278:T278"/>
    <mergeCell ref="D150:E150"/>
    <mergeCell ref="P465:T465"/>
    <mergeCell ref="P513:V513"/>
    <mergeCell ref="P243:T243"/>
    <mergeCell ref="P436:T436"/>
    <mergeCell ref="P292:T292"/>
    <mergeCell ref="A360:O361"/>
    <mergeCell ref="P528:T528"/>
    <mergeCell ref="A204:Z204"/>
    <mergeCell ref="P419:V419"/>
    <mergeCell ref="D566:J566"/>
    <mergeCell ref="P381:V381"/>
    <mergeCell ref="P510:T510"/>
    <mergeCell ref="P544:V544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D550:E550"/>
    <mergeCell ref="P123:T123"/>
    <mergeCell ref="A554:Z554"/>
    <mergeCell ref="P529:V529"/>
    <mergeCell ref="P110:T110"/>
    <mergeCell ref="A541:Z541"/>
    <mergeCell ref="P197:V19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P2:W3"/>
    <mergeCell ref="P133:T133"/>
    <mergeCell ref="P298:T298"/>
    <mergeCell ref="D437:E437"/>
    <mergeCell ref="D241:E241"/>
    <mergeCell ref="P218:V218"/>
    <mergeCell ref="P369:T369"/>
    <mergeCell ref="A249:Z249"/>
    <mergeCell ref="A127:Z127"/>
    <mergeCell ref="A320:Z320"/>
    <mergeCell ref="A114:Z114"/>
    <mergeCell ref="P129:V129"/>
    <mergeCell ref="Q6:R6"/>
    <mergeCell ref="P134:T134"/>
    <mergeCell ref="A118:O119"/>
    <mergeCell ref="P145:V145"/>
    <mergeCell ref="D133:E133"/>
    <mergeCell ref="A35:Z35"/>
    <mergeCell ref="P427:V427"/>
    <mergeCell ref="P160:V160"/>
    <mergeCell ref="A42:O43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D385:E385"/>
    <mergeCell ref="P178:T178"/>
    <mergeCell ref="P276:T276"/>
    <mergeCell ref="P274:T274"/>
    <mergeCell ref="A155:O156"/>
    <mergeCell ref="P109:T109"/>
    <mergeCell ref="P222:T222"/>
    <mergeCell ref="P22:T22"/>
    <mergeCell ref="P40:T40"/>
    <mergeCell ref="P213:V213"/>
    <mergeCell ref="A147:Z147"/>
    <mergeCell ref="P207:T207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P562:V562"/>
    <mergeCell ref="P306:T306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37:T37"/>
    <mergeCell ref="P143:T143"/>
    <mergeCell ref="A129:O130"/>
    <mergeCell ref="P506:T506"/>
    <mergeCell ref="P477:T477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A557:O558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D277:E277"/>
    <mergeCell ref="P25:V25"/>
    <mergeCell ref="D59:E59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178:E178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P536:V536"/>
    <mergeCell ref="A94:Z94"/>
    <mergeCell ref="D267:E267"/>
    <mergeCell ref="D425:E425"/>
    <mergeCell ref="D359:E359"/>
    <mergeCell ref="P96:T96"/>
    <mergeCell ref="P261:T261"/>
    <mergeCell ref="P90:T90"/>
    <mergeCell ref="P452:V452"/>
    <mergeCell ref="P540:V540"/>
    <mergeCell ref="P305:T305"/>
    <mergeCell ref="A421:Z421"/>
    <mergeCell ref="D96:E96"/>
    <mergeCell ref="A396:Z396"/>
    <mergeCell ref="A162:Z162"/>
    <mergeCell ref="P408:V408"/>
    <mergeCell ref="A488:O489"/>
    <mergeCell ref="A474:Z474"/>
    <mergeCell ref="P63:T63"/>
    <mergeCell ref="P250:T250"/>
    <mergeCell ref="A458:Z458"/>
    <mergeCell ref="P269:V269"/>
    <mergeCell ref="P514:V514"/>
    <mergeCell ref="A513:O514"/>
    <mergeCell ref="A12:M12"/>
    <mergeCell ref="D343:E343"/>
    <mergeCell ref="P397:T397"/>
    <mergeCell ref="A416:Z416"/>
    <mergeCell ref="P200:V200"/>
    <mergeCell ref="A19:Z19"/>
    <mergeCell ref="A13:M13"/>
    <mergeCell ref="D465:E465"/>
    <mergeCell ref="P154:T154"/>
    <mergeCell ref="D75:E75"/>
    <mergeCell ref="P344:T344"/>
    <mergeCell ref="P48:T48"/>
    <mergeCell ref="D292:E292"/>
    <mergeCell ref="P346:T346"/>
    <mergeCell ref="D534:E534"/>
    <mergeCell ref="D227:E227"/>
    <mergeCell ref="D525:E525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P358:T358"/>
    <mergeCell ref="D230:E230"/>
    <mergeCell ref="D180:E180"/>
    <mergeCell ref="P354:V354"/>
    <mergeCell ref="P246:T246"/>
    <mergeCell ref="A148:Z148"/>
    <mergeCell ref="D61:E61"/>
    <mergeCell ref="P115:T115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208:T208"/>
    <mergeCell ref="D206:E206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D9:E9"/>
    <mergeCell ref="F9:G9"/>
    <mergeCell ref="D27:E27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521:Z521"/>
    <mergeCell ref="D527:E527"/>
    <mergeCell ref="B567:B568"/>
    <mergeCell ref="P542:T542"/>
    <mergeCell ref="F567:F568"/>
    <mergeCell ref="H567:H568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P33:V33"/>
    <mergeCell ref="P264:V264"/>
    <mergeCell ref="P93:V93"/>
    <mergeCell ref="P462:V46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D60:E60"/>
    <mergeCell ref="P244:T244"/>
    <mergeCell ref="P437:T437"/>
    <mergeCell ref="P144:T144"/>
    <mergeCell ref="P231:T231"/>
    <mergeCell ref="D423:E423"/>
    <mergeCell ref="P50:T50"/>
    <mergeCell ref="P492:T492"/>
    <mergeCell ref="P469:T469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321:T321"/>
    <mergeCell ref="P470:T470"/>
    <mergeCell ref="P426:V426"/>
    <mergeCell ref="A462:O463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  <mergeCell ref="A45:Z45"/>
    <mergeCell ref="A281:Z281"/>
    <mergeCell ref="P333:V333"/>
    <mergeCell ref="P273:T273"/>
    <mergeCell ref="D387:E387"/>
    <mergeCell ref="D443:E443"/>
    <mergeCell ref="P400:T400"/>
    <mergeCell ref="D272:E27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