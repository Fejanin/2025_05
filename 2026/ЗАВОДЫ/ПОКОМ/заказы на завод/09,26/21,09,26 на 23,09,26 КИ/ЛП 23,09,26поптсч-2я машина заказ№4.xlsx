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D5B8132-9618-4001-9A0D-679D31E0527B}" xr6:coauthVersionLast="47" xr6:coauthVersionMax="47" xr10:uidLastSave="{00000000-0000-0000-0000-000000000000}"/>
  <bookViews>
    <workbookView xWindow="15" yWindow="105" windowWidth="2349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BP545" i="2" s="1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X515" i="2"/>
  <c r="X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BN487" i="2" s="1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P472" i="2" s="1"/>
  <c r="P472" i="2"/>
  <c r="X468" i="2"/>
  <c r="X467" i="2"/>
  <c r="BO466" i="2"/>
  <c r="BM466" i="2"/>
  <c r="Y466" i="2"/>
  <c r="Z466" i="2" s="1"/>
  <c r="P466" i="2"/>
  <c r="BO465" i="2"/>
  <c r="BM465" i="2"/>
  <c r="Y465" i="2"/>
  <c r="BP465" i="2" s="1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P455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BP418" i="2" s="1"/>
  <c r="P418" i="2"/>
  <c r="X415" i="2"/>
  <c r="X414" i="2"/>
  <c r="BO413" i="2"/>
  <c r="BM413" i="2"/>
  <c r="Y413" i="2"/>
  <c r="BP413" i="2" s="1"/>
  <c r="P413" i="2"/>
  <c r="BO412" i="2"/>
  <c r="BM412" i="2"/>
  <c r="Y412" i="2"/>
  <c r="BP412" i="2" s="1"/>
  <c r="P412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N394" i="2"/>
  <c r="BM394" i="2"/>
  <c r="Y394" i="2"/>
  <c r="BP394" i="2" s="1"/>
  <c r="P394" i="2"/>
  <c r="BO393" i="2"/>
  <c r="BN393" i="2"/>
  <c r="BM393" i="2"/>
  <c r="Z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N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Y384" i="2" s="1"/>
  <c r="P379" i="2"/>
  <c r="X377" i="2"/>
  <c r="X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Y366" i="2" s="1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Y344" i="2" s="1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BP321" i="2" s="1"/>
  <c r="X318" i="2"/>
  <c r="X317" i="2"/>
  <c r="BO316" i="2"/>
  <c r="BM316" i="2"/>
  <c r="Y316" i="2"/>
  <c r="Y317" i="2" s="1"/>
  <c r="P316" i="2"/>
  <c r="X314" i="2"/>
  <c r="X313" i="2"/>
  <c r="BO312" i="2"/>
  <c r="BM312" i="2"/>
  <c r="Y312" i="2"/>
  <c r="BP312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Z292" i="2" s="1"/>
  <c r="P292" i="2"/>
  <c r="X290" i="2"/>
  <c r="X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BN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P277" i="2"/>
  <c r="X275" i="2"/>
  <c r="X274" i="2"/>
  <c r="BO273" i="2"/>
  <c r="BM273" i="2"/>
  <c r="Y273" i="2"/>
  <c r="P273" i="2"/>
  <c r="BO272" i="2"/>
  <c r="BN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BN268" i="2" s="1"/>
  <c r="P268" i="2"/>
  <c r="BO267" i="2"/>
  <c r="BM267" i="2"/>
  <c r="Y267" i="2"/>
  <c r="Z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Y253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Y213" i="2" s="1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X196" i="2"/>
  <c r="X195" i="2"/>
  <c r="BO194" i="2"/>
  <c r="BM194" i="2"/>
  <c r="Y194" i="2"/>
  <c r="Y195" i="2" s="1"/>
  <c r="P194" i="2"/>
  <c r="X192" i="2"/>
  <c r="X191" i="2"/>
  <c r="BO190" i="2"/>
  <c r="BM190" i="2"/>
  <c r="Y190" i="2"/>
  <c r="Z190" i="2" s="1"/>
  <c r="P190" i="2"/>
  <c r="BO189" i="2"/>
  <c r="BM189" i="2"/>
  <c r="Y189" i="2"/>
  <c r="BN189" i="2" s="1"/>
  <c r="P189" i="2"/>
  <c r="BO188" i="2"/>
  <c r="BM188" i="2"/>
  <c r="Y188" i="2"/>
  <c r="Y191" i="2" s="1"/>
  <c r="P188" i="2"/>
  <c r="X186" i="2"/>
  <c r="X185" i="2"/>
  <c r="BO184" i="2"/>
  <c r="BN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Y169" i="2"/>
  <c r="P169" i="2"/>
  <c r="BO168" i="2"/>
  <c r="BM168" i="2"/>
  <c r="Y168" i="2"/>
  <c r="BN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BN163" i="2" s="1"/>
  <c r="P163" i="2"/>
  <c r="BO162" i="2"/>
  <c r="BM162" i="2"/>
  <c r="Y162" i="2"/>
  <c r="BN162" i="2" s="1"/>
  <c r="P162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Z137" i="2" s="1"/>
  <c r="P137" i="2"/>
  <c r="X135" i="2"/>
  <c r="X134" i="2"/>
  <c r="BO133" i="2"/>
  <c r="BM133" i="2"/>
  <c r="Y133" i="2"/>
  <c r="BN133" i="2" s="1"/>
  <c r="P133" i="2"/>
  <c r="BO132" i="2"/>
  <c r="BM132" i="2"/>
  <c r="Y132" i="2"/>
  <c r="BP132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P102" i="2"/>
  <c r="BO101" i="2"/>
  <c r="BM101" i="2"/>
  <c r="Y101" i="2"/>
  <c r="Z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BO78" i="2"/>
  <c r="BM78" i="2"/>
  <c r="Y78" i="2"/>
  <c r="Y81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BO72" i="2"/>
  <c r="BM72" i="2"/>
  <c r="Y72" i="2"/>
  <c r="Y76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Z66" i="2" s="1"/>
  <c r="P66" i="2"/>
  <c r="BO65" i="2"/>
  <c r="BM65" i="2"/>
  <c r="Y65" i="2"/>
  <c r="BP65" i="2" s="1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Y52" i="2" s="1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P27" i="2"/>
  <c r="X25" i="2"/>
  <c r="X24" i="2"/>
  <c r="BO23" i="2"/>
  <c r="BM23" i="2"/>
  <c r="Y23" i="2"/>
  <c r="P23" i="2"/>
  <c r="BO22" i="2"/>
  <c r="BM22" i="2"/>
  <c r="Y22" i="2"/>
  <c r="P22" i="2"/>
  <c r="H10" i="2"/>
  <c r="A9" i="2"/>
  <c r="A10" i="2" s="1"/>
  <c r="D7" i="2"/>
  <c r="Q6" i="2"/>
  <c r="P2" i="2"/>
  <c r="Z127" i="2" l="1"/>
  <c r="Z128" i="2" s="1"/>
  <c r="Z475" i="2"/>
  <c r="BP475" i="2"/>
  <c r="Z60" i="2"/>
  <c r="Z184" i="2"/>
  <c r="Z394" i="2"/>
  <c r="Z272" i="2"/>
  <c r="BP40" i="2"/>
  <c r="Z153" i="2"/>
  <c r="BN153" i="2"/>
  <c r="Z157" i="2"/>
  <c r="Z158" i="2" s="1"/>
  <c r="BN157" i="2"/>
  <c r="BP157" i="2"/>
  <c r="Y158" i="2"/>
  <c r="Z223" i="2"/>
  <c r="BN223" i="2"/>
  <c r="BP303" i="2"/>
  <c r="Z324" i="2"/>
  <c r="BN324" i="2"/>
  <c r="Z370" i="2"/>
  <c r="BN370" i="2"/>
  <c r="Z439" i="2"/>
  <c r="BN439" i="2"/>
  <c r="BP443" i="2"/>
  <c r="Z520" i="2"/>
  <c r="X555" i="2"/>
  <c r="Z29" i="2"/>
  <c r="Z49" i="2"/>
  <c r="Z67" i="2"/>
  <c r="Z164" i="2"/>
  <c r="BN164" i="2"/>
  <c r="Z202" i="2"/>
  <c r="BN202" i="2"/>
  <c r="Z266" i="2"/>
  <c r="BN266" i="2"/>
  <c r="Z382" i="2"/>
  <c r="BN382" i="2"/>
  <c r="Z465" i="2"/>
  <c r="BN465" i="2"/>
  <c r="Z487" i="2"/>
  <c r="Z488" i="2" s="1"/>
  <c r="Z501" i="2"/>
  <c r="BP529" i="2"/>
  <c r="B564" i="2"/>
  <c r="X556" i="2"/>
  <c r="X554" i="2"/>
  <c r="Y32" i="2"/>
  <c r="Z31" i="2"/>
  <c r="Y42" i="2"/>
  <c r="BP47" i="2"/>
  <c r="Z55" i="2"/>
  <c r="BP57" i="2"/>
  <c r="Z94" i="2"/>
  <c r="BN94" i="2"/>
  <c r="Z96" i="2"/>
  <c r="BN96" i="2"/>
  <c r="Z115" i="2"/>
  <c r="Z132" i="2"/>
  <c r="BN132" i="2"/>
  <c r="Y139" i="2"/>
  <c r="Z142" i="2"/>
  <c r="Z144" i="2" s="1"/>
  <c r="BN142" i="2"/>
  <c r="Y144" i="2"/>
  <c r="Z149" i="2"/>
  <c r="Z163" i="2"/>
  <c r="Z194" i="2"/>
  <c r="Z195" i="2" s="1"/>
  <c r="BN194" i="2"/>
  <c r="Z200" i="2"/>
  <c r="BN200" i="2"/>
  <c r="Z211" i="2"/>
  <c r="Z212" i="2" s="1"/>
  <c r="BN211" i="2"/>
  <c r="BP211" i="2"/>
  <c r="Y212" i="2"/>
  <c r="Z219" i="2"/>
  <c r="BN219" i="2"/>
  <c r="Z233" i="2"/>
  <c r="BN233" i="2"/>
  <c r="Y259" i="2"/>
  <c r="BP270" i="2"/>
  <c r="Y289" i="2"/>
  <c r="Z326" i="2"/>
  <c r="Z362" i="2"/>
  <c r="BN362" i="2"/>
  <c r="Z374" i="2"/>
  <c r="BN374" i="2"/>
  <c r="Z387" i="2"/>
  <c r="Z400" i="2"/>
  <c r="BN400" i="2"/>
  <c r="Z418" i="2"/>
  <c r="BN418" i="2"/>
  <c r="W564" i="2"/>
  <c r="Z450" i="2"/>
  <c r="BN450" i="2"/>
  <c r="Y451" i="2"/>
  <c r="Y452" i="2"/>
  <c r="X564" i="2"/>
  <c r="Z477" i="2"/>
  <c r="BN477" i="2"/>
  <c r="BP517" i="2"/>
  <c r="Z522" i="2"/>
  <c r="Z533" i="2"/>
  <c r="Z534" i="2" s="1"/>
  <c r="BN533" i="2"/>
  <c r="Y543" i="2"/>
  <c r="BN72" i="2"/>
  <c r="BN74" i="2"/>
  <c r="BP85" i="2"/>
  <c r="Y91" i="2"/>
  <c r="BP101" i="2"/>
  <c r="Y110" i="2"/>
  <c r="BP106" i="2"/>
  <c r="BP112" i="2"/>
  <c r="BN113" i="2"/>
  <c r="BP113" i="2"/>
  <c r="Y118" i="2"/>
  <c r="BN152" i="2"/>
  <c r="Y171" i="2"/>
  <c r="BP169" i="2"/>
  <c r="BN174" i="2"/>
  <c r="BP174" i="2"/>
  <c r="BN175" i="2"/>
  <c r="BN180" i="2"/>
  <c r="BP180" i="2"/>
  <c r="BN188" i="2"/>
  <c r="BP188" i="2"/>
  <c r="BP189" i="2"/>
  <c r="BN190" i="2"/>
  <c r="BP190" i="2"/>
  <c r="BN203" i="2"/>
  <c r="BP203" i="2"/>
  <c r="BN234" i="2"/>
  <c r="BN238" i="2"/>
  <c r="Y258" i="2"/>
  <c r="BN261" i="2"/>
  <c r="Y263" i="2"/>
  <c r="BN267" i="2"/>
  <c r="BP267" i="2"/>
  <c r="BP268" i="2"/>
  <c r="BN269" i="2"/>
  <c r="BN271" i="2"/>
  <c r="Y275" i="2"/>
  <c r="BN300" i="2"/>
  <c r="BN302" i="2"/>
  <c r="Y314" i="2"/>
  <c r="BN325" i="2"/>
  <c r="BN338" i="2"/>
  <c r="BN342" i="2"/>
  <c r="BP360" i="2"/>
  <c r="BN360" i="2"/>
  <c r="Z360" i="2"/>
  <c r="BP372" i="2"/>
  <c r="BN372" i="2"/>
  <c r="Z372" i="2"/>
  <c r="Y383" i="2"/>
  <c r="Y389" i="2"/>
  <c r="Z22" i="2"/>
  <c r="BN22" i="2"/>
  <c r="BP22" i="2"/>
  <c r="Y25" i="2"/>
  <c r="BN23" i="2"/>
  <c r="BP23" i="2"/>
  <c r="Y24" i="2"/>
  <c r="Z27" i="2"/>
  <c r="BN28" i="2"/>
  <c r="BP28" i="2"/>
  <c r="BP29" i="2"/>
  <c r="Z38" i="2"/>
  <c r="BP41" i="2"/>
  <c r="BP48" i="2"/>
  <c r="Z58" i="2"/>
  <c r="BN59" i="2"/>
  <c r="BP59" i="2"/>
  <c r="BP60" i="2"/>
  <c r="Y69" i="2"/>
  <c r="BP67" i="2"/>
  <c r="BN68" i="2"/>
  <c r="Y75" i="2"/>
  <c r="Z78" i="2"/>
  <c r="BN78" i="2"/>
  <c r="Z79" i="2"/>
  <c r="BN79" i="2"/>
  <c r="Z86" i="2"/>
  <c r="BN86" i="2"/>
  <c r="Z88" i="2"/>
  <c r="BN88" i="2"/>
  <c r="BP102" i="2"/>
  <c r="BN103" i="2"/>
  <c r="BP103" i="2"/>
  <c r="BN105" i="2"/>
  <c r="Z106" i="2"/>
  <c r="Z107" i="2"/>
  <c r="BN107" i="2"/>
  <c r="BP114" i="2"/>
  <c r="BP116" i="2"/>
  <c r="Z121" i="2"/>
  <c r="BN121" i="2"/>
  <c r="BN123" i="2"/>
  <c r="BP123" i="2"/>
  <c r="BP127" i="2"/>
  <c r="H564" i="2"/>
  <c r="Z133" i="2"/>
  <c r="Z134" i="2" s="1"/>
  <c r="BP137" i="2"/>
  <c r="BP149" i="2"/>
  <c r="BP163" i="2"/>
  <c r="Z168" i="2"/>
  <c r="Z169" i="2"/>
  <c r="Z178" i="2"/>
  <c r="BN178" i="2"/>
  <c r="Z182" i="2"/>
  <c r="BN182" i="2"/>
  <c r="Z183" i="2"/>
  <c r="Z189" i="2"/>
  <c r="Z204" i="2"/>
  <c r="BN215" i="2"/>
  <c r="Z217" i="2"/>
  <c r="BN217" i="2"/>
  <c r="Z218" i="2"/>
  <c r="Z221" i="2"/>
  <c r="BN221" i="2"/>
  <c r="BP224" i="2"/>
  <c r="BN226" i="2"/>
  <c r="BP227" i="2"/>
  <c r="BN228" i="2"/>
  <c r="BP229" i="2"/>
  <c r="BN236" i="2"/>
  <c r="Z237" i="2"/>
  <c r="BN237" i="2"/>
  <c r="BN241" i="2"/>
  <c r="BN246" i="2"/>
  <c r="Z247" i="2"/>
  <c r="BN247" i="2"/>
  <c r="Z251" i="2"/>
  <c r="Z252" i="2" s="1"/>
  <c r="BN251" i="2"/>
  <c r="BP251" i="2"/>
  <c r="Y252" i="2"/>
  <c r="BN256" i="2"/>
  <c r="Y264" i="2"/>
  <c r="BN262" i="2"/>
  <c r="Z268" i="2"/>
  <c r="BP277" i="2"/>
  <c r="BN279" i="2"/>
  <c r="BP280" i="2"/>
  <c r="BN281" i="2"/>
  <c r="BP282" i="2"/>
  <c r="BP285" i="2"/>
  <c r="BN286" i="2"/>
  <c r="Z287" i="2"/>
  <c r="Y294" i="2"/>
  <c r="Y295" i="2"/>
  <c r="Z304" i="2"/>
  <c r="BN304" i="2"/>
  <c r="Z316" i="2"/>
  <c r="Z317" i="2" s="1"/>
  <c r="BN316" i="2"/>
  <c r="Y318" i="2"/>
  <c r="Z322" i="2"/>
  <c r="BN322" i="2"/>
  <c r="Z323" i="2"/>
  <c r="BN323" i="2"/>
  <c r="BP326" i="2"/>
  <c r="BN331" i="2"/>
  <c r="Z333" i="2"/>
  <c r="BN333" i="2"/>
  <c r="BN340" i="2"/>
  <c r="Z346" i="2"/>
  <c r="BN346" i="2"/>
  <c r="Z347" i="2"/>
  <c r="BN347" i="2"/>
  <c r="Y348" i="2"/>
  <c r="Y349" i="2"/>
  <c r="BP354" i="2"/>
  <c r="BN354" i="2"/>
  <c r="Z354" i="2"/>
  <c r="BP364" i="2"/>
  <c r="BN364" i="2"/>
  <c r="Z364" i="2"/>
  <c r="BP380" i="2"/>
  <c r="BN380" i="2"/>
  <c r="Z380" i="2"/>
  <c r="BN399" i="2"/>
  <c r="Y402" i="2"/>
  <c r="Y403" i="2"/>
  <c r="BN445" i="2"/>
  <c r="BN476" i="2"/>
  <c r="BN546" i="2"/>
  <c r="Z405" i="2"/>
  <c r="Z406" i="2"/>
  <c r="BN406" i="2"/>
  <c r="Z413" i="2"/>
  <c r="BN413" i="2"/>
  <c r="Z426" i="2"/>
  <c r="BN426" i="2"/>
  <c r="BP426" i="2"/>
  <c r="Z429" i="2"/>
  <c r="BN429" i="2"/>
  <c r="Z430" i="2"/>
  <c r="BN430" i="2"/>
  <c r="BN431" i="2"/>
  <c r="Z433" i="2"/>
  <c r="BN438" i="2"/>
  <c r="Z456" i="2"/>
  <c r="Y457" i="2"/>
  <c r="Y458" i="2"/>
  <c r="Y461" i="2"/>
  <c r="Y462" i="2"/>
  <c r="BP466" i="2"/>
  <c r="Z473" i="2"/>
  <c r="BN473" i="2"/>
  <c r="BP482" i="2"/>
  <c r="BN491" i="2"/>
  <c r="BP491" i="2"/>
  <c r="BN493" i="2"/>
  <c r="Z500" i="2"/>
  <c r="BN500" i="2"/>
  <c r="Z502" i="2"/>
  <c r="BN502" i="2"/>
  <c r="BN503" i="2"/>
  <c r="BP503" i="2"/>
  <c r="Y509" i="2"/>
  <c r="BN505" i="2"/>
  <c r="Z506" i="2"/>
  <c r="BN506" i="2"/>
  <c r="Z512" i="2"/>
  <c r="BN512" i="2"/>
  <c r="BN513" i="2"/>
  <c r="BP513" i="2"/>
  <c r="Z518" i="2"/>
  <c r="BN518" i="2"/>
  <c r="BP520" i="2"/>
  <c r="BP522" i="2"/>
  <c r="BN523" i="2"/>
  <c r="BP523" i="2"/>
  <c r="Y531" i="2"/>
  <c r="BN537" i="2"/>
  <c r="BP537" i="2"/>
  <c r="Y538" i="2"/>
  <c r="Y539" i="2"/>
  <c r="Z545" i="2"/>
  <c r="BN545" i="2"/>
  <c r="Y547" i="2"/>
  <c r="Y548" i="2"/>
  <c r="F10" i="2"/>
  <c r="X557" i="2"/>
  <c r="BP56" i="2"/>
  <c r="BN56" i="2"/>
  <c r="BN50" i="2"/>
  <c r="BN206" i="2"/>
  <c r="BP301" i="2"/>
  <c r="BN301" i="2"/>
  <c r="BN321" i="2"/>
  <c r="Z348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Z139" i="2" s="1"/>
  <c r="Y207" i="2"/>
  <c r="BP201" i="2"/>
  <c r="K564" i="2"/>
  <c r="Z341" i="2"/>
  <c r="Z363" i="2"/>
  <c r="BN412" i="2"/>
  <c r="Z412" i="2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Y514" i="2"/>
  <c r="F9" i="2"/>
  <c r="H9" i="2"/>
  <c r="BN31" i="2"/>
  <c r="Z41" i="2"/>
  <c r="Y51" i="2"/>
  <c r="Z57" i="2"/>
  <c r="Z65" i="2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Z396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BN122" i="2"/>
  <c r="Y145" i="2"/>
  <c r="Z162" i="2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Z294" i="2" s="1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Y129" i="2"/>
  <c r="BN148" i="2"/>
  <c r="BN151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Z30" i="2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Z467" i="2" s="1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Y82" i="2"/>
  <c r="BP78" i="2"/>
  <c r="BN87" i="2"/>
  <c r="Z87" i="2"/>
  <c r="BN115" i="2"/>
  <c r="BP168" i="2"/>
  <c r="BP177" i="2"/>
  <c r="BN177" i="2"/>
  <c r="Z188" i="2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74" i="2"/>
  <c r="Z499" i="2"/>
  <c r="Z519" i="2"/>
  <c r="Z371" i="2"/>
  <c r="Z381" i="2"/>
  <c r="Z286" i="2"/>
  <c r="Z325" i="2"/>
  <c r="Z386" i="2"/>
  <c r="Z420" i="2"/>
  <c r="Z432" i="2"/>
  <c r="Z455" i="2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42" i="2"/>
  <c r="BN361" i="2"/>
  <c r="BN371" i="2"/>
  <c r="BN381" i="2"/>
  <c r="Z401" i="2"/>
  <c r="Z427" i="2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81" i="2" l="1"/>
  <c r="Z90" i="2"/>
  <c r="Z24" i="2"/>
  <c r="Z514" i="2"/>
  <c r="Z408" i="2"/>
  <c r="Z274" i="2"/>
  <c r="Z242" i="2"/>
  <c r="Z451" i="2"/>
  <c r="Z327" i="2"/>
  <c r="Z62" i="2"/>
  <c r="Z32" i="2"/>
  <c r="Z69" i="2"/>
  <c r="Z207" i="2"/>
  <c r="Z483" i="2"/>
  <c r="Y554" i="2"/>
  <c r="Z457" i="2"/>
  <c r="Z191" i="2"/>
  <c r="Z165" i="2"/>
  <c r="Z414" i="2"/>
  <c r="Z170" i="2"/>
  <c r="Y558" i="2"/>
  <c r="Z547" i="2"/>
  <c r="Z434" i="2"/>
  <c r="Z334" i="2"/>
  <c r="Z230" i="2"/>
  <c r="Y556" i="2"/>
  <c r="Z51" i="2"/>
  <c r="Z42" i="2"/>
  <c r="Y555" i="2"/>
  <c r="Y557" i="2" s="1"/>
  <c r="Z124" i="2"/>
  <c r="Z75" i="2"/>
  <c r="Z154" i="2"/>
  <c r="Z494" i="2"/>
  <c r="Z117" i="2"/>
  <c r="Z109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Z559" i="2" l="1"/>
</calcChain>
</file>

<file path=xl/sharedStrings.xml><?xml version="1.0" encoding="utf-8"?>
<sst xmlns="http://schemas.openxmlformats.org/spreadsheetml/2006/main" count="4266" uniqueCount="900">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</sst>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D8" sqref="D8:M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 t="s">
        <v>899</v>
      </c>
      <c r="I5" s="1009"/>
      <c r="J5" s="1009"/>
      <c r="K5" s="1009"/>
      <c r="L5" s="1009"/>
      <c r="M5" s="1009"/>
      <c r="N5" s="72"/>
      <c r="P5" s="27" t="s">
        <v>4</v>
      </c>
      <c r="Q5" s="1011">
        <v>46288</v>
      </c>
      <c r="R5" s="1011"/>
      <c r="T5" s="1012" t="s">
        <v>3</v>
      </c>
      <c r="U5" s="1013"/>
      <c r="V5" s="1014" t="s">
        <v>875</v>
      </c>
      <c r="W5" s="1015"/>
      <c r="AB5" s="59"/>
      <c r="AC5" s="59"/>
      <c r="AD5" s="59"/>
      <c r="AE5" s="59"/>
    </row>
    <row r="6" spans="1:32" s="17" customFormat="1" ht="24" customHeight="1" x14ac:dyDescent="0.2">
      <c r="A6" s="987" t="s">
        <v>1</v>
      </c>
      <c r="B6" s="987"/>
      <c r="C6" s="987"/>
      <c r="D6" s="988" t="s">
        <v>882</v>
      </c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Среда</v>
      </c>
      <c r="R6" s="989"/>
      <c r="T6" s="990" t="s">
        <v>5</v>
      </c>
      <c r="U6" s="991"/>
      <c r="V6" s="992" t="s">
        <v>70</v>
      </c>
      <c r="W6" s="9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8" t="str">
        <f>IFERROR(VLOOKUP(DeliveryAddress,Table,3,0),1)</f>
        <v>3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">
      <c r="A8" s="1001" t="s">
        <v>58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0.45833333333333331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50000000000003" customHeight="1" x14ac:dyDescent="0.2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71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55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4" t="s">
        <v>75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61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8" t="s">
        <v>59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66</v>
      </c>
      <c r="L17" s="948" t="s">
        <v>64</v>
      </c>
      <c r="M17" s="948" t="s">
        <v>2</v>
      </c>
      <c r="N17" s="948" t="s">
        <v>63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56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60</v>
      </c>
      <c r="AB17" s="954" t="s">
        <v>19</v>
      </c>
      <c r="AC17" s="954" t="s">
        <v>65</v>
      </c>
      <c r="AD17" s="956" t="s">
        <v>57</v>
      </c>
      <c r="AE17" s="957"/>
      <c r="AF17" s="958"/>
      <c r="AG17" s="82"/>
      <c r="BD17" s="81" t="s">
        <v>62</v>
      </c>
    </row>
    <row r="18" spans="1:68" ht="14.25" customHeight="1" x14ac:dyDescent="0.2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hidden="1" customHeight="1" x14ac:dyDescent="0.2">
      <c r="A19" s="673" t="s">
        <v>76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hidden="1" customHeight="1" x14ac:dyDescent="0.25">
      <c r="A20" s="652" t="s">
        <v>76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hidden="1" customHeight="1" x14ac:dyDescent="0.25">
      <c r="A21" s="653" t="s">
        <v>77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3" t="s">
        <v>86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hidden="1" customHeight="1" x14ac:dyDescent="0.25">
      <c r="A35" s="652" t="s">
        <v>104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hidden="1" customHeight="1" x14ac:dyDescent="0.25">
      <c r="A36" s="653" t="s">
        <v>86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3" t="s">
        <v>120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hidden="1" customHeight="1" x14ac:dyDescent="0.25">
      <c r="A45" s="652" t="s">
        <v>121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hidden="1" customHeight="1" x14ac:dyDescent="0.25">
      <c r="A46" s="653" t="s">
        <v>122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52" t="s">
        <v>137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hidden="1" customHeight="1" x14ac:dyDescent="0.25">
      <c r="A54" s="653" t="s">
        <v>122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653" t="s">
        <v>157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53" t="s">
        <v>86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53" t="s">
        <v>175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52" t="s">
        <v>183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hidden="1" customHeight="1" x14ac:dyDescent="0.25">
      <c r="A84" s="653" t="s">
        <v>122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53" t="s">
        <v>86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52" t="s">
        <v>206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hidden="1" customHeight="1" x14ac:dyDescent="0.25">
      <c r="A100" s="653" t="s">
        <v>122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3" t="s">
        <v>157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3" t="s">
        <v>86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hidden="1" customHeight="1" x14ac:dyDescent="0.25">
      <c r="A120" s="63" t="s">
        <v>237</v>
      </c>
      <c r="B120" s="63" t="s">
        <v>238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3" t="s">
        <v>175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2" t="s">
        <v>250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hidden="1" customHeight="1" x14ac:dyDescent="0.25">
      <c r="A131" s="653" t="s">
        <v>122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53" t="s">
        <v>77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53" t="s">
        <v>86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2" t="s">
        <v>263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hidden="1" customHeight="1" x14ac:dyDescent="0.25">
      <c r="A147" s="653" t="s">
        <v>86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53" t="s">
        <v>278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652" t="s">
        <v>120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hidden="1" customHeight="1" x14ac:dyDescent="0.25">
      <c r="A161" s="653" t="s">
        <v>122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53" t="s">
        <v>157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653" t="s">
        <v>77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3" t="s">
        <v>86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3" t="s">
        <v>339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673" t="s">
        <v>344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hidden="1" customHeight="1" x14ac:dyDescent="0.25">
      <c r="A198" s="652" t="s">
        <v>345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hidden="1" customHeight="1" x14ac:dyDescent="0.25">
      <c r="A199" s="653" t="s">
        <v>122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652" t="s">
        <v>366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hidden="1" customHeight="1" x14ac:dyDescent="0.25">
      <c r="A210" s="653" t="s">
        <v>157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653" t="s">
        <v>77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653" t="s">
        <v>86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53" t="s">
        <v>278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53" t="s">
        <v>437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652" t="s">
        <v>440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hidden="1" customHeight="1" x14ac:dyDescent="0.25">
      <c r="A255" s="653" t="s">
        <v>122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53" t="s">
        <v>157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53" t="s">
        <v>77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hidden="1" customHeight="1" x14ac:dyDescent="0.25">
      <c r="A266" s="63" t="s">
        <v>451</v>
      </c>
      <c r="B266" s="63" t="s">
        <v>452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hidden="1" customHeight="1" x14ac:dyDescent="0.25">
      <c r="A268" s="63" t="s">
        <v>457</v>
      </c>
      <c r="B268" s="63" t="s">
        <v>458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hidden="1" customHeight="1" x14ac:dyDescent="0.25">
      <c r="A269" s="63" t="s">
        <v>460</v>
      </c>
      <c r="B269" s="63" t="s">
        <v>461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idden="1" x14ac:dyDescent="0.2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hidden="1" x14ac:dyDescent="0.2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hidden="1" customHeight="1" x14ac:dyDescent="0.25">
      <c r="A276" s="653" t="s">
        <v>86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653" t="s">
        <v>175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652" t="s">
        <v>508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hidden="1" customHeight="1" x14ac:dyDescent="0.25">
      <c r="A297" s="653" t="s">
        <v>122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653" t="s">
        <v>157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653" t="s">
        <v>530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653" t="s">
        <v>339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2" t="s">
        <v>537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hidden="1" customHeight="1" x14ac:dyDescent="0.25">
      <c r="A320" s="653" t="s">
        <v>122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778" t="s">
        <v>540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2" t="s">
        <v>558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hidden="1" customHeight="1" x14ac:dyDescent="0.25">
      <c r="A330" s="653" t="s">
        <v>86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2" t="s">
        <v>567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hidden="1" customHeight="1" x14ac:dyDescent="0.25">
      <c r="A337" s="653" t="s">
        <v>77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3" t="s">
        <v>86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2" t="s">
        <v>588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hidden="1" customHeight="1" x14ac:dyDescent="0.25">
      <c r="A351" s="653" t="s">
        <v>122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2" t="s">
        <v>597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hidden="1" customHeight="1" x14ac:dyDescent="0.25">
      <c r="A358" s="653" t="s">
        <v>122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763" t="s">
        <v>600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53" t="s">
        <v>77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idden="1" x14ac:dyDescent="0.2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53" t="s">
        <v>86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customHeight="1" x14ac:dyDescent="0.25">
      <c r="A379" s="63" t="s">
        <v>637</v>
      </c>
      <c r="B379" s="63" t="s">
        <v>638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3500</v>
      </c>
      <c r="Y379" s="55">
        <f>IFERROR(IF(X379="",0,CEILING((X379/$H379),1)*$H379),"")</f>
        <v>3502.2</v>
      </c>
      <c r="Z379" s="41">
        <f>IFERROR(IF(Y379=0,"",ROUNDUP(Y379/H379,0)*0.01898),"")</f>
        <v>8.5220199999999995</v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3718.9743589743589</v>
      </c>
      <c r="BN379" s="78">
        <f>IFERROR(Y379*I379/H379,"0")</f>
        <v>3721.3119999999999</v>
      </c>
      <c r="BO379" s="78">
        <f>IFERROR(1/J379*(X379/H379),"0")</f>
        <v>7.0112179487179489</v>
      </c>
      <c r="BP379" s="78">
        <f>IFERROR(1/J379*(Y379/H379),"0")</f>
        <v>7.015625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448.71794871794873</v>
      </c>
      <c r="Y383" s="43">
        <f>IFERROR(Y379/H379,"0")+IFERROR(Y380/H380,"0")+IFERROR(Y381/H381,"0")+IFERROR(Y382/H382,"0")</f>
        <v>449</v>
      </c>
      <c r="Z383" s="43">
        <f>IFERROR(IF(Z379="",0,Z379),"0")+IFERROR(IF(Z380="",0,Z380),"0")+IFERROR(IF(Z381="",0,Z381),"0")+IFERROR(IF(Z382="",0,Z382),"0")</f>
        <v>8.5220199999999995</v>
      </c>
      <c r="AA383" s="67"/>
      <c r="AB383" s="67"/>
      <c r="AC383" s="67"/>
    </row>
    <row r="384" spans="1:68" x14ac:dyDescent="0.2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3500</v>
      </c>
      <c r="Y384" s="43">
        <f>IFERROR(SUM(Y379:Y382),"0")</f>
        <v>3502.2</v>
      </c>
      <c r="Z384" s="42"/>
      <c r="AA384" s="67"/>
      <c r="AB384" s="67"/>
      <c r="AC384" s="67"/>
    </row>
    <row r="385" spans="1:68" ht="14.25" hidden="1" customHeight="1" x14ac:dyDescent="0.25">
      <c r="A385" s="653" t="s">
        <v>175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651</v>
      </c>
      <c r="B387" s="63" t="s">
        <v>652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53" t="s">
        <v>278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53" t="s">
        <v>666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53" t="s">
        <v>675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2" t="s">
        <v>684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hidden="1" customHeight="1" x14ac:dyDescent="0.25">
      <c r="A411" s="653" t="s">
        <v>86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2" t="s">
        <v>691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hidden="1" customHeight="1" x14ac:dyDescent="0.25">
      <c r="A417" s="653" t="s">
        <v>86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73" t="s">
        <v>701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hidden="1" customHeight="1" x14ac:dyDescent="0.25">
      <c r="A424" s="652" t="s">
        <v>702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hidden="1" customHeight="1" x14ac:dyDescent="0.25">
      <c r="A425" s="653" t="s">
        <v>122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hidden="1" customHeight="1" x14ac:dyDescent="0.25">
      <c r="A427" s="63" t="s">
        <v>706</v>
      </c>
      <c r="B427" s="63" t="s">
        <v>707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hidden="1" customHeight="1" x14ac:dyDescent="0.25">
      <c r="A428" s="63" t="s">
        <v>709</v>
      </c>
      <c r="B428" s="63" t="s">
        <v>710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0</v>
      </c>
      <c r="BN428" s="78">
        <f t="shared" si="70"/>
        <v>0</v>
      </c>
      <c r="BO428" s="78">
        <f t="shared" si="71"/>
        <v>0</v>
      </c>
      <c r="BP428" s="78">
        <f t="shared" si="72"/>
        <v>0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idden="1" x14ac:dyDescent="0.2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hidden="1" customHeight="1" x14ac:dyDescent="0.25">
      <c r="A436" s="653" t="s">
        <v>157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hidden="1" customHeight="1" x14ac:dyDescent="0.25">
      <c r="A437" s="63" t="s">
        <v>727</v>
      </c>
      <c r="B437" s="63" t="s">
        <v>728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53" t="s">
        <v>86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53" t="s">
        <v>175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2" t="s">
        <v>751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hidden="1" customHeight="1" x14ac:dyDescent="0.25">
      <c r="A454" s="653" t="s">
        <v>122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53" t="s">
        <v>77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53" t="s">
        <v>86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73" t="s">
        <v>767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hidden="1" customHeight="1" x14ac:dyDescent="0.25">
      <c r="A470" s="652" t="s">
        <v>768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hidden="1" customHeight="1" x14ac:dyDescent="0.25">
      <c r="A471" s="653" t="s">
        <v>77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53" t="s">
        <v>86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2" t="s">
        <v>791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hidden="1" customHeight="1" x14ac:dyDescent="0.25">
      <c r="A486" s="653" t="s">
        <v>157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53" t="s">
        <v>77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73" t="s">
        <v>803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hidden="1" customHeight="1" x14ac:dyDescent="0.25">
      <c r="A497" s="652" t="s">
        <v>803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hidden="1" customHeight="1" x14ac:dyDescent="0.25">
      <c r="A498" s="653" t="s">
        <v>122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818</v>
      </c>
      <c r="B504" s="63" t="s">
        <v>819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idden="1" x14ac:dyDescent="0.2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653" t="s">
        <v>157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hidden="1" customHeight="1" x14ac:dyDescent="0.25">
      <c r="A511" s="63" t="s">
        <v>827</v>
      </c>
      <c r="B511" s="63" t="s">
        <v>828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53" t="s">
        <v>77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hidden="1" customHeight="1" x14ac:dyDescent="0.25">
      <c r="A517" s="63" t="s">
        <v>834</v>
      </c>
      <c r="B517" s="63" t="s">
        <v>835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hidden="1" customHeight="1" x14ac:dyDescent="0.25">
      <c r="A518" s="63" t="s">
        <v>837</v>
      </c>
      <c r="B518" s="63" t="s">
        <v>838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idden="1" x14ac:dyDescent="0.2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673" t="s">
        <v>850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hidden="1" customHeight="1" x14ac:dyDescent="0.25">
      <c r="A527" s="652" t="s">
        <v>850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hidden="1" customHeight="1" x14ac:dyDescent="0.25">
      <c r="A528" s="653" t="s">
        <v>122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53" t="s">
        <v>157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3" t="s">
        <v>77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hidden="1" customHeight="1" x14ac:dyDescent="0.25">
      <c r="A537" s="63" t="s">
        <v>857</v>
      </c>
      <c r="B537" s="63" t="s">
        <v>858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53" t="s">
        <v>86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53" t="s">
        <v>175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2" t="s">
        <v>869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hidden="1" customHeight="1" x14ac:dyDescent="0.25">
      <c r="A550" s="653" t="s">
        <v>157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3500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3502.2</v>
      </c>
      <c r="Z554" s="42"/>
      <c r="AA554" s="67"/>
      <c r="AB554" s="67"/>
      <c r="AC554" s="67"/>
    </row>
    <row r="555" spans="1:68" x14ac:dyDescent="0.2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3718.9743589743589</v>
      </c>
      <c r="Y555" s="43">
        <f>IFERROR(SUM(BN22:BN551),"0")</f>
        <v>3721.3119999999999</v>
      </c>
      <c r="Z555" s="42"/>
      <c r="AA555" s="67"/>
      <c r="AB555" s="67"/>
      <c r="AC555" s="67"/>
    </row>
    <row r="556" spans="1:68" x14ac:dyDescent="0.2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8</v>
      </c>
      <c r="Y556" s="44">
        <f>ROUNDUP(SUM(BP22:BP551),0)</f>
        <v>8</v>
      </c>
      <c r="Z556" s="42"/>
      <c r="AA556" s="67"/>
      <c r="AB556" s="67"/>
      <c r="AC556" s="67"/>
    </row>
    <row r="557" spans="1:68" x14ac:dyDescent="0.2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3918.9743589743589</v>
      </c>
      <c r="Y557" s="43">
        <f>GrossWeightTotalR+PalletQtyTotalR*25</f>
        <v>3921.3119999999999</v>
      </c>
      <c r="Z557" s="42"/>
      <c r="AA557" s="67"/>
      <c r="AB557" s="67"/>
      <c r="AC557" s="67"/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448.71794871794873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449</v>
      </c>
      <c r="Z558" s="42"/>
      <c r="AA558" s="67"/>
      <c r="AB558" s="67"/>
      <c r="AC558" s="67"/>
    </row>
    <row r="559" spans="1:68" ht="14.25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8.5220199999999995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8" t="s">
        <v>120</v>
      </c>
      <c r="E561" s="648" t="s">
        <v>120</v>
      </c>
      <c r="F561" s="648" t="s">
        <v>120</v>
      </c>
      <c r="G561" s="648" t="s">
        <v>120</v>
      </c>
      <c r="H561" s="648" t="s">
        <v>120</v>
      </c>
      <c r="I561" s="648" t="s">
        <v>120</v>
      </c>
      <c r="J561" s="648" t="s">
        <v>120</v>
      </c>
      <c r="K561" s="648" t="s">
        <v>344</v>
      </c>
      <c r="L561" s="648" t="s">
        <v>344</v>
      </c>
      <c r="M561" s="648" t="s">
        <v>344</v>
      </c>
      <c r="N561" s="649"/>
      <c r="O561" s="648" t="s">
        <v>344</v>
      </c>
      <c r="P561" s="648" t="s">
        <v>344</v>
      </c>
      <c r="Q561" s="648" t="s">
        <v>344</v>
      </c>
      <c r="R561" s="648" t="s">
        <v>344</v>
      </c>
      <c r="S561" s="648" t="s">
        <v>344</v>
      </c>
      <c r="T561" s="648" t="s">
        <v>344</v>
      </c>
      <c r="U561" s="648" t="s">
        <v>344</v>
      </c>
      <c r="V561" s="648" t="s">
        <v>344</v>
      </c>
      <c r="W561" s="648" t="s">
        <v>701</v>
      </c>
      <c r="X561" s="648" t="s">
        <v>701</v>
      </c>
      <c r="Y561" s="648" t="s">
        <v>767</v>
      </c>
      <c r="Z561" s="648" t="s">
        <v>767</v>
      </c>
      <c r="AA561" s="85" t="s">
        <v>803</v>
      </c>
      <c r="AB561" s="648" t="s">
        <v>850</v>
      </c>
      <c r="AC561" s="648" t="s">
        <v>850</v>
      </c>
      <c r="AF561" s="1"/>
    </row>
    <row r="562" spans="1:32" ht="14.25" customHeight="1" thickTop="1" x14ac:dyDescent="0.2">
      <c r="A562" s="650" t="s">
        <v>10</v>
      </c>
      <c r="B562" s="648" t="s">
        <v>76</v>
      </c>
      <c r="C562" s="648" t="s">
        <v>104</v>
      </c>
      <c r="D562" s="648" t="s">
        <v>121</v>
      </c>
      <c r="E562" s="648" t="s">
        <v>137</v>
      </c>
      <c r="F562" s="648" t="s">
        <v>183</v>
      </c>
      <c r="G562" s="648" t="s">
        <v>206</v>
      </c>
      <c r="H562" s="648" t="s">
        <v>250</v>
      </c>
      <c r="I562" s="648" t="s">
        <v>263</v>
      </c>
      <c r="J562" s="648" t="s">
        <v>120</v>
      </c>
      <c r="K562" s="648" t="s">
        <v>345</v>
      </c>
      <c r="L562" s="648" t="s">
        <v>366</v>
      </c>
      <c r="M562" s="648" t="s">
        <v>440</v>
      </c>
      <c r="N562" s="1"/>
      <c r="O562" s="648" t="s">
        <v>508</v>
      </c>
      <c r="P562" s="648" t="s">
        <v>537</v>
      </c>
      <c r="Q562" s="648" t="s">
        <v>558</v>
      </c>
      <c r="R562" s="648" t="s">
        <v>567</v>
      </c>
      <c r="S562" s="648" t="s">
        <v>588</v>
      </c>
      <c r="T562" s="648" t="s">
        <v>597</v>
      </c>
      <c r="U562" s="648" t="s">
        <v>684</v>
      </c>
      <c r="V562" s="648" t="s">
        <v>691</v>
      </c>
      <c r="W562" s="648" t="s">
        <v>702</v>
      </c>
      <c r="X562" s="648" t="s">
        <v>751</v>
      </c>
      <c r="Y562" s="648" t="s">
        <v>768</v>
      </c>
      <c r="Z562" s="648" t="s">
        <v>791</v>
      </c>
      <c r="AA562" s="648" t="s">
        <v>803</v>
      </c>
      <c r="AB562" s="648" t="s">
        <v>850</v>
      </c>
      <c r="AC562" s="648" t="s">
        <v>869</v>
      </c>
      <c r="AF562" s="1"/>
    </row>
    <row r="563" spans="1:32" ht="13.5" thickBot="1" x14ac:dyDescent="0.25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3502.2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3 500,00"/>
        <filter val="3 718,97"/>
        <filter val="3 918,97"/>
        <filter val="448,72"/>
        <filter val="8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2026-09-21T10:37:57Z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