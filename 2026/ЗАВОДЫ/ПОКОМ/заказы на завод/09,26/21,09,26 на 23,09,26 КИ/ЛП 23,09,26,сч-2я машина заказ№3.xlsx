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D7D2B0-04CF-4CCE-90BF-73C68316B14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N394" i="2"/>
  <c r="BM394" i="2"/>
  <c r="Y394" i="2"/>
  <c r="BP394" i="2" s="1"/>
  <c r="P394" i="2"/>
  <c r="BO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P282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Y275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BN201" i="2" s="1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P164" i="2"/>
  <c r="BO163" i="2"/>
  <c r="BM163" i="2"/>
  <c r="Y163" i="2"/>
  <c r="P163" i="2"/>
  <c r="BO162" i="2"/>
  <c r="BM162" i="2"/>
  <c r="Y162" i="2"/>
  <c r="BN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Z101" i="2"/>
  <c r="Y101" i="2"/>
  <c r="BP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P60" i="2"/>
  <c r="BO60" i="2"/>
  <c r="BM60" i="2"/>
  <c r="Y60" i="2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Z133" i="2" l="1"/>
  <c r="Z475" i="2"/>
  <c r="BP475" i="2"/>
  <c r="BP224" i="2"/>
  <c r="BN393" i="2"/>
  <c r="Z394" i="2"/>
  <c r="Z38" i="2"/>
  <c r="Z189" i="2"/>
  <c r="Z247" i="2"/>
  <c r="BN247" i="2"/>
  <c r="Z251" i="2"/>
  <c r="Z252" i="2" s="1"/>
  <c r="BN251" i="2"/>
  <c r="BP251" i="2"/>
  <c r="Y252" i="2"/>
  <c r="Z316" i="2"/>
  <c r="Z317" i="2" s="1"/>
  <c r="BN316" i="2"/>
  <c r="Y318" i="2"/>
  <c r="Z322" i="2"/>
  <c r="BN322" i="2"/>
  <c r="Z323" i="2"/>
  <c r="BN323" i="2"/>
  <c r="Z370" i="2"/>
  <c r="BN370" i="2"/>
  <c r="Z439" i="2"/>
  <c r="BN439" i="2"/>
  <c r="BP443" i="2"/>
  <c r="Z520" i="2"/>
  <c r="BP48" i="2"/>
  <c r="Z88" i="2"/>
  <c r="BN88" i="2"/>
  <c r="Z106" i="2"/>
  <c r="BP116" i="2"/>
  <c r="Z168" i="2"/>
  <c r="Z170" i="2" s="1"/>
  <c r="Z217" i="2"/>
  <c r="BN217" i="2"/>
  <c r="Z218" i="2"/>
  <c r="BP229" i="2"/>
  <c r="Z287" i="2"/>
  <c r="Z382" i="2"/>
  <c r="BN382" i="2"/>
  <c r="Z465" i="2"/>
  <c r="BN465" i="2"/>
  <c r="Z487" i="2"/>
  <c r="Z488" i="2" s="1"/>
  <c r="Z501" i="2"/>
  <c r="BP529" i="2"/>
  <c r="Y264" i="2"/>
  <c r="Z22" i="2"/>
  <c r="BN22" i="2"/>
  <c r="Y25" i="2"/>
  <c r="BP41" i="2"/>
  <c r="Z58" i="2"/>
  <c r="Z78" i="2"/>
  <c r="Z81" i="2" s="1"/>
  <c r="Z79" i="2"/>
  <c r="BN79" i="2"/>
  <c r="Z86" i="2"/>
  <c r="BN86" i="2"/>
  <c r="Z107" i="2"/>
  <c r="BN107" i="2"/>
  <c r="Y118" i="2"/>
  <c r="BP114" i="2"/>
  <c r="Z121" i="2"/>
  <c r="BN121" i="2"/>
  <c r="Z178" i="2"/>
  <c r="BN178" i="2"/>
  <c r="Z182" i="2"/>
  <c r="BN182" i="2"/>
  <c r="Z183" i="2"/>
  <c r="Y191" i="2"/>
  <c r="Z204" i="2"/>
  <c r="Z221" i="2"/>
  <c r="BN221" i="2"/>
  <c r="BP227" i="2"/>
  <c r="Z237" i="2"/>
  <c r="BN237" i="2"/>
  <c r="Z268" i="2"/>
  <c r="BP280" i="2"/>
  <c r="BP285" i="2"/>
  <c r="Z304" i="2"/>
  <c r="BN304" i="2"/>
  <c r="BP312" i="2"/>
  <c r="Z333" i="2"/>
  <c r="BN333" i="2"/>
  <c r="Z346" i="2"/>
  <c r="BN346" i="2"/>
  <c r="Z347" i="2"/>
  <c r="BN347" i="2"/>
  <c r="Y348" i="2"/>
  <c r="Y349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BP31" i="2"/>
  <c r="Z31" i="2"/>
  <c r="Y52" i="2"/>
  <c r="BN55" i="2"/>
  <c r="Z55" i="2"/>
  <c r="BN57" i="2"/>
  <c r="BP57" i="2"/>
  <c r="Y69" i="2"/>
  <c r="BP65" i="2"/>
  <c r="BN68" i="2"/>
  <c r="Y81" i="2"/>
  <c r="BP115" i="2"/>
  <c r="Z115" i="2"/>
  <c r="BN123" i="2"/>
  <c r="BP123" i="2"/>
  <c r="Y128" i="2"/>
  <c r="Z127" i="2"/>
  <c r="Z128" i="2" s="1"/>
  <c r="BP142" i="2"/>
  <c r="Y144" i="2"/>
  <c r="BN142" i="2"/>
  <c r="Z142" i="2"/>
  <c r="Z144" i="2" s="1"/>
  <c r="BN149" i="2"/>
  <c r="Z149" i="2"/>
  <c r="BP153" i="2"/>
  <c r="BN153" i="2"/>
  <c r="Z153" i="2"/>
  <c r="Y159" i="2"/>
  <c r="Y158" i="2"/>
  <c r="BP157" i="2"/>
  <c r="BN157" i="2"/>
  <c r="Z157" i="2"/>
  <c r="Z158" i="2" s="1"/>
  <c r="BN163" i="2"/>
  <c r="Z163" i="2"/>
  <c r="Y195" i="2"/>
  <c r="BN194" i="2"/>
  <c r="Z194" i="2"/>
  <c r="Z195" i="2" s="1"/>
  <c r="BP200" i="2"/>
  <c r="BN200" i="2"/>
  <c r="Z200" i="2"/>
  <c r="BP202" i="2"/>
  <c r="BN202" i="2"/>
  <c r="Z202" i="2"/>
  <c r="BP223" i="2"/>
  <c r="BN223" i="2"/>
  <c r="Z223" i="2"/>
  <c r="BN23" i="2"/>
  <c r="BP23" i="2"/>
  <c r="Y24" i="2"/>
  <c r="BN28" i="2"/>
  <c r="BP28" i="2"/>
  <c r="BN29" i="2"/>
  <c r="Z29" i="2"/>
  <c r="BN40" i="2"/>
  <c r="BP40" i="2"/>
  <c r="BN49" i="2"/>
  <c r="Z49" i="2"/>
  <c r="BN59" i="2"/>
  <c r="BP59" i="2"/>
  <c r="BN60" i="2"/>
  <c r="Z60" i="2"/>
  <c r="BN67" i="2"/>
  <c r="Z67" i="2"/>
  <c r="Y75" i="2"/>
  <c r="Z73" i="2"/>
  <c r="Y91" i="2"/>
  <c r="BP94" i="2"/>
  <c r="BN94" i="2"/>
  <c r="Z94" i="2"/>
  <c r="BP96" i="2"/>
  <c r="BN96" i="2"/>
  <c r="Z96" i="2"/>
  <c r="BN103" i="2"/>
  <c r="BP103" i="2"/>
  <c r="BN105" i="2"/>
  <c r="BP127" i="2"/>
  <c r="H564" i="2"/>
  <c r="BP132" i="2"/>
  <c r="BN132" i="2"/>
  <c r="Z132" i="2"/>
  <c r="Z134" i="2" s="1"/>
  <c r="Y139" i="2"/>
  <c r="Z137" i="2"/>
  <c r="BP149" i="2"/>
  <c r="BP163" i="2"/>
  <c r="BP164" i="2"/>
  <c r="BN164" i="2"/>
  <c r="Z164" i="2"/>
  <c r="BP184" i="2"/>
  <c r="BN184" i="2"/>
  <c r="Z184" i="2"/>
  <c r="Y212" i="2"/>
  <c r="BP211" i="2"/>
  <c r="BN211" i="2"/>
  <c r="Z211" i="2"/>
  <c r="Z212" i="2" s="1"/>
  <c r="Y213" i="2"/>
  <c r="BN215" i="2"/>
  <c r="BP219" i="2"/>
  <c r="BN219" i="2"/>
  <c r="Z219" i="2"/>
  <c r="BP226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564" i="2"/>
  <c r="X555" i="2"/>
  <c r="X556" i="2"/>
  <c r="X554" i="2"/>
  <c r="Y32" i="2"/>
  <c r="Y42" i="2"/>
  <c r="BN72" i="2"/>
  <c r="BN74" i="2"/>
  <c r="BP85" i="2"/>
  <c r="Y110" i="2"/>
  <c r="BP106" i="2"/>
  <c r="BP112" i="2"/>
  <c r="BN113" i="2"/>
  <c r="BP113" i="2"/>
  <c r="BN152" i="2"/>
  <c r="Y171" i="2"/>
  <c r="BP169" i="2"/>
  <c r="BN174" i="2"/>
  <c r="BP174" i="2"/>
  <c r="BN175" i="2"/>
  <c r="BN180" i="2"/>
  <c r="BP180" i="2"/>
  <c r="BN188" i="2"/>
  <c r="BP188" i="2"/>
  <c r="BP189" i="2"/>
  <c r="BN190" i="2"/>
  <c r="BP190" i="2"/>
  <c r="BN203" i="2"/>
  <c r="BP20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X557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Z117" i="2" s="1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191" i="2" l="1"/>
  <c r="Z408" i="2"/>
  <c r="Z32" i="2"/>
  <c r="Z207" i="2"/>
  <c r="Z547" i="2"/>
  <c r="Z434" i="2"/>
  <c r="Z334" i="2"/>
  <c r="Z457" i="2"/>
  <c r="Z467" i="2"/>
  <c r="Z24" i="2"/>
  <c r="Z42" i="2"/>
  <c r="Z124" i="2"/>
  <c r="Z154" i="2"/>
  <c r="Y554" i="2"/>
  <c r="Z69" i="2"/>
  <c r="Y556" i="2"/>
  <c r="Z75" i="2"/>
  <c r="Z274" i="2"/>
  <c r="Z242" i="2"/>
  <c r="Z90" i="2"/>
  <c r="Z327" i="2"/>
  <c r="Z62" i="2"/>
  <c r="Y558" i="2"/>
  <c r="Z514" i="2"/>
  <c r="Z483" i="2"/>
  <c r="Z230" i="2"/>
  <c r="Z51" i="2"/>
  <c r="Y555" i="2"/>
  <c r="Y557" i="2" s="1"/>
  <c r="Z494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<sst xmlns="http://schemas.openxmlformats.org/spreadsheetml/2006/main" count="4266" uniqueCount="900">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</sst>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 t="s">
        <v>899</v>
      </c>
      <c r="I5" s="653"/>
      <c r="J5" s="653"/>
      <c r="K5" s="653"/>
      <c r="L5" s="653"/>
      <c r="M5" s="653"/>
      <c r="N5" s="72"/>
      <c r="P5" s="27" t="s">
        <v>4</v>
      </c>
      <c r="Q5" s="655">
        <v>46288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Среда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0.45833333333333331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5500</v>
      </c>
      <c r="Y379" s="55">
        <f>IFERROR(IF(X379="",0,CEILING((X379/$H379),1)*$H379),"")</f>
        <v>5506.8</v>
      </c>
      <c r="Z379" s="41">
        <f>IFERROR(IF(Y379=0,"",ROUNDUP(Y379/H379,0)*0.01898),"")</f>
        <v>13.39988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5844.1025641025644</v>
      </c>
      <c r="BN379" s="78">
        <f>IFERROR(Y379*I379/H379,"0")</f>
        <v>5851.3280000000004</v>
      </c>
      <c r="BO379" s="78">
        <f>IFERROR(1/J379*(X379/H379),"0")</f>
        <v>11.017628205128206</v>
      </c>
      <c r="BP379" s="78">
        <f>IFERROR(1/J379*(Y379/H379),"0")</f>
        <v>11.03125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705.1282051282052</v>
      </c>
      <c r="Y383" s="43">
        <f>IFERROR(Y379/H379,"0")+IFERROR(Y380/H380,"0")+IFERROR(Y381/H381,"0")+IFERROR(Y382/H382,"0")</f>
        <v>706</v>
      </c>
      <c r="Z383" s="43">
        <f>IFERROR(IF(Z379="",0,Z379),"0")+IFERROR(IF(Z380="",0,Z380),"0")+IFERROR(IF(Z381="",0,Z381),"0")+IFERROR(IF(Z382="",0,Z382),"0")</f>
        <v>13.39988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5500</v>
      </c>
      <c r="Y384" s="43">
        <f>IFERROR(SUM(Y379:Y382),"0")</f>
        <v>5506.8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5500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5506.8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5844.1025641025644</v>
      </c>
      <c r="Y555" s="43">
        <f>IFERROR(SUM(BN22:BN551),"0")</f>
        <v>5851.3280000000004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12</v>
      </c>
      <c r="Y556" s="44">
        <f>ROUNDUP(SUM(BP22:BP551),0)</f>
        <v>12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6144.1025641025644</v>
      </c>
      <c r="Y557" s="43">
        <f>GrossWeightTotalR+PalletQtyTotalR*25</f>
        <v>6151.3280000000004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705.1282051282052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706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13.39988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5506.8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"/>
        <filter val="5 500,00"/>
        <filter val="5 844,10"/>
        <filter val="6 144,10"/>
        <filter val="705,13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2026-09-21T10:52:41Z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