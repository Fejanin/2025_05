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76A9C98-7283-4F10-9A47-9B31E63DF81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P551" i="2"/>
  <c r="BO550" i="2"/>
  <c r="BM550" i="2"/>
  <c r="Y550" i="2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P534" i="2"/>
  <c r="X530" i="2"/>
  <c r="X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N524" i="2" s="1"/>
  <c r="P524" i="2"/>
  <c r="BO523" i="2"/>
  <c r="BM523" i="2"/>
  <c r="Y523" i="2"/>
  <c r="Z523" i="2" s="1"/>
  <c r="P523" i="2"/>
  <c r="BO522" i="2"/>
  <c r="BM522" i="2"/>
  <c r="Y522" i="2"/>
  <c r="BN522" i="2" s="1"/>
  <c r="P522" i="2"/>
  <c r="X520" i="2"/>
  <c r="X519" i="2"/>
  <c r="BO518" i="2"/>
  <c r="BM518" i="2"/>
  <c r="Y518" i="2"/>
  <c r="Z518" i="2" s="1"/>
  <c r="P518" i="2"/>
  <c r="BP517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BN504" i="2" s="1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P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P487" i="2"/>
  <c r="BO486" i="2"/>
  <c r="BM486" i="2"/>
  <c r="Y486" i="2"/>
  <c r="Z486" i="2" s="1"/>
  <c r="P486" i="2"/>
  <c r="X484" i="2"/>
  <c r="X483" i="2"/>
  <c r="BO482" i="2"/>
  <c r="BM482" i="2"/>
  <c r="Y482" i="2"/>
  <c r="BN482" i="2" s="1"/>
  <c r="P482" i="2"/>
  <c r="BO481" i="2"/>
  <c r="BM481" i="2"/>
  <c r="Y481" i="2"/>
  <c r="BP481" i="2" s="1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Z478" i="2" s="1"/>
  <c r="P478" i="2"/>
  <c r="BO477" i="2"/>
  <c r="BM477" i="2"/>
  <c r="Y477" i="2"/>
  <c r="P477" i="2"/>
  <c r="X473" i="2"/>
  <c r="X472" i="2"/>
  <c r="BO471" i="2"/>
  <c r="BM471" i="2"/>
  <c r="Y471" i="2"/>
  <c r="Z471" i="2" s="1"/>
  <c r="P471" i="2"/>
  <c r="BP470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P460" i="2"/>
  <c r="BO460" i="2"/>
  <c r="BM460" i="2"/>
  <c r="Y460" i="2"/>
  <c r="P460" i="2"/>
  <c r="X457" i="2"/>
  <c r="X456" i="2"/>
  <c r="BO455" i="2"/>
  <c r="BM455" i="2"/>
  <c r="Y455" i="2"/>
  <c r="BP455" i="2" s="1"/>
  <c r="P455" i="2"/>
  <c r="BO454" i="2"/>
  <c r="BM454" i="2"/>
  <c r="Y454" i="2"/>
  <c r="BP454" i="2" s="1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BN443" i="2" s="1"/>
  <c r="P443" i="2"/>
  <c r="BO442" i="2"/>
  <c r="BM442" i="2"/>
  <c r="Y442" i="2"/>
  <c r="BP442" i="2" s="1"/>
  <c r="P442" i="2"/>
  <c r="X440" i="2"/>
  <c r="X439" i="2"/>
  <c r="BO438" i="2"/>
  <c r="BM438" i="2"/>
  <c r="Y438" i="2"/>
  <c r="BN438" i="2" s="1"/>
  <c r="P438" i="2"/>
  <c r="BP437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N411" i="2" s="1"/>
  <c r="P411" i="2"/>
  <c r="BO410" i="2"/>
  <c r="BM410" i="2"/>
  <c r="Y410" i="2"/>
  <c r="Y414" i="2" s="1"/>
  <c r="P410" i="2"/>
  <c r="X408" i="2"/>
  <c r="X407" i="2"/>
  <c r="BO406" i="2"/>
  <c r="BM406" i="2"/>
  <c r="Y406" i="2"/>
  <c r="BP406" i="2" s="1"/>
  <c r="P406" i="2"/>
  <c r="BO405" i="2"/>
  <c r="BM405" i="2"/>
  <c r="Y405" i="2"/>
  <c r="P405" i="2"/>
  <c r="BO404" i="2"/>
  <c r="BM404" i="2"/>
  <c r="Y404" i="2"/>
  <c r="BP404" i="2" s="1"/>
  <c r="P404" i="2"/>
  <c r="X402" i="2"/>
  <c r="X401" i="2"/>
  <c r="BP400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Z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Z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Y360" i="2" s="1"/>
  <c r="P358" i="2"/>
  <c r="BO357" i="2"/>
  <c r="BM357" i="2"/>
  <c r="Y357" i="2"/>
  <c r="BN357" i="2" s="1"/>
  <c r="P357" i="2"/>
  <c r="X354" i="2"/>
  <c r="X353" i="2"/>
  <c r="BO352" i="2"/>
  <c r="BM352" i="2"/>
  <c r="Y352" i="2"/>
  <c r="P352" i="2"/>
  <c r="BO351" i="2"/>
  <c r="BM351" i="2"/>
  <c r="Y351" i="2"/>
  <c r="BN351" i="2" s="1"/>
  <c r="P351" i="2"/>
  <c r="X349" i="2"/>
  <c r="X348" i="2"/>
  <c r="BO347" i="2"/>
  <c r="BM347" i="2"/>
  <c r="Y347" i="2"/>
  <c r="P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Z343" i="2"/>
  <c r="Y343" i="2"/>
  <c r="P343" i="2"/>
  <c r="X340" i="2"/>
  <c r="X339" i="2"/>
  <c r="BO338" i="2"/>
  <c r="BM338" i="2"/>
  <c r="Y338" i="2"/>
  <c r="BN338" i="2" s="1"/>
  <c r="P338" i="2"/>
  <c r="BO337" i="2"/>
  <c r="BM337" i="2"/>
  <c r="Y337" i="2"/>
  <c r="P337" i="2"/>
  <c r="BO336" i="2"/>
  <c r="BM336" i="2"/>
  <c r="Y336" i="2"/>
  <c r="Z336" i="2" s="1"/>
  <c r="P336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X319" i="2"/>
  <c r="X318" i="2"/>
  <c r="BO317" i="2"/>
  <c r="BM317" i="2"/>
  <c r="Y317" i="2"/>
  <c r="P317" i="2"/>
  <c r="X315" i="2"/>
  <c r="X314" i="2"/>
  <c r="BO313" i="2"/>
  <c r="BM313" i="2"/>
  <c r="Y313" i="2"/>
  <c r="P313" i="2"/>
  <c r="X311" i="2"/>
  <c r="X310" i="2"/>
  <c r="BO309" i="2"/>
  <c r="BM309" i="2"/>
  <c r="Y309" i="2"/>
  <c r="BP309" i="2" s="1"/>
  <c r="P309" i="2"/>
  <c r="BO308" i="2"/>
  <c r="BM308" i="2"/>
  <c r="Z308" i="2"/>
  <c r="Y308" i="2"/>
  <c r="BP308" i="2" s="1"/>
  <c r="P308" i="2"/>
  <c r="BO307" i="2"/>
  <c r="BM307" i="2"/>
  <c r="Y307" i="2"/>
  <c r="BN307" i="2" s="1"/>
  <c r="P307" i="2"/>
  <c r="BO306" i="2"/>
  <c r="BM306" i="2"/>
  <c r="Y306" i="2"/>
  <c r="Z306" i="2" s="1"/>
  <c r="P306" i="2"/>
  <c r="BO305" i="2"/>
  <c r="BM305" i="2"/>
  <c r="Y305" i="2"/>
  <c r="BP305" i="2" s="1"/>
  <c r="P305" i="2"/>
  <c r="BO304" i="2"/>
  <c r="BM304" i="2"/>
  <c r="Z304" i="2"/>
  <c r="Y304" i="2"/>
  <c r="BN304" i="2" s="1"/>
  <c r="P304" i="2"/>
  <c r="BO303" i="2"/>
  <c r="BM303" i="2"/>
  <c r="Y303" i="2"/>
  <c r="BP303" i="2" s="1"/>
  <c r="P303" i="2"/>
  <c r="X300" i="2"/>
  <c r="X299" i="2"/>
  <c r="BO298" i="2"/>
  <c r="BM298" i="2"/>
  <c r="Y298" i="2"/>
  <c r="BN298" i="2" s="1"/>
  <c r="P298" i="2"/>
  <c r="BO297" i="2"/>
  <c r="BM297" i="2"/>
  <c r="Y297" i="2"/>
  <c r="BP297" i="2" s="1"/>
  <c r="P297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BO291" i="2"/>
  <c r="BM291" i="2"/>
  <c r="Y291" i="2"/>
  <c r="P291" i="2"/>
  <c r="BO290" i="2"/>
  <c r="BM290" i="2"/>
  <c r="Y290" i="2"/>
  <c r="Z290" i="2" s="1"/>
  <c r="P290" i="2"/>
  <c r="BP289" i="2"/>
  <c r="BO289" i="2"/>
  <c r="BM289" i="2"/>
  <c r="Y289" i="2"/>
  <c r="P289" i="2"/>
  <c r="BO288" i="2"/>
  <c r="BM288" i="2"/>
  <c r="Y288" i="2"/>
  <c r="Z288" i="2" s="1"/>
  <c r="P288" i="2"/>
  <c r="BO287" i="2"/>
  <c r="BN287" i="2"/>
  <c r="BM287" i="2"/>
  <c r="Z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X280" i="2"/>
  <c r="X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P272" i="2"/>
  <c r="BO271" i="2"/>
  <c r="BM271" i="2"/>
  <c r="Y271" i="2"/>
  <c r="Z271" i="2" s="1"/>
  <c r="P271" i="2"/>
  <c r="X269" i="2"/>
  <c r="X268" i="2"/>
  <c r="BO267" i="2"/>
  <c r="BM267" i="2"/>
  <c r="Y267" i="2"/>
  <c r="BP267" i="2" s="1"/>
  <c r="P267" i="2"/>
  <c r="BO266" i="2"/>
  <c r="BM266" i="2"/>
  <c r="Y266" i="2"/>
  <c r="Y268" i="2" s="1"/>
  <c r="P266" i="2"/>
  <c r="X264" i="2"/>
  <c r="X263" i="2"/>
  <c r="BO262" i="2"/>
  <c r="BM262" i="2"/>
  <c r="Y262" i="2"/>
  <c r="P262" i="2"/>
  <c r="BO261" i="2"/>
  <c r="BM261" i="2"/>
  <c r="Y261" i="2"/>
  <c r="BN261" i="2" s="1"/>
  <c r="P261" i="2"/>
  <c r="X258" i="2"/>
  <c r="X257" i="2"/>
  <c r="BO256" i="2"/>
  <c r="BM256" i="2"/>
  <c r="Y256" i="2"/>
  <c r="BN256" i="2" s="1"/>
  <c r="P256" i="2"/>
  <c r="X254" i="2"/>
  <c r="X253" i="2"/>
  <c r="BO252" i="2"/>
  <c r="BM252" i="2"/>
  <c r="Y252" i="2"/>
  <c r="Z252" i="2" s="1"/>
  <c r="P252" i="2"/>
  <c r="BO251" i="2"/>
  <c r="BM251" i="2"/>
  <c r="Y251" i="2"/>
  <c r="BP251" i="2" s="1"/>
  <c r="P251" i="2"/>
  <c r="BO250" i="2"/>
  <c r="BM250" i="2"/>
  <c r="Z250" i="2"/>
  <c r="Y250" i="2"/>
  <c r="P250" i="2"/>
  <c r="X248" i="2"/>
  <c r="X247" i="2"/>
  <c r="BO246" i="2"/>
  <c r="BM246" i="2"/>
  <c r="Y246" i="2"/>
  <c r="Z246" i="2" s="1"/>
  <c r="P246" i="2"/>
  <c r="BO245" i="2"/>
  <c r="BM245" i="2"/>
  <c r="Y245" i="2"/>
  <c r="Z245" i="2" s="1"/>
  <c r="P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P239" i="2"/>
  <c r="BO238" i="2"/>
  <c r="BM238" i="2"/>
  <c r="Y238" i="2"/>
  <c r="BP238" i="2" s="1"/>
  <c r="P238" i="2"/>
  <c r="X236" i="2"/>
  <c r="X235" i="2"/>
  <c r="BO234" i="2"/>
  <c r="BM234" i="2"/>
  <c r="Z234" i="2"/>
  <c r="Y234" i="2"/>
  <c r="BP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P230" i="2"/>
  <c r="BO230" i="2"/>
  <c r="BN230" i="2"/>
  <c r="BM230" i="2"/>
  <c r="Z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N205" i="2" s="1"/>
  <c r="P205" i="2"/>
  <c r="X201" i="2"/>
  <c r="X200" i="2"/>
  <c r="BO199" i="2"/>
  <c r="BM199" i="2"/>
  <c r="Y199" i="2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P189" i="2"/>
  <c r="X187" i="2"/>
  <c r="X186" i="2"/>
  <c r="BO185" i="2"/>
  <c r="BM185" i="2"/>
  <c r="Y185" i="2"/>
  <c r="P185" i="2"/>
  <c r="BO184" i="2"/>
  <c r="BM184" i="2"/>
  <c r="Y184" i="2"/>
  <c r="P184" i="2"/>
  <c r="BO183" i="2"/>
  <c r="BM183" i="2"/>
  <c r="Z183" i="2"/>
  <c r="Y183" i="2"/>
  <c r="BN183" i="2" s="1"/>
  <c r="P183" i="2"/>
  <c r="BO182" i="2"/>
  <c r="BM182" i="2"/>
  <c r="Y182" i="2"/>
  <c r="P182" i="2"/>
  <c r="BO181" i="2"/>
  <c r="BN181" i="2"/>
  <c r="BM181" i="2"/>
  <c r="Z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BN175" i="2" s="1"/>
  <c r="P175" i="2"/>
  <c r="X173" i="2"/>
  <c r="X172" i="2"/>
  <c r="BO171" i="2"/>
  <c r="BM171" i="2"/>
  <c r="Y171" i="2"/>
  <c r="BP171" i="2" s="1"/>
  <c r="P171" i="2"/>
  <c r="BO170" i="2"/>
  <c r="BM170" i="2"/>
  <c r="Y170" i="2"/>
  <c r="Y172" i="2" s="1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Z163" i="2" s="1"/>
  <c r="P163" i="2"/>
  <c r="X160" i="2"/>
  <c r="X159" i="2"/>
  <c r="BO158" i="2"/>
  <c r="BM158" i="2"/>
  <c r="Y158" i="2"/>
  <c r="BP158" i="2" s="1"/>
  <c r="P158" i="2"/>
  <c r="X156" i="2"/>
  <c r="X155" i="2"/>
  <c r="BO154" i="2"/>
  <c r="BM154" i="2"/>
  <c r="Y154" i="2"/>
  <c r="BP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Z151" i="2" s="1"/>
  <c r="P151" i="2"/>
  <c r="BO150" i="2"/>
  <c r="BM150" i="2"/>
  <c r="Y150" i="2"/>
  <c r="Z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BN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BN138" i="2" s="1"/>
  <c r="P138" i="2"/>
  <c r="X136" i="2"/>
  <c r="X135" i="2"/>
  <c r="BO134" i="2"/>
  <c r="BM134" i="2"/>
  <c r="Y134" i="2"/>
  <c r="BN134" i="2" s="1"/>
  <c r="P134" i="2"/>
  <c r="BO133" i="2"/>
  <c r="BM133" i="2"/>
  <c r="Y133" i="2"/>
  <c r="P133" i="2"/>
  <c r="X130" i="2"/>
  <c r="X129" i="2"/>
  <c r="BO128" i="2"/>
  <c r="BM128" i="2"/>
  <c r="Y128" i="2"/>
  <c r="BN128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Z122" i="2"/>
  <c r="Y122" i="2"/>
  <c r="BN122" i="2" s="1"/>
  <c r="P122" i="2"/>
  <c r="BO121" i="2"/>
  <c r="BM121" i="2"/>
  <c r="Y121" i="2"/>
  <c r="BN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Z105" i="2"/>
  <c r="Y105" i="2"/>
  <c r="BN105" i="2" s="1"/>
  <c r="P105" i="2"/>
  <c r="BO104" i="2"/>
  <c r="BN104" i="2"/>
  <c r="BM104" i="2"/>
  <c r="Z104" i="2"/>
  <c r="Y104" i="2"/>
  <c r="BP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Z95" i="2"/>
  <c r="Y95" i="2"/>
  <c r="BP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Z75" i="2"/>
  <c r="Y75" i="2"/>
  <c r="P75" i="2"/>
  <c r="X73" i="2"/>
  <c r="X72" i="2"/>
  <c r="BO71" i="2"/>
  <c r="BM71" i="2"/>
  <c r="Y71" i="2"/>
  <c r="BN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BN68" i="2" s="1"/>
  <c r="P68" i="2"/>
  <c r="BO67" i="2"/>
  <c r="BM67" i="2"/>
  <c r="Y67" i="2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Z58" i="2"/>
  <c r="Y58" i="2"/>
  <c r="BN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BP47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C569" i="2" s="1"/>
  <c r="P37" i="2"/>
  <c r="X33" i="2"/>
  <c r="X32" i="2"/>
  <c r="BO31" i="2"/>
  <c r="BM31" i="2"/>
  <c r="Y31" i="2"/>
  <c r="Z31" i="2" s="1"/>
  <c r="P31" i="2"/>
  <c r="BO30" i="2"/>
  <c r="BM30" i="2"/>
  <c r="Y30" i="2"/>
  <c r="BP30" i="2" s="1"/>
  <c r="P30" i="2"/>
  <c r="BP29" i="2"/>
  <c r="BO29" i="2"/>
  <c r="BN29" i="2"/>
  <c r="BM29" i="2"/>
  <c r="Z29" i="2"/>
  <c r="Y29" i="2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J9" i="2" s="1"/>
  <c r="D7" i="2"/>
  <c r="Q6" i="2"/>
  <c r="P2" i="2"/>
  <c r="BN110" i="2" l="1"/>
  <c r="BN376" i="2"/>
  <c r="BN465" i="2"/>
  <c r="BN471" i="2"/>
  <c r="BN512" i="2"/>
  <c r="BN518" i="2"/>
  <c r="Z56" i="2"/>
  <c r="Z68" i="2"/>
  <c r="Z88" i="2"/>
  <c r="BN88" i="2"/>
  <c r="Z90" i="2"/>
  <c r="BN90" i="2"/>
  <c r="Z98" i="2"/>
  <c r="BN98" i="2"/>
  <c r="Z103" i="2"/>
  <c r="Z158" i="2"/>
  <c r="Z159" i="2" s="1"/>
  <c r="BN158" i="2"/>
  <c r="Z171" i="2"/>
  <c r="Z209" i="2"/>
  <c r="BN209" i="2"/>
  <c r="BN211" i="2"/>
  <c r="Z223" i="2"/>
  <c r="Z233" i="2"/>
  <c r="Z243" i="2"/>
  <c r="BN243" i="2"/>
  <c r="Z251" i="2"/>
  <c r="Z253" i="2" s="1"/>
  <c r="BN252" i="2"/>
  <c r="Z256" i="2"/>
  <c r="Z257" i="2" s="1"/>
  <c r="BN278" i="2"/>
  <c r="Z286" i="2"/>
  <c r="Z297" i="2"/>
  <c r="Z307" i="2"/>
  <c r="Z330" i="2"/>
  <c r="BN330" i="2"/>
  <c r="Z346" i="2"/>
  <c r="BN346" i="2"/>
  <c r="Z364" i="2"/>
  <c r="BN370" i="2"/>
  <c r="Z436" i="2"/>
  <c r="BN436" i="2"/>
  <c r="Y473" i="2"/>
  <c r="BN480" i="2"/>
  <c r="Y520" i="2"/>
  <c r="BN523" i="2"/>
  <c r="BP39" i="2"/>
  <c r="BP190" i="2"/>
  <c r="Y456" i="2"/>
  <c r="Z39" i="2"/>
  <c r="Z50" i="2"/>
  <c r="BP50" i="2"/>
  <c r="BP56" i="2"/>
  <c r="Z60" i="2"/>
  <c r="Z71" i="2"/>
  <c r="BP71" i="2"/>
  <c r="Y77" i="2"/>
  <c r="BN81" i="2"/>
  <c r="Z97" i="2"/>
  <c r="BP103" i="2"/>
  <c r="BN115" i="2"/>
  <c r="Z134" i="2"/>
  <c r="Z138" i="2"/>
  <c r="BP138" i="2"/>
  <c r="BN151" i="2"/>
  <c r="Y159" i="2"/>
  <c r="Z190" i="2"/>
  <c r="Z205" i="2"/>
  <c r="Z224" i="2"/>
  <c r="BP233" i="2"/>
  <c r="Z241" i="2"/>
  <c r="Z267" i="2"/>
  <c r="Z276" i="2"/>
  <c r="BP276" i="2"/>
  <c r="BP307" i="2"/>
  <c r="Z327" i="2"/>
  <c r="Z366" i="2"/>
  <c r="BP366" i="2"/>
  <c r="Z386" i="2"/>
  <c r="BP386" i="2"/>
  <c r="Z425" i="2"/>
  <c r="Y483" i="2"/>
  <c r="BP522" i="2"/>
  <c r="Z525" i="2"/>
  <c r="BP61" i="2"/>
  <c r="BP76" i="2"/>
  <c r="BN154" i="2"/>
  <c r="BN165" i="2"/>
  <c r="BN232" i="2"/>
  <c r="BP240" i="2"/>
  <c r="BN245" i="2"/>
  <c r="Y269" i="2"/>
  <c r="BP266" i="2"/>
  <c r="BN290" i="2"/>
  <c r="BN306" i="2"/>
  <c r="BN359" i="2"/>
  <c r="Z417" i="2"/>
  <c r="Z443" i="2"/>
  <c r="BN448" i="2"/>
  <c r="Y484" i="2"/>
  <c r="BP477" i="2"/>
  <c r="BN478" i="2"/>
  <c r="Z480" i="2"/>
  <c r="Z512" i="2"/>
  <c r="Z522" i="2"/>
  <c r="BP60" i="2"/>
  <c r="Z61" i="2"/>
  <c r="Y72" i="2"/>
  <c r="Z76" i="2"/>
  <c r="Z81" i="2"/>
  <c r="Z106" i="2"/>
  <c r="Y112" i="2"/>
  <c r="Z115" i="2"/>
  <c r="Z175" i="2"/>
  <c r="Z207" i="2"/>
  <c r="Z240" i="2"/>
  <c r="Y254" i="2"/>
  <c r="BP250" i="2"/>
  <c r="Z266" i="2"/>
  <c r="Z283" i="2"/>
  <c r="BP286" i="2"/>
  <c r="Z338" i="2"/>
  <c r="Z376" i="2"/>
  <c r="BN380" i="2"/>
  <c r="BN399" i="2"/>
  <c r="Z465" i="2"/>
  <c r="Z466" i="2" s="1"/>
  <c r="Z477" i="2"/>
  <c r="BN525" i="2"/>
  <c r="Z384" i="2"/>
  <c r="Z273" i="2"/>
  <c r="Z400" i="2"/>
  <c r="Z121" i="2"/>
  <c r="BN178" i="2"/>
  <c r="Z178" i="2"/>
  <c r="Z374" i="2"/>
  <c r="Z47" i="2"/>
  <c r="F10" i="2"/>
  <c r="BP109" i="2"/>
  <c r="BN109" i="2"/>
  <c r="H569" i="2"/>
  <c r="BN133" i="2"/>
  <c r="Z199" i="2"/>
  <c r="Z200" i="2" s="1"/>
  <c r="Y200" i="2"/>
  <c r="BN199" i="2"/>
  <c r="BP244" i="2"/>
  <c r="BN244" i="2"/>
  <c r="Z244" i="2"/>
  <c r="BP277" i="2"/>
  <c r="BN277" i="2"/>
  <c r="Z277" i="2"/>
  <c r="Z285" i="2"/>
  <c r="BN285" i="2"/>
  <c r="Z418" i="2"/>
  <c r="Z419" i="2" s="1"/>
  <c r="BN418" i="2"/>
  <c r="Y451" i="2"/>
  <c r="BP505" i="2"/>
  <c r="BN505" i="2"/>
  <c r="Z505" i="2"/>
  <c r="Y535" i="2"/>
  <c r="Y536" i="2"/>
  <c r="Z534" i="2"/>
  <c r="Z535" i="2" s="1"/>
  <c r="Y33" i="2"/>
  <c r="Z38" i="2"/>
  <c r="BP38" i="2"/>
  <c r="BN49" i="2"/>
  <c r="Z59" i="2"/>
  <c r="BP59" i="2"/>
  <c r="Z67" i="2"/>
  <c r="Z70" i="2"/>
  <c r="BP105" i="2"/>
  <c r="Z109" i="2"/>
  <c r="BN227" i="2"/>
  <c r="BP227" i="2"/>
  <c r="Z227" i="2"/>
  <c r="BP331" i="2"/>
  <c r="BN331" i="2"/>
  <c r="Z331" i="2"/>
  <c r="BN397" i="2"/>
  <c r="Z397" i="2"/>
  <c r="BN437" i="2"/>
  <c r="Z437" i="2"/>
  <c r="Y500" i="2"/>
  <c r="Z528" i="2"/>
  <c r="BN528" i="2"/>
  <c r="BP551" i="2"/>
  <c r="BN551" i="2"/>
  <c r="BP31" i="2"/>
  <c r="BP166" i="2"/>
  <c r="Z166" i="2"/>
  <c r="BN185" i="2"/>
  <c r="BP185" i="2"/>
  <c r="Z185" i="2"/>
  <c r="BP345" i="2"/>
  <c r="BN345" i="2"/>
  <c r="BP367" i="2"/>
  <c r="BN367" i="2"/>
  <c r="Z367" i="2"/>
  <c r="BN31" i="2"/>
  <c r="BP58" i="2"/>
  <c r="BP68" i="2"/>
  <c r="BP87" i="2"/>
  <c r="Z89" i="2"/>
  <c r="Z92" i="2" s="1"/>
  <c r="BN89" i="2"/>
  <c r="BP91" i="2"/>
  <c r="Z91" i="2"/>
  <c r="BN97" i="2"/>
  <c r="BP143" i="2"/>
  <c r="BN149" i="2"/>
  <c r="BP149" i="2"/>
  <c r="Z149" i="2"/>
  <c r="BN195" i="2"/>
  <c r="Z195" i="2"/>
  <c r="Z196" i="2" s="1"/>
  <c r="Y201" i="2"/>
  <c r="BN206" i="2"/>
  <c r="BP206" i="2"/>
  <c r="Z206" i="2"/>
  <c r="BP210" i="2"/>
  <c r="Z210" i="2"/>
  <c r="Y323" i="2"/>
  <c r="Y322" i="2"/>
  <c r="BN321" i="2"/>
  <c r="BP387" i="2"/>
  <c r="BN387" i="2"/>
  <c r="Z387" i="2"/>
  <c r="BN393" i="2"/>
  <c r="Z393" i="2"/>
  <c r="BP435" i="2"/>
  <c r="BN435" i="2"/>
  <c r="BN487" i="2"/>
  <c r="BP487" i="2"/>
  <c r="Z487" i="2"/>
  <c r="Z488" i="2" s="1"/>
  <c r="BN179" i="2"/>
  <c r="Z179" i="2"/>
  <c r="BP231" i="2"/>
  <c r="Z231" i="2"/>
  <c r="B569" i="2"/>
  <c r="BP49" i="2"/>
  <c r="Y65" i="2"/>
  <c r="BN67" i="2"/>
  <c r="Z77" i="2"/>
  <c r="Y78" i="2"/>
  <c r="BP82" i="2"/>
  <c r="Y92" i="2"/>
  <c r="BP133" i="2"/>
  <c r="BP179" i="2"/>
  <c r="BN182" i="2"/>
  <c r="BP182" i="2"/>
  <c r="Z182" i="2"/>
  <c r="BP199" i="2"/>
  <c r="BP285" i="2"/>
  <c r="Y294" i="2"/>
  <c r="Z309" i="2"/>
  <c r="BN309" i="2"/>
  <c r="BP377" i="2"/>
  <c r="BN377" i="2"/>
  <c r="Z377" i="2"/>
  <c r="Y389" i="2"/>
  <c r="BP418" i="2"/>
  <c r="Z454" i="2"/>
  <c r="Y457" i="2"/>
  <c r="BN454" i="2"/>
  <c r="X569" i="2"/>
  <c r="Z460" i="2"/>
  <c r="Y489" i="2"/>
  <c r="Z496" i="2"/>
  <c r="Y499" i="2"/>
  <c r="BN496" i="2"/>
  <c r="BP534" i="2"/>
  <c r="Y547" i="2"/>
  <c r="Y548" i="2"/>
  <c r="Z546" i="2"/>
  <c r="Z547" i="2" s="1"/>
  <c r="BP189" i="2"/>
  <c r="BP211" i="2"/>
  <c r="BP224" i="2"/>
  <c r="BP232" i="2"/>
  <c r="BN234" i="2"/>
  <c r="BN242" i="2"/>
  <c r="BN250" i="2"/>
  <c r="BN267" i="2"/>
  <c r="BP273" i="2"/>
  <c r="BN275" i="2"/>
  <c r="BN288" i="2"/>
  <c r="Y300" i="2"/>
  <c r="BP298" i="2"/>
  <c r="BP306" i="2"/>
  <c r="BN308" i="2"/>
  <c r="Y333" i="2"/>
  <c r="BP327" i="2"/>
  <c r="BN329" i="2"/>
  <c r="BP338" i="2"/>
  <c r="Y349" i="2"/>
  <c r="BP343" i="2"/>
  <c r="Y361" i="2"/>
  <c r="BN365" i="2"/>
  <c r="BN375" i="2"/>
  <c r="BN385" i="2"/>
  <c r="BP411" i="2"/>
  <c r="BN412" i="2"/>
  <c r="Y427" i="2"/>
  <c r="BN424" i="2"/>
  <c r="BP425" i="2"/>
  <c r="BP438" i="2"/>
  <c r="BP443" i="2"/>
  <c r="BP448" i="2"/>
  <c r="BN449" i="2"/>
  <c r="BN455" i="2"/>
  <c r="BP461" i="2"/>
  <c r="BN477" i="2"/>
  <c r="BP478" i="2"/>
  <c r="BN479" i="2"/>
  <c r="BP507" i="2"/>
  <c r="BN508" i="2"/>
  <c r="BP523" i="2"/>
  <c r="BN542" i="2"/>
  <c r="Y543" i="2"/>
  <c r="BP110" i="2"/>
  <c r="BP122" i="2"/>
  <c r="Z154" i="2"/>
  <c r="Y160" i="2"/>
  <c r="Z165" i="2"/>
  <c r="BN171" i="2"/>
  <c r="Z177" i="2"/>
  <c r="BN223" i="2"/>
  <c r="BP225" i="2"/>
  <c r="BP228" i="2"/>
  <c r="BP245" i="2"/>
  <c r="BP252" i="2"/>
  <c r="BN266" i="2"/>
  <c r="BP278" i="2"/>
  <c r="BP283" i="2"/>
  <c r="BN297" i="2"/>
  <c r="BP370" i="2"/>
  <c r="BP380" i="2"/>
  <c r="Y388" i="2"/>
  <c r="Y395" i="2"/>
  <c r="BP392" i="2"/>
  <c r="BP433" i="2"/>
  <c r="Y452" i="2"/>
  <c r="BP471" i="2"/>
  <c r="Y569" i="2"/>
  <c r="BP482" i="2"/>
  <c r="AA569" i="2"/>
  <c r="BP504" i="2"/>
  <c r="BP518" i="2"/>
  <c r="BP527" i="2"/>
  <c r="BP151" i="2"/>
  <c r="BP207" i="2"/>
  <c r="Y235" i="2"/>
  <c r="BP242" i="2"/>
  <c r="BP275" i="2"/>
  <c r="BP288" i="2"/>
  <c r="Y299" i="2"/>
  <c r="BP304" i="2"/>
  <c r="BP329" i="2"/>
  <c r="BP365" i="2"/>
  <c r="BP375" i="2"/>
  <c r="BP385" i="2"/>
  <c r="BP412" i="2"/>
  <c r="Y420" i="2"/>
  <c r="BN423" i="2"/>
  <c r="Z424" i="2"/>
  <c r="Y426" i="2"/>
  <c r="Z433" i="2"/>
  <c r="Z455" i="2"/>
  <c r="BP479" i="2"/>
  <c r="Y488" i="2"/>
  <c r="BP508" i="2"/>
  <c r="Y530" i="2"/>
  <c r="BP524" i="2"/>
  <c r="BP542" i="2"/>
  <c r="BP121" i="2"/>
  <c r="Y125" i="2"/>
  <c r="Y187" i="2"/>
  <c r="Y186" i="2"/>
  <c r="BP175" i="2"/>
  <c r="Y280" i="2"/>
  <c r="BN271" i="2"/>
  <c r="BP293" i="2"/>
  <c r="Z293" i="2"/>
  <c r="BP550" i="2"/>
  <c r="BN550" i="2"/>
  <c r="Z550" i="2"/>
  <c r="Y553" i="2"/>
  <c r="Y552" i="2"/>
  <c r="BN184" i="2"/>
  <c r="Z184" i="2"/>
  <c r="BN326" i="2"/>
  <c r="Z326" i="2"/>
  <c r="P569" i="2"/>
  <c r="Y332" i="2"/>
  <c r="BP369" i="2"/>
  <c r="BN369" i="2"/>
  <c r="Z369" i="2"/>
  <c r="Y382" i="2"/>
  <c r="BP405" i="2"/>
  <c r="Z405" i="2"/>
  <c r="Z108" i="2"/>
  <c r="Z124" i="2"/>
  <c r="BN153" i="2"/>
  <c r="Z153" i="2"/>
  <c r="BP153" i="2"/>
  <c r="Z170" i="2"/>
  <c r="Y197" i="2"/>
  <c r="BP195" i="2"/>
  <c r="Y340" i="2"/>
  <c r="BP336" i="2"/>
  <c r="Y339" i="2"/>
  <c r="BN336" i="2"/>
  <c r="Q569" i="2"/>
  <c r="X560" i="2"/>
  <c r="D569" i="2"/>
  <c r="Z96" i="2"/>
  <c r="BN96" i="2"/>
  <c r="Y318" i="2"/>
  <c r="BP317" i="2"/>
  <c r="BN317" i="2"/>
  <c r="Y319" i="2"/>
  <c r="BP352" i="2"/>
  <c r="BN352" i="2"/>
  <c r="BN405" i="2"/>
  <c r="Z30" i="2"/>
  <c r="Z111" i="2"/>
  <c r="Z116" i="2"/>
  <c r="BN22" i="2"/>
  <c r="BN27" i="2"/>
  <c r="BN37" i="2"/>
  <c r="BN40" i="2"/>
  <c r="Z40" i="2"/>
  <c r="Z69" i="2"/>
  <c r="Y100" i="2"/>
  <c r="BN108" i="2"/>
  <c r="BN124" i="2"/>
  <c r="BN150" i="2"/>
  <c r="BN170" i="2"/>
  <c r="BP184" i="2"/>
  <c r="Y193" i="2"/>
  <c r="BP205" i="2"/>
  <c r="Y212" i="2"/>
  <c r="K569" i="2"/>
  <c r="Z226" i="2"/>
  <c r="BN229" i="2"/>
  <c r="Z229" i="2"/>
  <c r="BN246" i="2"/>
  <c r="BP271" i="2"/>
  <c r="Z317" i="2"/>
  <c r="Z318" i="2" s="1"/>
  <c r="BP326" i="2"/>
  <c r="Z352" i="2"/>
  <c r="BP511" i="2"/>
  <c r="Z511" i="2"/>
  <c r="Z22" i="2"/>
  <c r="Y64" i="2"/>
  <c r="BN30" i="2"/>
  <c r="BN111" i="2"/>
  <c r="BP220" i="2"/>
  <c r="Z220" i="2"/>
  <c r="BP379" i="2"/>
  <c r="BN379" i="2"/>
  <c r="Z379" i="2"/>
  <c r="X561" i="2"/>
  <c r="BN208" i="2"/>
  <c r="Z208" i="2"/>
  <c r="BP22" i="2"/>
  <c r="BP27" i="2"/>
  <c r="BP37" i="2"/>
  <c r="BN69" i="2"/>
  <c r="BN82" i="2"/>
  <c r="BP96" i="2"/>
  <c r="Y113" i="2"/>
  <c r="G569" i="2"/>
  <c r="BP108" i="2"/>
  <c r="BP116" i="2"/>
  <c r="Z144" i="2"/>
  <c r="BP150" i="2"/>
  <c r="BP170" i="2"/>
  <c r="BN176" i="2"/>
  <c r="Z176" i="2"/>
  <c r="BP176" i="2"/>
  <c r="BN226" i="2"/>
  <c r="Y236" i="2"/>
  <c r="BP246" i="2"/>
  <c r="BP261" i="2"/>
  <c r="Z261" i="2"/>
  <c r="M569" i="2"/>
  <c r="BN272" i="2"/>
  <c r="Z272" i="2"/>
  <c r="BN303" i="2"/>
  <c r="Z303" i="2"/>
  <c r="Y311" i="2"/>
  <c r="O569" i="2"/>
  <c r="BN511" i="2"/>
  <c r="BN139" i="2"/>
  <c r="Y141" i="2"/>
  <c r="BN220" i="2"/>
  <c r="BN337" i="2"/>
  <c r="Z337" i="2"/>
  <c r="Z339" i="2" s="1"/>
  <c r="BP434" i="2"/>
  <c r="BN434" i="2"/>
  <c r="Z434" i="2"/>
  <c r="Y73" i="2"/>
  <c r="BN117" i="2"/>
  <c r="Z117" i="2"/>
  <c r="Y135" i="2"/>
  <c r="Y136" i="2"/>
  <c r="Z139" i="2"/>
  <c r="Z140" i="2" s="1"/>
  <c r="BN144" i="2"/>
  <c r="Y196" i="2"/>
  <c r="BP208" i="2"/>
  <c r="Y247" i="2"/>
  <c r="BN238" i="2"/>
  <c r="Y348" i="2"/>
  <c r="Y43" i="2"/>
  <c r="Y126" i="2"/>
  <c r="Z238" i="2"/>
  <c r="Y248" i="2"/>
  <c r="BP272" i="2"/>
  <c r="BP291" i="2"/>
  <c r="Z291" i="2"/>
  <c r="BP347" i="2"/>
  <c r="BN347" i="2"/>
  <c r="Z37" i="2"/>
  <c r="Z62" i="2"/>
  <c r="BP75" i="2"/>
  <c r="BN75" i="2"/>
  <c r="Z80" i="2"/>
  <c r="Y83" i="2"/>
  <c r="BP221" i="2"/>
  <c r="BN221" i="2"/>
  <c r="Z221" i="2"/>
  <c r="Y279" i="2"/>
  <c r="Y310" i="2"/>
  <c r="BP337" i="2"/>
  <c r="Z347" i="2"/>
  <c r="W569" i="2"/>
  <c r="Y440" i="2"/>
  <c r="BP431" i="2"/>
  <c r="Y439" i="2"/>
  <c r="Z431" i="2"/>
  <c r="BP262" i="2"/>
  <c r="BN262" i="2"/>
  <c r="Z262" i="2"/>
  <c r="BN291" i="2"/>
  <c r="BN344" i="2"/>
  <c r="Y446" i="2"/>
  <c r="BP444" i="2"/>
  <c r="BN444" i="2"/>
  <c r="Z444" i="2"/>
  <c r="Z48" i="2"/>
  <c r="Z57" i="2"/>
  <c r="BN80" i="2"/>
  <c r="Y84" i="2"/>
  <c r="Z180" i="2"/>
  <c r="Z191" i="2"/>
  <c r="Z192" i="2" s="1"/>
  <c r="Y213" i="2"/>
  <c r="BN431" i="2"/>
  <c r="Z23" i="2"/>
  <c r="Y51" i="2"/>
  <c r="BN62" i="2"/>
  <c r="BP106" i="2"/>
  <c r="Z128" i="2"/>
  <c r="Z129" i="2" s="1"/>
  <c r="H9" i="2"/>
  <c r="F9" i="2"/>
  <c r="X563" i="2"/>
  <c r="BP67" i="2"/>
  <c r="BN70" i="2"/>
  <c r="Y93" i="2"/>
  <c r="Y118" i="2"/>
  <c r="Z123" i="2"/>
  <c r="Z125" i="2" s="1"/>
  <c r="BP134" i="2"/>
  <c r="Y140" i="2"/>
  <c r="I569" i="2"/>
  <c r="Y155" i="2"/>
  <c r="BN177" i="2"/>
  <c r="BN282" i="2"/>
  <c r="Z282" i="2"/>
  <c r="Y295" i="2"/>
  <c r="BN313" i="2"/>
  <c r="Z313" i="2"/>
  <c r="Z314" i="2" s="1"/>
  <c r="Y315" i="2"/>
  <c r="Y314" i="2"/>
  <c r="BP344" i="2"/>
  <c r="Y540" i="2"/>
  <c r="Y539" i="2"/>
  <c r="BP538" i="2"/>
  <c r="BN538" i="2"/>
  <c r="Z538" i="2"/>
  <c r="Z539" i="2" s="1"/>
  <c r="BN28" i="2"/>
  <c r="Z28" i="2"/>
  <c r="Z41" i="2"/>
  <c r="BN41" i="2"/>
  <c r="BN239" i="2"/>
  <c r="Z239" i="2"/>
  <c r="Y130" i="2"/>
  <c r="BP128" i="2"/>
  <c r="J569" i="2"/>
  <c r="BN163" i="2"/>
  <c r="Y167" i="2"/>
  <c r="Y24" i="2"/>
  <c r="Y32" i="2"/>
  <c r="BN180" i="2"/>
  <c r="BN191" i="2"/>
  <c r="BP216" i="2"/>
  <c r="Y218" i="2"/>
  <c r="L569" i="2"/>
  <c r="Y217" i="2"/>
  <c r="A10" i="2"/>
  <c r="Y52" i="2"/>
  <c r="BN95" i="2"/>
  <c r="Y99" i="2"/>
  <c r="BN123" i="2"/>
  <c r="Z152" i="2"/>
  <c r="BP163" i="2"/>
  <c r="Z216" i="2"/>
  <c r="Z217" i="2" s="1"/>
  <c r="Z222" i="2"/>
  <c r="Z225" i="2"/>
  <c r="BP256" i="2"/>
  <c r="Y258" i="2"/>
  <c r="Y257" i="2"/>
  <c r="Y263" i="2"/>
  <c r="BP358" i="2"/>
  <c r="BN358" i="2"/>
  <c r="Z358" i="2"/>
  <c r="Y372" i="2"/>
  <c r="Y402" i="2"/>
  <c r="BP398" i="2"/>
  <c r="Y401" i="2"/>
  <c r="BN398" i="2"/>
  <c r="Z398" i="2"/>
  <c r="BP28" i="2"/>
  <c r="BN48" i="2"/>
  <c r="BN57" i="2"/>
  <c r="F569" i="2"/>
  <c r="BN107" i="2"/>
  <c r="Z107" i="2"/>
  <c r="Z112" i="2" s="1"/>
  <c r="X559" i="2"/>
  <c r="Z63" i="2"/>
  <c r="BN63" i="2"/>
  <c r="Y145" i="2"/>
  <c r="Y146" i="2"/>
  <c r="Y156" i="2"/>
  <c r="Y173" i="2"/>
  <c r="Y192" i="2"/>
  <c r="BP282" i="2"/>
  <c r="BP313" i="2"/>
  <c r="Y353" i="2"/>
  <c r="BP351" i="2"/>
  <c r="Z351" i="2"/>
  <c r="Y354" i="2"/>
  <c r="Z27" i="2"/>
  <c r="BN23" i="2"/>
  <c r="Y42" i="2"/>
  <c r="Z99" i="2"/>
  <c r="Y119" i="2"/>
  <c r="Y25" i="2"/>
  <c r="BN55" i="2"/>
  <c r="E569" i="2"/>
  <c r="BP55" i="2"/>
  <c r="BN87" i="2"/>
  <c r="BP107" i="2"/>
  <c r="Y129" i="2"/>
  <c r="Z143" i="2"/>
  <c r="BN152" i="2"/>
  <c r="Z164" i="2"/>
  <c r="Z167" i="2" s="1"/>
  <c r="BN164" i="2"/>
  <c r="Y168" i="2"/>
  <c r="BP183" i="2"/>
  <c r="BN216" i="2"/>
  <c r="BN222" i="2"/>
  <c r="Z228" i="2"/>
  <c r="BP239" i="2"/>
  <c r="Y264" i="2"/>
  <c r="BN289" i="2"/>
  <c r="Z289" i="2"/>
  <c r="Z569" i="2"/>
  <c r="Y494" i="2"/>
  <c r="Y493" i="2"/>
  <c r="BP492" i="2"/>
  <c r="BN492" i="2"/>
  <c r="Z492" i="2"/>
  <c r="Z493" i="2" s="1"/>
  <c r="BN47" i="2"/>
  <c r="Z133" i="2"/>
  <c r="BN189" i="2"/>
  <c r="BN343" i="2"/>
  <c r="Y408" i="2"/>
  <c r="Y467" i="2"/>
  <c r="Y514" i="2"/>
  <c r="BP290" i="2"/>
  <c r="Z298" i="2"/>
  <c r="Z299" i="2" s="1"/>
  <c r="Z321" i="2"/>
  <c r="Z322" i="2" s="1"/>
  <c r="Z357" i="2"/>
  <c r="Z360" i="2" s="1"/>
  <c r="BP359" i="2"/>
  <c r="Z368" i="2"/>
  <c r="Z371" i="2" s="1"/>
  <c r="Z378" i="2"/>
  <c r="Z410" i="2"/>
  <c r="Y462" i="2"/>
  <c r="Z469" i="2"/>
  <c r="Z481" i="2"/>
  <c r="Z506" i="2"/>
  <c r="Z516" i="2"/>
  <c r="Z526" i="2"/>
  <c r="BN368" i="2"/>
  <c r="Y371" i="2"/>
  <c r="BN378" i="2"/>
  <c r="Y381" i="2"/>
  <c r="BN410" i="2"/>
  <c r="Y413" i="2"/>
  <c r="BN469" i="2"/>
  <c r="Y472" i="2"/>
  <c r="BN481" i="2"/>
  <c r="BN506" i="2"/>
  <c r="BN516" i="2"/>
  <c r="Y519" i="2"/>
  <c r="BN526" i="2"/>
  <c r="Y529" i="2"/>
  <c r="Y253" i="2"/>
  <c r="Y419" i="2"/>
  <c r="Z449" i="2"/>
  <c r="Y463" i="2"/>
  <c r="BN486" i="2"/>
  <c r="Z497" i="2"/>
  <c r="Z509" i="2"/>
  <c r="Z556" i="2"/>
  <c r="Z557" i="2" s="1"/>
  <c r="R569" i="2"/>
  <c r="BP357" i="2"/>
  <c r="BP368" i="2"/>
  <c r="BP378" i="2"/>
  <c r="BP410" i="2"/>
  <c r="BP469" i="2"/>
  <c r="Z479" i="2"/>
  <c r="Z504" i="2"/>
  <c r="BP516" i="2"/>
  <c r="Z524" i="2"/>
  <c r="S569" i="2"/>
  <c r="BP486" i="2"/>
  <c r="BN497" i="2"/>
  <c r="BN509" i="2"/>
  <c r="Y544" i="2"/>
  <c r="BN556" i="2"/>
  <c r="T569" i="2"/>
  <c r="Z406" i="2"/>
  <c r="Z432" i="2"/>
  <c r="Z442" i="2"/>
  <c r="Z445" i="2" s="1"/>
  <c r="U569" i="2"/>
  <c r="BN391" i="2"/>
  <c r="Y394" i="2"/>
  <c r="Z411" i="2"/>
  <c r="BN460" i="2"/>
  <c r="Z470" i="2"/>
  <c r="Z482" i="2"/>
  <c r="Z507" i="2"/>
  <c r="Z517" i="2"/>
  <c r="Z527" i="2"/>
  <c r="BP556" i="2"/>
  <c r="V569" i="2"/>
  <c r="Z274" i="2"/>
  <c r="Z284" i="2"/>
  <c r="Z305" i="2"/>
  <c r="Z328" i="2"/>
  <c r="BN406" i="2"/>
  <c r="BN432" i="2"/>
  <c r="BN442" i="2"/>
  <c r="Y445" i="2"/>
  <c r="Z345" i="2"/>
  <c r="Z348" i="2" s="1"/>
  <c r="BP391" i="2"/>
  <c r="Z399" i="2"/>
  <c r="Z423" i="2"/>
  <c r="Z426" i="2" s="1"/>
  <c r="Z435" i="2"/>
  <c r="Z551" i="2"/>
  <c r="Y557" i="2"/>
  <c r="BN166" i="2"/>
  <c r="BN210" i="2"/>
  <c r="BN231" i="2"/>
  <c r="BN241" i="2"/>
  <c r="BN251" i="2"/>
  <c r="BN274" i="2"/>
  <c r="BN284" i="2"/>
  <c r="Z292" i="2"/>
  <c r="BN305" i="2"/>
  <c r="BN328" i="2"/>
  <c r="BN364" i="2"/>
  <c r="BN374" i="2"/>
  <c r="BN384" i="2"/>
  <c r="Z404" i="2"/>
  <c r="BN417" i="2"/>
  <c r="Z450" i="2"/>
  <c r="BP465" i="2"/>
  <c r="Z498" i="2"/>
  <c r="Z510" i="2"/>
  <c r="BN534" i="2"/>
  <c r="BN546" i="2"/>
  <c r="BN292" i="2"/>
  <c r="Z392" i="2"/>
  <c r="BN404" i="2"/>
  <c r="Y407" i="2"/>
  <c r="Z438" i="2"/>
  <c r="BN450" i="2"/>
  <c r="Z461" i="2"/>
  <c r="BN498" i="2"/>
  <c r="BN510" i="2"/>
  <c r="Y513" i="2"/>
  <c r="BP546" i="2"/>
  <c r="Y558" i="2"/>
  <c r="BP423" i="2"/>
  <c r="AB569" i="2"/>
  <c r="Z462" i="2" l="1"/>
  <c r="Z135" i="2"/>
  <c r="Z353" i="2"/>
  <c r="Z83" i="2"/>
  <c r="Z172" i="2"/>
  <c r="Z268" i="2"/>
  <c r="Z483" i="2"/>
  <c r="Z32" i="2"/>
  <c r="Z186" i="2"/>
  <c r="Z212" i="2"/>
  <c r="Z72" i="2"/>
  <c r="Z388" i="2"/>
  <c r="Z279" i="2"/>
  <c r="Z394" i="2"/>
  <c r="Z64" i="2"/>
  <c r="Z51" i="2"/>
  <c r="Z529" i="2"/>
  <c r="Z499" i="2"/>
  <c r="Z472" i="2"/>
  <c r="Z401" i="2"/>
  <c r="Z118" i="2"/>
  <c r="Z519" i="2"/>
  <c r="Z155" i="2"/>
  <c r="Z381" i="2"/>
  <c r="Z451" i="2"/>
  <c r="Z413" i="2"/>
  <c r="Z247" i="2"/>
  <c r="Z456" i="2"/>
  <c r="Y560" i="2"/>
  <c r="Z332" i="2"/>
  <c r="Z235" i="2"/>
  <c r="Z294" i="2"/>
  <c r="Z310" i="2"/>
  <c r="Z439" i="2"/>
  <c r="Y559" i="2"/>
  <c r="Z24" i="2"/>
  <c r="Z145" i="2"/>
  <c r="Z42" i="2"/>
  <c r="Z552" i="2"/>
  <c r="Y563" i="2"/>
  <c r="Z263" i="2"/>
  <c r="Z513" i="2"/>
  <c r="Z407" i="2"/>
  <c r="Y561" i="2"/>
  <c r="X562" i="2"/>
  <c r="Z564" i="2" l="1"/>
  <c r="Y562" i="2"/>
</calcChain>
</file>

<file path=xl/sharedStrings.xml><?xml version="1.0" encoding="utf-8"?>
<sst xmlns="http://schemas.openxmlformats.org/spreadsheetml/2006/main" count="4295" uniqueCount="898">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</sst>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7" t="s">
        <v>8</v>
      </c>
      <c r="B5" s="997"/>
      <c r="C5" s="997"/>
      <c r="D5" s="998"/>
      <c r="E5" s="998"/>
      <c r="F5" s="999" t="s">
        <v>14</v>
      </c>
      <c r="G5" s="999"/>
      <c r="H5" s="998" t="s">
        <v>897</v>
      </c>
      <c r="I5" s="998"/>
      <c r="J5" s="998"/>
      <c r="K5" s="998"/>
      <c r="L5" s="998"/>
      <c r="M5" s="998"/>
      <c r="N5" s="72"/>
      <c r="P5" s="27" t="s">
        <v>4</v>
      </c>
      <c r="Q5" s="1000">
        <v>46296</v>
      </c>
      <c r="R5" s="1000"/>
      <c r="T5" s="1001" t="s">
        <v>3</v>
      </c>
      <c r="U5" s="1002"/>
      <c r="V5" s="1003" t="s">
        <v>873</v>
      </c>
      <c r="W5" s="1004"/>
      <c r="AB5" s="59"/>
      <c r="AC5" s="59"/>
      <c r="AD5" s="59"/>
      <c r="AE5" s="59"/>
    </row>
    <row r="6" spans="1:32" s="17" customFormat="1" ht="24" customHeight="1" x14ac:dyDescent="0.2">
      <c r="A6" s="997" t="s">
        <v>1</v>
      </c>
      <c r="B6" s="997"/>
      <c r="C6" s="997"/>
      <c r="D6" s="1005" t="s">
        <v>880</v>
      </c>
      <c r="E6" s="1005"/>
      <c r="F6" s="1005"/>
      <c r="G6" s="1005"/>
      <c r="H6" s="1005"/>
      <c r="I6" s="1005"/>
      <c r="J6" s="1005"/>
      <c r="K6" s="1005"/>
      <c r="L6" s="1005"/>
      <c r="M6" s="1005"/>
      <c r="N6" s="73"/>
      <c r="P6" s="27" t="s">
        <v>27</v>
      </c>
      <c r="Q6" s="1006" t="str">
        <f>IF(Q5=0," ",CHOOSE(WEEKDAY(Q5,2),"Понедельник","Вторник","Среда","Четверг","Пятница","Суббота","Воскресенье"))</f>
        <v>Четверг</v>
      </c>
      <c r="R6" s="1006"/>
      <c r="T6" s="1007" t="s">
        <v>5</v>
      </c>
      <c r="U6" s="1008"/>
      <c r="V6" s="1009" t="s">
        <v>70</v>
      </c>
      <c r="W6" s="101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5" t="str">
        <f>IFERROR(VLOOKUP(DeliveryAddress,Table,3,0),1)</f>
        <v>3</v>
      </c>
      <c r="E7" s="1016"/>
      <c r="F7" s="1016"/>
      <c r="G7" s="1016"/>
      <c r="H7" s="1016"/>
      <c r="I7" s="1016"/>
      <c r="J7" s="1016"/>
      <c r="K7" s="1016"/>
      <c r="L7" s="1016"/>
      <c r="M7" s="1017"/>
      <c r="N7" s="74"/>
      <c r="P7" s="29"/>
      <c r="Q7" s="48"/>
      <c r="R7" s="48"/>
      <c r="T7" s="1007"/>
      <c r="U7" s="1008"/>
      <c r="V7" s="1011"/>
      <c r="W7" s="1012"/>
      <c r="AB7" s="59"/>
      <c r="AC7" s="59"/>
      <c r="AD7" s="59"/>
      <c r="AE7" s="59"/>
    </row>
    <row r="8" spans="1:32" s="17" customFormat="1" ht="25.5" customHeight="1" x14ac:dyDescent="0.2">
      <c r="A8" s="1018" t="s">
        <v>58</v>
      </c>
      <c r="B8" s="1018"/>
      <c r="C8" s="1018"/>
      <c r="D8" s="1019"/>
      <c r="E8" s="1019"/>
      <c r="F8" s="1019"/>
      <c r="G8" s="1019"/>
      <c r="H8" s="1019"/>
      <c r="I8" s="1019"/>
      <c r="J8" s="1019"/>
      <c r="K8" s="1019"/>
      <c r="L8" s="1019"/>
      <c r="M8" s="1019"/>
      <c r="N8" s="75"/>
      <c r="P8" s="27" t="s">
        <v>11</v>
      </c>
      <c r="Q8" s="978">
        <v>0.41666666666666669</v>
      </c>
      <c r="R8" s="978"/>
      <c r="T8" s="1007"/>
      <c r="U8" s="1008"/>
      <c r="V8" s="1011"/>
      <c r="W8" s="1012"/>
      <c r="AB8" s="59"/>
      <c r="AC8" s="59"/>
      <c r="AD8" s="59"/>
      <c r="AE8" s="59"/>
    </row>
    <row r="9" spans="1:32" s="17" customFormat="1" ht="39.950000000000003" customHeight="1" x14ac:dyDescent="0.2">
      <c r="A9" s="9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8"/>
      <c r="C9" s="968"/>
      <c r="D9" s="969" t="s">
        <v>46</v>
      </c>
      <c r="E9" s="970"/>
      <c r="F9" s="9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8"/>
      <c r="H9" s="1020" t="str">
        <f>IF(AND($A$9="Тип доверенности/получателя при получении в адресе перегруза:",$D$9="Разовая доверенность"),"Введите ФИО","")</f>
        <v/>
      </c>
      <c r="I9" s="1020"/>
      <c r="J9" s="10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0"/>
      <c r="L9" s="1020"/>
      <c r="M9" s="1020"/>
      <c r="N9" s="70"/>
      <c r="P9" s="31" t="s">
        <v>15</v>
      </c>
      <c r="Q9" s="1021"/>
      <c r="R9" s="1021"/>
      <c r="T9" s="1007"/>
      <c r="U9" s="1008"/>
      <c r="V9" s="1013"/>
      <c r="W9" s="101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8"/>
      <c r="C10" s="968"/>
      <c r="D10" s="969"/>
      <c r="E10" s="970"/>
      <c r="F10" s="9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8"/>
      <c r="H10" s="971" t="str">
        <f>IFERROR(VLOOKUP($D$10,Proxy,2,FALSE),"")</f>
        <v/>
      </c>
      <c r="I10" s="971"/>
      <c r="J10" s="971"/>
      <c r="K10" s="971"/>
      <c r="L10" s="971"/>
      <c r="M10" s="971"/>
      <c r="N10" s="71"/>
      <c r="P10" s="31" t="s">
        <v>32</v>
      </c>
      <c r="Q10" s="972"/>
      <c r="R10" s="972"/>
      <c r="U10" s="29" t="s">
        <v>12</v>
      </c>
      <c r="V10" s="973" t="s">
        <v>71</v>
      </c>
      <c r="W10" s="9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5"/>
      <c r="R11" s="975"/>
      <c r="U11" s="29" t="s">
        <v>28</v>
      </c>
      <c r="V11" s="976" t="s">
        <v>55</v>
      </c>
      <c r="W11" s="9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7" t="s">
        <v>72</v>
      </c>
      <c r="B12" s="977"/>
      <c r="C12" s="977"/>
      <c r="D12" s="977"/>
      <c r="E12" s="977"/>
      <c r="F12" s="977"/>
      <c r="G12" s="977"/>
      <c r="H12" s="977"/>
      <c r="I12" s="977"/>
      <c r="J12" s="977"/>
      <c r="K12" s="977"/>
      <c r="L12" s="977"/>
      <c r="M12" s="977"/>
      <c r="N12" s="76"/>
      <c r="P12" s="27" t="s">
        <v>30</v>
      </c>
      <c r="Q12" s="978"/>
      <c r="R12" s="978"/>
      <c r="S12" s="28"/>
      <c r="T12"/>
      <c r="U12" s="29" t="s">
        <v>46</v>
      </c>
      <c r="V12" s="979"/>
      <c r="W12" s="979"/>
      <c r="X12"/>
      <c r="AB12" s="59"/>
      <c r="AC12" s="59"/>
      <c r="AD12" s="59"/>
      <c r="AE12" s="59"/>
    </row>
    <row r="13" spans="1:32" s="17" customFormat="1" ht="23.25" customHeight="1" x14ac:dyDescent="0.2">
      <c r="A13" s="977" t="s">
        <v>73</v>
      </c>
      <c r="B13" s="977"/>
      <c r="C13" s="977"/>
      <c r="D13" s="977"/>
      <c r="E13" s="977"/>
      <c r="F13" s="977"/>
      <c r="G13" s="977"/>
      <c r="H13" s="977"/>
      <c r="I13" s="977"/>
      <c r="J13" s="977"/>
      <c r="K13" s="977"/>
      <c r="L13" s="977"/>
      <c r="M13" s="977"/>
      <c r="N13" s="76"/>
      <c r="O13" s="31"/>
      <c r="P13" s="31" t="s">
        <v>31</v>
      </c>
      <c r="Q13" s="976"/>
      <c r="R13" s="9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7" t="s">
        <v>74</v>
      </c>
      <c r="B14" s="977"/>
      <c r="C14" s="977"/>
      <c r="D14" s="977"/>
      <c r="E14" s="977"/>
      <c r="F14" s="977"/>
      <c r="G14" s="977"/>
      <c r="H14" s="977"/>
      <c r="I14" s="977"/>
      <c r="J14" s="977"/>
      <c r="K14" s="977"/>
      <c r="L14" s="977"/>
      <c r="M14" s="9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0" t="s">
        <v>75</v>
      </c>
      <c r="B15" s="980"/>
      <c r="C15" s="980"/>
      <c r="D15" s="980"/>
      <c r="E15" s="980"/>
      <c r="F15" s="980"/>
      <c r="G15" s="980"/>
      <c r="H15" s="980"/>
      <c r="I15" s="980"/>
      <c r="J15" s="980"/>
      <c r="K15" s="980"/>
      <c r="L15" s="980"/>
      <c r="M15" s="980"/>
      <c r="N15" s="77"/>
      <c r="O15"/>
      <c r="P15" s="981" t="s">
        <v>61</v>
      </c>
      <c r="Q15" s="981"/>
      <c r="R15" s="981"/>
      <c r="S15" s="981"/>
      <c r="T15" s="98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2"/>
      <c r="Q16" s="982"/>
      <c r="R16" s="982"/>
      <c r="S16" s="982"/>
      <c r="T16" s="98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2" t="s">
        <v>59</v>
      </c>
      <c r="B17" s="952" t="s">
        <v>49</v>
      </c>
      <c r="C17" s="985" t="s">
        <v>48</v>
      </c>
      <c r="D17" s="987" t="s">
        <v>50</v>
      </c>
      <c r="E17" s="988"/>
      <c r="F17" s="952" t="s">
        <v>21</v>
      </c>
      <c r="G17" s="952" t="s">
        <v>24</v>
      </c>
      <c r="H17" s="952" t="s">
        <v>22</v>
      </c>
      <c r="I17" s="952" t="s">
        <v>23</v>
      </c>
      <c r="J17" s="952" t="s">
        <v>16</v>
      </c>
      <c r="K17" s="952" t="s">
        <v>66</v>
      </c>
      <c r="L17" s="952" t="s">
        <v>64</v>
      </c>
      <c r="M17" s="952" t="s">
        <v>2</v>
      </c>
      <c r="N17" s="952" t="s">
        <v>63</v>
      </c>
      <c r="O17" s="952" t="s">
        <v>25</v>
      </c>
      <c r="P17" s="987" t="s">
        <v>17</v>
      </c>
      <c r="Q17" s="991"/>
      <c r="R17" s="991"/>
      <c r="S17" s="991"/>
      <c r="T17" s="988"/>
      <c r="U17" s="983" t="s">
        <v>56</v>
      </c>
      <c r="V17" s="984"/>
      <c r="W17" s="952" t="s">
        <v>6</v>
      </c>
      <c r="X17" s="952" t="s">
        <v>41</v>
      </c>
      <c r="Y17" s="954" t="s">
        <v>54</v>
      </c>
      <c r="Z17" s="956" t="s">
        <v>18</v>
      </c>
      <c r="AA17" s="958" t="s">
        <v>60</v>
      </c>
      <c r="AB17" s="958" t="s">
        <v>19</v>
      </c>
      <c r="AC17" s="958" t="s">
        <v>65</v>
      </c>
      <c r="AD17" s="960" t="s">
        <v>57</v>
      </c>
      <c r="AE17" s="961"/>
      <c r="AF17" s="962"/>
      <c r="AG17" s="82"/>
      <c r="BD17" s="81" t="s">
        <v>62</v>
      </c>
    </row>
    <row r="18" spans="1:68" ht="14.25" customHeight="1" x14ac:dyDescent="0.2">
      <c r="A18" s="953"/>
      <c r="B18" s="953"/>
      <c r="C18" s="986"/>
      <c r="D18" s="989"/>
      <c r="E18" s="990"/>
      <c r="F18" s="953"/>
      <c r="G18" s="953"/>
      <c r="H18" s="953"/>
      <c r="I18" s="953"/>
      <c r="J18" s="953"/>
      <c r="K18" s="953"/>
      <c r="L18" s="953"/>
      <c r="M18" s="953"/>
      <c r="N18" s="953"/>
      <c r="O18" s="953"/>
      <c r="P18" s="989"/>
      <c r="Q18" s="992"/>
      <c r="R18" s="992"/>
      <c r="S18" s="992"/>
      <c r="T18" s="990"/>
      <c r="U18" s="83" t="s">
        <v>44</v>
      </c>
      <c r="V18" s="83" t="s">
        <v>43</v>
      </c>
      <c r="W18" s="953"/>
      <c r="X18" s="953"/>
      <c r="Y18" s="955"/>
      <c r="Z18" s="957"/>
      <c r="AA18" s="959"/>
      <c r="AB18" s="959"/>
      <c r="AC18" s="959"/>
      <c r="AD18" s="963"/>
      <c r="AE18" s="964"/>
      <c r="AF18" s="965"/>
      <c r="AG18" s="82"/>
      <c r="BD18" s="81"/>
    </row>
    <row r="19" spans="1:68" ht="27.75" hidden="1" customHeight="1" x14ac:dyDescent="0.2">
      <c r="A19" s="683" t="s">
        <v>76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54"/>
      <c r="AB19" s="54"/>
      <c r="AC19" s="54"/>
    </row>
    <row r="20" spans="1:68" ht="16.5" hidden="1" customHeight="1" x14ac:dyDescent="0.25">
      <c r="A20" s="672" t="s">
        <v>76</v>
      </c>
      <c r="B20" s="672"/>
      <c r="C20" s="672"/>
      <c r="D20" s="672"/>
      <c r="E20" s="672"/>
      <c r="F20" s="672"/>
      <c r="G20" s="672"/>
      <c r="H20" s="672"/>
      <c r="I20" s="672"/>
      <c r="J20" s="672"/>
      <c r="K20" s="672"/>
      <c r="L20" s="672"/>
      <c r="M20" s="672"/>
      <c r="N20" s="672"/>
      <c r="O20" s="672"/>
      <c r="P20" s="672"/>
      <c r="Q20" s="672"/>
      <c r="R20" s="672"/>
      <c r="S20" s="672"/>
      <c r="T20" s="672"/>
      <c r="U20" s="672"/>
      <c r="V20" s="672"/>
      <c r="W20" s="672"/>
      <c r="X20" s="672"/>
      <c r="Y20" s="672"/>
      <c r="Z20" s="672"/>
      <c r="AA20" s="65"/>
      <c r="AB20" s="65"/>
      <c r="AC20" s="79"/>
    </row>
    <row r="21" spans="1:68" ht="14.25" hidden="1" customHeight="1" x14ac:dyDescent="0.25">
      <c r="A21" s="665" t="s">
        <v>77</v>
      </c>
      <c r="B21" s="665"/>
      <c r="C21" s="665"/>
      <c r="D21" s="665"/>
      <c r="E21" s="665"/>
      <c r="F21" s="665"/>
      <c r="G21" s="665"/>
      <c r="H21" s="665"/>
      <c r="I21" s="665"/>
      <c r="J21" s="665"/>
      <c r="K21" s="665"/>
      <c r="L21" s="665"/>
      <c r="M21" s="665"/>
      <c r="N21" s="665"/>
      <c r="O21" s="665"/>
      <c r="P21" s="665"/>
      <c r="Q21" s="665"/>
      <c r="R21" s="665"/>
      <c r="S21" s="665"/>
      <c r="T21" s="665"/>
      <c r="U21" s="665"/>
      <c r="V21" s="665"/>
      <c r="W21" s="665"/>
      <c r="X21" s="665"/>
      <c r="Y21" s="665"/>
      <c r="Z21" s="665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6">
        <v>4680115886643</v>
      </c>
      <c r="E22" s="666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8"/>
      <c r="R22" s="668"/>
      <c r="S22" s="668"/>
      <c r="T22" s="669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6">
        <v>4680115889071</v>
      </c>
      <c r="E23" s="666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8"/>
      <c r="R23" s="668"/>
      <c r="S23" s="668"/>
      <c r="T23" s="669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5" t="s">
        <v>86</v>
      </c>
      <c r="B26" s="665"/>
      <c r="C26" s="665"/>
      <c r="D26" s="665"/>
      <c r="E26" s="665"/>
      <c r="F26" s="665"/>
      <c r="G26" s="665"/>
      <c r="H26" s="665"/>
      <c r="I26" s="665"/>
      <c r="J26" s="665"/>
      <c r="K26" s="665"/>
      <c r="L26" s="665"/>
      <c r="M26" s="665"/>
      <c r="N26" s="665"/>
      <c r="O26" s="665"/>
      <c r="P26" s="665"/>
      <c r="Q26" s="665"/>
      <c r="R26" s="665"/>
      <c r="S26" s="665"/>
      <c r="T26" s="665"/>
      <c r="U26" s="665"/>
      <c r="V26" s="665"/>
      <c r="W26" s="665"/>
      <c r="X26" s="665"/>
      <c r="Y26" s="665"/>
      <c r="Z26" s="665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6">
        <v>4680115885912</v>
      </c>
      <c r="E27" s="666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8"/>
      <c r="R27" s="668"/>
      <c r="S27" s="668"/>
      <c r="T27" s="669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6">
        <v>4607091388237</v>
      </c>
      <c r="E28" s="666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8"/>
      <c r="R28" s="668"/>
      <c r="S28" s="668"/>
      <c r="T28" s="669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6">
        <v>4680115887350</v>
      </c>
      <c r="E29" s="666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8"/>
      <c r="R29" s="668"/>
      <c r="S29" s="668"/>
      <c r="T29" s="669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6">
        <v>4680115885905</v>
      </c>
      <c r="E30" s="666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8"/>
      <c r="R30" s="668"/>
      <c r="S30" s="668"/>
      <c r="T30" s="669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6">
        <v>4680115887619</v>
      </c>
      <c r="E31" s="666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8"/>
      <c r="R31" s="668"/>
      <c r="S31" s="668"/>
      <c r="T31" s="669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3" t="s">
        <v>45</v>
      </c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683"/>
      <c r="O34" s="683"/>
      <c r="P34" s="683"/>
      <c r="Q34" s="683"/>
      <c r="R34" s="683"/>
      <c r="S34" s="683"/>
      <c r="T34" s="683"/>
      <c r="U34" s="683"/>
      <c r="V34" s="683"/>
      <c r="W34" s="683"/>
      <c r="X34" s="683"/>
      <c r="Y34" s="683"/>
      <c r="Z34" s="683"/>
      <c r="AA34" s="54"/>
      <c r="AB34" s="54"/>
      <c r="AC34" s="54"/>
    </row>
    <row r="35" spans="1:68" ht="16.5" hidden="1" customHeight="1" x14ac:dyDescent="0.25">
      <c r="A35" s="672" t="s">
        <v>104</v>
      </c>
      <c r="B35" s="672"/>
      <c r="C35" s="672"/>
      <c r="D35" s="672"/>
      <c r="E35" s="672"/>
      <c r="F35" s="672"/>
      <c r="G35" s="672"/>
      <c r="H35" s="672"/>
      <c r="I35" s="672"/>
      <c r="J35" s="672"/>
      <c r="K35" s="672"/>
      <c r="L35" s="672"/>
      <c r="M35" s="672"/>
      <c r="N35" s="672"/>
      <c r="O35" s="672"/>
      <c r="P35" s="672"/>
      <c r="Q35" s="672"/>
      <c r="R35" s="672"/>
      <c r="S35" s="672"/>
      <c r="T35" s="672"/>
      <c r="U35" s="672"/>
      <c r="V35" s="672"/>
      <c r="W35" s="672"/>
      <c r="X35" s="672"/>
      <c r="Y35" s="672"/>
      <c r="Z35" s="672"/>
      <c r="AA35" s="65"/>
      <c r="AB35" s="65"/>
      <c r="AC35" s="79"/>
    </row>
    <row r="36" spans="1:68" ht="14.25" hidden="1" customHeight="1" x14ac:dyDescent="0.25">
      <c r="A36" s="665" t="s">
        <v>86</v>
      </c>
      <c r="B36" s="665"/>
      <c r="C36" s="665"/>
      <c r="D36" s="665"/>
      <c r="E36" s="665"/>
      <c r="F36" s="665"/>
      <c r="G36" s="665"/>
      <c r="H36" s="665"/>
      <c r="I36" s="665"/>
      <c r="J36" s="665"/>
      <c r="K36" s="665"/>
      <c r="L36" s="665"/>
      <c r="M36" s="665"/>
      <c r="N36" s="665"/>
      <c r="O36" s="665"/>
      <c r="P36" s="665"/>
      <c r="Q36" s="665"/>
      <c r="R36" s="665"/>
      <c r="S36" s="665"/>
      <c r="T36" s="665"/>
      <c r="U36" s="665"/>
      <c r="V36" s="665"/>
      <c r="W36" s="665"/>
      <c r="X36" s="665"/>
      <c r="Y36" s="665"/>
      <c r="Z36" s="665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6">
        <v>4680115889354</v>
      </c>
      <c r="E37" s="666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8"/>
      <c r="R37" s="668"/>
      <c r="S37" s="668"/>
      <c r="T37" s="669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6">
        <v>4680115888463</v>
      </c>
      <c r="E38" s="666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8"/>
      <c r="R38" s="668"/>
      <c r="S38" s="668"/>
      <c r="T38" s="669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6">
        <v>4680115889590</v>
      </c>
      <c r="E39" s="666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8"/>
      <c r="R39" s="668"/>
      <c r="S39" s="668"/>
      <c r="T39" s="669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6">
        <v>4680115888272</v>
      </c>
      <c r="E40" s="666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8"/>
      <c r="R40" s="668"/>
      <c r="S40" s="668"/>
      <c r="T40" s="669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6">
        <v>4680115888364</v>
      </c>
      <c r="E41" s="666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8"/>
      <c r="R41" s="668"/>
      <c r="S41" s="668"/>
      <c r="T41" s="669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3" t="s">
        <v>120</v>
      </c>
      <c r="B44" s="683"/>
      <c r="C44" s="683"/>
      <c r="D44" s="683"/>
      <c r="E44" s="683"/>
      <c r="F44" s="683"/>
      <c r="G44" s="683"/>
      <c r="H44" s="683"/>
      <c r="I44" s="683"/>
      <c r="J44" s="683"/>
      <c r="K44" s="683"/>
      <c r="L44" s="683"/>
      <c r="M44" s="683"/>
      <c r="N44" s="683"/>
      <c r="O44" s="683"/>
      <c r="P44" s="683"/>
      <c r="Q44" s="683"/>
      <c r="R44" s="683"/>
      <c r="S44" s="683"/>
      <c r="T44" s="683"/>
      <c r="U44" s="683"/>
      <c r="V44" s="683"/>
      <c r="W44" s="683"/>
      <c r="X44" s="683"/>
      <c r="Y44" s="683"/>
      <c r="Z44" s="683"/>
      <c r="AA44" s="54"/>
      <c r="AB44" s="54"/>
      <c r="AC44" s="54"/>
    </row>
    <row r="45" spans="1:68" ht="16.5" hidden="1" customHeight="1" x14ac:dyDescent="0.25">
      <c r="A45" s="672" t="s">
        <v>121</v>
      </c>
      <c r="B45" s="672"/>
      <c r="C45" s="672"/>
      <c r="D45" s="672"/>
      <c r="E45" s="672"/>
      <c r="F45" s="672"/>
      <c r="G45" s="672"/>
      <c r="H45" s="672"/>
      <c r="I45" s="672"/>
      <c r="J45" s="672"/>
      <c r="K45" s="672"/>
      <c r="L45" s="672"/>
      <c r="M45" s="672"/>
      <c r="N45" s="672"/>
      <c r="O45" s="672"/>
      <c r="P45" s="672"/>
      <c r="Q45" s="672"/>
      <c r="R45" s="672"/>
      <c r="S45" s="672"/>
      <c r="T45" s="672"/>
      <c r="U45" s="672"/>
      <c r="V45" s="672"/>
      <c r="W45" s="672"/>
      <c r="X45" s="672"/>
      <c r="Y45" s="672"/>
      <c r="Z45" s="672"/>
      <c r="AA45" s="65"/>
      <c r="AB45" s="65"/>
      <c r="AC45" s="79"/>
    </row>
    <row r="46" spans="1:68" ht="14.25" hidden="1" customHeight="1" x14ac:dyDescent="0.25">
      <c r="A46" s="665" t="s">
        <v>122</v>
      </c>
      <c r="B46" s="665"/>
      <c r="C46" s="665"/>
      <c r="D46" s="665"/>
      <c r="E46" s="665"/>
      <c r="F46" s="665"/>
      <c r="G46" s="665"/>
      <c r="H46" s="665"/>
      <c r="I46" s="665"/>
      <c r="J46" s="665"/>
      <c r="K46" s="665"/>
      <c r="L46" s="665"/>
      <c r="M46" s="665"/>
      <c r="N46" s="665"/>
      <c r="O46" s="665"/>
      <c r="P46" s="665"/>
      <c r="Q46" s="665"/>
      <c r="R46" s="665"/>
      <c r="S46" s="665"/>
      <c r="T46" s="665"/>
      <c r="U46" s="665"/>
      <c r="V46" s="665"/>
      <c r="W46" s="665"/>
      <c r="X46" s="665"/>
      <c r="Y46" s="665"/>
      <c r="Z46" s="665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6">
        <v>4607091385670</v>
      </c>
      <c r="E47" s="666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8"/>
      <c r="R47" s="668"/>
      <c r="S47" s="668"/>
      <c r="T47" s="669"/>
      <c r="U47" s="39" t="s">
        <v>46</v>
      </c>
      <c r="V47" s="39" t="s">
        <v>46</v>
      </c>
      <c r="W47" s="40" t="s">
        <v>0</v>
      </c>
      <c r="X47" s="58">
        <v>670</v>
      </c>
      <c r="Y47" s="55">
        <f>IFERROR(IF(X47="",0,CEILING((X47/$H47),1)*$H47),"")</f>
        <v>680.40000000000009</v>
      </c>
      <c r="Z47" s="41">
        <f>IFERROR(IF(Y47=0,"",ROUNDUP(Y47/H47,0)*0.01898),"")</f>
        <v>1.19574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695.43518518518522</v>
      </c>
      <c r="BN47" s="78">
        <f>IFERROR(Y47*I47/H47,"0")</f>
        <v>706.23000000000013</v>
      </c>
      <c r="BO47" s="78">
        <f>IFERROR(1/J47*(X47/H47),"0")</f>
        <v>0.96932870370370361</v>
      </c>
      <c r="BP47" s="78">
        <f>IFERROR(1/J47*(Y47/H47),"0")</f>
        <v>0.98437500000000011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6">
        <v>4680115887725</v>
      </c>
      <c r="E48" s="666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8"/>
      <c r="R48" s="668"/>
      <c r="S48" s="668"/>
      <c r="T48" s="669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6">
        <v>4607091385687</v>
      </c>
      <c r="E49" s="666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8"/>
      <c r="R49" s="668"/>
      <c r="S49" s="668"/>
      <c r="T49" s="669"/>
      <c r="U49" s="39" t="s">
        <v>46</v>
      </c>
      <c r="V49" s="39" t="s">
        <v>46</v>
      </c>
      <c r="W49" s="40" t="s">
        <v>0</v>
      </c>
      <c r="X49" s="58">
        <v>80</v>
      </c>
      <c r="Y49" s="55">
        <f>IFERROR(IF(X49="",0,CEILING((X49/$H49),1)*$H49),"")</f>
        <v>80</v>
      </c>
      <c r="Z49" s="41">
        <f>IFERROR(IF(Y49=0,"",ROUNDUP(Y49/H49,0)*0.00902),"")</f>
        <v>0.1804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83.800000000000011</v>
      </c>
      <c r="BN49" s="78">
        <f>IFERROR(Y49*I49/H49,"0")</f>
        <v>83.800000000000011</v>
      </c>
      <c r="BO49" s="78">
        <f>IFERROR(1/J49*(X49/H49),"0")</f>
        <v>0.15151515151515152</v>
      </c>
      <c r="BP49" s="78">
        <f>IFERROR(1/J49*(Y49/H49),"0")</f>
        <v>0.15151515151515152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6">
        <v>4680115882539</v>
      </c>
      <c r="E50" s="666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8"/>
      <c r="R50" s="668"/>
      <c r="S50" s="668"/>
      <c r="T50" s="669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82.037037037037038</v>
      </c>
      <c r="Y51" s="43">
        <f>IFERROR(Y47/H47,"0")+IFERROR(Y48/H48,"0")+IFERROR(Y49/H49,"0")+IFERROR(Y50/H50,"0")</f>
        <v>83</v>
      </c>
      <c r="Z51" s="43">
        <f>IFERROR(IF(Z47="",0,Z47),"0")+IFERROR(IF(Z48="",0,Z48),"0")+IFERROR(IF(Z49="",0,Z49),"0")+IFERROR(IF(Z50="",0,Z50),"0")</f>
        <v>1.3761399999999999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750</v>
      </c>
      <c r="Y52" s="43">
        <f>IFERROR(SUM(Y47:Y50),"0")</f>
        <v>760.40000000000009</v>
      </c>
      <c r="Z52" s="42"/>
      <c r="AA52" s="67"/>
      <c r="AB52" s="67"/>
      <c r="AC52" s="67"/>
    </row>
    <row r="53" spans="1:68" ht="16.5" hidden="1" customHeight="1" x14ac:dyDescent="0.25">
      <c r="A53" s="672" t="s">
        <v>137</v>
      </c>
      <c r="B53" s="672"/>
      <c r="C53" s="672"/>
      <c r="D53" s="672"/>
      <c r="E53" s="672"/>
      <c r="F53" s="672"/>
      <c r="G53" s="672"/>
      <c r="H53" s="672"/>
      <c r="I53" s="672"/>
      <c r="J53" s="672"/>
      <c r="K53" s="672"/>
      <c r="L53" s="672"/>
      <c r="M53" s="672"/>
      <c r="N53" s="672"/>
      <c r="O53" s="672"/>
      <c r="P53" s="672"/>
      <c r="Q53" s="672"/>
      <c r="R53" s="672"/>
      <c r="S53" s="672"/>
      <c r="T53" s="672"/>
      <c r="U53" s="672"/>
      <c r="V53" s="672"/>
      <c r="W53" s="672"/>
      <c r="X53" s="672"/>
      <c r="Y53" s="672"/>
      <c r="Z53" s="672"/>
      <c r="AA53" s="65"/>
      <c r="AB53" s="65"/>
      <c r="AC53" s="79"/>
    </row>
    <row r="54" spans="1:68" ht="14.25" hidden="1" customHeight="1" x14ac:dyDescent="0.25">
      <c r="A54" s="665" t="s">
        <v>122</v>
      </c>
      <c r="B54" s="665"/>
      <c r="C54" s="665"/>
      <c r="D54" s="665"/>
      <c r="E54" s="665"/>
      <c r="F54" s="665"/>
      <c r="G54" s="665"/>
      <c r="H54" s="665"/>
      <c r="I54" s="665"/>
      <c r="J54" s="665"/>
      <c r="K54" s="665"/>
      <c r="L54" s="665"/>
      <c r="M54" s="665"/>
      <c r="N54" s="665"/>
      <c r="O54" s="665"/>
      <c r="P54" s="665"/>
      <c r="Q54" s="665"/>
      <c r="R54" s="665"/>
      <c r="S54" s="665"/>
      <c r="T54" s="665"/>
      <c r="U54" s="665"/>
      <c r="V54" s="665"/>
      <c r="W54" s="665"/>
      <c r="X54" s="665"/>
      <c r="Y54" s="665"/>
      <c r="Z54" s="665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6">
        <v>4680115885882</v>
      </c>
      <c r="E55" s="666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8"/>
      <c r="R55" s="668"/>
      <c r="S55" s="668"/>
      <c r="T55" s="669"/>
      <c r="U55" s="39" t="s">
        <v>46</v>
      </c>
      <c r="V55" s="39" t="s">
        <v>46</v>
      </c>
      <c r="W55" s="40" t="s">
        <v>0</v>
      </c>
      <c r="X55" s="58">
        <v>100</v>
      </c>
      <c r="Y55" s="55">
        <f t="shared" ref="Y55:Y63" si="0">IFERROR(IF(X55="",0,CEILING((X55/$H55),1)*$H55),"")</f>
        <v>100.8</v>
      </c>
      <c r="Z55" s="41">
        <f>IFERROR(IF(Y55=0,"",ROUNDUP(Y55/H55,0)*0.01898),"")</f>
        <v>0.17082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103.66071428571429</v>
      </c>
      <c r="BN55" s="78">
        <f t="shared" ref="BN55:BN63" si="2">IFERROR(Y55*I55/H55,"0")</f>
        <v>104.49000000000001</v>
      </c>
      <c r="BO55" s="78">
        <f t="shared" ref="BO55:BO63" si="3">IFERROR(1/J55*(X55/H55),"0")</f>
        <v>0.13950892857142858</v>
      </c>
      <c r="BP55" s="78">
        <f t="shared" ref="BP55:BP63" si="4">IFERROR(1/J55*(Y55/H55),"0")</f>
        <v>0.140625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66">
        <v>4680115881426</v>
      </c>
      <c r="E56" s="666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8"/>
      <c r="R56" s="668"/>
      <c r="S56" s="668"/>
      <c r="T56" s="669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141</v>
      </c>
      <c r="B57" s="63" t="s">
        <v>144</v>
      </c>
      <c r="C57" s="36">
        <v>4301012162</v>
      </c>
      <c r="D57" s="666">
        <v>4680115881426</v>
      </c>
      <c r="E57" s="666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0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8"/>
      <c r="R57" s="668"/>
      <c r="S57" s="668"/>
      <c r="T57" s="669"/>
      <c r="U57" s="39" t="s">
        <v>46</v>
      </c>
      <c r="V57" s="39" t="s">
        <v>46</v>
      </c>
      <c r="W57" s="40" t="s">
        <v>0</v>
      </c>
      <c r="X57" s="58">
        <v>670</v>
      </c>
      <c r="Y57" s="55">
        <f t="shared" si="0"/>
        <v>680.40000000000009</v>
      </c>
      <c r="Z57" s="41">
        <f>IFERROR(IF(Y57=0,"",ROUNDUP(Y57/H57,0)*0.01898),"")</f>
        <v>1.19574</v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695.43518518518522</v>
      </c>
      <c r="BN57" s="78">
        <f t="shared" si="2"/>
        <v>706.23000000000013</v>
      </c>
      <c r="BO57" s="78">
        <f t="shared" si="3"/>
        <v>0.96932870370370361</v>
      </c>
      <c r="BP57" s="78">
        <f t="shared" si="4"/>
        <v>0.98437500000000011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6">
        <v>4680115880283</v>
      </c>
      <c r="E58" s="666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8"/>
      <c r="R58" s="668"/>
      <c r="S58" s="668"/>
      <c r="T58" s="669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6">
        <v>4680115881525</v>
      </c>
      <c r="E59" s="666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8"/>
      <c r="R59" s="668"/>
      <c r="S59" s="668"/>
      <c r="T59" s="669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6">
        <v>4680115881525</v>
      </c>
      <c r="E60" s="666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8"/>
      <c r="R60" s="668"/>
      <c r="S60" s="668"/>
      <c r="T60" s="669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6">
        <v>4680115885899</v>
      </c>
      <c r="E61" s="666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8"/>
      <c r="R61" s="668"/>
      <c r="S61" s="668"/>
      <c r="T61" s="669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6">
        <v>4680115881419</v>
      </c>
      <c r="E62" s="666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8"/>
      <c r="R62" s="668"/>
      <c r="S62" s="668"/>
      <c r="T62" s="669"/>
      <c r="U62" s="39" t="s">
        <v>46</v>
      </c>
      <c r="V62" s="39" t="s">
        <v>46</v>
      </c>
      <c r="W62" s="40" t="s">
        <v>0</v>
      </c>
      <c r="X62" s="58">
        <v>594</v>
      </c>
      <c r="Y62" s="55">
        <f t="shared" si="0"/>
        <v>594</v>
      </c>
      <c r="Z62" s="41">
        <f>IFERROR(IF(Y62=0,"",ROUNDUP(Y62/H62,0)*0.00902),"")</f>
        <v>1.1906400000000001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619.08000000000004</v>
      </c>
      <c r="BN62" s="78">
        <f t="shared" si="2"/>
        <v>619.08000000000004</v>
      </c>
      <c r="BO62" s="78">
        <f t="shared" si="3"/>
        <v>1</v>
      </c>
      <c r="BP62" s="78">
        <f t="shared" si="4"/>
        <v>1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6">
        <v>4680115881419</v>
      </c>
      <c r="E63" s="666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8"/>
      <c r="R63" s="668"/>
      <c r="S63" s="668"/>
      <c r="T63" s="669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202.96560846560845</v>
      </c>
      <c r="Y64" s="43">
        <f>IFERROR(Y55/H55,"0")+IFERROR(Y56/H56,"0")+IFERROR(Y57/H57,"0")+IFERROR(Y58/H58,"0")+IFERROR(Y59/H59,"0")+IFERROR(Y60/H60,"0")+IFERROR(Y61/H61,"0")+IFERROR(Y62/H62,"0")+IFERROR(Y63/H63,"0")</f>
        <v>204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2.5571999999999999</v>
      </c>
      <c r="AA64" s="67"/>
      <c r="AB64" s="67"/>
      <c r="AC64" s="67"/>
    </row>
    <row r="65" spans="1:68" x14ac:dyDescent="0.2">
      <c r="A65" s="656"/>
      <c r="B65" s="656"/>
      <c r="C65" s="656"/>
      <c r="D65" s="656"/>
      <c r="E65" s="656"/>
      <c r="F65" s="656"/>
      <c r="G65" s="656"/>
      <c r="H65" s="656"/>
      <c r="I65" s="656"/>
      <c r="J65" s="656"/>
      <c r="K65" s="656"/>
      <c r="L65" s="656"/>
      <c r="M65" s="656"/>
      <c r="N65" s="656"/>
      <c r="O65" s="657"/>
      <c r="P65" s="653" t="s">
        <v>40</v>
      </c>
      <c r="Q65" s="654"/>
      <c r="R65" s="654"/>
      <c r="S65" s="654"/>
      <c r="T65" s="654"/>
      <c r="U65" s="654"/>
      <c r="V65" s="655"/>
      <c r="W65" s="42" t="s">
        <v>0</v>
      </c>
      <c r="X65" s="43">
        <f>IFERROR(SUM(X55:X63),"0")</f>
        <v>1364</v>
      </c>
      <c r="Y65" s="43">
        <f>IFERROR(SUM(Y55:Y63),"0")</f>
        <v>1375.2</v>
      </c>
      <c r="Z65" s="42"/>
      <c r="AA65" s="67"/>
      <c r="AB65" s="67"/>
      <c r="AC65" s="67"/>
    </row>
    <row r="66" spans="1:68" ht="14.25" hidden="1" customHeight="1" x14ac:dyDescent="0.25">
      <c r="A66" s="665" t="s">
        <v>159</v>
      </c>
      <c r="B66" s="665"/>
      <c r="C66" s="665"/>
      <c r="D66" s="665"/>
      <c r="E66" s="665"/>
      <c r="F66" s="665"/>
      <c r="G66" s="665"/>
      <c r="H66" s="665"/>
      <c r="I66" s="665"/>
      <c r="J66" s="665"/>
      <c r="K66" s="665"/>
      <c r="L66" s="665"/>
      <c r="M66" s="665"/>
      <c r="N66" s="665"/>
      <c r="O66" s="665"/>
      <c r="P66" s="665"/>
      <c r="Q66" s="665"/>
      <c r="R66" s="665"/>
      <c r="S66" s="665"/>
      <c r="T66" s="665"/>
      <c r="U66" s="665"/>
      <c r="V66" s="665"/>
      <c r="W66" s="665"/>
      <c r="X66" s="665"/>
      <c r="Y66" s="665"/>
      <c r="Z66" s="665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666">
        <v>4680115881440</v>
      </c>
      <c r="E67" s="666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8"/>
      <c r="R67" s="668"/>
      <c r="S67" s="668"/>
      <c r="T67" s="669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6">
        <v>4680115881440</v>
      </c>
      <c r="E68" s="666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8"/>
      <c r="R68" s="668"/>
      <c r="S68" s="668"/>
      <c r="T68" s="669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6">
        <v>4680115885950</v>
      </c>
      <c r="E69" s="666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8"/>
      <c r="R69" s="668"/>
      <c r="S69" s="668"/>
      <c r="T69" s="669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6">
        <v>4680115887688</v>
      </c>
      <c r="E70" s="666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2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8"/>
      <c r="R70" s="668"/>
      <c r="S70" s="668"/>
      <c r="T70" s="669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666">
        <v>4680115881433</v>
      </c>
      <c r="E71" s="666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2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8"/>
      <c r="R71" s="668"/>
      <c r="S71" s="668"/>
      <c r="T71" s="669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56"/>
      <c r="B72" s="656"/>
      <c r="C72" s="656"/>
      <c r="D72" s="656"/>
      <c r="E72" s="656"/>
      <c r="F72" s="656"/>
      <c r="G72" s="656"/>
      <c r="H72" s="656"/>
      <c r="I72" s="656"/>
      <c r="J72" s="656"/>
      <c r="K72" s="656"/>
      <c r="L72" s="656"/>
      <c r="M72" s="656"/>
      <c r="N72" s="656"/>
      <c r="O72" s="657"/>
      <c r="P72" s="653" t="s">
        <v>40</v>
      </c>
      <c r="Q72" s="654"/>
      <c r="R72" s="654"/>
      <c r="S72" s="654"/>
      <c r="T72" s="654"/>
      <c r="U72" s="654"/>
      <c r="V72" s="655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56"/>
      <c r="B73" s="656"/>
      <c r="C73" s="656"/>
      <c r="D73" s="656"/>
      <c r="E73" s="656"/>
      <c r="F73" s="656"/>
      <c r="G73" s="656"/>
      <c r="H73" s="656"/>
      <c r="I73" s="656"/>
      <c r="J73" s="656"/>
      <c r="K73" s="656"/>
      <c r="L73" s="656"/>
      <c r="M73" s="656"/>
      <c r="N73" s="656"/>
      <c r="O73" s="657"/>
      <c r="P73" s="653" t="s">
        <v>40</v>
      </c>
      <c r="Q73" s="654"/>
      <c r="R73" s="654"/>
      <c r="S73" s="654"/>
      <c r="T73" s="654"/>
      <c r="U73" s="654"/>
      <c r="V73" s="655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65" t="s">
        <v>86</v>
      </c>
      <c r="B74" s="665"/>
      <c r="C74" s="665"/>
      <c r="D74" s="665"/>
      <c r="E74" s="665"/>
      <c r="F74" s="665"/>
      <c r="G74" s="665"/>
      <c r="H74" s="665"/>
      <c r="I74" s="665"/>
      <c r="J74" s="665"/>
      <c r="K74" s="665"/>
      <c r="L74" s="665"/>
      <c r="M74" s="665"/>
      <c r="N74" s="665"/>
      <c r="O74" s="665"/>
      <c r="P74" s="665"/>
      <c r="Q74" s="665"/>
      <c r="R74" s="665"/>
      <c r="S74" s="665"/>
      <c r="T74" s="665"/>
      <c r="U74" s="665"/>
      <c r="V74" s="665"/>
      <c r="W74" s="665"/>
      <c r="X74" s="665"/>
      <c r="Y74" s="665"/>
      <c r="Z74" s="665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6">
        <v>4680115884311</v>
      </c>
      <c r="E75" s="666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8"/>
      <c r="R75" s="668"/>
      <c r="S75" s="668"/>
      <c r="T75" s="669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666">
        <v>4680115884403</v>
      </c>
      <c r="E76" s="666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8"/>
      <c r="R76" s="668"/>
      <c r="S76" s="668"/>
      <c r="T76" s="669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56"/>
      <c r="B77" s="656"/>
      <c r="C77" s="656"/>
      <c r="D77" s="656"/>
      <c r="E77" s="656"/>
      <c r="F77" s="656"/>
      <c r="G77" s="656"/>
      <c r="H77" s="656"/>
      <c r="I77" s="656"/>
      <c r="J77" s="656"/>
      <c r="K77" s="656"/>
      <c r="L77" s="656"/>
      <c r="M77" s="656"/>
      <c r="N77" s="656"/>
      <c r="O77" s="657"/>
      <c r="P77" s="653" t="s">
        <v>40</v>
      </c>
      <c r="Q77" s="654"/>
      <c r="R77" s="654"/>
      <c r="S77" s="654"/>
      <c r="T77" s="654"/>
      <c r="U77" s="654"/>
      <c r="V77" s="655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56"/>
      <c r="B78" s="656"/>
      <c r="C78" s="656"/>
      <c r="D78" s="656"/>
      <c r="E78" s="656"/>
      <c r="F78" s="656"/>
      <c r="G78" s="656"/>
      <c r="H78" s="656"/>
      <c r="I78" s="656"/>
      <c r="J78" s="656"/>
      <c r="K78" s="656"/>
      <c r="L78" s="656"/>
      <c r="M78" s="656"/>
      <c r="N78" s="656"/>
      <c r="O78" s="657"/>
      <c r="P78" s="653" t="s">
        <v>40</v>
      </c>
      <c r="Q78" s="654"/>
      <c r="R78" s="654"/>
      <c r="S78" s="654"/>
      <c r="T78" s="654"/>
      <c r="U78" s="654"/>
      <c r="V78" s="655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65" t="s">
        <v>178</v>
      </c>
      <c r="B79" s="665"/>
      <c r="C79" s="665"/>
      <c r="D79" s="665"/>
      <c r="E79" s="665"/>
      <c r="F79" s="665"/>
      <c r="G79" s="665"/>
      <c r="H79" s="665"/>
      <c r="I79" s="665"/>
      <c r="J79" s="665"/>
      <c r="K79" s="665"/>
      <c r="L79" s="665"/>
      <c r="M79" s="665"/>
      <c r="N79" s="665"/>
      <c r="O79" s="665"/>
      <c r="P79" s="665"/>
      <c r="Q79" s="665"/>
      <c r="R79" s="665"/>
      <c r="S79" s="665"/>
      <c r="T79" s="665"/>
      <c r="U79" s="665"/>
      <c r="V79" s="665"/>
      <c r="W79" s="665"/>
      <c r="X79" s="665"/>
      <c r="Y79" s="665"/>
      <c r="Z79" s="665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6">
        <v>4680115881532</v>
      </c>
      <c r="E80" s="666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1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8"/>
      <c r="R80" s="668"/>
      <c r="S80" s="668"/>
      <c r="T80" s="669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6">
        <v>4680115881532</v>
      </c>
      <c r="E81" s="666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1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8"/>
      <c r="R81" s="668"/>
      <c r="S81" s="668"/>
      <c r="T81" s="669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6">
        <v>4680115881464</v>
      </c>
      <c r="E82" s="666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1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8"/>
      <c r="R82" s="668"/>
      <c r="S82" s="668"/>
      <c r="T82" s="669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56"/>
      <c r="B83" s="656"/>
      <c r="C83" s="656"/>
      <c r="D83" s="656"/>
      <c r="E83" s="656"/>
      <c r="F83" s="656"/>
      <c r="G83" s="656"/>
      <c r="H83" s="656"/>
      <c r="I83" s="656"/>
      <c r="J83" s="656"/>
      <c r="K83" s="656"/>
      <c r="L83" s="656"/>
      <c r="M83" s="656"/>
      <c r="N83" s="656"/>
      <c r="O83" s="657"/>
      <c r="P83" s="653" t="s">
        <v>40</v>
      </c>
      <c r="Q83" s="654"/>
      <c r="R83" s="654"/>
      <c r="S83" s="654"/>
      <c r="T83" s="654"/>
      <c r="U83" s="654"/>
      <c r="V83" s="655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56"/>
      <c r="B84" s="656"/>
      <c r="C84" s="656"/>
      <c r="D84" s="656"/>
      <c r="E84" s="656"/>
      <c r="F84" s="656"/>
      <c r="G84" s="656"/>
      <c r="H84" s="656"/>
      <c r="I84" s="656"/>
      <c r="J84" s="656"/>
      <c r="K84" s="656"/>
      <c r="L84" s="656"/>
      <c r="M84" s="656"/>
      <c r="N84" s="656"/>
      <c r="O84" s="657"/>
      <c r="P84" s="653" t="s">
        <v>40</v>
      </c>
      <c r="Q84" s="654"/>
      <c r="R84" s="654"/>
      <c r="S84" s="654"/>
      <c r="T84" s="654"/>
      <c r="U84" s="654"/>
      <c r="V84" s="655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72" t="s">
        <v>186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5"/>
      <c r="AB85" s="65"/>
      <c r="AC85" s="79"/>
    </row>
    <row r="86" spans="1:68" ht="14.25" hidden="1" customHeight="1" x14ac:dyDescent="0.25">
      <c r="A86" s="665" t="s">
        <v>122</v>
      </c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666">
        <v>4680115881327</v>
      </c>
      <c r="E87" s="666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1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8"/>
      <c r="R87" s="668"/>
      <c r="S87" s="668"/>
      <c r="T87" s="669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666">
        <v>4680115887732</v>
      </c>
      <c r="E88" s="666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92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668"/>
      <c r="R88" s="668"/>
      <c r="S88" s="668"/>
      <c r="T88" s="669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666">
        <v>4680115881518</v>
      </c>
      <c r="E89" s="666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9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68"/>
      <c r="R89" s="668"/>
      <c r="S89" s="668"/>
      <c r="T89" s="669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666">
        <v>4680115881518</v>
      </c>
      <c r="E90" s="666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1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668"/>
      <c r="R90" s="668"/>
      <c r="S90" s="668"/>
      <c r="T90" s="669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4301012250</v>
      </c>
      <c r="D91" s="666">
        <v>4680115881303</v>
      </c>
      <c r="E91" s="666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668"/>
      <c r="R91" s="668"/>
      <c r="S91" s="668"/>
      <c r="T91" s="669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39</v>
      </c>
      <c r="X92" s="43">
        <f>IFERROR(X87/H87,"0")+IFERROR(X88/H88,"0")+IFERROR(X89/H89,"0")+IFERROR(X90/H90,"0")+IFERROR(X91/H91,"0")</f>
        <v>0</v>
      </c>
      <c r="Y92" s="43">
        <f>IFERROR(Y87/H87,"0")+IFERROR(Y88/H88,"0")+IFERROR(Y89/H89,"0")+IFERROR(Y90/H90,"0")+IFERROR(Y91/H91,"0")</f>
        <v>0</v>
      </c>
      <c r="Z92" s="43">
        <f>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56"/>
      <c r="B93" s="656"/>
      <c r="C93" s="656"/>
      <c r="D93" s="656"/>
      <c r="E93" s="656"/>
      <c r="F93" s="656"/>
      <c r="G93" s="656"/>
      <c r="H93" s="656"/>
      <c r="I93" s="656"/>
      <c r="J93" s="656"/>
      <c r="K93" s="656"/>
      <c r="L93" s="656"/>
      <c r="M93" s="656"/>
      <c r="N93" s="656"/>
      <c r="O93" s="657"/>
      <c r="P93" s="653" t="s">
        <v>40</v>
      </c>
      <c r="Q93" s="654"/>
      <c r="R93" s="654"/>
      <c r="S93" s="654"/>
      <c r="T93" s="654"/>
      <c r="U93" s="654"/>
      <c r="V93" s="655"/>
      <c r="W93" s="42" t="s">
        <v>0</v>
      </c>
      <c r="X93" s="43">
        <f>IFERROR(SUM(X87:X91),"0")</f>
        <v>0</v>
      </c>
      <c r="Y93" s="43">
        <f>IFERROR(SUM(Y87:Y91),"0")</f>
        <v>0</v>
      </c>
      <c r="Z93" s="42"/>
      <c r="AA93" s="67"/>
      <c r="AB93" s="67"/>
      <c r="AC93" s="67"/>
    </row>
    <row r="94" spans="1:68" ht="14.25" hidden="1" customHeight="1" x14ac:dyDescent="0.25">
      <c r="A94" s="665" t="s">
        <v>86</v>
      </c>
      <c r="B94" s="665"/>
      <c r="C94" s="665"/>
      <c r="D94" s="665"/>
      <c r="E94" s="665"/>
      <c r="F94" s="665"/>
      <c r="G94" s="665"/>
      <c r="H94" s="665"/>
      <c r="I94" s="665"/>
      <c r="J94" s="665"/>
      <c r="K94" s="665"/>
      <c r="L94" s="665"/>
      <c r="M94" s="665"/>
      <c r="N94" s="665"/>
      <c r="O94" s="665"/>
      <c r="P94" s="665"/>
      <c r="Q94" s="665"/>
      <c r="R94" s="665"/>
      <c r="S94" s="665"/>
      <c r="T94" s="665"/>
      <c r="U94" s="665"/>
      <c r="V94" s="665"/>
      <c r="W94" s="665"/>
      <c r="X94" s="665"/>
      <c r="Y94" s="665"/>
      <c r="Z94" s="665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4301052101</v>
      </c>
      <c r="D95" s="666">
        <v>4607091386967</v>
      </c>
      <c r="E95" s="666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668"/>
      <c r="R95" s="668"/>
      <c r="S95" s="668"/>
      <c r="T95" s="669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666">
        <v>4680115884953</v>
      </c>
      <c r="E96" s="666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1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668"/>
      <c r="R96" s="668"/>
      <c r="S96" s="668"/>
      <c r="T96" s="669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666">
        <v>4607091385731</v>
      </c>
      <c r="E97" s="666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1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668"/>
      <c r="R97" s="668"/>
      <c r="S97" s="668"/>
      <c r="T97" s="669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66">
        <v>4680115880894</v>
      </c>
      <c r="E98" s="666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9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8"/>
      <c r="R98" s="668"/>
      <c r="S98" s="668"/>
      <c r="T98" s="669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56"/>
      <c r="B100" s="656"/>
      <c r="C100" s="656"/>
      <c r="D100" s="656"/>
      <c r="E100" s="656"/>
      <c r="F100" s="656"/>
      <c r="G100" s="656"/>
      <c r="H100" s="656"/>
      <c r="I100" s="656"/>
      <c r="J100" s="656"/>
      <c r="K100" s="656"/>
      <c r="L100" s="656"/>
      <c r="M100" s="656"/>
      <c r="N100" s="656"/>
      <c r="O100" s="657"/>
      <c r="P100" s="653" t="s">
        <v>40</v>
      </c>
      <c r="Q100" s="654"/>
      <c r="R100" s="654"/>
      <c r="S100" s="654"/>
      <c r="T100" s="654"/>
      <c r="U100" s="654"/>
      <c r="V100" s="65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72" t="s">
        <v>209</v>
      </c>
      <c r="B101" s="672"/>
      <c r="C101" s="672"/>
      <c r="D101" s="672"/>
      <c r="E101" s="672"/>
      <c r="F101" s="672"/>
      <c r="G101" s="672"/>
      <c r="H101" s="672"/>
      <c r="I101" s="672"/>
      <c r="J101" s="672"/>
      <c r="K101" s="672"/>
      <c r="L101" s="672"/>
      <c r="M101" s="672"/>
      <c r="N101" s="672"/>
      <c r="O101" s="672"/>
      <c r="P101" s="672"/>
      <c r="Q101" s="672"/>
      <c r="R101" s="672"/>
      <c r="S101" s="672"/>
      <c r="T101" s="672"/>
      <c r="U101" s="672"/>
      <c r="V101" s="672"/>
      <c r="W101" s="672"/>
      <c r="X101" s="672"/>
      <c r="Y101" s="672"/>
      <c r="Z101" s="672"/>
      <c r="AA101" s="65"/>
      <c r="AB101" s="65"/>
      <c r="AC101" s="79"/>
    </row>
    <row r="102" spans="1:68" ht="14.25" hidden="1" customHeight="1" x14ac:dyDescent="0.25">
      <c r="A102" s="665" t="s">
        <v>122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66">
        <v>4680115882133</v>
      </c>
      <c r="E103" s="666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8"/>
      <c r="R103" s="668"/>
      <c r="S103" s="668"/>
      <c r="T103" s="669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666">
        <v>4680115882133</v>
      </c>
      <c r="E104" s="666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668"/>
      <c r="R104" s="668"/>
      <c r="S104" s="668"/>
      <c r="T104" s="669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666">
        <v>4680115887718</v>
      </c>
      <c r="E105" s="666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0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8"/>
      <c r="R105" s="668"/>
      <c r="S105" s="668"/>
      <c r="T105" s="669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66">
        <v>4680115880269</v>
      </c>
      <c r="E106" s="666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68"/>
      <c r="R106" s="668"/>
      <c r="S106" s="668"/>
      <c r="T106" s="669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666">
        <v>4680115880269</v>
      </c>
      <c r="E107" s="666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668"/>
      <c r="R107" s="668"/>
      <c r="S107" s="668"/>
      <c r="T107" s="669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221</v>
      </c>
      <c r="B108" s="63" t="s">
        <v>222</v>
      </c>
      <c r="C108" s="36">
        <v>4301012254</v>
      </c>
      <c r="D108" s="666">
        <v>4680115880429</v>
      </c>
      <c r="E108" s="666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0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668"/>
      <c r="R108" s="668"/>
      <c r="S108" s="668"/>
      <c r="T108" s="669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666">
        <v>4680115881457</v>
      </c>
      <c r="E109" s="666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68"/>
      <c r="R109" s="668"/>
      <c r="S109" s="668"/>
      <c r="T109" s="669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666">
        <v>4680115881457</v>
      </c>
      <c r="E110" s="666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0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668"/>
      <c r="R110" s="668"/>
      <c r="S110" s="668"/>
      <c r="T110" s="669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666">
        <v>4680115889477</v>
      </c>
      <c r="E111" s="666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897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668"/>
      <c r="R111" s="668"/>
      <c r="S111" s="668"/>
      <c r="T111" s="669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hidden="1" x14ac:dyDescent="0.2">
      <c r="A112" s="656"/>
      <c r="B112" s="656"/>
      <c r="C112" s="656"/>
      <c r="D112" s="656"/>
      <c r="E112" s="656"/>
      <c r="F112" s="656"/>
      <c r="G112" s="656"/>
      <c r="H112" s="656"/>
      <c r="I112" s="656"/>
      <c r="J112" s="656"/>
      <c r="K112" s="656"/>
      <c r="L112" s="656"/>
      <c r="M112" s="656"/>
      <c r="N112" s="656"/>
      <c r="O112" s="657"/>
      <c r="P112" s="653" t="s">
        <v>40</v>
      </c>
      <c r="Q112" s="654"/>
      <c r="R112" s="654"/>
      <c r="S112" s="654"/>
      <c r="T112" s="654"/>
      <c r="U112" s="654"/>
      <c r="V112" s="655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56"/>
      <c r="B113" s="656"/>
      <c r="C113" s="656"/>
      <c r="D113" s="656"/>
      <c r="E113" s="656"/>
      <c r="F113" s="656"/>
      <c r="G113" s="656"/>
      <c r="H113" s="656"/>
      <c r="I113" s="656"/>
      <c r="J113" s="656"/>
      <c r="K113" s="656"/>
      <c r="L113" s="656"/>
      <c r="M113" s="656"/>
      <c r="N113" s="656"/>
      <c r="O113" s="657"/>
      <c r="P113" s="653" t="s">
        <v>40</v>
      </c>
      <c r="Q113" s="654"/>
      <c r="R113" s="654"/>
      <c r="S113" s="654"/>
      <c r="T113" s="654"/>
      <c r="U113" s="654"/>
      <c r="V113" s="655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65" t="s">
        <v>159</v>
      </c>
      <c r="B114" s="665"/>
      <c r="C114" s="665"/>
      <c r="D114" s="665"/>
      <c r="E114" s="665"/>
      <c r="F114" s="665"/>
      <c r="G114" s="665"/>
      <c r="H114" s="665"/>
      <c r="I114" s="665"/>
      <c r="J114" s="665"/>
      <c r="K114" s="665"/>
      <c r="L114" s="665"/>
      <c r="M114" s="665"/>
      <c r="N114" s="665"/>
      <c r="O114" s="665"/>
      <c r="P114" s="665"/>
      <c r="Q114" s="665"/>
      <c r="R114" s="665"/>
      <c r="S114" s="665"/>
      <c r="T114" s="665"/>
      <c r="U114" s="665"/>
      <c r="V114" s="665"/>
      <c r="W114" s="665"/>
      <c r="X114" s="665"/>
      <c r="Y114" s="665"/>
      <c r="Z114" s="665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666">
        <v>4680115881488</v>
      </c>
      <c r="E115" s="666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89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68"/>
      <c r="R115" s="668"/>
      <c r="S115" s="668"/>
      <c r="T115" s="669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666">
        <v>4680115882775</v>
      </c>
      <c r="E116" s="666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68"/>
      <c r="R116" s="668"/>
      <c r="S116" s="668"/>
      <c r="T116" s="669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666">
        <v>4680115880658</v>
      </c>
      <c r="E117" s="666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668"/>
      <c r="R117" s="668"/>
      <c r="S117" s="668"/>
      <c r="T117" s="669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656"/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7"/>
      <c r="P119" s="653" t="s">
        <v>40</v>
      </c>
      <c r="Q119" s="654"/>
      <c r="R119" s="654"/>
      <c r="S119" s="654"/>
      <c r="T119" s="654"/>
      <c r="U119" s="654"/>
      <c r="V119" s="655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665" t="s">
        <v>86</v>
      </c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666">
        <v>4607091385168</v>
      </c>
      <c r="E121" s="666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668"/>
      <c r="R121" s="668"/>
      <c r="S121" s="668"/>
      <c r="T121" s="669"/>
      <c r="U121" s="39" t="s">
        <v>46</v>
      </c>
      <c r="V121" s="39" t="s">
        <v>46</v>
      </c>
      <c r="W121" s="40" t="s">
        <v>0</v>
      </c>
      <c r="X121" s="58">
        <v>200</v>
      </c>
      <c r="Y121" s="55">
        <f>IFERROR(IF(X121="",0,CEILING((X121/$H121),1)*$H121),"")</f>
        <v>202.5</v>
      </c>
      <c r="Z121" s="41">
        <f>IFERROR(IF(Y121=0,"",ROUNDUP(Y121/H121,0)*0.01898),"")</f>
        <v>0.47450000000000003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212.04938271604939</v>
      </c>
      <c r="BN121" s="78">
        <f>IFERROR(Y121*I121/H121,"0")</f>
        <v>214.7</v>
      </c>
      <c r="BO121" s="78">
        <f>IFERROR(1/J121*(X121/H121),"0")</f>
        <v>0.38580246913580246</v>
      </c>
      <c r="BP121" s="78">
        <f>IFERROR(1/J121*(Y121/H121),"0")</f>
        <v>0.390625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666">
        <v>4607091383256</v>
      </c>
      <c r="E122" s="666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668"/>
      <c r="R122" s="668"/>
      <c r="S122" s="668"/>
      <c r="T122" s="669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666">
        <v>4607091385748</v>
      </c>
      <c r="E123" s="666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668"/>
      <c r="R123" s="668"/>
      <c r="S123" s="668"/>
      <c r="T123" s="669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666">
        <v>4680115884533</v>
      </c>
      <c r="E124" s="666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8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668"/>
      <c r="R124" s="668"/>
      <c r="S124" s="668"/>
      <c r="T124" s="669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2" t="s">
        <v>39</v>
      </c>
      <c r="X125" s="43">
        <f>IFERROR(X121/H121,"0")+IFERROR(X122/H122,"0")+IFERROR(X123/H123,"0")+IFERROR(X124/H124,"0")</f>
        <v>24.691358024691358</v>
      </c>
      <c r="Y125" s="43">
        <f>IFERROR(Y121/H121,"0")+IFERROR(Y122/H122,"0")+IFERROR(Y123/H123,"0")+IFERROR(Y124/H124,"0")</f>
        <v>25</v>
      </c>
      <c r="Z125" s="43">
        <f>IFERROR(IF(Z121="",0,Z121),"0")+IFERROR(IF(Z122="",0,Z122),"0")+IFERROR(IF(Z123="",0,Z123),"0")+IFERROR(IF(Z124="",0,Z124),"0")</f>
        <v>0.47450000000000003</v>
      </c>
      <c r="AA125" s="67"/>
      <c r="AB125" s="67"/>
      <c r="AC125" s="67"/>
    </row>
    <row r="126" spans="1:68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0</v>
      </c>
      <c r="X126" s="43">
        <f>IFERROR(SUM(X121:X124),"0")</f>
        <v>200</v>
      </c>
      <c r="Y126" s="43">
        <f>IFERROR(SUM(Y121:Y124),"0")</f>
        <v>202.5</v>
      </c>
      <c r="Z126" s="42"/>
      <c r="AA126" s="67"/>
      <c r="AB126" s="67"/>
      <c r="AC126" s="67"/>
    </row>
    <row r="127" spans="1:68" ht="14.25" hidden="1" customHeight="1" x14ac:dyDescent="0.25">
      <c r="A127" s="665" t="s">
        <v>178</v>
      </c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666">
        <v>4680115880238</v>
      </c>
      <c r="E128" s="666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8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668"/>
      <c r="R128" s="668"/>
      <c r="S128" s="668"/>
      <c r="T128" s="669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656"/>
      <c r="B130" s="656"/>
      <c r="C130" s="656"/>
      <c r="D130" s="656"/>
      <c r="E130" s="656"/>
      <c r="F130" s="656"/>
      <c r="G130" s="656"/>
      <c r="H130" s="656"/>
      <c r="I130" s="656"/>
      <c r="J130" s="656"/>
      <c r="K130" s="656"/>
      <c r="L130" s="656"/>
      <c r="M130" s="656"/>
      <c r="N130" s="656"/>
      <c r="O130" s="657"/>
      <c r="P130" s="653" t="s">
        <v>40</v>
      </c>
      <c r="Q130" s="654"/>
      <c r="R130" s="654"/>
      <c r="S130" s="654"/>
      <c r="T130" s="654"/>
      <c r="U130" s="654"/>
      <c r="V130" s="655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672" t="s">
        <v>249</v>
      </c>
      <c r="B131" s="672"/>
      <c r="C131" s="672"/>
      <c r="D131" s="672"/>
      <c r="E131" s="672"/>
      <c r="F131" s="672"/>
      <c r="G131" s="672"/>
      <c r="H131" s="672"/>
      <c r="I131" s="672"/>
      <c r="J131" s="672"/>
      <c r="K131" s="672"/>
      <c r="L131" s="672"/>
      <c r="M131" s="672"/>
      <c r="N131" s="672"/>
      <c r="O131" s="672"/>
      <c r="P131" s="672"/>
      <c r="Q131" s="672"/>
      <c r="R131" s="672"/>
      <c r="S131" s="672"/>
      <c r="T131" s="672"/>
      <c r="U131" s="672"/>
      <c r="V131" s="672"/>
      <c r="W131" s="672"/>
      <c r="X131" s="672"/>
      <c r="Y131" s="672"/>
      <c r="Z131" s="672"/>
      <c r="AA131" s="65"/>
      <c r="AB131" s="65"/>
      <c r="AC131" s="79"/>
    </row>
    <row r="132" spans="1:68" ht="14.25" hidden="1" customHeight="1" x14ac:dyDescent="0.25">
      <c r="A132" s="665" t="s">
        <v>122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666">
        <v>4680115882577</v>
      </c>
      <c r="E133" s="666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88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68"/>
      <c r="R133" s="668"/>
      <c r="S133" s="668"/>
      <c r="T133" s="669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666">
        <v>4680115882577</v>
      </c>
      <c r="E134" s="666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88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68"/>
      <c r="R134" s="668"/>
      <c r="S134" s="668"/>
      <c r="T134" s="669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656"/>
      <c r="B136" s="656"/>
      <c r="C136" s="656"/>
      <c r="D136" s="656"/>
      <c r="E136" s="656"/>
      <c r="F136" s="656"/>
      <c r="G136" s="656"/>
      <c r="H136" s="656"/>
      <c r="I136" s="656"/>
      <c r="J136" s="656"/>
      <c r="K136" s="656"/>
      <c r="L136" s="656"/>
      <c r="M136" s="656"/>
      <c r="N136" s="656"/>
      <c r="O136" s="657"/>
      <c r="P136" s="653" t="s">
        <v>40</v>
      </c>
      <c r="Q136" s="654"/>
      <c r="R136" s="654"/>
      <c r="S136" s="654"/>
      <c r="T136" s="654"/>
      <c r="U136" s="654"/>
      <c r="V136" s="655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665" t="s">
        <v>77</v>
      </c>
      <c r="B137" s="665"/>
      <c r="C137" s="665"/>
      <c r="D137" s="665"/>
      <c r="E137" s="665"/>
      <c r="F137" s="665"/>
      <c r="G137" s="665"/>
      <c r="H137" s="665"/>
      <c r="I137" s="665"/>
      <c r="J137" s="665"/>
      <c r="K137" s="665"/>
      <c r="L137" s="665"/>
      <c r="M137" s="665"/>
      <c r="N137" s="665"/>
      <c r="O137" s="665"/>
      <c r="P137" s="665"/>
      <c r="Q137" s="665"/>
      <c r="R137" s="665"/>
      <c r="S137" s="665"/>
      <c r="T137" s="665"/>
      <c r="U137" s="665"/>
      <c r="V137" s="665"/>
      <c r="W137" s="665"/>
      <c r="X137" s="665"/>
      <c r="Y137" s="665"/>
      <c r="Z137" s="665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666">
        <v>4680115883444</v>
      </c>
      <c r="E138" s="666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89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668"/>
      <c r="R138" s="668"/>
      <c r="S138" s="668"/>
      <c r="T138" s="669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666">
        <v>4680115883444</v>
      </c>
      <c r="E139" s="666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8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668"/>
      <c r="R139" s="668"/>
      <c r="S139" s="668"/>
      <c r="T139" s="669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56"/>
      <c r="B141" s="656"/>
      <c r="C141" s="656"/>
      <c r="D141" s="656"/>
      <c r="E141" s="656"/>
      <c r="F141" s="656"/>
      <c r="G141" s="656"/>
      <c r="H141" s="656"/>
      <c r="I141" s="656"/>
      <c r="J141" s="656"/>
      <c r="K141" s="656"/>
      <c r="L141" s="656"/>
      <c r="M141" s="656"/>
      <c r="N141" s="656"/>
      <c r="O141" s="657"/>
      <c r="P141" s="653" t="s">
        <v>40</v>
      </c>
      <c r="Q141" s="654"/>
      <c r="R141" s="654"/>
      <c r="S141" s="654"/>
      <c r="T141" s="654"/>
      <c r="U141" s="654"/>
      <c r="V141" s="655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5" t="s">
        <v>86</v>
      </c>
      <c r="B142" s="665"/>
      <c r="C142" s="665"/>
      <c r="D142" s="665"/>
      <c r="E142" s="665"/>
      <c r="F142" s="665"/>
      <c r="G142" s="665"/>
      <c r="H142" s="665"/>
      <c r="I142" s="665"/>
      <c r="J142" s="665"/>
      <c r="K142" s="665"/>
      <c r="L142" s="665"/>
      <c r="M142" s="665"/>
      <c r="N142" s="665"/>
      <c r="O142" s="665"/>
      <c r="P142" s="665"/>
      <c r="Q142" s="665"/>
      <c r="R142" s="665"/>
      <c r="S142" s="665"/>
      <c r="T142" s="665"/>
      <c r="U142" s="665"/>
      <c r="V142" s="665"/>
      <c r="W142" s="665"/>
      <c r="X142" s="665"/>
      <c r="Y142" s="665"/>
      <c r="Z142" s="665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666">
        <v>4680115882584</v>
      </c>
      <c r="E143" s="666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8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68"/>
      <c r="R143" s="668"/>
      <c r="S143" s="668"/>
      <c r="T143" s="669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666">
        <v>4680115882584</v>
      </c>
      <c r="E144" s="666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8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68"/>
      <c r="R144" s="668"/>
      <c r="S144" s="668"/>
      <c r="T144" s="669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56"/>
      <c r="B146" s="656"/>
      <c r="C146" s="656"/>
      <c r="D146" s="656"/>
      <c r="E146" s="656"/>
      <c r="F146" s="656"/>
      <c r="G146" s="656"/>
      <c r="H146" s="656"/>
      <c r="I146" s="656"/>
      <c r="J146" s="656"/>
      <c r="K146" s="656"/>
      <c r="L146" s="656"/>
      <c r="M146" s="656"/>
      <c r="N146" s="656"/>
      <c r="O146" s="657"/>
      <c r="P146" s="653" t="s">
        <v>40</v>
      </c>
      <c r="Q146" s="654"/>
      <c r="R146" s="654"/>
      <c r="S146" s="654"/>
      <c r="T146" s="654"/>
      <c r="U146" s="654"/>
      <c r="V146" s="655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72" t="s">
        <v>262</v>
      </c>
      <c r="B147" s="672"/>
      <c r="C147" s="672"/>
      <c r="D147" s="672"/>
      <c r="E147" s="672"/>
      <c r="F147" s="672"/>
      <c r="G147" s="672"/>
      <c r="H147" s="672"/>
      <c r="I147" s="672"/>
      <c r="J147" s="672"/>
      <c r="K147" s="672"/>
      <c r="L147" s="672"/>
      <c r="M147" s="672"/>
      <c r="N147" s="672"/>
      <c r="O147" s="672"/>
      <c r="P147" s="672"/>
      <c r="Q147" s="672"/>
      <c r="R147" s="672"/>
      <c r="S147" s="672"/>
      <c r="T147" s="672"/>
      <c r="U147" s="672"/>
      <c r="V147" s="672"/>
      <c r="W147" s="672"/>
      <c r="X147" s="672"/>
      <c r="Y147" s="672"/>
      <c r="Z147" s="672"/>
      <c r="AA147" s="65"/>
      <c r="AB147" s="65"/>
      <c r="AC147" s="79"/>
    </row>
    <row r="148" spans="1:68" ht="14.25" hidden="1" customHeight="1" x14ac:dyDescent="0.25">
      <c r="A148" s="665" t="s">
        <v>86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666">
        <v>4680115888203</v>
      </c>
      <c r="E149" s="666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68"/>
      <c r="R149" s="668"/>
      <c r="S149" s="668"/>
      <c r="T149" s="669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666">
        <v>4680115888180</v>
      </c>
      <c r="E150" s="666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68"/>
      <c r="R150" s="668"/>
      <c r="S150" s="668"/>
      <c r="T150" s="669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666">
        <v>4680115888180</v>
      </c>
      <c r="E151" s="666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8"/>
      <c r="R151" s="668"/>
      <c r="S151" s="668"/>
      <c r="T151" s="669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666">
        <v>4680115888197</v>
      </c>
      <c r="E152" s="666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68"/>
      <c r="R152" s="668"/>
      <c r="S152" s="668"/>
      <c r="T152" s="669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666">
        <v>4680115888210</v>
      </c>
      <c r="E153" s="666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68"/>
      <c r="R153" s="668"/>
      <c r="S153" s="668"/>
      <c r="T153" s="669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666">
        <v>4680115888210</v>
      </c>
      <c r="E154" s="666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8"/>
      <c r="R154" s="668"/>
      <c r="S154" s="668"/>
      <c r="T154" s="669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56"/>
      <c r="B156" s="656"/>
      <c r="C156" s="656"/>
      <c r="D156" s="656"/>
      <c r="E156" s="656"/>
      <c r="F156" s="656"/>
      <c r="G156" s="656"/>
      <c r="H156" s="656"/>
      <c r="I156" s="656"/>
      <c r="J156" s="656"/>
      <c r="K156" s="656"/>
      <c r="L156" s="656"/>
      <c r="M156" s="656"/>
      <c r="N156" s="656"/>
      <c r="O156" s="657"/>
      <c r="P156" s="653" t="s">
        <v>40</v>
      </c>
      <c r="Q156" s="654"/>
      <c r="R156" s="654"/>
      <c r="S156" s="654"/>
      <c r="T156" s="654"/>
      <c r="U156" s="654"/>
      <c r="V156" s="655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65" t="s">
        <v>277</v>
      </c>
      <c r="B157" s="665"/>
      <c r="C157" s="665"/>
      <c r="D157" s="665"/>
      <c r="E157" s="665"/>
      <c r="F157" s="665"/>
      <c r="G157" s="665"/>
      <c r="H157" s="665"/>
      <c r="I157" s="665"/>
      <c r="J157" s="665"/>
      <c r="K157" s="665"/>
      <c r="L157" s="665"/>
      <c r="M157" s="665"/>
      <c r="N157" s="665"/>
      <c r="O157" s="665"/>
      <c r="P157" s="665"/>
      <c r="Q157" s="665"/>
      <c r="R157" s="665"/>
      <c r="S157" s="665"/>
      <c r="T157" s="665"/>
      <c r="U157" s="665"/>
      <c r="V157" s="665"/>
      <c r="W157" s="665"/>
      <c r="X157" s="665"/>
      <c r="Y157" s="665"/>
      <c r="Z157" s="665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666">
        <v>4680115889132</v>
      </c>
      <c r="E158" s="666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7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68"/>
      <c r="R158" s="668"/>
      <c r="S158" s="668"/>
      <c r="T158" s="669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56"/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7"/>
      <c r="P160" s="653" t="s">
        <v>40</v>
      </c>
      <c r="Q160" s="654"/>
      <c r="R160" s="654"/>
      <c r="S160" s="654"/>
      <c r="T160" s="654"/>
      <c r="U160" s="654"/>
      <c r="V160" s="655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72" t="s">
        <v>120</v>
      </c>
      <c r="B161" s="672"/>
      <c r="C161" s="672"/>
      <c r="D161" s="672"/>
      <c r="E161" s="672"/>
      <c r="F161" s="672"/>
      <c r="G161" s="672"/>
      <c r="H161" s="672"/>
      <c r="I161" s="672"/>
      <c r="J161" s="672"/>
      <c r="K161" s="672"/>
      <c r="L161" s="672"/>
      <c r="M161" s="672"/>
      <c r="N161" s="672"/>
      <c r="O161" s="672"/>
      <c r="P161" s="672"/>
      <c r="Q161" s="672"/>
      <c r="R161" s="672"/>
      <c r="S161" s="672"/>
      <c r="T161" s="672"/>
      <c r="U161" s="672"/>
      <c r="V161" s="672"/>
      <c r="W161" s="672"/>
      <c r="X161" s="672"/>
      <c r="Y161" s="672"/>
      <c r="Z161" s="672"/>
      <c r="AA161" s="65"/>
      <c r="AB161" s="65"/>
      <c r="AC161" s="79"/>
    </row>
    <row r="162" spans="1:68" ht="14.25" hidden="1" customHeight="1" x14ac:dyDescent="0.25">
      <c r="A162" s="665" t="s">
        <v>122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666">
        <v>4680115887374</v>
      </c>
      <c r="E163" s="666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8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68"/>
      <c r="R163" s="668"/>
      <c r="S163" s="668"/>
      <c r="T163" s="669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666">
        <v>4607091384604</v>
      </c>
      <c r="E164" s="666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68"/>
      <c r="R164" s="668"/>
      <c r="S164" s="668"/>
      <c r="T164" s="669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666">
        <v>4607091384604</v>
      </c>
      <c r="E165" s="666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668"/>
      <c r="R165" s="668"/>
      <c r="S165" s="668"/>
      <c r="T165" s="669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666">
        <v>4680115888876</v>
      </c>
      <c r="E166" s="666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7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68"/>
      <c r="R166" s="668"/>
      <c r="S166" s="668"/>
      <c r="T166" s="669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5" t="s">
        <v>159</v>
      </c>
      <c r="B169" s="665"/>
      <c r="C169" s="665"/>
      <c r="D169" s="665"/>
      <c r="E169" s="665"/>
      <c r="F169" s="665"/>
      <c r="G169" s="665"/>
      <c r="H169" s="665"/>
      <c r="I169" s="665"/>
      <c r="J169" s="665"/>
      <c r="K169" s="665"/>
      <c r="L169" s="665"/>
      <c r="M169" s="665"/>
      <c r="N169" s="665"/>
      <c r="O169" s="665"/>
      <c r="P169" s="665"/>
      <c r="Q169" s="665"/>
      <c r="R169" s="665"/>
      <c r="S169" s="665"/>
      <c r="T169" s="665"/>
      <c r="U169" s="665"/>
      <c r="V169" s="665"/>
      <c r="W169" s="665"/>
      <c r="X169" s="665"/>
      <c r="Y169" s="665"/>
      <c r="Z169" s="665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666">
        <v>4680115887695</v>
      </c>
      <c r="E170" s="666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68"/>
      <c r="R170" s="668"/>
      <c r="S170" s="668"/>
      <c r="T170" s="669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666">
        <v>4680115889491</v>
      </c>
      <c r="E171" s="666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7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68"/>
      <c r="R171" s="668"/>
      <c r="S171" s="668"/>
      <c r="T171" s="669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6"/>
      <c r="B172" s="656"/>
      <c r="C172" s="656"/>
      <c r="D172" s="656"/>
      <c r="E172" s="656"/>
      <c r="F172" s="656"/>
      <c r="G172" s="656"/>
      <c r="H172" s="656"/>
      <c r="I172" s="656"/>
      <c r="J172" s="656"/>
      <c r="K172" s="656"/>
      <c r="L172" s="656"/>
      <c r="M172" s="656"/>
      <c r="N172" s="656"/>
      <c r="O172" s="657"/>
      <c r="P172" s="653" t="s">
        <v>40</v>
      </c>
      <c r="Q172" s="654"/>
      <c r="R172" s="654"/>
      <c r="S172" s="654"/>
      <c r="T172" s="654"/>
      <c r="U172" s="654"/>
      <c r="V172" s="655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6"/>
      <c r="B173" s="656"/>
      <c r="C173" s="656"/>
      <c r="D173" s="656"/>
      <c r="E173" s="656"/>
      <c r="F173" s="656"/>
      <c r="G173" s="656"/>
      <c r="H173" s="656"/>
      <c r="I173" s="656"/>
      <c r="J173" s="656"/>
      <c r="K173" s="656"/>
      <c r="L173" s="656"/>
      <c r="M173" s="656"/>
      <c r="N173" s="656"/>
      <c r="O173" s="657"/>
      <c r="P173" s="653" t="s">
        <v>40</v>
      </c>
      <c r="Q173" s="654"/>
      <c r="R173" s="654"/>
      <c r="S173" s="654"/>
      <c r="T173" s="654"/>
      <c r="U173" s="654"/>
      <c r="V173" s="655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5" t="s">
        <v>77</v>
      </c>
      <c r="B174" s="665"/>
      <c r="C174" s="665"/>
      <c r="D174" s="665"/>
      <c r="E174" s="665"/>
      <c r="F174" s="665"/>
      <c r="G174" s="665"/>
      <c r="H174" s="665"/>
      <c r="I174" s="665"/>
      <c r="J174" s="665"/>
      <c r="K174" s="665"/>
      <c r="L174" s="665"/>
      <c r="M174" s="665"/>
      <c r="N174" s="665"/>
      <c r="O174" s="665"/>
      <c r="P174" s="665"/>
      <c r="Q174" s="665"/>
      <c r="R174" s="665"/>
      <c r="S174" s="665"/>
      <c r="T174" s="665"/>
      <c r="U174" s="665"/>
      <c r="V174" s="665"/>
      <c r="W174" s="665"/>
      <c r="X174" s="665"/>
      <c r="Y174" s="665"/>
      <c r="Z174" s="665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666">
        <v>4680115887428</v>
      </c>
      <c r="E175" s="666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7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68"/>
      <c r="R175" s="668"/>
      <c r="S175" s="668"/>
      <c r="T175" s="669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303</v>
      </c>
      <c r="B176" s="63" t="s">
        <v>304</v>
      </c>
      <c r="C176" s="36">
        <v>4301031509</v>
      </c>
      <c r="D176" s="666">
        <v>4680115889170</v>
      </c>
      <c r="E176" s="666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68"/>
      <c r="R176" s="668"/>
      <c r="S176" s="668"/>
      <c r="T176" s="669"/>
      <c r="U176" s="39" t="s">
        <v>46</v>
      </c>
      <c r="V176" s="39" t="s">
        <v>46</v>
      </c>
      <c r="W176" s="40" t="s">
        <v>0</v>
      </c>
      <c r="X176" s="58">
        <v>200</v>
      </c>
      <c r="Y176" s="55">
        <f t="shared" si="16"/>
        <v>203</v>
      </c>
      <c r="Z176" s="41">
        <f>IFERROR(IF(Y176=0,"",ROUNDUP(Y176/H176,0)*0.00902),"")</f>
        <v>0.52316000000000007</v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215.14285714285714</v>
      </c>
      <c r="BN176" s="78">
        <f t="shared" si="18"/>
        <v>218.37000000000003</v>
      </c>
      <c r="BO176" s="78">
        <f t="shared" si="19"/>
        <v>0.43290043290043295</v>
      </c>
      <c r="BP176" s="78">
        <f t="shared" si="20"/>
        <v>0.43939393939393939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666">
        <v>4680115887398</v>
      </c>
      <c r="E177" s="666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65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68"/>
      <c r="R177" s="668"/>
      <c r="S177" s="668"/>
      <c r="T177" s="669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309</v>
      </c>
      <c r="B178" s="63" t="s">
        <v>310</v>
      </c>
      <c r="C178" s="36">
        <v>4301031520</v>
      </c>
      <c r="D178" s="666">
        <v>4680115887336</v>
      </c>
      <c r="E178" s="666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68"/>
      <c r="R178" s="668"/>
      <c r="S178" s="668"/>
      <c r="T178" s="669"/>
      <c r="U178" s="39" t="s">
        <v>46</v>
      </c>
      <c r="V178" s="39" t="s">
        <v>46</v>
      </c>
      <c r="W178" s="40" t="s">
        <v>0</v>
      </c>
      <c r="X178" s="58">
        <v>100</v>
      </c>
      <c r="Y178" s="55">
        <f t="shared" si="16"/>
        <v>101.5</v>
      </c>
      <c r="Z178" s="41">
        <f>IFERROR(IF(Y178=0,"",ROUNDUP(Y178/H178,0)*0.00902),"")</f>
        <v>0.26158000000000003</v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105.42857142857143</v>
      </c>
      <c r="BN178" s="78">
        <f t="shared" si="18"/>
        <v>107.00999999999999</v>
      </c>
      <c r="BO178" s="78">
        <f t="shared" si="19"/>
        <v>0.21645021645021648</v>
      </c>
      <c r="BP178" s="78">
        <f t="shared" si="20"/>
        <v>0.2196969696969697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666">
        <v>4680115887787</v>
      </c>
      <c r="E179" s="666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6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68"/>
      <c r="R179" s="668"/>
      <c r="S179" s="668"/>
      <c r="T179" s="669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666">
        <v>4680115887787</v>
      </c>
      <c r="E180" s="666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8"/>
      <c r="R180" s="668"/>
      <c r="S180" s="668"/>
      <c r="T180" s="669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666">
        <v>4680115887503</v>
      </c>
      <c r="E181" s="666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6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668"/>
      <c r="R181" s="668"/>
      <c r="S181" s="668"/>
      <c r="T181" s="669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666">
        <v>4680115887763</v>
      </c>
      <c r="E182" s="666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68"/>
      <c r="R182" s="668"/>
      <c r="S182" s="668"/>
      <c r="T182" s="669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666">
        <v>4680115887480</v>
      </c>
      <c r="E183" s="666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7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68"/>
      <c r="R183" s="668"/>
      <c r="S183" s="668"/>
      <c r="T183" s="669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666">
        <v>4680115888067</v>
      </c>
      <c r="E184" s="666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7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68"/>
      <c r="R184" s="668"/>
      <c r="S184" s="668"/>
      <c r="T184" s="669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666">
        <v>4680115887435</v>
      </c>
      <c r="E185" s="666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68"/>
      <c r="R185" s="668"/>
      <c r="S185" s="668"/>
      <c r="T185" s="669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85.714285714285722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87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0.7847400000000001</v>
      </c>
      <c r="AA186" s="67"/>
      <c r="AB186" s="67"/>
      <c r="AC186" s="67"/>
    </row>
    <row r="187" spans="1:68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IFERROR(SUM(X175:X185),"0")</f>
        <v>300</v>
      </c>
      <c r="Y187" s="43">
        <f>IFERROR(SUM(Y175:Y185),"0")</f>
        <v>304.5</v>
      </c>
      <c r="Z187" s="42"/>
      <c r="AA187" s="67"/>
      <c r="AB187" s="67"/>
      <c r="AC187" s="67"/>
    </row>
    <row r="188" spans="1:68" ht="14.25" hidden="1" customHeight="1" x14ac:dyDescent="0.25">
      <c r="A188" s="665" t="s">
        <v>86</v>
      </c>
      <c r="B188" s="665"/>
      <c r="C188" s="665"/>
      <c r="D188" s="665"/>
      <c r="E188" s="665"/>
      <c r="F188" s="665"/>
      <c r="G188" s="665"/>
      <c r="H188" s="665"/>
      <c r="I188" s="665"/>
      <c r="J188" s="665"/>
      <c r="K188" s="665"/>
      <c r="L188" s="665"/>
      <c r="M188" s="665"/>
      <c r="N188" s="665"/>
      <c r="O188" s="665"/>
      <c r="P188" s="665"/>
      <c r="Q188" s="665"/>
      <c r="R188" s="665"/>
      <c r="S188" s="665"/>
      <c r="T188" s="665"/>
      <c r="U188" s="665"/>
      <c r="V188" s="665"/>
      <c r="W188" s="665"/>
      <c r="X188" s="665"/>
      <c r="Y188" s="665"/>
      <c r="Z188" s="665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666">
        <v>4680115888395</v>
      </c>
      <c r="E189" s="666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6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68"/>
      <c r="R189" s="668"/>
      <c r="S189" s="668"/>
      <c r="T189" s="669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666">
        <v>4680115888371</v>
      </c>
      <c r="E190" s="666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68"/>
      <c r="R190" s="668"/>
      <c r="S190" s="668"/>
      <c r="T190" s="669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666">
        <v>4680115887459</v>
      </c>
      <c r="E191" s="666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6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68"/>
      <c r="R191" s="668"/>
      <c r="S191" s="668"/>
      <c r="T191" s="669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6"/>
      <c r="B193" s="656"/>
      <c r="C193" s="656"/>
      <c r="D193" s="656"/>
      <c r="E193" s="656"/>
      <c r="F193" s="656"/>
      <c r="G193" s="656"/>
      <c r="H193" s="656"/>
      <c r="I193" s="656"/>
      <c r="J193" s="656"/>
      <c r="K193" s="656"/>
      <c r="L193" s="656"/>
      <c r="M193" s="656"/>
      <c r="N193" s="656"/>
      <c r="O193" s="657"/>
      <c r="P193" s="653" t="s">
        <v>40</v>
      </c>
      <c r="Q193" s="654"/>
      <c r="R193" s="654"/>
      <c r="S193" s="654"/>
      <c r="T193" s="654"/>
      <c r="U193" s="654"/>
      <c r="V193" s="655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5" t="s">
        <v>277</v>
      </c>
      <c r="B194" s="665"/>
      <c r="C194" s="665"/>
      <c r="D194" s="665"/>
      <c r="E194" s="665"/>
      <c r="F194" s="665"/>
      <c r="G194" s="665"/>
      <c r="H194" s="665"/>
      <c r="I194" s="665"/>
      <c r="J194" s="665"/>
      <c r="K194" s="665"/>
      <c r="L194" s="665"/>
      <c r="M194" s="665"/>
      <c r="N194" s="665"/>
      <c r="O194" s="665"/>
      <c r="P194" s="665"/>
      <c r="Q194" s="665"/>
      <c r="R194" s="665"/>
      <c r="S194" s="665"/>
      <c r="T194" s="665"/>
      <c r="U194" s="665"/>
      <c r="V194" s="665"/>
      <c r="W194" s="665"/>
      <c r="X194" s="665"/>
      <c r="Y194" s="665"/>
      <c r="Z194" s="665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666">
        <v>4680115889026</v>
      </c>
      <c r="E195" s="666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8"/>
      <c r="R195" s="668"/>
      <c r="S195" s="668"/>
      <c r="T195" s="669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56"/>
      <c r="B197" s="656"/>
      <c r="C197" s="656"/>
      <c r="D197" s="656"/>
      <c r="E197" s="656"/>
      <c r="F197" s="656"/>
      <c r="G197" s="656"/>
      <c r="H197" s="656"/>
      <c r="I197" s="656"/>
      <c r="J197" s="656"/>
      <c r="K197" s="656"/>
      <c r="L197" s="656"/>
      <c r="M197" s="656"/>
      <c r="N197" s="656"/>
      <c r="O197" s="657"/>
      <c r="P197" s="653" t="s">
        <v>40</v>
      </c>
      <c r="Q197" s="654"/>
      <c r="R197" s="654"/>
      <c r="S197" s="654"/>
      <c r="T197" s="654"/>
      <c r="U197" s="654"/>
      <c r="V197" s="655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65" t="s">
        <v>341</v>
      </c>
      <c r="B198" s="665"/>
      <c r="C198" s="665"/>
      <c r="D198" s="665"/>
      <c r="E198" s="665"/>
      <c r="F198" s="665"/>
      <c r="G198" s="665"/>
      <c r="H198" s="665"/>
      <c r="I198" s="665"/>
      <c r="J198" s="665"/>
      <c r="K198" s="665"/>
      <c r="L198" s="665"/>
      <c r="M198" s="665"/>
      <c r="N198" s="665"/>
      <c r="O198" s="665"/>
      <c r="P198" s="665"/>
      <c r="Q198" s="665"/>
      <c r="R198" s="665"/>
      <c r="S198" s="665"/>
      <c r="T198" s="665"/>
      <c r="U198" s="665"/>
      <c r="V198" s="665"/>
      <c r="W198" s="665"/>
      <c r="X198" s="665"/>
      <c r="Y198" s="665"/>
      <c r="Z198" s="665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666">
        <v>4680115889033</v>
      </c>
      <c r="E199" s="666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8"/>
      <c r="R199" s="668"/>
      <c r="S199" s="668"/>
      <c r="T199" s="669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56"/>
      <c r="B200" s="656"/>
      <c r="C200" s="656"/>
      <c r="D200" s="656"/>
      <c r="E200" s="656"/>
      <c r="F200" s="656"/>
      <c r="G200" s="656"/>
      <c r="H200" s="656"/>
      <c r="I200" s="656"/>
      <c r="J200" s="656"/>
      <c r="K200" s="656"/>
      <c r="L200" s="656"/>
      <c r="M200" s="656"/>
      <c r="N200" s="656"/>
      <c r="O200" s="657"/>
      <c r="P200" s="653" t="s">
        <v>40</v>
      </c>
      <c r="Q200" s="654"/>
      <c r="R200" s="654"/>
      <c r="S200" s="654"/>
      <c r="T200" s="654"/>
      <c r="U200" s="654"/>
      <c r="V200" s="655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56"/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7"/>
      <c r="P201" s="653" t="s">
        <v>40</v>
      </c>
      <c r="Q201" s="654"/>
      <c r="R201" s="654"/>
      <c r="S201" s="654"/>
      <c r="T201" s="654"/>
      <c r="U201" s="654"/>
      <c r="V201" s="655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83" t="s">
        <v>345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54"/>
      <c r="AB202" s="54"/>
      <c r="AC202" s="54"/>
    </row>
    <row r="203" spans="1:68" ht="16.5" hidden="1" customHeight="1" x14ac:dyDescent="0.25">
      <c r="A203" s="672" t="s">
        <v>346</v>
      </c>
      <c r="B203" s="672"/>
      <c r="C203" s="672"/>
      <c r="D203" s="672"/>
      <c r="E203" s="672"/>
      <c r="F203" s="672"/>
      <c r="G203" s="672"/>
      <c r="H203" s="672"/>
      <c r="I203" s="672"/>
      <c r="J203" s="672"/>
      <c r="K203" s="672"/>
      <c r="L203" s="672"/>
      <c r="M203" s="672"/>
      <c r="N203" s="672"/>
      <c r="O203" s="672"/>
      <c r="P203" s="672"/>
      <c r="Q203" s="672"/>
      <c r="R203" s="672"/>
      <c r="S203" s="672"/>
      <c r="T203" s="672"/>
      <c r="U203" s="672"/>
      <c r="V203" s="672"/>
      <c r="W203" s="672"/>
      <c r="X203" s="672"/>
      <c r="Y203" s="672"/>
      <c r="Z203" s="672"/>
      <c r="AA203" s="65"/>
      <c r="AB203" s="65"/>
      <c r="AC203" s="79"/>
    </row>
    <row r="204" spans="1:68" ht="14.25" hidden="1" customHeight="1" x14ac:dyDescent="0.25">
      <c r="A204" s="665" t="s">
        <v>122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666">
        <v>4607091383423</v>
      </c>
      <c r="E205" s="666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8"/>
      <c r="R205" s="668"/>
      <c r="S205" s="668"/>
      <c r="T205" s="669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666">
        <v>4680115888760</v>
      </c>
      <c r="E206" s="666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8"/>
      <c r="R206" s="668"/>
      <c r="S206" s="668"/>
      <c r="T206" s="669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666">
        <v>4680115888807</v>
      </c>
      <c r="E207" s="666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8"/>
      <c r="R207" s="668"/>
      <c r="S207" s="668"/>
      <c r="T207" s="669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666">
        <v>4680115888852</v>
      </c>
      <c r="E208" s="666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8"/>
      <c r="R208" s="668"/>
      <c r="S208" s="668"/>
      <c r="T208" s="669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666">
        <v>4680115886957</v>
      </c>
      <c r="E209" s="666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8"/>
      <c r="R209" s="668"/>
      <c r="S209" s="668"/>
      <c r="T209" s="669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666">
        <v>4680115885660</v>
      </c>
      <c r="E210" s="666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8"/>
      <c r="R210" s="668"/>
      <c r="S210" s="668"/>
      <c r="T210" s="669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666">
        <v>4680115886773</v>
      </c>
      <c r="E211" s="666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5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8"/>
      <c r="R211" s="668"/>
      <c r="S211" s="668"/>
      <c r="T211" s="669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72" t="s">
        <v>367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5"/>
      <c r="AB214" s="65"/>
      <c r="AC214" s="79"/>
    </row>
    <row r="215" spans="1:68" ht="14.25" hidden="1" customHeight="1" x14ac:dyDescent="0.25">
      <c r="A215" s="665" t="s">
        <v>159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666">
        <v>4680115886223</v>
      </c>
      <c r="E216" s="666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5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8"/>
      <c r="R216" s="668"/>
      <c r="S216" s="668"/>
      <c r="T216" s="669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56"/>
      <c r="B217" s="656"/>
      <c r="C217" s="656"/>
      <c r="D217" s="656"/>
      <c r="E217" s="656"/>
      <c r="F217" s="656"/>
      <c r="G217" s="656"/>
      <c r="H217" s="656"/>
      <c r="I217" s="656"/>
      <c r="J217" s="656"/>
      <c r="K217" s="656"/>
      <c r="L217" s="656"/>
      <c r="M217" s="656"/>
      <c r="N217" s="656"/>
      <c r="O217" s="657"/>
      <c r="P217" s="653" t="s">
        <v>40</v>
      </c>
      <c r="Q217" s="654"/>
      <c r="R217" s="654"/>
      <c r="S217" s="654"/>
      <c r="T217" s="654"/>
      <c r="U217" s="654"/>
      <c r="V217" s="655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56"/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7"/>
      <c r="P218" s="653" t="s">
        <v>40</v>
      </c>
      <c r="Q218" s="654"/>
      <c r="R218" s="654"/>
      <c r="S218" s="654"/>
      <c r="T218" s="654"/>
      <c r="U218" s="654"/>
      <c r="V218" s="655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65" t="s">
        <v>77</v>
      </c>
      <c r="B219" s="665"/>
      <c r="C219" s="665"/>
      <c r="D219" s="665"/>
      <c r="E219" s="665"/>
      <c r="F219" s="665"/>
      <c r="G219" s="665"/>
      <c r="H219" s="665"/>
      <c r="I219" s="665"/>
      <c r="J219" s="665"/>
      <c r="K219" s="665"/>
      <c r="L219" s="665"/>
      <c r="M219" s="665"/>
      <c r="N219" s="665"/>
      <c r="O219" s="665"/>
      <c r="P219" s="665"/>
      <c r="Q219" s="665"/>
      <c r="R219" s="665"/>
      <c r="S219" s="665"/>
      <c r="T219" s="665"/>
      <c r="U219" s="665"/>
      <c r="V219" s="665"/>
      <c r="W219" s="665"/>
      <c r="X219" s="665"/>
      <c r="Y219" s="665"/>
      <c r="Z219" s="665"/>
      <c r="AA219" s="66"/>
      <c r="AB219" s="66"/>
      <c r="AC219" s="80"/>
    </row>
    <row r="220" spans="1:68" ht="27" hidden="1" customHeight="1" x14ac:dyDescent="0.25">
      <c r="A220" s="63" t="s">
        <v>371</v>
      </c>
      <c r="B220" s="63" t="s">
        <v>372</v>
      </c>
      <c r="C220" s="36">
        <v>4301031191</v>
      </c>
      <c r="D220" s="666">
        <v>4680115880993</v>
      </c>
      <c r="E220" s="666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8"/>
      <c r="R220" s="668"/>
      <c r="S220" s="668"/>
      <c r="T220" s="669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4" si="27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0</v>
      </c>
      <c r="BN220" s="78">
        <f t="shared" ref="BN220:BN234" si="29">IFERROR(Y220*I220/H220,"0")</f>
        <v>0</v>
      </c>
      <c r="BO220" s="78">
        <f t="shared" ref="BO220:BO234" si="30">IFERROR(1/J220*(X220/H220),"0")</f>
        <v>0</v>
      </c>
      <c r="BP220" s="78">
        <f t="shared" ref="BP220:BP234" si="31">IFERROR(1/J220*(Y220/H220),"0")</f>
        <v>0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666">
        <v>4680115881761</v>
      </c>
      <c r="E221" s="666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8"/>
      <c r="R221" s="668"/>
      <c r="S221" s="668"/>
      <c r="T221" s="669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377</v>
      </c>
      <c r="B222" s="63" t="s">
        <v>378</v>
      </c>
      <c r="C222" s="36">
        <v>4301031201</v>
      </c>
      <c r="D222" s="666">
        <v>4680115881563</v>
      </c>
      <c r="E222" s="666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668"/>
      <c r="R222" s="668"/>
      <c r="S222" s="668"/>
      <c r="T222" s="669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666">
        <v>4680115887565</v>
      </c>
      <c r="E223" s="666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8"/>
      <c r="R223" s="668"/>
      <c r="S223" s="668"/>
      <c r="T223" s="669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666">
        <v>4680115880986</v>
      </c>
      <c r="E224" s="666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8"/>
      <c r="R224" s="668"/>
      <c r="S224" s="668"/>
      <c r="T224" s="669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666">
        <v>4680115887213</v>
      </c>
      <c r="E225" s="666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8"/>
      <c r="R225" s="668"/>
      <c r="S225" s="668"/>
      <c r="T225" s="669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666">
        <v>4680115881785</v>
      </c>
      <c r="E226" s="666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8"/>
      <c r="R226" s="668"/>
      <c r="S226" s="668"/>
      <c r="T226" s="669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666">
        <v>4680115888432</v>
      </c>
      <c r="E227" s="666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8"/>
      <c r="R227" s="668"/>
      <c r="S227" s="668"/>
      <c r="T227" s="669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666">
        <v>4680115888104</v>
      </c>
      <c r="E228" s="666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668"/>
      <c r="R228" s="668"/>
      <c r="S228" s="668"/>
      <c r="T228" s="669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666">
        <v>4680115886537</v>
      </c>
      <c r="E229" s="666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68"/>
      <c r="R229" s="668"/>
      <c r="S229" s="668"/>
      <c r="T229" s="669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666">
        <v>4680115887596</v>
      </c>
      <c r="E230" s="666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3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68"/>
      <c r="R230" s="668"/>
      <c r="S230" s="668"/>
      <c r="T230" s="669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666">
        <v>4680115881679</v>
      </c>
      <c r="E231" s="666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68"/>
      <c r="R231" s="668"/>
      <c r="S231" s="668"/>
      <c r="T231" s="669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666">
        <v>4680115880191</v>
      </c>
      <c r="E232" s="666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68"/>
      <c r="R232" s="668"/>
      <c r="S232" s="668"/>
      <c r="T232" s="669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666">
        <v>4680115880191</v>
      </c>
      <c r="E233" s="666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68"/>
      <c r="R233" s="668"/>
      <c r="S233" s="668"/>
      <c r="T233" s="669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666">
        <v>4680115883963</v>
      </c>
      <c r="E234" s="666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68"/>
      <c r="R234" s="668"/>
      <c r="S234" s="668"/>
      <c r="T234" s="669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IFERROR(SUM(X220:X234),"0")</f>
        <v>0</v>
      </c>
      <c r="Y236" s="43">
        <f>IFERROR(SUM(Y220:Y234),"0")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5" t="s">
        <v>86</v>
      </c>
      <c r="B237" s="665"/>
      <c r="C237" s="665"/>
      <c r="D237" s="665"/>
      <c r="E237" s="665"/>
      <c r="F237" s="665"/>
      <c r="G237" s="665"/>
      <c r="H237" s="665"/>
      <c r="I237" s="665"/>
      <c r="J237" s="665"/>
      <c r="K237" s="665"/>
      <c r="L237" s="665"/>
      <c r="M237" s="665"/>
      <c r="N237" s="665"/>
      <c r="O237" s="665"/>
      <c r="P237" s="665"/>
      <c r="Q237" s="665"/>
      <c r="R237" s="665"/>
      <c r="S237" s="665"/>
      <c r="T237" s="665"/>
      <c r="U237" s="665"/>
      <c r="V237" s="665"/>
      <c r="W237" s="665"/>
      <c r="X237" s="665"/>
      <c r="Y237" s="665"/>
      <c r="Z237" s="665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666">
        <v>4680115888692</v>
      </c>
      <c r="E238" s="666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68"/>
      <c r="R238" s="668"/>
      <c r="S238" s="668"/>
      <c r="T238" s="669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666">
        <v>4680115888692</v>
      </c>
      <c r="E239" s="666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68"/>
      <c r="R239" s="668"/>
      <c r="S239" s="668"/>
      <c r="T239" s="669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666">
        <v>4680115888722</v>
      </c>
      <c r="E240" s="666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2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68"/>
      <c r="R240" s="668"/>
      <c r="S240" s="668"/>
      <c r="T240" s="669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666">
        <v>4680115888722</v>
      </c>
      <c r="E241" s="666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3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68"/>
      <c r="R241" s="668"/>
      <c r="S241" s="668"/>
      <c r="T241" s="669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666">
        <v>4680115888951</v>
      </c>
      <c r="E242" s="666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68"/>
      <c r="R242" s="668"/>
      <c r="S242" s="668"/>
      <c r="T242" s="669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666">
        <v>4680115888951</v>
      </c>
      <c r="E243" s="666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68"/>
      <c r="R243" s="668"/>
      <c r="S243" s="668"/>
      <c r="T243" s="669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666">
        <v>4680115888975</v>
      </c>
      <c r="E244" s="666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3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68"/>
      <c r="R244" s="668"/>
      <c r="S244" s="668"/>
      <c r="T244" s="669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666">
        <v>4680115888982</v>
      </c>
      <c r="E245" s="666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68"/>
      <c r="R245" s="668"/>
      <c r="S245" s="668"/>
      <c r="T245" s="669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666">
        <v>4680115888982</v>
      </c>
      <c r="E246" s="666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2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8"/>
      <c r="R246" s="668"/>
      <c r="S246" s="668"/>
      <c r="T246" s="669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656"/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7"/>
      <c r="P247" s="653" t="s">
        <v>40</v>
      </c>
      <c r="Q247" s="654"/>
      <c r="R247" s="654"/>
      <c r="S247" s="654"/>
      <c r="T247" s="654"/>
      <c r="U247" s="654"/>
      <c r="V247" s="655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65" t="s">
        <v>277</v>
      </c>
      <c r="B249" s="665"/>
      <c r="C249" s="665"/>
      <c r="D249" s="665"/>
      <c r="E249" s="665"/>
      <c r="F249" s="665"/>
      <c r="G249" s="665"/>
      <c r="H249" s="665"/>
      <c r="I249" s="665"/>
      <c r="J249" s="665"/>
      <c r="K249" s="665"/>
      <c r="L249" s="665"/>
      <c r="M249" s="665"/>
      <c r="N249" s="665"/>
      <c r="O249" s="665"/>
      <c r="P249" s="665"/>
      <c r="Q249" s="665"/>
      <c r="R249" s="665"/>
      <c r="S249" s="665"/>
      <c r="T249" s="665"/>
      <c r="U249" s="665"/>
      <c r="V249" s="665"/>
      <c r="W249" s="665"/>
      <c r="X249" s="665"/>
      <c r="Y249" s="665"/>
      <c r="Z249" s="665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666">
        <v>4680115886780</v>
      </c>
      <c r="E250" s="666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68"/>
      <c r="R250" s="668"/>
      <c r="S250" s="668"/>
      <c r="T250" s="669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666">
        <v>4680115886742</v>
      </c>
      <c r="E251" s="666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68"/>
      <c r="R251" s="668"/>
      <c r="S251" s="668"/>
      <c r="T251" s="669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666">
        <v>4680115886766</v>
      </c>
      <c r="E252" s="666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68"/>
      <c r="R252" s="668"/>
      <c r="S252" s="668"/>
      <c r="T252" s="669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56"/>
      <c r="B254" s="656"/>
      <c r="C254" s="656"/>
      <c r="D254" s="656"/>
      <c r="E254" s="656"/>
      <c r="F254" s="656"/>
      <c r="G254" s="656"/>
      <c r="H254" s="656"/>
      <c r="I254" s="656"/>
      <c r="J254" s="656"/>
      <c r="K254" s="656"/>
      <c r="L254" s="656"/>
      <c r="M254" s="656"/>
      <c r="N254" s="656"/>
      <c r="O254" s="657"/>
      <c r="P254" s="653" t="s">
        <v>40</v>
      </c>
      <c r="Q254" s="654"/>
      <c r="R254" s="654"/>
      <c r="S254" s="654"/>
      <c r="T254" s="654"/>
      <c r="U254" s="654"/>
      <c r="V254" s="655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65" t="s">
        <v>438</v>
      </c>
      <c r="B255" s="665"/>
      <c r="C255" s="665"/>
      <c r="D255" s="665"/>
      <c r="E255" s="665"/>
      <c r="F255" s="665"/>
      <c r="G255" s="665"/>
      <c r="H255" s="665"/>
      <c r="I255" s="665"/>
      <c r="J255" s="665"/>
      <c r="K255" s="665"/>
      <c r="L255" s="665"/>
      <c r="M255" s="665"/>
      <c r="N255" s="665"/>
      <c r="O255" s="665"/>
      <c r="P255" s="665"/>
      <c r="Q255" s="665"/>
      <c r="R255" s="665"/>
      <c r="S255" s="665"/>
      <c r="T255" s="665"/>
      <c r="U255" s="665"/>
      <c r="V255" s="665"/>
      <c r="W255" s="665"/>
      <c r="X255" s="665"/>
      <c r="Y255" s="665"/>
      <c r="Z255" s="665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666">
        <v>4680115886797</v>
      </c>
      <c r="E256" s="666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68"/>
      <c r="R256" s="668"/>
      <c r="S256" s="668"/>
      <c r="T256" s="669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72" t="s">
        <v>441</v>
      </c>
      <c r="B259" s="672"/>
      <c r="C259" s="672"/>
      <c r="D259" s="672"/>
      <c r="E259" s="672"/>
      <c r="F259" s="672"/>
      <c r="G259" s="672"/>
      <c r="H259" s="672"/>
      <c r="I259" s="672"/>
      <c r="J259" s="672"/>
      <c r="K259" s="672"/>
      <c r="L259" s="672"/>
      <c r="M259" s="672"/>
      <c r="N259" s="672"/>
      <c r="O259" s="672"/>
      <c r="P259" s="672"/>
      <c r="Q259" s="672"/>
      <c r="R259" s="672"/>
      <c r="S259" s="672"/>
      <c r="T259" s="672"/>
      <c r="U259" s="672"/>
      <c r="V259" s="672"/>
      <c r="W259" s="672"/>
      <c r="X259" s="672"/>
      <c r="Y259" s="672"/>
      <c r="Z259" s="672"/>
      <c r="AA259" s="65"/>
      <c r="AB259" s="65"/>
      <c r="AC259" s="79"/>
    </row>
    <row r="260" spans="1:68" ht="14.25" hidden="1" customHeight="1" x14ac:dyDescent="0.25">
      <c r="A260" s="665" t="s">
        <v>122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666">
        <v>4680115881402</v>
      </c>
      <c r="E261" s="666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1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68"/>
      <c r="R261" s="668"/>
      <c r="S261" s="668"/>
      <c r="T261" s="669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666">
        <v>4680115881396</v>
      </c>
      <c r="E262" s="666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1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68"/>
      <c r="R262" s="668"/>
      <c r="S262" s="668"/>
      <c r="T262" s="669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65" t="s">
        <v>159</v>
      </c>
      <c r="B265" s="665"/>
      <c r="C265" s="665"/>
      <c r="D265" s="665"/>
      <c r="E265" s="665"/>
      <c r="F265" s="665"/>
      <c r="G265" s="665"/>
      <c r="H265" s="665"/>
      <c r="I265" s="665"/>
      <c r="J265" s="665"/>
      <c r="K265" s="665"/>
      <c r="L265" s="665"/>
      <c r="M265" s="665"/>
      <c r="N265" s="665"/>
      <c r="O265" s="665"/>
      <c r="P265" s="665"/>
      <c r="Q265" s="665"/>
      <c r="R265" s="665"/>
      <c r="S265" s="665"/>
      <c r="T265" s="665"/>
      <c r="U265" s="665"/>
      <c r="V265" s="665"/>
      <c r="W265" s="665"/>
      <c r="X265" s="665"/>
      <c r="Y265" s="665"/>
      <c r="Z265" s="665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666">
        <v>4680115882935</v>
      </c>
      <c r="E266" s="666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68"/>
      <c r="R266" s="668"/>
      <c r="S266" s="668"/>
      <c r="T266" s="669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666">
        <v>4680115880764</v>
      </c>
      <c r="E267" s="666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68"/>
      <c r="R267" s="668"/>
      <c r="S267" s="668"/>
      <c r="T267" s="669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65" t="s">
        <v>77</v>
      </c>
      <c r="B270" s="665"/>
      <c r="C270" s="665"/>
      <c r="D270" s="665"/>
      <c r="E270" s="665"/>
      <c r="F270" s="665"/>
      <c r="G270" s="665"/>
      <c r="H270" s="665"/>
      <c r="I270" s="665"/>
      <c r="J270" s="665"/>
      <c r="K270" s="665"/>
      <c r="L270" s="665"/>
      <c r="M270" s="665"/>
      <c r="N270" s="665"/>
      <c r="O270" s="665"/>
      <c r="P270" s="665"/>
      <c r="Q270" s="665"/>
      <c r="R270" s="665"/>
      <c r="S270" s="665"/>
      <c r="T270" s="665"/>
      <c r="U270" s="665"/>
      <c r="V270" s="665"/>
      <c r="W270" s="665"/>
      <c r="X270" s="665"/>
      <c r="Y270" s="665"/>
      <c r="Z270" s="665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666">
        <v>4680115882683</v>
      </c>
      <c r="E271" s="666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68"/>
      <c r="R271" s="668"/>
      <c r="S271" s="668"/>
      <c r="T271" s="669"/>
      <c r="U271" s="39" t="s">
        <v>46</v>
      </c>
      <c r="V271" s="39" t="s">
        <v>46</v>
      </c>
      <c r="W271" s="40" t="s">
        <v>0</v>
      </c>
      <c r="X271" s="58">
        <v>70</v>
      </c>
      <c r="Y271" s="55">
        <f t="shared" ref="Y271:Y278" si="38">IFERROR(IF(X271="",0,CEILING((X271/$H271),1)*$H271),"")</f>
        <v>70.2</v>
      </c>
      <c r="Z271" s="41">
        <f>IFERROR(IF(Y271=0,"",ROUNDUP(Y271/H271,0)*0.00902),"")</f>
        <v>0.11726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72.462962962962962</v>
      </c>
      <c r="BN271" s="78">
        <f t="shared" ref="BN271:BN278" si="40">IFERROR(Y271*I271/H271,"0")</f>
        <v>72.67</v>
      </c>
      <c r="BO271" s="78">
        <f t="shared" ref="BO271:BO278" si="41">IFERROR(1/J271*(X271/H271),"0")</f>
        <v>9.8204264870931535E-2</v>
      </c>
      <c r="BP271" s="78">
        <f t="shared" ref="BP271:BP278" si="42">IFERROR(1/J271*(Y271/H271),"0")</f>
        <v>9.8484848484848481E-2</v>
      </c>
    </row>
    <row r="272" spans="1:68" ht="27" hidden="1" customHeight="1" x14ac:dyDescent="0.25">
      <c r="A272" s="63" t="s">
        <v>455</v>
      </c>
      <c r="B272" s="63" t="s">
        <v>456</v>
      </c>
      <c r="C272" s="36">
        <v>4301031230</v>
      </c>
      <c r="D272" s="666">
        <v>4680115882690</v>
      </c>
      <c r="E272" s="666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68"/>
      <c r="R272" s="668"/>
      <c r="S272" s="668"/>
      <c r="T272" s="669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666">
        <v>4680115882669</v>
      </c>
      <c r="E273" s="666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68"/>
      <c r="R273" s="668"/>
      <c r="S273" s="668"/>
      <c r="T273" s="669"/>
      <c r="U273" s="39" t="s">
        <v>46</v>
      </c>
      <c r="V273" s="39" t="s">
        <v>46</v>
      </c>
      <c r="W273" s="40" t="s">
        <v>0</v>
      </c>
      <c r="X273" s="58">
        <v>100</v>
      </c>
      <c r="Y273" s="55">
        <f t="shared" si="38"/>
        <v>102.60000000000001</v>
      </c>
      <c r="Z273" s="41">
        <f>IFERROR(IF(Y273=0,"",ROUNDUP(Y273/H273,0)*0.00902),"")</f>
        <v>0.17138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103.5185185185185</v>
      </c>
      <c r="BN273" s="78">
        <f t="shared" si="40"/>
        <v>106.21</v>
      </c>
      <c r="BO273" s="78">
        <f t="shared" si="41"/>
        <v>0.14029180695847362</v>
      </c>
      <c r="BP273" s="78">
        <f t="shared" si="42"/>
        <v>0.14393939393939395</v>
      </c>
    </row>
    <row r="274" spans="1:68" ht="27" customHeight="1" x14ac:dyDescent="0.25">
      <c r="A274" s="63" t="s">
        <v>461</v>
      </c>
      <c r="B274" s="63" t="s">
        <v>462</v>
      </c>
      <c r="C274" s="36">
        <v>4301031221</v>
      </c>
      <c r="D274" s="666">
        <v>4680115882676</v>
      </c>
      <c r="E274" s="666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68"/>
      <c r="R274" s="668"/>
      <c r="S274" s="668"/>
      <c r="T274" s="669"/>
      <c r="U274" s="39" t="s">
        <v>46</v>
      </c>
      <c r="V274" s="39" t="s">
        <v>46</v>
      </c>
      <c r="W274" s="40" t="s">
        <v>0</v>
      </c>
      <c r="X274" s="58">
        <v>120</v>
      </c>
      <c r="Y274" s="55">
        <f t="shared" si="38"/>
        <v>124.2</v>
      </c>
      <c r="Z274" s="41">
        <f>IFERROR(IF(Y274=0,"",ROUNDUP(Y274/H274,0)*0.00902),"")</f>
        <v>0.20746000000000001</v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124.2222222222222</v>
      </c>
      <c r="BN274" s="78">
        <f t="shared" si="40"/>
        <v>128.57</v>
      </c>
      <c r="BO274" s="78">
        <f t="shared" si="41"/>
        <v>0.16835016835016836</v>
      </c>
      <c r="BP274" s="78">
        <f t="shared" si="42"/>
        <v>0.17424242424242425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666">
        <v>4680115884014</v>
      </c>
      <c r="E275" s="666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68"/>
      <c r="R275" s="668"/>
      <c r="S275" s="668"/>
      <c r="T275" s="669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666">
        <v>4680115884007</v>
      </c>
      <c r="E276" s="666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68"/>
      <c r="R276" s="668"/>
      <c r="S276" s="668"/>
      <c r="T276" s="669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666">
        <v>4680115884038</v>
      </c>
      <c r="E277" s="666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68"/>
      <c r="R277" s="668"/>
      <c r="S277" s="668"/>
      <c r="T277" s="669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666">
        <v>4680115884021</v>
      </c>
      <c r="E278" s="666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68"/>
      <c r="R278" s="668"/>
      <c r="S278" s="668"/>
      <c r="T278" s="669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656"/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7"/>
      <c r="P279" s="653" t="s">
        <v>40</v>
      </c>
      <c r="Q279" s="654"/>
      <c r="R279" s="654"/>
      <c r="S279" s="654"/>
      <c r="T279" s="654"/>
      <c r="U279" s="654"/>
      <c r="V279" s="655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53.703703703703702</v>
      </c>
      <c r="Y279" s="43">
        <f>IFERROR(Y271/H271,"0")+IFERROR(Y272/H272,"0")+IFERROR(Y273/H273,"0")+IFERROR(Y274/H274,"0")+IFERROR(Y275/H275,"0")+IFERROR(Y276/H276,"0")+IFERROR(Y277/H277,"0")+IFERROR(Y278/H278,"0")</f>
        <v>55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0.49609999999999999</v>
      </c>
      <c r="AA279" s="67"/>
      <c r="AB279" s="67"/>
      <c r="AC279" s="67"/>
    </row>
    <row r="280" spans="1:68" x14ac:dyDescent="0.2">
      <c r="A280" s="656"/>
      <c r="B280" s="656"/>
      <c r="C280" s="656"/>
      <c r="D280" s="656"/>
      <c r="E280" s="656"/>
      <c r="F280" s="656"/>
      <c r="G280" s="656"/>
      <c r="H280" s="656"/>
      <c r="I280" s="656"/>
      <c r="J280" s="656"/>
      <c r="K280" s="656"/>
      <c r="L280" s="656"/>
      <c r="M280" s="656"/>
      <c r="N280" s="656"/>
      <c r="O280" s="657"/>
      <c r="P280" s="653" t="s">
        <v>40</v>
      </c>
      <c r="Q280" s="654"/>
      <c r="R280" s="654"/>
      <c r="S280" s="654"/>
      <c r="T280" s="654"/>
      <c r="U280" s="654"/>
      <c r="V280" s="655"/>
      <c r="W280" s="42" t="s">
        <v>0</v>
      </c>
      <c r="X280" s="43">
        <f>IFERROR(SUM(X271:X278),"0")</f>
        <v>290</v>
      </c>
      <c r="Y280" s="43">
        <f>IFERROR(SUM(Y271:Y278),"0")</f>
        <v>297</v>
      </c>
      <c r="Z280" s="42"/>
      <c r="AA280" s="67"/>
      <c r="AB280" s="67"/>
      <c r="AC280" s="67"/>
    </row>
    <row r="281" spans="1:68" ht="14.25" hidden="1" customHeight="1" x14ac:dyDescent="0.25">
      <c r="A281" s="665" t="s">
        <v>86</v>
      </c>
      <c r="B281" s="665"/>
      <c r="C281" s="665"/>
      <c r="D281" s="665"/>
      <c r="E281" s="665"/>
      <c r="F281" s="665"/>
      <c r="G281" s="665"/>
      <c r="H281" s="665"/>
      <c r="I281" s="665"/>
      <c r="J281" s="665"/>
      <c r="K281" s="665"/>
      <c r="L281" s="665"/>
      <c r="M281" s="665"/>
      <c r="N281" s="665"/>
      <c r="O281" s="665"/>
      <c r="P281" s="665"/>
      <c r="Q281" s="665"/>
      <c r="R281" s="665"/>
      <c r="S281" s="665"/>
      <c r="T281" s="665"/>
      <c r="U281" s="665"/>
      <c r="V281" s="665"/>
      <c r="W281" s="665"/>
      <c r="X281" s="665"/>
      <c r="Y281" s="665"/>
      <c r="Z281" s="665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666">
        <v>4680115881594</v>
      </c>
      <c r="E282" s="666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68"/>
      <c r="R282" s="668"/>
      <c r="S282" s="668"/>
      <c r="T282" s="669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666">
        <v>4680115881617</v>
      </c>
      <c r="E283" s="666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68"/>
      <c r="R283" s="668"/>
      <c r="S283" s="668"/>
      <c r="T283" s="669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666">
        <v>4680115880573</v>
      </c>
      <c r="E284" s="666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0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68"/>
      <c r="R284" s="668"/>
      <c r="S284" s="668"/>
      <c r="T284" s="669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666">
        <v>4680115882195</v>
      </c>
      <c r="E285" s="666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0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68"/>
      <c r="R285" s="668"/>
      <c r="S285" s="668"/>
      <c r="T285" s="669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666">
        <v>4680115882607</v>
      </c>
      <c r="E286" s="666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0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68"/>
      <c r="R286" s="668"/>
      <c r="S286" s="668"/>
      <c r="T286" s="669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666">
        <v>4680115882607</v>
      </c>
      <c r="E287" s="666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1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68"/>
      <c r="R287" s="668"/>
      <c r="S287" s="668"/>
      <c r="T287" s="669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666">
        <v>4680115880092</v>
      </c>
      <c r="E288" s="666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68"/>
      <c r="R288" s="668"/>
      <c r="S288" s="668"/>
      <c r="T288" s="669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666">
        <v>4680115889064</v>
      </c>
      <c r="E289" s="666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68"/>
      <c r="R289" s="668"/>
      <c r="S289" s="668"/>
      <c r="T289" s="669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666">
        <v>4680115880221</v>
      </c>
      <c r="E290" s="666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68"/>
      <c r="R290" s="668"/>
      <c r="S290" s="668"/>
      <c r="T290" s="669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666">
        <v>4680115880504</v>
      </c>
      <c r="E291" s="666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68"/>
      <c r="R291" s="668"/>
      <c r="S291" s="668"/>
      <c r="T291" s="669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666">
        <v>4680115882164</v>
      </c>
      <c r="E292" s="666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68"/>
      <c r="R292" s="668"/>
      <c r="S292" s="668"/>
      <c r="T292" s="669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666">
        <v>4680115888340</v>
      </c>
      <c r="E293" s="666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68"/>
      <c r="R293" s="668"/>
      <c r="S293" s="668"/>
      <c r="T293" s="669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65" t="s">
        <v>178</v>
      </c>
      <c r="B296" s="665"/>
      <c r="C296" s="665"/>
      <c r="D296" s="665"/>
      <c r="E296" s="665"/>
      <c r="F296" s="665"/>
      <c r="G296" s="665"/>
      <c r="H296" s="665"/>
      <c r="I296" s="665"/>
      <c r="J296" s="665"/>
      <c r="K296" s="665"/>
      <c r="L296" s="665"/>
      <c r="M296" s="665"/>
      <c r="N296" s="665"/>
      <c r="O296" s="665"/>
      <c r="P296" s="665"/>
      <c r="Q296" s="665"/>
      <c r="R296" s="665"/>
      <c r="S296" s="665"/>
      <c r="T296" s="665"/>
      <c r="U296" s="665"/>
      <c r="V296" s="665"/>
      <c r="W296" s="665"/>
      <c r="X296" s="665"/>
      <c r="Y296" s="665"/>
      <c r="Z296" s="665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666">
        <v>4680115880818</v>
      </c>
      <c r="E297" s="666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68"/>
      <c r="R297" s="668"/>
      <c r="S297" s="668"/>
      <c r="T297" s="669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666">
        <v>4680115880801</v>
      </c>
      <c r="E298" s="666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7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68"/>
      <c r="R298" s="668"/>
      <c r="S298" s="668"/>
      <c r="T298" s="669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72" t="s">
        <v>509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5"/>
      <c r="AB301" s="65"/>
      <c r="AC301" s="79"/>
    </row>
    <row r="302" spans="1:68" ht="14.25" hidden="1" customHeight="1" x14ac:dyDescent="0.25">
      <c r="A302" s="665" t="s">
        <v>122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666">
        <v>4680115884137</v>
      </c>
      <c r="E303" s="666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68"/>
      <c r="R303" s="668"/>
      <c r="S303" s="668"/>
      <c r="T303" s="669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666">
        <v>4680115884236</v>
      </c>
      <c r="E304" s="666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68"/>
      <c r="R304" s="668"/>
      <c r="S304" s="668"/>
      <c r="T304" s="669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666">
        <v>4680115884175</v>
      </c>
      <c r="E305" s="666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7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68"/>
      <c r="R305" s="668"/>
      <c r="S305" s="668"/>
      <c r="T305" s="669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666">
        <v>4680115884144</v>
      </c>
      <c r="E306" s="666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7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68"/>
      <c r="R306" s="668"/>
      <c r="S306" s="668"/>
      <c r="T306" s="669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666">
        <v>4680115886551</v>
      </c>
      <c r="E307" s="666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68"/>
      <c r="R307" s="668"/>
      <c r="S307" s="668"/>
      <c r="T307" s="669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666">
        <v>4680115887282</v>
      </c>
      <c r="E308" s="666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78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68"/>
      <c r="R308" s="668"/>
      <c r="S308" s="668"/>
      <c r="T308" s="669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666">
        <v>4680115884205</v>
      </c>
      <c r="E309" s="666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78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68"/>
      <c r="R309" s="668"/>
      <c r="S309" s="668"/>
      <c r="T309" s="669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656"/>
      <c r="B311" s="656"/>
      <c r="C311" s="656"/>
      <c r="D311" s="656"/>
      <c r="E311" s="656"/>
      <c r="F311" s="656"/>
      <c r="G311" s="656"/>
      <c r="H311" s="656"/>
      <c r="I311" s="656"/>
      <c r="J311" s="656"/>
      <c r="K311" s="656"/>
      <c r="L311" s="656"/>
      <c r="M311" s="656"/>
      <c r="N311" s="656"/>
      <c r="O311" s="657"/>
      <c r="P311" s="653" t="s">
        <v>40</v>
      </c>
      <c r="Q311" s="654"/>
      <c r="R311" s="654"/>
      <c r="S311" s="654"/>
      <c r="T311" s="654"/>
      <c r="U311" s="654"/>
      <c r="V311" s="655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5" t="s">
        <v>159</v>
      </c>
      <c r="B312" s="665"/>
      <c r="C312" s="665"/>
      <c r="D312" s="665"/>
      <c r="E312" s="665"/>
      <c r="F312" s="665"/>
      <c r="G312" s="665"/>
      <c r="H312" s="665"/>
      <c r="I312" s="665"/>
      <c r="J312" s="665"/>
      <c r="K312" s="665"/>
      <c r="L312" s="665"/>
      <c r="M312" s="665"/>
      <c r="N312" s="665"/>
      <c r="O312" s="665"/>
      <c r="P312" s="665"/>
      <c r="Q312" s="665"/>
      <c r="R312" s="665"/>
      <c r="S312" s="665"/>
      <c r="T312" s="665"/>
      <c r="U312" s="665"/>
      <c r="V312" s="665"/>
      <c r="W312" s="665"/>
      <c r="X312" s="665"/>
      <c r="Y312" s="665"/>
      <c r="Z312" s="665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666">
        <v>4680115885981</v>
      </c>
      <c r="E313" s="666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78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68"/>
      <c r="R313" s="668"/>
      <c r="S313" s="668"/>
      <c r="T313" s="669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5" t="s">
        <v>531</v>
      </c>
      <c r="B316" s="665"/>
      <c r="C316" s="665"/>
      <c r="D316" s="665"/>
      <c r="E316" s="665"/>
      <c r="F316" s="665"/>
      <c r="G316" s="665"/>
      <c r="H316" s="665"/>
      <c r="I316" s="665"/>
      <c r="J316" s="665"/>
      <c r="K316" s="665"/>
      <c r="L316" s="665"/>
      <c r="M316" s="665"/>
      <c r="N316" s="665"/>
      <c r="O316" s="665"/>
      <c r="P316" s="665"/>
      <c r="Q316" s="665"/>
      <c r="R316" s="665"/>
      <c r="S316" s="665"/>
      <c r="T316" s="665"/>
      <c r="U316" s="665"/>
      <c r="V316" s="665"/>
      <c r="W316" s="665"/>
      <c r="X316" s="665"/>
      <c r="Y316" s="665"/>
      <c r="Z316" s="665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666">
        <v>4680115886803</v>
      </c>
      <c r="E317" s="666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9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68"/>
      <c r="R317" s="668"/>
      <c r="S317" s="668"/>
      <c r="T317" s="669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56"/>
      <c r="B319" s="656"/>
      <c r="C319" s="656"/>
      <c r="D319" s="656"/>
      <c r="E319" s="656"/>
      <c r="F319" s="656"/>
      <c r="G319" s="656"/>
      <c r="H319" s="656"/>
      <c r="I319" s="656"/>
      <c r="J319" s="656"/>
      <c r="K319" s="656"/>
      <c r="L319" s="656"/>
      <c r="M319" s="656"/>
      <c r="N319" s="656"/>
      <c r="O319" s="657"/>
      <c r="P319" s="653" t="s">
        <v>40</v>
      </c>
      <c r="Q319" s="654"/>
      <c r="R319" s="654"/>
      <c r="S319" s="654"/>
      <c r="T319" s="654"/>
      <c r="U319" s="654"/>
      <c r="V319" s="655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65" t="s">
        <v>341</v>
      </c>
      <c r="B320" s="665"/>
      <c r="C320" s="665"/>
      <c r="D320" s="665"/>
      <c r="E320" s="665"/>
      <c r="F320" s="665"/>
      <c r="G320" s="665"/>
      <c r="H320" s="665"/>
      <c r="I320" s="665"/>
      <c r="J320" s="665"/>
      <c r="K320" s="665"/>
      <c r="L320" s="665"/>
      <c r="M320" s="665"/>
      <c r="N320" s="665"/>
      <c r="O320" s="665"/>
      <c r="P320" s="665"/>
      <c r="Q320" s="665"/>
      <c r="R320" s="665"/>
      <c r="S320" s="665"/>
      <c r="T320" s="665"/>
      <c r="U320" s="665"/>
      <c r="V320" s="665"/>
      <c r="W320" s="665"/>
      <c r="X320" s="665"/>
      <c r="Y320" s="665"/>
      <c r="Z320" s="665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666">
        <v>4680115886681</v>
      </c>
      <c r="E321" s="666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68"/>
      <c r="R321" s="668"/>
      <c r="S321" s="668"/>
      <c r="T321" s="669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56"/>
      <c r="B322" s="656"/>
      <c r="C322" s="656"/>
      <c r="D322" s="656"/>
      <c r="E322" s="656"/>
      <c r="F322" s="656"/>
      <c r="G322" s="656"/>
      <c r="H322" s="656"/>
      <c r="I322" s="656"/>
      <c r="J322" s="656"/>
      <c r="K322" s="656"/>
      <c r="L322" s="656"/>
      <c r="M322" s="656"/>
      <c r="N322" s="656"/>
      <c r="O322" s="657"/>
      <c r="P322" s="653" t="s">
        <v>40</v>
      </c>
      <c r="Q322" s="654"/>
      <c r="R322" s="654"/>
      <c r="S322" s="654"/>
      <c r="T322" s="654"/>
      <c r="U322" s="654"/>
      <c r="V322" s="655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56"/>
      <c r="B323" s="656"/>
      <c r="C323" s="656"/>
      <c r="D323" s="656"/>
      <c r="E323" s="656"/>
      <c r="F323" s="656"/>
      <c r="G323" s="656"/>
      <c r="H323" s="656"/>
      <c r="I323" s="656"/>
      <c r="J323" s="656"/>
      <c r="K323" s="656"/>
      <c r="L323" s="656"/>
      <c r="M323" s="656"/>
      <c r="N323" s="656"/>
      <c r="O323" s="657"/>
      <c r="P323" s="653" t="s">
        <v>40</v>
      </c>
      <c r="Q323" s="654"/>
      <c r="R323" s="654"/>
      <c r="S323" s="654"/>
      <c r="T323" s="654"/>
      <c r="U323" s="654"/>
      <c r="V323" s="655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2" t="s">
        <v>538</v>
      </c>
      <c r="B324" s="672"/>
      <c r="C324" s="672"/>
      <c r="D324" s="672"/>
      <c r="E324" s="672"/>
      <c r="F324" s="672"/>
      <c r="G324" s="672"/>
      <c r="H324" s="672"/>
      <c r="I324" s="672"/>
      <c r="J324" s="672"/>
      <c r="K324" s="672"/>
      <c r="L324" s="672"/>
      <c r="M324" s="672"/>
      <c r="N324" s="672"/>
      <c r="O324" s="672"/>
      <c r="P324" s="672"/>
      <c r="Q324" s="672"/>
      <c r="R324" s="672"/>
      <c r="S324" s="672"/>
      <c r="T324" s="672"/>
      <c r="U324" s="672"/>
      <c r="V324" s="672"/>
      <c r="W324" s="672"/>
      <c r="X324" s="672"/>
      <c r="Y324" s="672"/>
      <c r="Z324" s="672"/>
      <c r="AA324" s="65"/>
      <c r="AB324" s="65"/>
      <c r="AC324" s="79"/>
    </row>
    <row r="325" spans="1:68" ht="14.25" hidden="1" customHeight="1" x14ac:dyDescent="0.25">
      <c r="A325" s="665" t="s">
        <v>122</v>
      </c>
      <c r="B325" s="665"/>
      <c r="C325" s="665"/>
      <c r="D325" s="665"/>
      <c r="E325" s="665"/>
      <c r="F325" s="665"/>
      <c r="G325" s="665"/>
      <c r="H325" s="665"/>
      <c r="I325" s="665"/>
      <c r="J325" s="665"/>
      <c r="K325" s="665"/>
      <c r="L325" s="665"/>
      <c r="M325" s="665"/>
      <c r="N325" s="665"/>
      <c r="O325" s="665"/>
      <c r="P325" s="665"/>
      <c r="Q325" s="665"/>
      <c r="R325" s="665"/>
      <c r="S325" s="665"/>
      <c r="T325" s="665"/>
      <c r="U325" s="665"/>
      <c r="V325" s="665"/>
      <c r="W325" s="665"/>
      <c r="X325" s="665"/>
      <c r="Y325" s="665"/>
      <c r="Z325" s="665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666">
        <v>4680115889637</v>
      </c>
      <c r="E326" s="666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668"/>
      <c r="R326" s="668"/>
      <c r="S326" s="668"/>
      <c r="T326" s="669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666">
        <v>4680115885837</v>
      </c>
      <c r="E327" s="666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668"/>
      <c r="R327" s="668"/>
      <c r="S327" s="668"/>
      <c r="T327" s="669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666">
        <v>4680115887237</v>
      </c>
      <c r="E328" s="666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68"/>
      <c r="R328" s="668"/>
      <c r="S328" s="668"/>
      <c r="T328" s="669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666">
        <v>4680115885806</v>
      </c>
      <c r="E329" s="666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68"/>
      <c r="R329" s="668"/>
      <c r="S329" s="668"/>
      <c r="T329" s="669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666">
        <v>4680115885844</v>
      </c>
      <c r="E330" s="666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68"/>
      <c r="R330" s="668"/>
      <c r="S330" s="668"/>
      <c r="T330" s="669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666">
        <v>4680115885820</v>
      </c>
      <c r="E331" s="666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77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68"/>
      <c r="R331" s="668"/>
      <c r="S331" s="668"/>
      <c r="T331" s="669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656"/>
      <c r="B332" s="656"/>
      <c r="C332" s="656"/>
      <c r="D332" s="656"/>
      <c r="E332" s="656"/>
      <c r="F332" s="656"/>
      <c r="G332" s="656"/>
      <c r="H332" s="656"/>
      <c r="I332" s="656"/>
      <c r="J332" s="656"/>
      <c r="K332" s="656"/>
      <c r="L332" s="656"/>
      <c r="M332" s="656"/>
      <c r="N332" s="656"/>
      <c r="O332" s="657"/>
      <c r="P332" s="653" t="s">
        <v>40</v>
      </c>
      <c r="Q332" s="654"/>
      <c r="R332" s="654"/>
      <c r="S332" s="654"/>
      <c r="T332" s="654"/>
      <c r="U332" s="654"/>
      <c r="V332" s="655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72" t="s">
        <v>558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5"/>
      <c r="AB334" s="65"/>
      <c r="AC334" s="79"/>
    </row>
    <row r="335" spans="1:68" ht="14.25" hidden="1" customHeight="1" x14ac:dyDescent="0.25">
      <c r="A335" s="665" t="s">
        <v>86</v>
      </c>
      <c r="B335" s="665"/>
      <c r="C335" s="665"/>
      <c r="D335" s="665"/>
      <c r="E335" s="665"/>
      <c r="F335" s="665"/>
      <c r="G335" s="665"/>
      <c r="H335" s="665"/>
      <c r="I335" s="665"/>
      <c r="J335" s="665"/>
      <c r="K335" s="665"/>
      <c r="L335" s="665"/>
      <c r="M335" s="665"/>
      <c r="N335" s="665"/>
      <c r="O335" s="665"/>
      <c r="P335" s="665"/>
      <c r="Q335" s="665"/>
      <c r="R335" s="665"/>
      <c r="S335" s="665"/>
      <c r="T335" s="665"/>
      <c r="U335" s="665"/>
      <c r="V335" s="665"/>
      <c r="W335" s="665"/>
      <c r="X335" s="665"/>
      <c r="Y335" s="665"/>
      <c r="Z335" s="665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666">
        <v>4680115886186</v>
      </c>
      <c r="E336" s="666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7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68"/>
      <c r="R336" s="668"/>
      <c r="S336" s="668"/>
      <c r="T336" s="669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666">
        <v>4680115881228</v>
      </c>
      <c r="E337" s="666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77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68"/>
      <c r="R337" s="668"/>
      <c r="S337" s="668"/>
      <c r="T337" s="669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666">
        <v>4680115881211</v>
      </c>
      <c r="E338" s="666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68"/>
      <c r="R338" s="668"/>
      <c r="S338" s="668"/>
      <c r="T338" s="669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656"/>
      <c r="B339" s="656"/>
      <c r="C339" s="656"/>
      <c r="D339" s="656"/>
      <c r="E339" s="656"/>
      <c r="F339" s="656"/>
      <c r="G339" s="656"/>
      <c r="H339" s="656"/>
      <c r="I339" s="656"/>
      <c r="J339" s="656"/>
      <c r="K339" s="656"/>
      <c r="L339" s="656"/>
      <c r="M339" s="656"/>
      <c r="N339" s="656"/>
      <c r="O339" s="657"/>
      <c r="P339" s="653" t="s">
        <v>40</v>
      </c>
      <c r="Q339" s="654"/>
      <c r="R339" s="654"/>
      <c r="S339" s="654"/>
      <c r="T339" s="654"/>
      <c r="U339" s="654"/>
      <c r="V339" s="655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656"/>
      <c r="B340" s="656"/>
      <c r="C340" s="656"/>
      <c r="D340" s="656"/>
      <c r="E340" s="656"/>
      <c r="F340" s="656"/>
      <c r="G340" s="656"/>
      <c r="H340" s="656"/>
      <c r="I340" s="656"/>
      <c r="J340" s="656"/>
      <c r="K340" s="656"/>
      <c r="L340" s="656"/>
      <c r="M340" s="656"/>
      <c r="N340" s="656"/>
      <c r="O340" s="657"/>
      <c r="P340" s="653" t="s">
        <v>40</v>
      </c>
      <c r="Q340" s="654"/>
      <c r="R340" s="654"/>
      <c r="S340" s="654"/>
      <c r="T340" s="654"/>
      <c r="U340" s="654"/>
      <c r="V340" s="655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672" t="s">
        <v>567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5"/>
      <c r="AB341" s="65"/>
      <c r="AC341" s="79"/>
    </row>
    <row r="342" spans="1:68" ht="14.25" hidden="1" customHeight="1" x14ac:dyDescent="0.25">
      <c r="A342" s="665" t="s">
        <v>77</v>
      </c>
      <c r="B342" s="665"/>
      <c r="C342" s="665"/>
      <c r="D342" s="665"/>
      <c r="E342" s="665"/>
      <c r="F342" s="665"/>
      <c r="G342" s="665"/>
      <c r="H342" s="665"/>
      <c r="I342" s="665"/>
      <c r="J342" s="665"/>
      <c r="K342" s="665"/>
      <c r="L342" s="665"/>
      <c r="M342" s="665"/>
      <c r="N342" s="665"/>
      <c r="O342" s="665"/>
      <c r="P342" s="665"/>
      <c r="Q342" s="665"/>
      <c r="R342" s="665"/>
      <c r="S342" s="665"/>
      <c r="T342" s="665"/>
      <c r="U342" s="665"/>
      <c r="V342" s="665"/>
      <c r="W342" s="665"/>
      <c r="X342" s="665"/>
      <c r="Y342" s="665"/>
      <c r="Z342" s="665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666">
        <v>4680115888319</v>
      </c>
      <c r="E343" s="666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68"/>
      <c r="R343" s="668"/>
      <c r="S343" s="668"/>
      <c r="T343" s="669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666">
        <v>4680115884700</v>
      </c>
      <c r="E344" s="666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68"/>
      <c r="R344" s="668"/>
      <c r="S344" s="668"/>
      <c r="T344" s="669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666">
        <v>4680115880344</v>
      </c>
      <c r="E345" s="666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68"/>
      <c r="R345" s="668"/>
      <c r="S345" s="668"/>
      <c r="T345" s="669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666">
        <v>4680115886919</v>
      </c>
      <c r="E346" s="666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7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68"/>
      <c r="R346" s="668"/>
      <c r="S346" s="668"/>
      <c r="T346" s="669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666">
        <v>4680115883970</v>
      </c>
      <c r="E347" s="666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668"/>
      <c r="R347" s="668"/>
      <c r="S347" s="668"/>
      <c r="T347" s="669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665" t="s">
        <v>86</v>
      </c>
      <c r="B350" s="665"/>
      <c r="C350" s="665"/>
      <c r="D350" s="665"/>
      <c r="E350" s="665"/>
      <c r="F350" s="665"/>
      <c r="G350" s="665"/>
      <c r="H350" s="665"/>
      <c r="I350" s="665"/>
      <c r="J350" s="665"/>
      <c r="K350" s="665"/>
      <c r="L350" s="665"/>
      <c r="M350" s="665"/>
      <c r="N350" s="665"/>
      <c r="O350" s="665"/>
      <c r="P350" s="665"/>
      <c r="Q350" s="665"/>
      <c r="R350" s="665"/>
      <c r="S350" s="665"/>
      <c r="T350" s="665"/>
      <c r="U350" s="665"/>
      <c r="V350" s="665"/>
      <c r="W350" s="665"/>
      <c r="X350" s="665"/>
      <c r="Y350" s="665"/>
      <c r="Z350" s="665"/>
      <c r="AA350" s="66"/>
      <c r="AB350" s="66"/>
      <c r="AC350" s="80"/>
    </row>
    <row r="351" spans="1:68" ht="27" customHeight="1" x14ac:dyDescent="0.25">
      <c r="A351" s="63" t="s">
        <v>582</v>
      </c>
      <c r="B351" s="63" t="s">
        <v>583</v>
      </c>
      <c r="C351" s="36">
        <v>4301051782</v>
      </c>
      <c r="D351" s="666">
        <v>4680115884618</v>
      </c>
      <c r="E351" s="666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668"/>
      <c r="R351" s="668"/>
      <c r="S351" s="668"/>
      <c r="T351" s="669"/>
      <c r="U351" s="39" t="s">
        <v>46</v>
      </c>
      <c r="V351" s="39" t="s">
        <v>46</v>
      </c>
      <c r="W351" s="40" t="s">
        <v>0</v>
      </c>
      <c r="X351" s="58">
        <v>36</v>
      </c>
      <c r="Y351" s="55">
        <f>IFERROR(IF(X351="",0,CEILING((X351/$H351),1)*$H351),"")</f>
        <v>36</v>
      </c>
      <c r="Z351" s="41">
        <f>IFERROR(IF(Y351=0,"",ROUNDUP(Y351/H351,0)*0.00902),"")</f>
        <v>9.0200000000000002E-2</v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37.9</v>
      </c>
      <c r="BN351" s="78">
        <f>IFERROR(Y351*I351/H351,"0")</f>
        <v>37.9</v>
      </c>
      <c r="BO351" s="78">
        <f>IFERROR(1/J351*(X351/H351),"0")</f>
        <v>7.575757575757576E-2</v>
      </c>
      <c r="BP351" s="78">
        <f>IFERROR(1/J351*(Y351/H351),"0")</f>
        <v>7.575757575757576E-2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666">
        <v>4680115887114</v>
      </c>
      <c r="E352" s="666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668"/>
      <c r="R352" s="668"/>
      <c r="S352" s="668"/>
      <c r="T352" s="669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39</v>
      </c>
      <c r="X353" s="43">
        <f>IFERROR(X351/H351,"0")+IFERROR(X352/H352,"0")</f>
        <v>10</v>
      </c>
      <c r="Y353" s="43">
        <f>IFERROR(Y351/H351,"0")+IFERROR(Y352/H352,"0")</f>
        <v>10</v>
      </c>
      <c r="Z353" s="43">
        <f>IFERROR(IF(Z351="",0,Z351),"0")+IFERROR(IF(Z352="",0,Z352),"0")</f>
        <v>9.0200000000000002E-2</v>
      </c>
      <c r="AA353" s="67"/>
      <c r="AB353" s="67"/>
      <c r="AC353" s="67"/>
    </row>
    <row r="354" spans="1:68" x14ac:dyDescent="0.2">
      <c r="A354" s="656"/>
      <c r="B354" s="656"/>
      <c r="C354" s="656"/>
      <c r="D354" s="656"/>
      <c r="E354" s="656"/>
      <c r="F354" s="656"/>
      <c r="G354" s="656"/>
      <c r="H354" s="656"/>
      <c r="I354" s="656"/>
      <c r="J354" s="656"/>
      <c r="K354" s="656"/>
      <c r="L354" s="656"/>
      <c r="M354" s="656"/>
      <c r="N354" s="656"/>
      <c r="O354" s="657"/>
      <c r="P354" s="653" t="s">
        <v>40</v>
      </c>
      <c r="Q354" s="654"/>
      <c r="R354" s="654"/>
      <c r="S354" s="654"/>
      <c r="T354" s="654"/>
      <c r="U354" s="654"/>
      <c r="V354" s="655"/>
      <c r="W354" s="42" t="s">
        <v>0</v>
      </c>
      <c r="X354" s="43">
        <f>IFERROR(SUM(X351:X352),"0")</f>
        <v>36</v>
      </c>
      <c r="Y354" s="43">
        <f>IFERROR(SUM(Y351:Y352),"0")</f>
        <v>36</v>
      </c>
      <c r="Z354" s="42"/>
      <c r="AA354" s="67"/>
      <c r="AB354" s="67"/>
      <c r="AC354" s="67"/>
    </row>
    <row r="355" spans="1:68" ht="16.5" hidden="1" customHeight="1" x14ac:dyDescent="0.25">
      <c r="A355" s="672" t="s">
        <v>588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5"/>
      <c r="AB355" s="65"/>
      <c r="AC355" s="79"/>
    </row>
    <row r="356" spans="1:68" ht="14.25" hidden="1" customHeight="1" x14ac:dyDescent="0.25">
      <c r="A356" s="665" t="s">
        <v>122</v>
      </c>
      <c r="B356" s="665"/>
      <c r="C356" s="665"/>
      <c r="D356" s="665"/>
      <c r="E356" s="665"/>
      <c r="F356" s="665"/>
      <c r="G356" s="665"/>
      <c r="H356" s="665"/>
      <c r="I356" s="665"/>
      <c r="J356" s="665"/>
      <c r="K356" s="665"/>
      <c r="L356" s="665"/>
      <c r="M356" s="665"/>
      <c r="N356" s="665"/>
      <c r="O356" s="665"/>
      <c r="P356" s="665"/>
      <c r="Q356" s="665"/>
      <c r="R356" s="665"/>
      <c r="S356" s="665"/>
      <c r="T356" s="665"/>
      <c r="U356" s="665"/>
      <c r="V356" s="665"/>
      <c r="W356" s="665"/>
      <c r="X356" s="665"/>
      <c r="Y356" s="665"/>
      <c r="Z356" s="665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666">
        <v>4680115887947</v>
      </c>
      <c r="E357" s="666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668"/>
      <c r="R357" s="668"/>
      <c r="S357" s="668"/>
      <c r="T357" s="669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666">
        <v>4680115887978</v>
      </c>
      <c r="E358" s="666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668"/>
      <c r="R358" s="668"/>
      <c r="S358" s="668"/>
      <c r="T358" s="669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666">
        <v>4680115887992</v>
      </c>
      <c r="E359" s="666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668"/>
      <c r="R359" s="668"/>
      <c r="S359" s="668"/>
      <c r="T359" s="669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56"/>
      <c r="B360" s="656"/>
      <c r="C360" s="656"/>
      <c r="D360" s="656"/>
      <c r="E360" s="656"/>
      <c r="F360" s="656"/>
      <c r="G360" s="656"/>
      <c r="H360" s="656"/>
      <c r="I360" s="656"/>
      <c r="J360" s="656"/>
      <c r="K360" s="656"/>
      <c r="L360" s="656"/>
      <c r="M360" s="656"/>
      <c r="N360" s="656"/>
      <c r="O360" s="657"/>
      <c r="P360" s="653" t="s">
        <v>40</v>
      </c>
      <c r="Q360" s="654"/>
      <c r="R360" s="654"/>
      <c r="S360" s="654"/>
      <c r="T360" s="654"/>
      <c r="U360" s="654"/>
      <c r="V360" s="655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656"/>
      <c r="B361" s="656"/>
      <c r="C361" s="656"/>
      <c r="D361" s="656"/>
      <c r="E361" s="656"/>
      <c r="F361" s="656"/>
      <c r="G361" s="656"/>
      <c r="H361" s="656"/>
      <c r="I361" s="656"/>
      <c r="J361" s="656"/>
      <c r="K361" s="656"/>
      <c r="L361" s="656"/>
      <c r="M361" s="656"/>
      <c r="N361" s="656"/>
      <c r="O361" s="657"/>
      <c r="P361" s="653" t="s">
        <v>40</v>
      </c>
      <c r="Q361" s="654"/>
      <c r="R361" s="654"/>
      <c r="S361" s="654"/>
      <c r="T361" s="654"/>
      <c r="U361" s="654"/>
      <c r="V361" s="655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72" t="s">
        <v>597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5"/>
      <c r="AB362" s="65"/>
      <c r="AC362" s="79"/>
    </row>
    <row r="363" spans="1:68" ht="14.25" hidden="1" customHeight="1" x14ac:dyDescent="0.25">
      <c r="A363" s="665" t="s">
        <v>122</v>
      </c>
      <c r="B363" s="665"/>
      <c r="C363" s="665"/>
      <c r="D363" s="665"/>
      <c r="E363" s="665"/>
      <c r="F363" s="665"/>
      <c r="G363" s="665"/>
      <c r="H363" s="665"/>
      <c r="I363" s="665"/>
      <c r="J363" s="665"/>
      <c r="K363" s="665"/>
      <c r="L363" s="665"/>
      <c r="M363" s="665"/>
      <c r="N363" s="665"/>
      <c r="O363" s="665"/>
      <c r="P363" s="665"/>
      <c r="Q363" s="665"/>
      <c r="R363" s="665"/>
      <c r="S363" s="665"/>
      <c r="T363" s="665"/>
      <c r="U363" s="665"/>
      <c r="V363" s="665"/>
      <c r="W363" s="665"/>
      <c r="X363" s="665"/>
      <c r="Y363" s="665"/>
      <c r="Z363" s="665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666">
        <v>4680115889880</v>
      </c>
      <c r="E364" s="666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668"/>
      <c r="R364" s="668"/>
      <c r="S364" s="668"/>
      <c r="T364" s="669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customHeight="1" x14ac:dyDescent="0.25">
      <c r="A365" s="63" t="s">
        <v>600</v>
      </c>
      <c r="B365" s="63" t="s">
        <v>601</v>
      </c>
      <c r="C365" s="36">
        <v>4301012360</v>
      </c>
      <c r="D365" s="666">
        <v>4680115889293</v>
      </c>
      <c r="E365" s="666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668"/>
      <c r="R365" s="668"/>
      <c r="S365" s="668"/>
      <c r="T365" s="669"/>
      <c r="U365" s="39" t="s">
        <v>46</v>
      </c>
      <c r="V365" s="39" t="s">
        <v>46</v>
      </c>
      <c r="W365" s="40" t="s">
        <v>0</v>
      </c>
      <c r="X365" s="58">
        <v>1300</v>
      </c>
      <c r="Y365" s="55">
        <f t="shared" si="58"/>
        <v>1306.8000000000002</v>
      </c>
      <c r="Z365" s="41">
        <f>IFERROR(IF(Y365=0,"",ROUNDUP(Y365/H365,0)*0.01898),"")</f>
        <v>2.2965800000000001</v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1349.351851851852</v>
      </c>
      <c r="BN365" s="78">
        <f t="shared" si="60"/>
        <v>1356.41</v>
      </c>
      <c r="BO365" s="78">
        <f t="shared" si="61"/>
        <v>1.880787037037037</v>
      </c>
      <c r="BP365" s="78">
        <f t="shared" si="62"/>
        <v>1.8906250000000002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666">
        <v>4680115887190</v>
      </c>
      <c r="E366" s="666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8"/>
      <c r="R366" s="668"/>
      <c r="S366" s="668"/>
      <c r="T366" s="669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customHeight="1" x14ac:dyDescent="0.25">
      <c r="A367" s="63" t="s">
        <v>606</v>
      </c>
      <c r="B367" s="63" t="s">
        <v>607</v>
      </c>
      <c r="C367" s="36">
        <v>4301012233</v>
      </c>
      <c r="D367" s="666">
        <v>4680115887138</v>
      </c>
      <c r="E367" s="666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8"/>
      <c r="R367" s="668"/>
      <c r="S367" s="668"/>
      <c r="T367" s="669"/>
      <c r="U367" s="39" t="s">
        <v>46</v>
      </c>
      <c r="V367" s="39" t="s">
        <v>46</v>
      </c>
      <c r="W367" s="40" t="s">
        <v>0</v>
      </c>
      <c r="X367" s="58">
        <v>200</v>
      </c>
      <c r="Y367" s="55">
        <f t="shared" si="58"/>
        <v>205.20000000000002</v>
      </c>
      <c r="Z367" s="41">
        <f>IFERROR(IF(Y367=0,"",ROUNDUP(Y367/H367,0)*0.01898),"")</f>
        <v>0.36062</v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207.59259259259258</v>
      </c>
      <c r="BN367" s="78">
        <f t="shared" si="60"/>
        <v>212.99</v>
      </c>
      <c r="BO367" s="78">
        <f t="shared" si="61"/>
        <v>0.28935185185185186</v>
      </c>
      <c r="BP367" s="78">
        <f t="shared" si="62"/>
        <v>0.296875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666">
        <v>4680115885554</v>
      </c>
      <c r="E368" s="666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76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8"/>
      <c r="R368" s="668"/>
      <c r="S368" s="668"/>
      <c r="T368" s="669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666">
        <v>4680115887220</v>
      </c>
      <c r="E369" s="666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76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8"/>
      <c r="R369" s="668"/>
      <c r="S369" s="668"/>
      <c r="T369" s="669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customHeight="1" x14ac:dyDescent="0.25">
      <c r="A370" s="63" t="s">
        <v>614</v>
      </c>
      <c r="B370" s="63" t="s">
        <v>615</v>
      </c>
      <c r="C370" s="36">
        <v>4301011859</v>
      </c>
      <c r="D370" s="666">
        <v>4680115885608</v>
      </c>
      <c r="E370" s="666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7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8"/>
      <c r="R370" s="668"/>
      <c r="S370" s="668"/>
      <c r="T370" s="669"/>
      <c r="U370" s="39" t="s">
        <v>46</v>
      </c>
      <c r="V370" s="39" t="s">
        <v>46</v>
      </c>
      <c r="W370" s="40" t="s">
        <v>0</v>
      </c>
      <c r="X370" s="58">
        <v>240</v>
      </c>
      <c r="Y370" s="55">
        <f t="shared" si="58"/>
        <v>240</v>
      </c>
      <c r="Z370" s="41">
        <f>IFERROR(IF(Y370=0,"",ROUNDUP(Y370/H370,0)*0.00902),"")</f>
        <v>0.54120000000000001</v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251.40000000000003</v>
      </c>
      <c r="BN370" s="78">
        <f t="shared" si="60"/>
        <v>251.40000000000003</v>
      </c>
      <c r="BO370" s="78">
        <f t="shared" si="61"/>
        <v>0.45454545454545459</v>
      </c>
      <c r="BP370" s="78">
        <f t="shared" si="62"/>
        <v>0.45454545454545459</v>
      </c>
    </row>
    <row r="371" spans="1:68" x14ac:dyDescent="0.2">
      <c r="A371" s="656"/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7"/>
      <c r="P371" s="653" t="s">
        <v>40</v>
      </c>
      <c r="Q371" s="654"/>
      <c r="R371" s="654"/>
      <c r="S371" s="654"/>
      <c r="T371" s="654"/>
      <c r="U371" s="654"/>
      <c r="V371" s="655"/>
      <c r="W371" s="42" t="s">
        <v>39</v>
      </c>
      <c r="X371" s="43">
        <f>IFERROR(X364/H364,"0")+IFERROR(X365/H365,"0")+IFERROR(X366/H366,"0")+IFERROR(X367/H367,"0")+IFERROR(X368/H368,"0")+IFERROR(X369/H369,"0")+IFERROR(X370/H370,"0")</f>
        <v>198.88888888888889</v>
      </c>
      <c r="Y371" s="43">
        <f>IFERROR(Y364/H364,"0")+IFERROR(Y365/H365,"0")+IFERROR(Y366/H366,"0")+IFERROR(Y367/H367,"0")+IFERROR(Y368/H368,"0")+IFERROR(Y369/H369,"0")+IFERROR(Y370/H370,"0")</f>
        <v>200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3.1983999999999999</v>
      </c>
      <c r="AA371" s="67"/>
      <c r="AB371" s="67"/>
      <c r="AC371" s="67"/>
    </row>
    <row r="372" spans="1:68" x14ac:dyDescent="0.2">
      <c r="A372" s="656"/>
      <c r="B372" s="656"/>
      <c r="C372" s="656"/>
      <c r="D372" s="656"/>
      <c r="E372" s="656"/>
      <c r="F372" s="656"/>
      <c r="G372" s="656"/>
      <c r="H372" s="656"/>
      <c r="I372" s="656"/>
      <c r="J372" s="656"/>
      <c r="K372" s="656"/>
      <c r="L372" s="656"/>
      <c r="M372" s="656"/>
      <c r="N372" s="656"/>
      <c r="O372" s="657"/>
      <c r="P372" s="653" t="s">
        <v>40</v>
      </c>
      <c r="Q372" s="654"/>
      <c r="R372" s="654"/>
      <c r="S372" s="654"/>
      <c r="T372" s="654"/>
      <c r="U372" s="654"/>
      <c r="V372" s="655"/>
      <c r="W372" s="42" t="s">
        <v>0</v>
      </c>
      <c r="X372" s="43">
        <f>IFERROR(SUM(X364:X370),"0")</f>
        <v>1740</v>
      </c>
      <c r="Y372" s="43">
        <f>IFERROR(SUM(Y364:Y370),"0")</f>
        <v>1752.0000000000002</v>
      </c>
      <c r="Z372" s="42"/>
      <c r="AA372" s="67"/>
      <c r="AB372" s="67"/>
      <c r="AC372" s="67"/>
    </row>
    <row r="373" spans="1:68" ht="14.25" hidden="1" customHeight="1" x14ac:dyDescent="0.25">
      <c r="A373" s="665" t="s">
        <v>77</v>
      </c>
      <c r="B373" s="665"/>
      <c r="C373" s="665"/>
      <c r="D373" s="665"/>
      <c r="E373" s="665"/>
      <c r="F373" s="665"/>
      <c r="G373" s="665"/>
      <c r="H373" s="665"/>
      <c r="I373" s="665"/>
      <c r="J373" s="665"/>
      <c r="K373" s="665"/>
      <c r="L373" s="665"/>
      <c r="M373" s="665"/>
      <c r="N373" s="665"/>
      <c r="O373" s="665"/>
      <c r="P373" s="665"/>
      <c r="Q373" s="665"/>
      <c r="R373" s="665"/>
      <c r="S373" s="665"/>
      <c r="T373" s="665"/>
      <c r="U373" s="665"/>
      <c r="V373" s="665"/>
      <c r="W373" s="665"/>
      <c r="X373" s="665"/>
      <c r="Y373" s="665"/>
      <c r="Z373" s="665"/>
      <c r="AA373" s="66"/>
      <c r="AB373" s="66"/>
      <c r="AC373" s="80"/>
    </row>
    <row r="374" spans="1:68" ht="27" customHeight="1" x14ac:dyDescent="0.25">
      <c r="A374" s="63" t="s">
        <v>617</v>
      </c>
      <c r="B374" s="63" t="s">
        <v>618</v>
      </c>
      <c r="C374" s="36">
        <v>4301030878</v>
      </c>
      <c r="D374" s="666">
        <v>4607091387193</v>
      </c>
      <c r="E374" s="666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8"/>
      <c r="R374" s="668"/>
      <c r="S374" s="668"/>
      <c r="T374" s="669"/>
      <c r="U374" s="39" t="s">
        <v>46</v>
      </c>
      <c r="V374" s="39" t="s">
        <v>46</v>
      </c>
      <c r="W374" s="40" t="s">
        <v>0</v>
      </c>
      <c r="X374" s="58">
        <v>400</v>
      </c>
      <c r="Y374" s="55">
        <f t="shared" ref="Y374:Y380" si="63">IFERROR(IF(X374="",0,CEILING((X374/$H374),1)*$H374),"")</f>
        <v>403.20000000000005</v>
      </c>
      <c r="Z374" s="41">
        <f>IFERROR(IF(Y374=0,"",ROUNDUP(Y374/H374,0)*0.00902),"")</f>
        <v>0.86592000000000002</v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423.8095238095238</v>
      </c>
      <c r="BN374" s="78">
        <f t="shared" ref="BN374:BN380" si="65">IFERROR(Y374*I374/H374,"0")</f>
        <v>427.20000000000005</v>
      </c>
      <c r="BO374" s="78">
        <f t="shared" ref="BO374:BO380" si="66">IFERROR(1/J374*(X374/H374),"0")</f>
        <v>0.72150072150072153</v>
      </c>
      <c r="BP374" s="78">
        <f t="shared" ref="BP374:BP380" si="67">IFERROR(1/J374*(Y374/H374),"0")</f>
        <v>0.72727272727272729</v>
      </c>
    </row>
    <row r="375" spans="1:68" ht="27" customHeight="1" x14ac:dyDescent="0.25">
      <c r="A375" s="63" t="s">
        <v>620</v>
      </c>
      <c r="B375" s="63" t="s">
        <v>621</v>
      </c>
      <c r="C375" s="36">
        <v>4301031153</v>
      </c>
      <c r="D375" s="666">
        <v>4607091387230</v>
      </c>
      <c r="E375" s="666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75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8"/>
      <c r="R375" s="668"/>
      <c r="S375" s="668"/>
      <c r="T375" s="669"/>
      <c r="U375" s="39" t="s">
        <v>46</v>
      </c>
      <c r="V375" s="39" t="s">
        <v>46</v>
      </c>
      <c r="W375" s="40" t="s">
        <v>0</v>
      </c>
      <c r="X375" s="58">
        <v>200</v>
      </c>
      <c r="Y375" s="55">
        <f t="shared" si="63"/>
        <v>201.60000000000002</v>
      </c>
      <c r="Z375" s="41">
        <f>IFERROR(IF(Y375=0,"",ROUNDUP(Y375/H375,0)*0.00902),"")</f>
        <v>0.43296000000000001</v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211.9047619047619</v>
      </c>
      <c r="BN375" s="78">
        <f t="shared" si="65"/>
        <v>213.60000000000002</v>
      </c>
      <c r="BO375" s="78">
        <f t="shared" si="66"/>
        <v>0.36075036075036077</v>
      </c>
      <c r="BP375" s="78">
        <f t="shared" si="67"/>
        <v>0.36363636363636365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666">
        <v>4607091387292</v>
      </c>
      <c r="E376" s="666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75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8"/>
      <c r="R376" s="668"/>
      <c r="S376" s="668"/>
      <c r="T376" s="669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666">
        <v>4607091387285</v>
      </c>
      <c r="E377" s="666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8"/>
      <c r="R377" s="668"/>
      <c r="S377" s="668"/>
      <c r="T377" s="669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666">
        <v>4607091389845</v>
      </c>
      <c r="E378" s="666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7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8"/>
      <c r="R378" s="668"/>
      <c r="S378" s="668"/>
      <c r="T378" s="669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666">
        <v>4680115887442</v>
      </c>
      <c r="E379" s="666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7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8"/>
      <c r="R379" s="668"/>
      <c r="S379" s="668"/>
      <c r="T379" s="669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666">
        <v>4607091383836</v>
      </c>
      <c r="E380" s="666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75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8"/>
      <c r="R380" s="668"/>
      <c r="S380" s="668"/>
      <c r="T380" s="669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x14ac:dyDescent="0.2">
      <c r="A381" s="656"/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7"/>
      <c r="P381" s="653" t="s">
        <v>40</v>
      </c>
      <c r="Q381" s="654"/>
      <c r="R381" s="654"/>
      <c r="S381" s="654"/>
      <c r="T381" s="654"/>
      <c r="U381" s="654"/>
      <c r="V381" s="655"/>
      <c r="W381" s="42" t="s">
        <v>39</v>
      </c>
      <c r="X381" s="43">
        <f>IFERROR(X374/H374,"0")+IFERROR(X375/H375,"0")+IFERROR(X376/H376,"0")+IFERROR(X377/H377,"0")+IFERROR(X378/H378,"0")+IFERROR(X379/H379,"0")+IFERROR(X380/H380,"0")</f>
        <v>142.85714285714286</v>
      </c>
      <c r="Y381" s="43">
        <f>IFERROR(Y374/H374,"0")+IFERROR(Y375/H375,"0")+IFERROR(Y376/H376,"0")+IFERROR(Y377/H377,"0")+IFERROR(Y378/H378,"0")+IFERROR(Y379/H379,"0")+IFERROR(Y380/H380,"0")</f>
        <v>144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1.29888</v>
      </c>
      <c r="AA381" s="67"/>
      <c r="AB381" s="67"/>
      <c r="AC381" s="67"/>
    </row>
    <row r="382" spans="1:68" x14ac:dyDescent="0.2">
      <c r="A382" s="656"/>
      <c r="B382" s="656"/>
      <c r="C382" s="656"/>
      <c r="D382" s="656"/>
      <c r="E382" s="656"/>
      <c r="F382" s="656"/>
      <c r="G382" s="656"/>
      <c r="H382" s="656"/>
      <c r="I382" s="656"/>
      <c r="J382" s="656"/>
      <c r="K382" s="656"/>
      <c r="L382" s="656"/>
      <c r="M382" s="656"/>
      <c r="N382" s="656"/>
      <c r="O382" s="657"/>
      <c r="P382" s="653" t="s">
        <v>40</v>
      </c>
      <c r="Q382" s="654"/>
      <c r="R382" s="654"/>
      <c r="S382" s="654"/>
      <c r="T382" s="654"/>
      <c r="U382" s="654"/>
      <c r="V382" s="655"/>
      <c r="W382" s="42" t="s">
        <v>0</v>
      </c>
      <c r="X382" s="43">
        <f>IFERROR(SUM(X374:X380),"0")</f>
        <v>600</v>
      </c>
      <c r="Y382" s="43">
        <f>IFERROR(SUM(Y374:Y380),"0")</f>
        <v>604.80000000000007</v>
      </c>
      <c r="Z382" s="42"/>
      <c r="AA382" s="67"/>
      <c r="AB382" s="67"/>
      <c r="AC382" s="67"/>
    </row>
    <row r="383" spans="1:68" ht="14.25" hidden="1" customHeight="1" x14ac:dyDescent="0.25">
      <c r="A383" s="665" t="s">
        <v>86</v>
      </c>
      <c r="B383" s="665"/>
      <c r="C383" s="665"/>
      <c r="D383" s="665"/>
      <c r="E383" s="665"/>
      <c r="F383" s="665"/>
      <c r="G383" s="665"/>
      <c r="H383" s="665"/>
      <c r="I383" s="665"/>
      <c r="J383" s="665"/>
      <c r="K383" s="665"/>
      <c r="L383" s="665"/>
      <c r="M383" s="665"/>
      <c r="N383" s="665"/>
      <c r="O383" s="665"/>
      <c r="P383" s="665"/>
      <c r="Q383" s="665"/>
      <c r="R383" s="665"/>
      <c r="S383" s="665"/>
      <c r="T383" s="665"/>
      <c r="U383" s="665"/>
      <c r="V383" s="665"/>
      <c r="W383" s="665"/>
      <c r="X383" s="665"/>
      <c r="Y383" s="665"/>
      <c r="Z383" s="665"/>
      <c r="AA383" s="66"/>
      <c r="AB383" s="66"/>
      <c r="AC383" s="80"/>
    </row>
    <row r="384" spans="1:68" ht="27" customHeight="1" x14ac:dyDescent="0.25">
      <c r="A384" s="63" t="s">
        <v>636</v>
      </c>
      <c r="B384" s="63" t="s">
        <v>637</v>
      </c>
      <c r="C384" s="36">
        <v>4301051100</v>
      </c>
      <c r="D384" s="666">
        <v>4607091387766</v>
      </c>
      <c r="E384" s="666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8"/>
      <c r="R384" s="668"/>
      <c r="S384" s="668"/>
      <c r="T384" s="669"/>
      <c r="U384" s="39" t="s">
        <v>46</v>
      </c>
      <c r="V384" s="39" t="s">
        <v>46</v>
      </c>
      <c r="W384" s="40" t="s">
        <v>0</v>
      </c>
      <c r="X384" s="58">
        <v>3500</v>
      </c>
      <c r="Y384" s="55">
        <f>IFERROR(IF(X384="",0,CEILING((X384/$H384),1)*$H384),"")</f>
        <v>3502.2</v>
      </c>
      <c r="Z384" s="41">
        <f>IFERROR(IF(Y384=0,"",ROUNDUP(Y384/H384,0)*0.01898),"")</f>
        <v>8.5220199999999995</v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3718.9743589743589</v>
      </c>
      <c r="BN384" s="78">
        <f>IFERROR(Y384*I384/H384,"0")</f>
        <v>3721.3119999999999</v>
      </c>
      <c r="BO384" s="78">
        <f>IFERROR(1/J384*(X384/H384),"0")</f>
        <v>7.0112179487179489</v>
      </c>
      <c r="BP384" s="78">
        <f>IFERROR(1/J384*(Y384/H384),"0")</f>
        <v>7.015625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666">
        <v>4607091387957</v>
      </c>
      <c r="E385" s="666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7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8"/>
      <c r="R385" s="668"/>
      <c r="S385" s="668"/>
      <c r="T385" s="669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666">
        <v>4607091387964</v>
      </c>
      <c r="E386" s="666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4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8"/>
      <c r="R386" s="668"/>
      <c r="S386" s="668"/>
      <c r="T386" s="669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666">
        <v>4680115884588</v>
      </c>
      <c r="E387" s="666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7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8"/>
      <c r="R387" s="668"/>
      <c r="S387" s="668"/>
      <c r="T387" s="669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56"/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7"/>
      <c r="P388" s="653" t="s">
        <v>40</v>
      </c>
      <c r="Q388" s="654"/>
      <c r="R388" s="654"/>
      <c r="S388" s="654"/>
      <c r="T388" s="654"/>
      <c r="U388" s="654"/>
      <c r="V388" s="655"/>
      <c r="W388" s="42" t="s">
        <v>39</v>
      </c>
      <c r="X388" s="43">
        <f>IFERROR(X384/H384,"0")+IFERROR(X385/H385,"0")+IFERROR(X386/H386,"0")+IFERROR(X387/H387,"0")</f>
        <v>448.71794871794873</v>
      </c>
      <c r="Y388" s="43">
        <f>IFERROR(Y384/H384,"0")+IFERROR(Y385/H385,"0")+IFERROR(Y386/H386,"0")+IFERROR(Y387/H387,"0")</f>
        <v>449</v>
      </c>
      <c r="Z388" s="43">
        <f>IFERROR(IF(Z384="",0,Z384),"0")+IFERROR(IF(Z385="",0,Z385),"0")+IFERROR(IF(Z386="",0,Z386),"0")+IFERROR(IF(Z387="",0,Z387),"0")</f>
        <v>8.5220199999999995</v>
      </c>
      <c r="AA388" s="67"/>
      <c r="AB388" s="67"/>
      <c r="AC388" s="67"/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2" t="s">
        <v>0</v>
      </c>
      <c r="X389" s="43">
        <f>IFERROR(SUM(X384:X387),"0")</f>
        <v>3500</v>
      </c>
      <c r="Y389" s="43">
        <f>IFERROR(SUM(Y384:Y387),"0")</f>
        <v>3502.2</v>
      </c>
      <c r="Z389" s="42"/>
      <c r="AA389" s="67"/>
      <c r="AB389" s="67"/>
      <c r="AC389" s="67"/>
    </row>
    <row r="390" spans="1:68" ht="14.25" hidden="1" customHeight="1" x14ac:dyDescent="0.25">
      <c r="A390" s="665" t="s">
        <v>178</v>
      </c>
      <c r="B390" s="665"/>
      <c r="C390" s="665"/>
      <c r="D390" s="665"/>
      <c r="E390" s="665"/>
      <c r="F390" s="665"/>
      <c r="G390" s="665"/>
      <c r="H390" s="665"/>
      <c r="I390" s="665"/>
      <c r="J390" s="665"/>
      <c r="K390" s="665"/>
      <c r="L390" s="665"/>
      <c r="M390" s="665"/>
      <c r="N390" s="665"/>
      <c r="O390" s="665"/>
      <c r="P390" s="665"/>
      <c r="Q390" s="665"/>
      <c r="R390" s="665"/>
      <c r="S390" s="665"/>
      <c r="T390" s="665"/>
      <c r="U390" s="665"/>
      <c r="V390" s="665"/>
      <c r="W390" s="665"/>
      <c r="X390" s="665"/>
      <c r="Y390" s="665"/>
      <c r="Z390" s="665"/>
      <c r="AA390" s="66"/>
      <c r="AB390" s="66"/>
      <c r="AC390" s="80"/>
    </row>
    <row r="391" spans="1:68" ht="27" hidden="1" customHeight="1" x14ac:dyDescent="0.25">
      <c r="A391" s="63" t="s">
        <v>647</v>
      </c>
      <c r="B391" s="63" t="s">
        <v>648</v>
      </c>
      <c r="C391" s="36">
        <v>4301060387</v>
      </c>
      <c r="D391" s="666">
        <v>4607091380880</v>
      </c>
      <c r="E391" s="666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7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8"/>
      <c r="R391" s="668"/>
      <c r="S391" s="668"/>
      <c r="T391" s="669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650</v>
      </c>
      <c r="B392" s="63" t="s">
        <v>651</v>
      </c>
      <c r="C392" s="36">
        <v>4301060406</v>
      </c>
      <c r="D392" s="666">
        <v>4607091384482</v>
      </c>
      <c r="E392" s="666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7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8"/>
      <c r="R392" s="668"/>
      <c r="S392" s="668"/>
      <c r="T392" s="669"/>
      <c r="U392" s="39" t="s">
        <v>46</v>
      </c>
      <c r="V392" s="39" t="s">
        <v>46</v>
      </c>
      <c r="W392" s="40" t="s">
        <v>0</v>
      </c>
      <c r="X392" s="58">
        <v>700</v>
      </c>
      <c r="Y392" s="55">
        <f>IFERROR(IF(X392="",0,CEILING((X392/$H392),1)*$H392),"")</f>
        <v>702</v>
      </c>
      <c r="Z392" s="41">
        <f>IFERROR(IF(Y392=0,"",ROUNDUP(Y392/H392,0)*0.01898),"")</f>
        <v>1.7081999999999999</v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744.33333333333337</v>
      </c>
      <c r="BN392" s="78">
        <f>IFERROR(Y392*I392/H392,"0")</f>
        <v>746.46</v>
      </c>
      <c r="BO392" s="78">
        <f>IFERROR(1/J392*(X392/H392),"0")</f>
        <v>1.4022435897435899</v>
      </c>
      <c r="BP392" s="78">
        <f>IFERROR(1/J392*(Y392/H392),"0")</f>
        <v>1.40625</v>
      </c>
    </row>
    <row r="393" spans="1:68" ht="27" customHeight="1" x14ac:dyDescent="0.25">
      <c r="A393" s="63" t="s">
        <v>653</v>
      </c>
      <c r="B393" s="63" t="s">
        <v>654</v>
      </c>
      <c r="C393" s="36">
        <v>4301060484</v>
      </c>
      <c r="D393" s="666">
        <v>4607091380897</v>
      </c>
      <c r="E393" s="666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7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8"/>
      <c r="R393" s="668"/>
      <c r="S393" s="668"/>
      <c r="T393" s="669"/>
      <c r="U393" s="39" t="s">
        <v>46</v>
      </c>
      <c r="V393" s="39" t="s">
        <v>46</v>
      </c>
      <c r="W393" s="40" t="s">
        <v>0</v>
      </c>
      <c r="X393" s="58">
        <v>100</v>
      </c>
      <c r="Y393" s="55">
        <f>IFERROR(IF(X393="",0,CEILING((X393/$H393),1)*$H393),"")</f>
        <v>100.80000000000001</v>
      </c>
      <c r="Z393" s="41">
        <f>IFERROR(IF(Y393=0,"",ROUNDUP(Y393/H393,0)*0.01898),"")</f>
        <v>0.22776000000000002</v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105.88095238095238</v>
      </c>
      <c r="BN393" s="78">
        <f>IFERROR(Y393*I393/H393,"0")</f>
        <v>106.72800000000001</v>
      </c>
      <c r="BO393" s="78">
        <f>IFERROR(1/J393*(X393/H393),"0")</f>
        <v>0.18601190476190477</v>
      </c>
      <c r="BP393" s="78">
        <f>IFERROR(1/J393*(Y393/H393),"0")</f>
        <v>0.1875</v>
      </c>
    </row>
    <row r="394" spans="1:68" x14ac:dyDescent="0.2">
      <c r="A394" s="656"/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7"/>
      <c r="P394" s="653" t="s">
        <v>40</v>
      </c>
      <c r="Q394" s="654"/>
      <c r="R394" s="654"/>
      <c r="S394" s="654"/>
      <c r="T394" s="654"/>
      <c r="U394" s="654"/>
      <c r="V394" s="655"/>
      <c r="W394" s="42" t="s">
        <v>39</v>
      </c>
      <c r="X394" s="43">
        <f>IFERROR(X391/H391,"0")+IFERROR(X392/H392,"0")+IFERROR(X393/H393,"0")</f>
        <v>101.64835164835165</v>
      </c>
      <c r="Y394" s="43">
        <f>IFERROR(Y391/H391,"0")+IFERROR(Y392/H392,"0")+IFERROR(Y393/H393,"0")</f>
        <v>102</v>
      </c>
      <c r="Z394" s="43">
        <f>IFERROR(IF(Z391="",0,Z391),"0")+IFERROR(IF(Z392="",0,Z392),"0")+IFERROR(IF(Z393="",0,Z393),"0")</f>
        <v>1.9359599999999999</v>
      </c>
      <c r="AA394" s="67"/>
      <c r="AB394" s="67"/>
      <c r="AC394" s="67"/>
    </row>
    <row r="395" spans="1:68" x14ac:dyDescent="0.2">
      <c r="A395" s="656"/>
      <c r="B395" s="656"/>
      <c r="C395" s="656"/>
      <c r="D395" s="656"/>
      <c r="E395" s="656"/>
      <c r="F395" s="656"/>
      <c r="G395" s="656"/>
      <c r="H395" s="656"/>
      <c r="I395" s="656"/>
      <c r="J395" s="656"/>
      <c r="K395" s="656"/>
      <c r="L395" s="656"/>
      <c r="M395" s="656"/>
      <c r="N395" s="656"/>
      <c r="O395" s="657"/>
      <c r="P395" s="653" t="s">
        <v>40</v>
      </c>
      <c r="Q395" s="654"/>
      <c r="R395" s="654"/>
      <c r="S395" s="654"/>
      <c r="T395" s="654"/>
      <c r="U395" s="654"/>
      <c r="V395" s="655"/>
      <c r="W395" s="42" t="s">
        <v>0</v>
      </c>
      <c r="X395" s="43">
        <f>IFERROR(SUM(X391:X393),"0")</f>
        <v>800</v>
      </c>
      <c r="Y395" s="43">
        <f>IFERROR(SUM(Y391:Y393),"0")</f>
        <v>802.8</v>
      </c>
      <c r="Z395" s="42"/>
      <c r="AA395" s="67"/>
      <c r="AB395" s="67"/>
      <c r="AC395" s="67"/>
    </row>
    <row r="396" spans="1:68" ht="14.25" hidden="1" customHeight="1" x14ac:dyDescent="0.25">
      <c r="A396" s="665" t="s">
        <v>277</v>
      </c>
      <c r="B396" s="665"/>
      <c r="C396" s="665"/>
      <c r="D396" s="665"/>
      <c r="E396" s="665"/>
      <c r="F396" s="665"/>
      <c r="G396" s="665"/>
      <c r="H396" s="665"/>
      <c r="I396" s="665"/>
      <c r="J396" s="665"/>
      <c r="K396" s="665"/>
      <c r="L396" s="665"/>
      <c r="M396" s="665"/>
      <c r="N396" s="665"/>
      <c r="O396" s="665"/>
      <c r="P396" s="665"/>
      <c r="Q396" s="665"/>
      <c r="R396" s="665"/>
      <c r="S396" s="665"/>
      <c r="T396" s="665"/>
      <c r="U396" s="665"/>
      <c r="V396" s="665"/>
      <c r="W396" s="665"/>
      <c r="X396" s="665"/>
      <c r="Y396" s="665"/>
      <c r="Z396" s="665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666">
        <v>4607091388381</v>
      </c>
      <c r="E397" s="666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7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8"/>
      <c r="R397" s="668"/>
      <c r="S397" s="668"/>
      <c r="T397" s="669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666">
        <v>4607091388374</v>
      </c>
      <c r="E398" s="666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7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8"/>
      <c r="R398" s="668"/>
      <c r="S398" s="668"/>
      <c r="T398" s="669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666">
        <v>4607091383102</v>
      </c>
      <c r="E399" s="666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74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8"/>
      <c r="R399" s="668"/>
      <c r="S399" s="668"/>
      <c r="T399" s="669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663</v>
      </c>
      <c r="B400" s="63" t="s">
        <v>664</v>
      </c>
      <c r="C400" s="36">
        <v>4301030233</v>
      </c>
      <c r="D400" s="666">
        <v>4607091388404</v>
      </c>
      <c r="E400" s="666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8"/>
      <c r="R400" s="668"/>
      <c r="S400" s="668"/>
      <c r="T400" s="669"/>
      <c r="U400" s="39" t="s">
        <v>46</v>
      </c>
      <c r="V400" s="39" t="s">
        <v>46</v>
      </c>
      <c r="W400" s="40" t="s">
        <v>0</v>
      </c>
      <c r="X400" s="58">
        <v>12</v>
      </c>
      <c r="Y400" s="55">
        <f>IFERROR(IF(X400="",0,CEILING((X400/$H400),1)*$H400),"")</f>
        <v>12.75</v>
      </c>
      <c r="Z400" s="41">
        <f>IFERROR(IF(Y400=0,"",ROUNDUP(Y400/H400,0)*0.00651),"")</f>
        <v>3.2550000000000003E-2</v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13.55294117647059</v>
      </c>
      <c r="BN400" s="78">
        <f>IFERROR(Y400*I400/H400,"0")</f>
        <v>14.4</v>
      </c>
      <c r="BO400" s="78">
        <f>IFERROR(1/J400*(X400/H400),"0")</f>
        <v>2.5856496444731741E-2</v>
      </c>
      <c r="BP400" s="78">
        <f>IFERROR(1/J400*(Y400/H400),"0")</f>
        <v>2.7472527472527476E-2</v>
      </c>
    </row>
    <row r="401" spans="1:68" x14ac:dyDescent="0.2">
      <c r="A401" s="656"/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7"/>
      <c r="P401" s="653" t="s">
        <v>40</v>
      </c>
      <c r="Q401" s="654"/>
      <c r="R401" s="654"/>
      <c r="S401" s="654"/>
      <c r="T401" s="654"/>
      <c r="U401" s="654"/>
      <c r="V401" s="655"/>
      <c r="W401" s="42" t="s">
        <v>39</v>
      </c>
      <c r="X401" s="43">
        <f>IFERROR(X397/H397,"0")+IFERROR(X398/H398,"0")+IFERROR(X399/H399,"0")+IFERROR(X400/H400,"0")</f>
        <v>4.7058823529411766</v>
      </c>
      <c r="Y401" s="43">
        <f>IFERROR(Y397/H397,"0")+IFERROR(Y398/H398,"0")+IFERROR(Y399/H399,"0")+IFERROR(Y400/H400,"0")</f>
        <v>5</v>
      </c>
      <c r="Z401" s="43">
        <f>IFERROR(IF(Z397="",0,Z397),"0")+IFERROR(IF(Z398="",0,Z398),"0")+IFERROR(IF(Z399="",0,Z399),"0")+IFERROR(IF(Z400="",0,Z400),"0")</f>
        <v>3.2550000000000003E-2</v>
      </c>
      <c r="AA401" s="67"/>
      <c r="AB401" s="67"/>
      <c r="AC401" s="67"/>
    </row>
    <row r="402" spans="1:68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2" t="s">
        <v>0</v>
      </c>
      <c r="X402" s="43">
        <f>IFERROR(SUM(X397:X400),"0")</f>
        <v>12</v>
      </c>
      <c r="Y402" s="43">
        <f>IFERROR(SUM(Y397:Y400),"0")</f>
        <v>12.75</v>
      </c>
      <c r="Z402" s="42"/>
      <c r="AA402" s="67"/>
      <c r="AB402" s="67"/>
      <c r="AC402" s="67"/>
    </row>
    <row r="403" spans="1:68" ht="14.25" hidden="1" customHeight="1" x14ac:dyDescent="0.25">
      <c r="A403" s="665" t="s">
        <v>665</v>
      </c>
      <c r="B403" s="665"/>
      <c r="C403" s="665"/>
      <c r="D403" s="665"/>
      <c r="E403" s="665"/>
      <c r="F403" s="665"/>
      <c r="G403" s="665"/>
      <c r="H403" s="665"/>
      <c r="I403" s="665"/>
      <c r="J403" s="665"/>
      <c r="K403" s="665"/>
      <c r="L403" s="665"/>
      <c r="M403" s="665"/>
      <c r="N403" s="665"/>
      <c r="O403" s="665"/>
      <c r="P403" s="665"/>
      <c r="Q403" s="665"/>
      <c r="R403" s="665"/>
      <c r="S403" s="665"/>
      <c r="T403" s="665"/>
      <c r="U403" s="665"/>
      <c r="V403" s="665"/>
      <c r="W403" s="665"/>
      <c r="X403" s="665"/>
      <c r="Y403" s="665"/>
      <c r="Z403" s="665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666">
        <v>4680115881808</v>
      </c>
      <c r="E404" s="666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8"/>
      <c r="R404" s="668"/>
      <c r="S404" s="668"/>
      <c r="T404" s="669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666">
        <v>4680115881822</v>
      </c>
      <c r="E405" s="666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7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8"/>
      <c r="R405" s="668"/>
      <c r="S405" s="668"/>
      <c r="T405" s="669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666">
        <v>4680115880016</v>
      </c>
      <c r="E406" s="666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7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8"/>
      <c r="R406" s="668"/>
      <c r="S406" s="668"/>
      <c r="T406" s="669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56"/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7"/>
      <c r="P407" s="653" t="s">
        <v>40</v>
      </c>
      <c r="Q407" s="654"/>
      <c r="R407" s="654"/>
      <c r="S407" s="654"/>
      <c r="T407" s="654"/>
      <c r="U407" s="654"/>
      <c r="V407" s="655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665" t="s">
        <v>674</v>
      </c>
      <c r="B409" s="665"/>
      <c r="C409" s="665"/>
      <c r="D409" s="665"/>
      <c r="E409" s="665"/>
      <c r="F409" s="665"/>
      <c r="G409" s="665"/>
      <c r="H409" s="665"/>
      <c r="I409" s="665"/>
      <c r="J409" s="665"/>
      <c r="K409" s="665"/>
      <c r="L409" s="665"/>
      <c r="M409" s="665"/>
      <c r="N409" s="665"/>
      <c r="O409" s="665"/>
      <c r="P409" s="665"/>
      <c r="Q409" s="665"/>
      <c r="R409" s="665"/>
      <c r="S409" s="665"/>
      <c r="T409" s="665"/>
      <c r="U409" s="665"/>
      <c r="V409" s="665"/>
      <c r="W409" s="665"/>
      <c r="X409" s="665"/>
      <c r="Y409" s="665"/>
      <c r="Z409" s="665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666">
        <v>4680115888678</v>
      </c>
      <c r="E410" s="666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73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8"/>
      <c r="R410" s="668"/>
      <c r="S410" s="668"/>
      <c r="T410" s="669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666">
        <v>4680115888654</v>
      </c>
      <c r="E411" s="666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74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8"/>
      <c r="R411" s="668"/>
      <c r="S411" s="668"/>
      <c r="T411" s="669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666">
        <v>4680115888753</v>
      </c>
      <c r="E412" s="666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74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8"/>
      <c r="R412" s="668"/>
      <c r="S412" s="668"/>
      <c r="T412" s="669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56"/>
      <c r="B413" s="656"/>
      <c r="C413" s="656"/>
      <c r="D413" s="656"/>
      <c r="E413" s="656"/>
      <c r="F413" s="656"/>
      <c r="G413" s="656"/>
      <c r="H413" s="656"/>
      <c r="I413" s="656"/>
      <c r="J413" s="656"/>
      <c r="K413" s="656"/>
      <c r="L413" s="656"/>
      <c r="M413" s="656"/>
      <c r="N413" s="656"/>
      <c r="O413" s="657"/>
      <c r="P413" s="653" t="s">
        <v>40</v>
      </c>
      <c r="Q413" s="654"/>
      <c r="R413" s="654"/>
      <c r="S413" s="654"/>
      <c r="T413" s="654"/>
      <c r="U413" s="654"/>
      <c r="V413" s="655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72" t="s">
        <v>683</v>
      </c>
      <c r="B415" s="672"/>
      <c r="C415" s="672"/>
      <c r="D415" s="672"/>
      <c r="E415" s="672"/>
      <c r="F415" s="672"/>
      <c r="G415" s="672"/>
      <c r="H415" s="672"/>
      <c r="I415" s="672"/>
      <c r="J415" s="672"/>
      <c r="K415" s="672"/>
      <c r="L415" s="672"/>
      <c r="M415" s="672"/>
      <c r="N415" s="672"/>
      <c r="O415" s="672"/>
      <c r="P415" s="672"/>
      <c r="Q415" s="672"/>
      <c r="R415" s="672"/>
      <c r="S415" s="672"/>
      <c r="T415" s="672"/>
      <c r="U415" s="672"/>
      <c r="V415" s="672"/>
      <c r="W415" s="672"/>
      <c r="X415" s="672"/>
      <c r="Y415" s="672"/>
      <c r="Z415" s="672"/>
      <c r="AA415" s="65"/>
      <c r="AB415" s="65"/>
      <c r="AC415" s="79"/>
    </row>
    <row r="416" spans="1:68" ht="14.25" hidden="1" customHeight="1" x14ac:dyDescent="0.25">
      <c r="A416" s="665" t="s">
        <v>86</v>
      </c>
      <c r="B416" s="665"/>
      <c r="C416" s="665"/>
      <c r="D416" s="665"/>
      <c r="E416" s="665"/>
      <c r="F416" s="665"/>
      <c r="G416" s="665"/>
      <c r="H416" s="665"/>
      <c r="I416" s="665"/>
      <c r="J416" s="665"/>
      <c r="K416" s="665"/>
      <c r="L416" s="665"/>
      <c r="M416" s="665"/>
      <c r="N416" s="665"/>
      <c r="O416" s="665"/>
      <c r="P416" s="665"/>
      <c r="Q416" s="665"/>
      <c r="R416" s="665"/>
      <c r="S416" s="665"/>
      <c r="T416" s="665"/>
      <c r="U416" s="665"/>
      <c r="V416" s="665"/>
      <c r="W416" s="665"/>
      <c r="X416" s="665"/>
      <c r="Y416" s="665"/>
      <c r="Z416" s="665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666">
        <v>4680115889415</v>
      </c>
      <c r="E417" s="666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73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8"/>
      <c r="R417" s="668"/>
      <c r="S417" s="668"/>
      <c r="T417" s="669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666">
        <v>4680115889422</v>
      </c>
      <c r="E418" s="666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73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8"/>
      <c r="R418" s="668"/>
      <c r="S418" s="668"/>
      <c r="T418" s="669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656"/>
      <c r="B419" s="656"/>
      <c r="C419" s="656"/>
      <c r="D419" s="656"/>
      <c r="E419" s="656"/>
      <c r="F419" s="656"/>
      <c r="G419" s="656"/>
      <c r="H419" s="656"/>
      <c r="I419" s="656"/>
      <c r="J419" s="656"/>
      <c r="K419" s="656"/>
      <c r="L419" s="656"/>
      <c r="M419" s="656"/>
      <c r="N419" s="656"/>
      <c r="O419" s="657"/>
      <c r="P419" s="653" t="s">
        <v>40</v>
      </c>
      <c r="Q419" s="654"/>
      <c r="R419" s="654"/>
      <c r="S419" s="654"/>
      <c r="T419" s="654"/>
      <c r="U419" s="654"/>
      <c r="V419" s="655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656"/>
      <c r="B420" s="656"/>
      <c r="C420" s="656"/>
      <c r="D420" s="656"/>
      <c r="E420" s="656"/>
      <c r="F420" s="656"/>
      <c r="G420" s="656"/>
      <c r="H420" s="656"/>
      <c r="I420" s="656"/>
      <c r="J420" s="656"/>
      <c r="K420" s="656"/>
      <c r="L420" s="656"/>
      <c r="M420" s="656"/>
      <c r="N420" s="656"/>
      <c r="O420" s="657"/>
      <c r="P420" s="653" t="s">
        <v>40</v>
      </c>
      <c r="Q420" s="654"/>
      <c r="R420" s="654"/>
      <c r="S420" s="654"/>
      <c r="T420" s="654"/>
      <c r="U420" s="654"/>
      <c r="V420" s="655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672" t="s">
        <v>690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5"/>
      <c r="AB421" s="65"/>
      <c r="AC421" s="79"/>
    </row>
    <row r="422" spans="1:68" ht="14.25" hidden="1" customHeight="1" x14ac:dyDescent="0.25">
      <c r="A422" s="665" t="s">
        <v>86</v>
      </c>
      <c r="B422" s="665"/>
      <c r="C422" s="665"/>
      <c r="D422" s="665"/>
      <c r="E422" s="665"/>
      <c r="F422" s="665"/>
      <c r="G422" s="665"/>
      <c r="H422" s="665"/>
      <c r="I422" s="665"/>
      <c r="J422" s="665"/>
      <c r="K422" s="665"/>
      <c r="L422" s="665"/>
      <c r="M422" s="665"/>
      <c r="N422" s="665"/>
      <c r="O422" s="665"/>
      <c r="P422" s="665"/>
      <c r="Q422" s="665"/>
      <c r="R422" s="665"/>
      <c r="S422" s="665"/>
      <c r="T422" s="665"/>
      <c r="U422" s="665"/>
      <c r="V422" s="665"/>
      <c r="W422" s="665"/>
      <c r="X422" s="665"/>
      <c r="Y422" s="665"/>
      <c r="Z422" s="665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666">
        <v>4607091387919</v>
      </c>
      <c r="E423" s="666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7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8"/>
      <c r="R423" s="668"/>
      <c r="S423" s="668"/>
      <c r="T423" s="669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666">
        <v>4680115883604</v>
      </c>
      <c r="E424" s="666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7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8"/>
      <c r="R424" s="668"/>
      <c r="S424" s="668"/>
      <c r="T424" s="669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666">
        <v>4680115883567</v>
      </c>
      <c r="E425" s="666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7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8"/>
      <c r="R425" s="668"/>
      <c r="S425" s="668"/>
      <c r="T425" s="669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56"/>
      <c r="B426" s="656"/>
      <c r="C426" s="656"/>
      <c r="D426" s="656"/>
      <c r="E426" s="656"/>
      <c r="F426" s="656"/>
      <c r="G426" s="656"/>
      <c r="H426" s="656"/>
      <c r="I426" s="656"/>
      <c r="J426" s="656"/>
      <c r="K426" s="656"/>
      <c r="L426" s="656"/>
      <c r="M426" s="656"/>
      <c r="N426" s="656"/>
      <c r="O426" s="657"/>
      <c r="P426" s="653" t="s">
        <v>40</v>
      </c>
      <c r="Q426" s="654"/>
      <c r="R426" s="654"/>
      <c r="S426" s="654"/>
      <c r="T426" s="654"/>
      <c r="U426" s="654"/>
      <c r="V426" s="655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656"/>
      <c r="B427" s="656"/>
      <c r="C427" s="656"/>
      <c r="D427" s="656"/>
      <c r="E427" s="656"/>
      <c r="F427" s="656"/>
      <c r="G427" s="656"/>
      <c r="H427" s="656"/>
      <c r="I427" s="656"/>
      <c r="J427" s="656"/>
      <c r="K427" s="656"/>
      <c r="L427" s="656"/>
      <c r="M427" s="656"/>
      <c r="N427" s="656"/>
      <c r="O427" s="657"/>
      <c r="P427" s="653" t="s">
        <v>40</v>
      </c>
      <c r="Q427" s="654"/>
      <c r="R427" s="654"/>
      <c r="S427" s="654"/>
      <c r="T427" s="654"/>
      <c r="U427" s="654"/>
      <c r="V427" s="655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683" t="s">
        <v>700</v>
      </c>
      <c r="B428" s="683"/>
      <c r="C428" s="683"/>
      <c r="D428" s="683"/>
      <c r="E428" s="683"/>
      <c r="F428" s="683"/>
      <c r="G428" s="683"/>
      <c r="H428" s="683"/>
      <c r="I428" s="683"/>
      <c r="J428" s="683"/>
      <c r="K428" s="683"/>
      <c r="L428" s="683"/>
      <c r="M428" s="683"/>
      <c r="N428" s="683"/>
      <c r="O428" s="683"/>
      <c r="P428" s="683"/>
      <c r="Q428" s="683"/>
      <c r="R428" s="683"/>
      <c r="S428" s="683"/>
      <c r="T428" s="683"/>
      <c r="U428" s="683"/>
      <c r="V428" s="683"/>
      <c r="W428" s="683"/>
      <c r="X428" s="683"/>
      <c r="Y428" s="683"/>
      <c r="Z428" s="683"/>
      <c r="AA428" s="54"/>
      <c r="AB428" s="54"/>
      <c r="AC428" s="54"/>
    </row>
    <row r="429" spans="1:68" ht="16.5" hidden="1" customHeight="1" x14ac:dyDescent="0.25">
      <c r="A429" s="672" t="s">
        <v>701</v>
      </c>
      <c r="B429" s="672"/>
      <c r="C429" s="672"/>
      <c r="D429" s="672"/>
      <c r="E429" s="672"/>
      <c r="F429" s="672"/>
      <c r="G429" s="672"/>
      <c r="H429" s="672"/>
      <c r="I429" s="672"/>
      <c r="J429" s="672"/>
      <c r="K429" s="672"/>
      <c r="L429" s="672"/>
      <c r="M429" s="672"/>
      <c r="N429" s="672"/>
      <c r="O429" s="672"/>
      <c r="P429" s="672"/>
      <c r="Q429" s="672"/>
      <c r="R429" s="672"/>
      <c r="S429" s="672"/>
      <c r="T429" s="672"/>
      <c r="U429" s="672"/>
      <c r="V429" s="672"/>
      <c r="W429" s="672"/>
      <c r="X429" s="672"/>
      <c r="Y429" s="672"/>
      <c r="Z429" s="672"/>
      <c r="AA429" s="65"/>
      <c r="AB429" s="65"/>
      <c r="AC429" s="79"/>
    </row>
    <row r="430" spans="1:68" ht="14.25" hidden="1" customHeight="1" x14ac:dyDescent="0.25">
      <c r="A430" s="665" t="s">
        <v>122</v>
      </c>
      <c r="B430" s="665"/>
      <c r="C430" s="665"/>
      <c r="D430" s="665"/>
      <c r="E430" s="665"/>
      <c r="F430" s="665"/>
      <c r="G430" s="665"/>
      <c r="H430" s="665"/>
      <c r="I430" s="665"/>
      <c r="J430" s="665"/>
      <c r="K430" s="665"/>
      <c r="L430" s="665"/>
      <c r="M430" s="665"/>
      <c r="N430" s="665"/>
      <c r="O430" s="665"/>
      <c r="P430" s="665"/>
      <c r="Q430" s="665"/>
      <c r="R430" s="665"/>
      <c r="S430" s="665"/>
      <c r="T430" s="665"/>
      <c r="U430" s="665"/>
      <c r="V430" s="665"/>
      <c r="W430" s="665"/>
      <c r="X430" s="665"/>
      <c r="Y430" s="665"/>
      <c r="Z430" s="665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666">
        <v>4680115888401</v>
      </c>
      <c r="E431" s="666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2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8"/>
      <c r="R431" s="668"/>
      <c r="S431" s="668"/>
      <c r="T431" s="669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hidden="1" customHeight="1" x14ac:dyDescent="0.25">
      <c r="A432" s="63" t="s">
        <v>705</v>
      </c>
      <c r="B432" s="63" t="s">
        <v>706</v>
      </c>
      <c r="C432" s="36">
        <v>4301011869</v>
      </c>
      <c r="D432" s="666">
        <v>4680115884847</v>
      </c>
      <c r="E432" s="666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8"/>
      <c r="R432" s="668"/>
      <c r="S432" s="668"/>
      <c r="T432" s="669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27" customHeight="1" x14ac:dyDescent="0.25">
      <c r="A433" s="63" t="s">
        <v>708</v>
      </c>
      <c r="B433" s="63" t="s">
        <v>709</v>
      </c>
      <c r="C433" s="36">
        <v>4301012083</v>
      </c>
      <c r="D433" s="666">
        <v>4680115884854</v>
      </c>
      <c r="E433" s="666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72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8"/>
      <c r="R433" s="668"/>
      <c r="S433" s="668"/>
      <c r="T433" s="669"/>
      <c r="U433" s="39" t="s">
        <v>46</v>
      </c>
      <c r="V433" s="39" t="s">
        <v>46</v>
      </c>
      <c r="W433" s="40" t="s">
        <v>0</v>
      </c>
      <c r="X433" s="58">
        <v>1500</v>
      </c>
      <c r="Y433" s="55">
        <f t="shared" si="68"/>
        <v>1500</v>
      </c>
      <c r="Z433" s="41">
        <f>IFERROR(IF(Y433=0,"",ROUNDUP(Y433/H433,0)*0.02175),"")</f>
        <v>2.1749999999999998</v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1547</v>
      </c>
      <c r="BN433" s="78">
        <f t="shared" si="70"/>
        <v>1547</v>
      </c>
      <c r="BO433" s="78">
        <f t="shared" si="71"/>
        <v>2.083333333333333</v>
      </c>
      <c r="BP433" s="78">
        <f t="shared" si="72"/>
        <v>2.083333333333333</v>
      </c>
    </row>
    <row r="434" spans="1:68" ht="27" hidden="1" customHeight="1" x14ac:dyDescent="0.25">
      <c r="A434" s="63" t="s">
        <v>711</v>
      </c>
      <c r="B434" s="63" t="s">
        <v>712</v>
      </c>
      <c r="C434" s="36">
        <v>4301011867</v>
      </c>
      <c r="D434" s="666">
        <v>4680115884830</v>
      </c>
      <c r="E434" s="666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8"/>
      <c r="R434" s="668"/>
      <c r="S434" s="668"/>
      <c r="T434" s="669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customHeight="1" x14ac:dyDescent="0.25">
      <c r="A435" s="63" t="s">
        <v>714</v>
      </c>
      <c r="B435" s="63" t="s">
        <v>715</v>
      </c>
      <c r="C435" s="36">
        <v>4301012356</v>
      </c>
      <c r="D435" s="666">
        <v>4680115889231</v>
      </c>
      <c r="E435" s="666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73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8"/>
      <c r="R435" s="668"/>
      <c r="S435" s="668"/>
      <c r="T435" s="669"/>
      <c r="U435" s="39" t="s">
        <v>46</v>
      </c>
      <c r="V435" s="39" t="s">
        <v>46</v>
      </c>
      <c r="W435" s="40" t="s">
        <v>0</v>
      </c>
      <c r="X435" s="58">
        <v>1500</v>
      </c>
      <c r="Y435" s="55">
        <f t="shared" si="68"/>
        <v>1500</v>
      </c>
      <c r="Z435" s="41">
        <f>IFERROR(IF(Y435=0,"",ROUNDUP(Y435/H435,0)*0.02175),"")</f>
        <v>2.1749999999999998</v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1547</v>
      </c>
      <c r="BN435" s="78">
        <f t="shared" si="70"/>
        <v>1547</v>
      </c>
      <c r="BO435" s="78">
        <f t="shared" si="71"/>
        <v>2.083333333333333</v>
      </c>
      <c r="BP435" s="78">
        <f t="shared" si="72"/>
        <v>2.083333333333333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666">
        <v>4680115882638</v>
      </c>
      <c r="E436" s="666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72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8"/>
      <c r="R436" s="668"/>
      <c r="S436" s="668"/>
      <c r="T436" s="669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666">
        <v>4680115884922</v>
      </c>
      <c r="E437" s="666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8"/>
      <c r="R437" s="668"/>
      <c r="S437" s="668"/>
      <c r="T437" s="669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666">
        <v>4680115884861</v>
      </c>
      <c r="E438" s="666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7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8"/>
      <c r="R438" s="668"/>
      <c r="S438" s="668"/>
      <c r="T438" s="669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656"/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7"/>
      <c r="P439" s="653" t="s">
        <v>40</v>
      </c>
      <c r="Q439" s="654"/>
      <c r="R439" s="654"/>
      <c r="S439" s="654"/>
      <c r="T439" s="654"/>
      <c r="U439" s="654"/>
      <c r="V439" s="655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200</v>
      </c>
      <c r="Y439" s="43">
        <f>IFERROR(Y431/H431,"0")+IFERROR(Y432/H432,"0")+IFERROR(Y433/H433,"0")+IFERROR(Y434/H434,"0")+IFERROR(Y435/H435,"0")+IFERROR(Y436/H436,"0")+IFERROR(Y437/H437,"0")+IFERROR(Y438/H438,"0")</f>
        <v>200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4.3499999999999996</v>
      </c>
      <c r="AA439" s="67"/>
      <c r="AB439" s="67"/>
      <c r="AC439" s="67"/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2" t="s">
        <v>0</v>
      </c>
      <c r="X440" s="43">
        <f>IFERROR(SUM(X431:X438),"0")</f>
        <v>3000</v>
      </c>
      <c r="Y440" s="43">
        <f>IFERROR(SUM(Y431:Y438),"0")</f>
        <v>3000</v>
      </c>
      <c r="Z440" s="42"/>
      <c r="AA440" s="67"/>
      <c r="AB440" s="67"/>
      <c r="AC440" s="67"/>
    </row>
    <row r="441" spans="1:68" ht="14.25" hidden="1" customHeight="1" x14ac:dyDescent="0.25">
      <c r="A441" s="665" t="s">
        <v>159</v>
      </c>
      <c r="B441" s="665"/>
      <c r="C441" s="665"/>
      <c r="D441" s="665"/>
      <c r="E441" s="665"/>
      <c r="F441" s="665"/>
      <c r="G441" s="665"/>
      <c r="H441" s="665"/>
      <c r="I441" s="665"/>
      <c r="J441" s="665"/>
      <c r="K441" s="665"/>
      <c r="L441" s="665"/>
      <c r="M441" s="665"/>
      <c r="N441" s="665"/>
      <c r="O441" s="665"/>
      <c r="P441" s="665"/>
      <c r="Q441" s="665"/>
      <c r="R441" s="665"/>
      <c r="S441" s="665"/>
      <c r="T441" s="665"/>
      <c r="U441" s="665"/>
      <c r="V441" s="665"/>
      <c r="W441" s="665"/>
      <c r="X441" s="665"/>
      <c r="Y441" s="665"/>
      <c r="Z441" s="665"/>
      <c r="AA441" s="66"/>
      <c r="AB441" s="66"/>
      <c r="AC441" s="80"/>
    </row>
    <row r="442" spans="1:68" ht="27" customHeight="1" x14ac:dyDescent="0.25">
      <c r="A442" s="63" t="s">
        <v>726</v>
      </c>
      <c r="B442" s="63" t="s">
        <v>727</v>
      </c>
      <c r="C442" s="36">
        <v>4301020178</v>
      </c>
      <c r="D442" s="666">
        <v>4607091383980</v>
      </c>
      <c r="E442" s="666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72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8"/>
      <c r="R442" s="668"/>
      <c r="S442" s="668"/>
      <c r="T442" s="669"/>
      <c r="U442" s="39" t="s">
        <v>46</v>
      </c>
      <c r="V442" s="39" t="s">
        <v>46</v>
      </c>
      <c r="W442" s="40" t="s">
        <v>0</v>
      </c>
      <c r="X442" s="58">
        <v>1500</v>
      </c>
      <c r="Y442" s="55">
        <f>IFERROR(IF(X442="",0,CEILING((X442/$H442),1)*$H442),"")</f>
        <v>1500</v>
      </c>
      <c r="Z442" s="41">
        <f>IFERROR(IF(Y442=0,"",ROUNDUP(Y442/H442,0)*0.02175),"")</f>
        <v>2.1749999999999998</v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1547</v>
      </c>
      <c r="BN442" s="78">
        <f>IFERROR(Y442*I442/H442,"0")</f>
        <v>1547</v>
      </c>
      <c r="BO442" s="78">
        <f>IFERROR(1/J442*(X442/H442),"0")</f>
        <v>2.083333333333333</v>
      </c>
      <c r="BP442" s="78">
        <f>IFERROR(1/J442*(Y442/H442),"0")</f>
        <v>2.083333333333333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666">
        <v>4680115888425</v>
      </c>
      <c r="E443" s="666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72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8"/>
      <c r="R443" s="668"/>
      <c r="S443" s="668"/>
      <c r="T443" s="669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666">
        <v>4607091384178</v>
      </c>
      <c r="E444" s="666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72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8"/>
      <c r="R444" s="668"/>
      <c r="S444" s="668"/>
      <c r="T444" s="669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39</v>
      </c>
      <c r="X445" s="43">
        <f>IFERROR(X442/H442,"0")+IFERROR(X443/H443,"0")+IFERROR(X444/H444,"0")</f>
        <v>100</v>
      </c>
      <c r="Y445" s="43">
        <f>IFERROR(Y442/H442,"0")+IFERROR(Y443/H443,"0")+IFERROR(Y444/H444,"0")</f>
        <v>100</v>
      </c>
      <c r="Z445" s="43">
        <f>IFERROR(IF(Z442="",0,Z442),"0")+IFERROR(IF(Z443="",0,Z443),"0")+IFERROR(IF(Z444="",0,Z444),"0")</f>
        <v>2.1749999999999998</v>
      </c>
      <c r="AA445" s="67"/>
      <c r="AB445" s="67"/>
      <c r="AC445" s="67"/>
    </row>
    <row r="446" spans="1:68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2" t="s">
        <v>0</v>
      </c>
      <c r="X446" s="43">
        <f>IFERROR(SUM(X442:X444),"0")</f>
        <v>1500</v>
      </c>
      <c r="Y446" s="43">
        <f>IFERROR(SUM(Y442:Y444),"0")</f>
        <v>1500</v>
      </c>
      <c r="Z446" s="42"/>
      <c r="AA446" s="67"/>
      <c r="AB446" s="67"/>
      <c r="AC446" s="67"/>
    </row>
    <row r="447" spans="1:68" ht="14.25" hidden="1" customHeight="1" x14ac:dyDescent="0.25">
      <c r="A447" s="665" t="s">
        <v>86</v>
      </c>
      <c r="B447" s="665"/>
      <c r="C447" s="665"/>
      <c r="D447" s="665"/>
      <c r="E447" s="665"/>
      <c r="F447" s="665"/>
      <c r="G447" s="665"/>
      <c r="H447" s="665"/>
      <c r="I447" s="665"/>
      <c r="J447" s="665"/>
      <c r="K447" s="665"/>
      <c r="L447" s="665"/>
      <c r="M447" s="665"/>
      <c r="N447" s="665"/>
      <c r="O447" s="665"/>
      <c r="P447" s="665"/>
      <c r="Q447" s="665"/>
      <c r="R447" s="665"/>
      <c r="S447" s="665"/>
      <c r="T447" s="665"/>
      <c r="U447" s="665"/>
      <c r="V447" s="665"/>
      <c r="W447" s="665"/>
      <c r="X447" s="665"/>
      <c r="Y447" s="665"/>
      <c r="Z447" s="665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666">
        <v>4607091383928</v>
      </c>
      <c r="E448" s="666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71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8"/>
      <c r="R448" s="668"/>
      <c r="S448" s="668"/>
      <c r="T448" s="669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738</v>
      </c>
      <c r="B449" s="63" t="s">
        <v>739</v>
      </c>
      <c r="C449" s="36">
        <v>4301051897</v>
      </c>
      <c r="D449" s="666">
        <v>4607091384260</v>
      </c>
      <c r="E449" s="666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71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8"/>
      <c r="R449" s="668"/>
      <c r="S449" s="668"/>
      <c r="T449" s="669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666">
        <v>4680115889538</v>
      </c>
      <c r="E450" s="666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71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8"/>
      <c r="R450" s="668"/>
      <c r="S450" s="668"/>
      <c r="T450" s="669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39</v>
      </c>
      <c r="X451" s="43">
        <f>IFERROR(X448/H448,"0")+IFERROR(X449/H449,"0")+IFERROR(X450/H450,"0")</f>
        <v>0</v>
      </c>
      <c r="Y451" s="43">
        <f>IFERROR(Y448/H448,"0")+IFERROR(Y449/H449,"0")+IFERROR(Y450/H450,"0")</f>
        <v>0</v>
      </c>
      <c r="Z451" s="43">
        <f>IFERROR(IF(Z448="",0,Z448),"0")+IFERROR(IF(Z449="",0,Z449),"0")+IFERROR(IF(Z450="",0,Z450),"0")</f>
        <v>0</v>
      </c>
      <c r="AA451" s="67"/>
      <c r="AB451" s="67"/>
      <c r="AC451" s="67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2" t="s">
        <v>0</v>
      </c>
      <c r="X452" s="43">
        <f>IFERROR(SUM(X448:X450),"0")</f>
        <v>0</v>
      </c>
      <c r="Y452" s="43">
        <f>IFERROR(SUM(Y448:Y450),"0")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65" t="s">
        <v>178</v>
      </c>
      <c r="B453" s="665"/>
      <c r="C453" s="665"/>
      <c r="D453" s="665"/>
      <c r="E453" s="665"/>
      <c r="F453" s="665"/>
      <c r="G453" s="665"/>
      <c r="H453" s="665"/>
      <c r="I453" s="665"/>
      <c r="J453" s="665"/>
      <c r="K453" s="665"/>
      <c r="L453" s="665"/>
      <c r="M453" s="665"/>
      <c r="N453" s="665"/>
      <c r="O453" s="665"/>
      <c r="P453" s="665"/>
      <c r="Q453" s="665"/>
      <c r="R453" s="665"/>
      <c r="S453" s="665"/>
      <c r="T453" s="665"/>
      <c r="U453" s="665"/>
      <c r="V453" s="665"/>
      <c r="W453" s="665"/>
      <c r="X453" s="665"/>
      <c r="Y453" s="665"/>
      <c r="Z453" s="665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666">
        <v>4680115889545</v>
      </c>
      <c r="E454" s="666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71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8"/>
      <c r="R454" s="668"/>
      <c r="S454" s="668"/>
      <c r="T454" s="669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hidden="1" customHeight="1" x14ac:dyDescent="0.25">
      <c r="A455" s="63" t="s">
        <v>747</v>
      </c>
      <c r="B455" s="63" t="s">
        <v>748</v>
      </c>
      <c r="C455" s="36">
        <v>4301060524</v>
      </c>
      <c r="D455" s="666">
        <v>4607091384673</v>
      </c>
      <c r="E455" s="666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71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8"/>
      <c r="R455" s="668"/>
      <c r="S455" s="668"/>
      <c r="T455" s="669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6.5" hidden="1" customHeight="1" x14ac:dyDescent="0.25">
      <c r="A458" s="672" t="s">
        <v>750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5"/>
      <c r="AB458" s="65"/>
      <c r="AC458" s="79"/>
    </row>
    <row r="459" spans="1:68" ht="14.25" hidden="1" customHeight="1" x14ac:dyDescent="0.25">
      <c r="A459" s="665" t="s">
        <v>122</v>
      </c>
      <c r="B459" s="665"/>
      <c r="C459" s="665"/>
      <c r="D459" s="665"/>
      <c r="E459" s="665"/>
      <c r="F459" s="665"/>
      <c r="G459" s="665"/>
      <c r="H459" s="665"/>
      <c r="I459" s="665"/>
      <c r="J459" s="665"/>
      <c r="K459" s="665"/>
      <c r="L459" s="665"/>
      <c r="M459" s="665"/>
      <c r="N459" s="665"/>
      <c r="O459" s="665"/>
      <c r="P459" s="665"/>
      <c r="Q459" s="665"/>
      <c r="R459" s="665"/>
      <c r="S459" s="665"/>
      <c r="T459" s="665"/>
      <c r="U459" s="665"/>
      <c r="V459" s="665"/>
      <c r="W459" s="665"/>
      <c r="X459" s="665"/>
      <c r="Y459" s="665"/>
      <c r="Z459" s="665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666">
        <v>4680115884885</v>
      </c>
      <c r="E460" s="666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71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8"/>
      <c r="R460" s="668"/>
      <c r="S460" s="668"/>
      <c r="T460" s="669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666">
        <v>4680115884908</v>
      </c>
      <c r="E461" s="666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7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8"/>
      <c r="R461" s="668"/>
      <c r="S461" s="668"/>
      <c r="T461" s="669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56"/>
      <c r="B463" s="656"/>
      <c r="C463" s="656"/>
      <c r="D463" s="656"/>
      <c r="E463" s="656"/>
      <c r="F463" s="656"/>
      <c r="G463" s="656"/>
      <c r="H463" s="656"/>
      <c r="I463" s="656"/>
      <c r="J463" s="656"/>
      <c r="K463" s="656"/>
      <c r="L463" s="656"/>
      <c r="M463" s="656"/>
      <c r="N463" s="656"/>
      <c r="O463" s="657"/>
      <c r="P463" s="653" t="s">
        <v>40</v>
      </c>
      <c r="Q463" s="654"/>
      <c r="R463" s="654"/>
      <c r="S463" s="654"/>
      <c r="T463" s="654"/>
      <c r="U463" s="654"/>
      <c r="V463" s="655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5" t="s">
        <v>77</v>
      </c>
      <c r="B464" s="665"/>
      <c r="C464" s="665"/>
      <c r="D464" s="665"/>
      <c r="E464" s="665"/>
      <c r="F464" s="665"/>
      <c r="G464" s="665"/>
      <c r="H464" s="665"/>
      <c r="I464" s="665"/>
      <c r="J464" s="665"/>
      <c r="K464" s="665"/>
      <c r="L464" s="665"/>
      <c r="M464" s="665"/>
      <c r="N464" s="665"/>
      <c r="O464" s="665"/>
      <c r="P464" s="665"/>
      <c r="Q464" s="665"/>
      <c r="R464" s="665"/>
      <c r="S464" s="665"/>
      <c r="T464" s="665"/>
      <c r="U464" s="665"/>
      <c r="V464" s="665"/>
      <c r="W464" s="665"/>
      <c r="X464" s="665"/>
      <c r="Y464" s="665"/>
      <c r="Z464" s="665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666">
        <v>4607091384802</v>
      </c>
      <c r="E465" s="666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8"/>
      <c r="R465" s="668"/>
      <c r="S465" s="668"/>
      <c r="T465" s="669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56"/>
      <c r="B466" s="656"/>
      <c r="C466" s="656"/>
      <c r="D466" s="656"/>
      <c r="E466" s="656"/>
      <c r="F466" s="656"/>
      <c r="G466" s="656"/>
      <c r="H466" s="656"/>
      <c r="I466" s="656"/>
      <c r="J466" s="656"/>
      <c r="K466" s="656"/>
      <c r="L466" s="656"/>
      <c r="M466" s="656"/>
      <c r="N466" s="656"/>
      <c r="O466" s="657"/>
      <c r="P466" s="653" t="s">
        <v>40</v>
      </c>
      <c r="Q466" s="654"/>
      <c r="R466" s="654"/>
      <c r="S466" s="654"/>
      <c r="T466" s="654"/>
      <c r="U466" s="654"/>
      <c r="V466" s="65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665" t="s">
        <v>86</v>
      </c>
      <c r="B468" s="665"/>
      <c r="C468" s="665"/>
      <c r="D468" s="665"/>
      <c r="E468" s="665"/>
      <c r="F468" s="665"/>
      <c r="G468" s="665"/>
      <c r="H468" s="665"/>
      <c r="I468" s="665"/>
      <c r="J468" s="665"/>
      <c r="K468" s="665"/>
      <c r="L468" s="665"/>
      <c r="M468" s="665"/>
      <c r="N468" s="665"/>
      <c r="O468" s="665"/>
      <c r="P468" s="665"/>
      <c r="Q468" s="665"/>
      <c r="R468" s="665"/>
      <c r="S468" s="665"/>
      <c r="T468" s="665"/>
      <c r="U468" s="665"/>
      <c r="V468" s="665"/>
      <c r="W468" s="665"/>
      <c r="X468" s="665"/>
      <c r="Y468" s="665"/>
      <c r="Z468" s="665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666">
        <v>4607091384246</v>
      </c>
      <c r="E469" s="666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8"/>
      <c r="R469" s="668"/>
      <c r="S469" s="668"/>
      <c r="T469" s="669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666">
        <v>4607091384253</v>
      </c>
      <c r="E470" s="666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70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8"/>
      <c r="R470" s="668"/>
      <c r="S470" s="668"/>
      <c r="T470" s="669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666">
        <v>4607091384253</v>
      </c>
      <c r="E471" s="666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70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8"/>
      <c r="R471" s="668"/>
      <c r="S471" s="668"/>
      <c r="T471" s="669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56"/>
      <c r="B473" s="656"/>
      <c r="C473" s="656"/>
      <c r="D473" s="656"/>
      <c r="E473" s="656"/>
      <c r="F473" s="656"/>
      <c r="G473" s="656"/>
      <c r="H473" s="656"/>
      <c r="I473" s="656"/>
      <c r="J473" s="656"/>
      <c r="K473" s="656"/>
      <c r="L473" s="656"/>
      <c r="M473" s="656"/>
      <c r="N473" s="656"/>
      <c r="O473" s="657"/>
      <c r="P473" s="653" t="s">
        <v>40</v>
      </c>
      <c r="Q473" s="654"/>
      <c r="R473" s="654"/>
      <c r="S473" s="654"/>
      <c r="T473" s="654"/>
      <c r="U473" s="654"/>
      <c r="V473" s="65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683" t="s">
        <v>766</v>
      </c>
      <c r="B474" s="683"/>
      <c r="C474" s="683"/>
      <c r="D474" s="683"/>
      <c r="E474" s="683"/>
      <c r="F474" s="683"/>
      <c r="G474" s="683"/>
      <c r="H474" s="683"/>
      <c r="I474" s="683"/>
      <c r="J474" s="683"/>
      <c r="K474" s="683"/>
      <c r="L474" s="683"/>
      <c r="M474" s="683"/>
      <c r="N474" s="683"/>
      <c r="O474" s="683"/>
      <c r="P474" s="683"/>
      <c r="Q474" s="683"/>
      <c r="R474" s="683"/>
      <c r="S474" s="683"/>
      <c r="T474" s="683"/>
      <c r="U474" s="683"/>
      <c r="V474" s="683"/>
      <c r="W474" s="683"/>
      <c r="X474" s="683"/>
      <c r="Y474" s="683"/>
      <c r="Z474" s="683"/>
      <c r="AA474" s="54"/>
      <c r="AB474" s="54"/>
      <c r="AC474" s="54"/>
    </row>
    <row r="475" spans="1:68" ht="16.5" hidden="1" customHeight="1" x14ac:dyDescent="0.25">
      <c r="A475" s="672" t="s">
        <v>767</v>
      </c>
      <c r="B475" s="672"/>
      <c r="C475" s="672"/>
      <c r="D475" s="672"/>
      <c r="E475" s="672"/>
      <c r="F475" s="672"/>
      <c r="G475" s="672"/>
      <c r="H475" s="672"/>
      <c r="I475" s="672"/>
      <c r="J475" s="672"/>
      <c r="K475" s="672"/>
      <c r="L475" s="672"/>
      <c r="M475" s="672"/>
      <c r="N475" s="672"/>
      <c r="O475" s="672"/>
      <c r="P475" s="672"/>
      <c r="Q475" s="672"/>
      <c r="R475" s="672"/>
      <c r="S475" s="672"/>
      <c r="T475" s="672"/>
      <c r="U475" s="672"/>
      <c r="V475" s="672"/>
      <c r="W475" s="672"/>
      <c r="X475" s="672"/>
      <c r="Y475" s="672"/>
      <c r="Z475" s="672"/>
      <c r="AA475" s="65"/>
      <c r="AB475" s="65"/>
      <c r="AC475" s="79"/>
    </row>
    <row r="476" spans="1:68" ht="14.25" hidden="1" customHeight="1" x14ac:dyDescent="0.25">
      <c r="A476" s="665" t="s">
        <v>77</v>
      </c>
      <c r="B476" s="665"/>
      <c r="C476" s="665"/>
      <c r="D476" s="665"/>
      <c r="E476" s="665"/>
      <c r="F476" s="665"/>
      <c r="G476" s="665"/>
      <c r="H476" s="665"/>
      <c r="I476" s="665"/>
      <c r="J476" s="665"/>
      <c r="K476" s="665"/>
      <c r="L476" s="665"/>
      <c r="M476" s="665"/>
      <c r="N476" s="665"/>
      <c r="O476" s="665"/>
      <c r="P476" s="665"/>
      <c r="Q476" s="665"/>
      <c r="R476" s="665"/>
      <c r="S476" s="665"/>
      <c r="T476" s="665"/>
      <c r="U476" s="665"/>
      <c r="V476" s="665"/>
      <c r="W476" s="665"/>
      <c r="X476" s="665"/>
      <c r="Y476" s="665"/>
      <c r="Z476" s="665"/>
      <c r="AA476" s="66"/>
      <c r="AB476" s="66"/>
      <c r="AC476" s="80"/>
    </row>
    <row r="477" spans="1:68" ht="27" hidden="1" customHeight="1" x14ac:dyDescent="0.25">
      <c r="A477" s="63" t="s">
        <v>768</v>
      </c>
      <c r="B477" s="63" t="s">
        <v>769</v>
      </c>
      <c r="C477" s="36">
        <v>4301031405</v>
      </c>
      <c r="D477" s="666">
        <v>4680115886100</v>
      </c>
      <c r="E477" s="666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8"/>
      <c r="R477" s="668"/>
      <c r="S477" s="668"/>
      <c r="T477" s="669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2" si="73"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0</v>
      </c>
      <c r="BN477" s="78">
        <f t="shared" ref="BN477:BN482" si="75">IFERROR(Y477*I477/H477,"0")</f>
        <v>0</v>
      </c>
      <c r="BO477" s="78">
        <f t="shared" ref="BO477:BO482" si="76">IFERROR(1/J477*(X477/H477),"0")</f>
        <v>0</v>
      </c>
      <c r="BP477" s="78">
        <f t="shared" ref="BP477:BP482" si="77">IFERROR(1/J477*(Y477/H477),"0")</f>
        <v>0</v>
      </c>
    </row>
    <row r="478" spans="1:68" ht="27" hidden="1" customHeight="1" x14ac:dyDescent="0.25">
      <c r="A478" s="63" t="s">
        <v>771</v>
      </c>
      <c r="B478" s="63" t="s">
        <v>772</v>
      </c>
      <c r="C478" s="36">
        <v>4301031402</v>
      </c>
      <c r="D478" s="666">
        <v>4680115886124</v>
      </c>
      <c r="E478" s="666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8"/>
      <c r="R478" s="668"/>
      <c r="S478" s="668"/>
      <c r="T478" s="669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666">
        <v>4607091384338</v>
      </c>
      <c r="E479" s="666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8"/>
      <c r="R479" s="668"/>
      <c r="S479" s="668"/>
      <c r="T479" s="669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666">
        <v>4680115883161</v>
      </c>
      <c r="E480" s="666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8"/>
      <c r="R480" s="668"/>
      <c r="S480" s="668"/>
      <c r="T480" s="669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666">
        <v>4607091389531</v>
      </c>
      <c r="E481" s="666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8"/>
      <c r="R481" s="668"/>
      <c r="S481" s="668"/>
      <c r="T481" s="669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666">
        <v>4607091384345</v>
      </c>
      <c r="E482" s="666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0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8"/>
      <c r="R482" s="668"/>
      <c r="S482" s="668"/>
      <c r="T482" s="669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2" t="s">
        <v>39</v>
      </c>
      <c r="X483" s="43">
        <f>IFERROR(X477/H477,"0")+IFERROR(X478/H478,"0")+IFERROR(X479/H479,"0")+IFERROR(X480/H480,"0")+IFERROR(X481/H481,"0")+IFERROR(X482/H482,"0")</f>
        <v>0</v>
      </c>
      <c r="Y483" s="43">
        <f>IFERROR(Y477/H477,"0")+IFERROR(Y478/H478,"0")+IFERROR(Y479/H479,"0")+IFERROR(Y480/H480,"0")+IFERROR(Y481/H481,"0")+IFERROR(Y482/H482,"0")</f>
        <v>0</v>
      </c>
      <c r="Z483" s="43">
        <f>IFERROR(IF(Z477="",0,Z477),"0")+IFERROR(IF(Z478="",0,Z478),"0")+IFERROR(IF(Z479="",0,Z479),"0")+IFERROR(IF(Z480="",0,Z480),"0")+IFERROR(IF(Z481="",0,Z481),"0")+IFERROR(IF(Z482="",0,Z482),"0")</f>
        <v>0</v>
      </c>
      <c r="AA483" s="67"/>
      <c r="AB483" s="67"/>
      <c r="AC483" s="67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2" t="s">
        <v>0</v>
      </c>
      <c r="X484" s="43">
        <f>IFERROR(SUM(X477:X482),"0")</f>
        <v>0</v>
      </c>
      <c r="Y484" s="43">
        <f>IFERROR(SUM(Y477:Y482),"0")</f>
        <v>0</v>
      </c>
      <c r="Z484" s="42"/>
      <c r="AA484" s="67"/>
      <c r="AB484" s="67"/>
      <c r="AC484" s="67"/>
    </row>
    <row r="485" spans="1:68" ht="14.25" hidden="1" customHeight="1" x14ac:dyDescent="0.25">
      <c r="A485" s="665" t="s">
        <v>86</v>
      </c>
      <c r="B485" s="665"/>
      <c r="C485" s="665"/>
      <c r="D485" s="665"/>
      <c r="E485" s="665"/>
      <c r="F485" s="665"/>
      <c r="G485" s="665"/>
      <c r="H485" s="665"/>
      <c r="I485" s="665"/>
      <c r="J485" s="665"/>
      <c r="K485" s="665"/>
      <c r="L485" s="665"/>
      <c r="M485" s="665"/>
      <c r="N485" s="665"/>
      <c r="O485" s="665"/>
      <c r="P485" s="665"/>
      <c r="Q485" s="665"/>
      <c r="R485" s="665"/>
      <c r="S485" s="665"/>
      <c r="T485" s="665"/>
      <c r="U485" s="665"/>
      <c r="V485" s="665"/>
      <c r="W485" s="665"/>
      <c r="X485" s="665"/>
      <c r="Y485" s="665"/>
      <c r="Z485" s="665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666">
        <v>4607091384352</v>
      </c>
      <c r="E486" s="666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8"/>
      <c r="R486" s="668"/>
      <c r="S486" s="668"/>
      <c r="T486" s="669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666">
        <v>4607091389654</v>
      </c>
      <c r="E487" s="666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8"/>
      <c r="R487" s="668"/>
      <c r="S487" s="668"/>
      <c r="T487" s="669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672" t="s">
        <v>790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5"/>
      <c r="AB490" s="65"/>
      <c r="AC490" s="79"/>
    </row>
    <row r="491" spans="1:68" ht="14.25" hidden="1" customHeight="1" x14ac:dyDescent="0.25">
      <c r="A491" s="665" t="s">
        <v>159</v>
      </c>
      <c r="B491" s="665"/>
      <c r="C491" s="665"/>
      <c r="D491" s="665"/>
      <c r="E491" s="665"/>
      <c r="F491" s="665"/>
      <c r="G491" s="665"/>
      <c r="H491" s="665"/>
      <c r="I491" s="665"/>
      <c r="J491" s="665"/>
      <c r="K491" s="665"/>
      <c r="L491" s="665"/>
      <c r="M491" s="665"/>
      <c r="N491" s="665"/>
      <c r="O491" s="665"/>
      <c r="P491" s="665"/>
      <c r="Q491" s="665"/>
      <c r="R491" s="665"/>
      <c r="S491" s="665"/>
      <c r="T491" s="665"/>
      <c r="U491" s="665"/>
      <c r="V491" s="665"/>
      <c r="W491" s="665"/>
      <c r="X491" s="665"/>
      <c r="Y491" s="665"/>
      <c r="Z491" s="665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666">
        <v>4680115885240</v>
      </c>
      <c r="E492" s="666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6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8"/>
      <c r="R492" s="668"/>
      <c r="S492" s="668"/>
      <c r="T492" s="669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65" t="s">
        <v>77</v>
      </c>
      <c r="B495" s="665"/>
      <c r="C495" s="665"/>
      <c r="D495" s="665"/>
      <c r="E495" s="665"/>
      <c r="F495" s="665"/>
      <c r="G495" s="665"/>
      <c r="H495" s="665"/>
      <c r="I495" s="665"/>
      <c r="J495" s="665"/>
      <c r="K495" s="665"/>
      <c r="L495" s="665"/>
      <c r="M495" s="665"/>
      <c r="N495" s="665"/>
      <c r="O495" s="665"/>
      <c r="P495" s="665"/>
      <c r="Q495" s="665"/>
      <c r="R495" s="665"/>
      <c r="S495" s="665"/>
      <c r="T495" s="665"/>
      <c r="U495" s="665"/>
      <c r="V495" s="665"/>
      <c r="W495" s="665"/>
      <c r="X495" s="665"/>
      <c r="Y495" s="665"/>
      <c r="Z495" s="665"/>
      <c r="AA495" s="66"/>
      <c r="AB495" s="66"/>
      <c r="AC495" s="80"/>
    </row>
    <row r="496" spans="1:68" ht="27" hidden="1" customHeight="1" x14ac:dyDescent="0.25">
      <c r="A496" s="63" t="s">
        <v>794</v>
      </c>
      <c r="B496" s="63" t="s">
        <v>795</v>
      </c>
      <c r="C496" s="36">
        <v>4301031407</v>
      </c>
      <c r="D496" s="666">
        <v>4680115886094</v>
      </c>
      <c r="E496" s="666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69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8"/>
      <c r="R496" s="668"/>
      <c r="S496" s="668"/>
      <c r="T496" s="669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666">
        <v>4680115880771</v>
      </c>
      <c r="E497" s="666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8"/>
      <c r="R497" s="668"/>
      <c r="S497" s="668"/>
      <c r="T497" s="669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666">
        <v>4607091389500</v>
      </c>
      <c r="E498" s="666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70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8"/>
      <c r="R498" s="668"/>
      <c r="S498" s="668"/>
      <c r="T498" s="669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idden="1" x14ac:dyDescent="0.2">
      <c r="A499" s="656"/>
      <c r="B499" s="656"/>
      <c r="C499" s="656"/>
      <c r="D499" s="656"/>
      <c r="E499" s="656"/>
      <c r="F499" s="656"/>
      <c r="G499" s="656"/>
      <c r="H499" s="656"/>
      <c r="I499" s="656"/>
      <c r="J499" s="656"/>
      <c r="K499" s="656"/>
      <c r="L499" s="656"/>
      <c r="M499" s="656"/>
      <c r="N499" s="656"/>
      <c r="O499" s="657"/>
      <c r="P499" s="653" t="s">
        <v>40</v>
      </c>
      <c r="Q499" s="654"/>
      <c r="R499" s="654"/>
      <c r="S499" s="654"/>
      <c r="T499" s="654"/>
      <c r="U499" s="654"/>
      <c r="V499" s="655"/>
      <c r="W499" s="42" t="s">
        <v>39</v>
      </c>
      <c r="X499" s="43">
        <f>IFERROR(X496/H496,"0")+IFERROR(X497/H497,"0")+IFERROR(X498/H498,"0")</f>
        <v>0</v>
      </c>
      <c r="Y499" s="43">
        <f>IFERROR(Y496/H496,"0")+IFERROR(Y497/H497,"0")+IFERROR(Y498/H498,"0")</f>
        <v>0</v>
      </c>
      <c r="Z499" s="43">
        <f>IFERROR(IF(Z496="",0,Z496),"0")+IFERROR(IF(Z497="",0,Z497),"0")+IFERROR(IF(Z498="",0,Z498),"0")</f>
        <v>0</v>
      </c>
      <c r="AA499" s="67"/>
      <c r="AB499" s="67"/>
      <c r="AC499" s="67"/>
    </row>
    <row r="500" spans="1:68" hidden="1" x14ac:dyDescent="0.2">
      <c r="A500" s="656"/>
      <c r="B500" s="656"/>
      <c r="C500" s="656"/>
      <c r="D500" s="656"/>
      <c r="E500" s="656"/>
      <c r="F500" s="656"/>
      <c r="G500" s="656"/>
      <c r="H500" s="656"/>
      <c r="I500" s="656"/>
      <c r="J500" s="656"/>
      <c r="K500" s="656"/>
      <c r="L500" s="656"/>
      <c r="M500" s="656"/>
      <c r="N500" s="656"/>
      <c r="O500" s="657"/>
      <c r="P500" s="653" t="s">
        <v>40</v>
      </c>
      <c r="Q500" s="654"/>
      <c r="R500" s="654"/>
      <c r="S500" s="654"/>
      <c r="T500" s="654"/>
      <c r="U500" s="654"/>
      <c r="V500" s="655"/>
      <c r="W500" s="42" t="s">
        <v>0</v>
      </c>
      <c r="X500" s="43">
        <f>IFERROR(SUM(X496:X498),"0")</f>
        <v>0</v>
      </c>
      <c r="Y500" s="43">
        <f>IFERROR(SUM(Y496:Y498),"0")</f>
        <v>0</v>
      </c>
      <c r="Z500" s="42"/>
      <c r="AA500" s="67"/>
      <c r="AB500" s="67"/>
      <c r="AC500" s="67"/>
    </row>
    <row r="501" spans="1:68" ht="27.75" hidden="1" customHeight="1" x14ac:dyDescent="0.2">
      <c r="A501" s="683" t="s">
        <v>802</v>
      </c>
      <c r="B501" s="683"/>
      <c r="C501" s="683"/>
      <c r="D501" s="683"/>
      <c r="E501" s="683"/>
      <c r="F501" s="683"/>
      <c r="G501" s="683"/>
      <c r="H501" s="683"/>
      <c r="I501" s="683"/>
      <c r="J501" s="683"/>
      <c r="K501" s="683"/>
      <c r="L501" s="683"/>
      <c r="M501" s="683"/>
      <c r="N501" s="683"/>
      <c r="O501" s="683"/>
      <c r="P501" s="683"/>
      <c r="Q501" s="683"/>
      <c r="R501" s="683"/>
      <c r="S501" s="683"/>
      <c r="T501" s="683"/>
      <c r="U501" s="683"/>
      <c r="V501" s="683"/>
      <c r="W501" s="683"/>
      <c r="X501" s="683"/>
      <c r="Y501" s="683"/>
      <c r="Z501" s="683"/>
      <c r="AA501" s="54"/>
      <c r="AB501" s="54"/>
      <c r="AC501" s="54"/>
    </row>
    <row r="502" spans="1:68" ht="16.5" hidden="1" customHeight="1" x14ac:dyDescent="0.25">
      <c r="A502" s="672" t="s">
        <v>802</v>
      </c>
      <c r="B502" s="672"/>
      <c r="C502" s="672"/>
      <c r="D502" s="672"/>
      <c r="E502" s="672"/>
      <c r="F502" s="672"/>
      <c r="G502" s="672"/>
      <c r="H502" s="672"/>
      <c r="I502" s="672"/>
      <c r="J502" s="672"/>
      <c r="K502" s="672"/>
      <c r="L502" s="672"/>
      <c r="M502" s="672"/>
      <c r="N502" s="672"/>
      <c r="O502" s="672"/>
      <c r="P502" s="672"/>
      <c r="Q502" s="672"/>
      <c r="R502" s="672"/>
      <c r="S502" s="672"/>
      <c r="T502" s="672"/>
      <c r="U502" s="672"/>
      <c r="V502" s="672"/>
      <c r="W502" s="672"/>
      <c r="X502" s="672"/>
      <c r="Y502" s="672"/>
      <c r="Z502" s="672"/>
      <c r="AA502" s="65"/>
      <c r="AB502" s="65"/>
      <c r="AC502" s="79"/>
    </row>
    <row r="503" spans="1:68" ht="14.25" hidden="1" customHeight="1" x14ac:dyDescent="0.25">
      <c r="A503" s="665" t="s">
        <v>122</v>
      </c>
      <c r="B503" s="665"/>
      <c r="C503" s="665"/>
      <c r="D503" s="665"/>
      <c r="E503" s="665"/>
      <c r="F503" s="665"/>
      <c r="G503" s="665"/>
      <c r="H503" s="665"/>
      <c r="I503" s="665"/>
      <c r="J503" s="665"/>
      <c r="K503" s="665"/>
      <c r="L503" s="665"/>
      <c r="M503" s="665"/>
      <c r="N503" s="665"/>
      <c r="O503" s="665"/>
      <c r="P503" s="665"/>
      <c r="Q503" s="665"/>
      <c r="R503" s="665"/>
      <c r="S503" s="665"/>
      <c r="T503" s="665"/>
      <c r="U503" s="665"/>
      <c r="V503" s="665"/>
      <c r="W503" s="665"/>
      <c r="X503" s="665"/>
      <c r="Y503" s="665"/>
      <c r="Z503" s="665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666">
        <v>4607091389067</v>
      </c>
      <c r="E504" s="666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8"/>
      <c r="R504" s="668"/>
      <c r="S504" s="668"/>
      <c r="T504" s="669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666">
        <v>4680115889576</v>
      </c>
      <c r="E505" s="666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8"/>
      <c r="R505" s="668"/>
      <c r="S505" s="668"/>
      <c r="T505" s="669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666">
        <v>4680115885271</v>
      </c>
      <c r="E506" s="666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8"/>
      <c r="R506" s="668"/>
      <c r="S506" s="668"/>
      <c r="T506" s="669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666">
        <v>4680115885226</v>
      </c>
      <c r="E507" s="666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8"/>
      <c r="R507" s="668"/>
      <c r="S507" s="668"/>
      <c r="T507" s="669"/>
      <c r="U507" s="39" t="s">
        <v>46</v>
      </c>
      <c r="V507" s="39" t="s">
        <v>46</v>
      </c>
      <c r="W507" s="40" t="s">
        <v>0</v>
      </c>
      <c r="X507" s="58">
        <v>550</v>
      </c>
      <c r="Y507" s="55">
        <f t="shared" si="78"/>
        <v>554.4</v>
      </c>
      <c r="Z507" s="41">
        <f t="shared" si="79"/>
        <v>1.2558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586.45833333333326</v>
      </c>
      <c r="BN507" s="78">
        <f t="shared" si="81"/>
        <v>591.15</v>
      </c>
      <c r="BO507" s="78">
        <f t="shared" si="82"/>
        <v>1.0016025641025641</v>
      </c>
      <c r="BP507" s="78">
        <f t="shared" si="83"/>
        <v>1.0096153846153846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666">
        <v>4680115884502</v>
      </c>
      <c r="E508" s="666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6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8"/>
      <c r="R508" s="668"/>
      <c r="S508" s="668"/>
      <c r="T508" s="669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666">
        <v>4607091389104</v>
      </c>
      <c r="E509" s="666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6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8"/>
      <c r="R509" s="668"/>
      <c r="S509" s="668"/>
      <c r="T509" s="669"/>
      <c r="U509" s="39" t="s">
        <v>46</v>
      </c>
      <c r="V509" s="39" t="s">
        <v>46</v>
      </c>
      <c r="W509" s="40" t="s">
        <v>0</v>
      </c>
      <c r="X509" s="58">
        <v>550</v>
      </c>
      <c r="Y509" s="55">
        <f t="shared" si="78"/>
        <v>554.4</v>
      </c>
      <c r="Z509" s="41">
        <f t="shared" si="79"/>
        <v>1.2558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586.45833333333326</v>
      </c>
      <c r="BN509" s="78">
        <f t="shared" si="81"/>
        <v>591.15</v>
      </c>
      <c r="BO509" s="78">
        <f t="shared" si="82"/>
        <v>1.0016025641025641</v>
      </c>
      <c r="BP509" s="78">
        <f t="shared" si="83"/>
        <v>1.0096153846153846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666">
        <v>4680115886391</v>
      </c>
      <c r="E510" s="666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6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8"/>
      <c r="R510" s="668"/>
      <c r="S510" s="668"/>
      <c r="T510" s="669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666">
        <v>4680115880603</v>
      </c>
      <c r="E511" s="666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6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8"/>
      <c r="R511" s="668"/>
      <c r="S511" s="668"/>
      <c r="T511" s="669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666">
        <v>4607091389982</v>
      </c>
      <c r="E512" s="666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8"/>
      <c r="R512" s="668"/>
      <c r="S512" s="668"/>
      <c r="T512" s="669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656"/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7"/>
      <c r="P513" s="653" t="s">
        <v>40</v>
      </c>
      <c r="Q513" s="654"/>
      <c r="R513" s="654"/>
      <c r="S513" s="654"/>
      <c r="T513" s="654"/>
      <c r="U513" s="654"/>
      <c r="V513" s="655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208.33333333333331</v>
      </c>
      <c r="Y513" s="43">
        <f>IFERROR(Y504/H504,"0")+IFERROR(Y505/H505,"0")+IFERROR(Y506/H506,"0")+IFERROR(Y507/H507,"0")+IFERROR(Y508/H508,"0")+IFERROR(Y509/H509,"0")+IFERROR(Y510/H510,"0")+IFERROR(Y511/H511,"0")+IFERROR(Y512/H512,"0")</f>
        <v>209.99999999999997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2.5116000000000001</v>
      </c>
      <c r="AA513" s="67"/>
      <c r="AB513" s="67"/>
      <c r="AC513" s="67"/>
    </row>
    <row r="514" spans="1:68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2" t="s">
        <v>0</v>
      </c>
      <c r="X514" s="43">
        <f>IFERROR(SUM(X504:X512),"0")</f>
        <v>1100</v>
      </c>
      <c r="Y514" s="43">
        <f>IFERROR(SUM(Y504:Y512),"0")</f>
        <v>1108.8</v>
      </c>
      <c r="Z514" s="42"/>
      <c r="AA514" s="67"/>
      <c r="AB514" s="67"/>
      <c r="AC514" s="67"/>
    </row>
    <row r="515" spans="1:68" ht="14.25" hidden="1" customHeight="1" x14ac:dyDescent="0.25">
      <c r="A515" s="665" t="s">
        <v>159</v>
      </c>
      <c r="B515" s="665"/>
      <c r="C515" s="665"/>
      <c r="D515" s="665"/>
      <c r="E515" s="665"/>
      <c r="F515" s="665"/>
      <c r="G515" s="665"/>
      <c r="H515" s="665"/>
      <c r="I515" s="665"/>
      <c r="J515" s="665"/>
      <c r="K515" s="665"/>
      <c r="L515" s="665"/>
      <c r="M515" s="665"/>
      <c r="N515" s="665"/>
      <c r="O515" s="665"/>
      <c r="P515" s="665"/>
      <c r="Q515" s="665"/>
      <c r="R515" s="665"/>
      <c r="S515" s="665"/>
      <c r="T515" s="665"/>
      <c r="U515" s="665"/>
      <c r="V515" s="665"/>
      <c r="W515" s="665"/>
      <c r="X515" s="665"/>
      <c r="Y515" s="665"/>
      <c r="Z515" s="665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666">
        <v>4607091388930</v>
      </c>
      <c r="E516" s="666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8"/>
      <c r="R516" s="668"/>
      <c r="S516" s="668"/>
      <c r="T516" s="669"/>
      <c r="U516" s="39" t="s">
        <v>46</v>
      </c>
      <c r="V516" s="39" t="s">
        <v>46</v>
      </c>
      <c r="W516" s="40" t="s">
        <v>0</v>
      </c>
      <c r="X516" s="58">
        <v>1100</v>
      </c>
      <c r="Y516" s="55">
        <f>IFERROR(IF(X516="",0,CEILING((X516/$H516),1)*$H516),"")</f>
        <v>1103.52</v>
      </c>
      <c r="Z516" s="41">
        <f>IFERROR(IF(Y516=0,"",ROUNDUP(Y516/H516,0)*0.01196),"")</f>
        <v>2.4996399999999999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1172.9166666666665</v>
      </c>
      <c r="BN516" s="78">
        <f>IFERROR(Y516*I516/H516,"0")</f>
        <v>1176.6699999999998</v>
      </c>
      <c r="BO516" s="78">
        <f>IFERROR(1/J516*(X516/H516),"0")</f>
        <v>2.0032051282051282</v>
      </c>
      <c r="BP516" s="78">
        <f>IFERROR(1/J516*(Y516/H516),"0")</f>
        <v>2.0096153846153846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666">
        <v>4680115886407</v>
      </c>
      <c r="E517" s="666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6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8"/>
      <c r="R517" s="668"/>
      <c r="S517" s="668"/>
      <c r="T517" s="669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666">
        <v>4680115880054</v>
      </c>
      <c r="E518" s="666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6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8"/>
      <c r="R518" s="668"/>
      <c r="S518" s="668"/>
      <c r="T518" s="669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656"/>
      <c r="B519" s="656"/>
      <c r="C519" s="656"/>
      <c r="D519" s="656"/>
      <c r="E519" s="656"/>
      <c r="F519" s="656"/>
      <c r="G519" s="656"/>
      <c r="H519" s="656"/>
      <c r="I519" s="656"/>
      <c r="J519" s="656"/>
      <c r="K519" s="656"/>
      <c r="L519" s="656"/>
      <c r="M519" s="656"/>
      <c r="N519" s="656"/>
      <c r="O519" s="657"/>
      <c r="P519" s="653" t="s">
        <v>40</v>
      </c>
      <c r="Q519" s="654"/>
      <c r="R519" s="654"/>
      <c r="S519" s="654"/>
      <c r="T519" s="654"/>
      <c r="U519" s="654"/>
      <c r="V519" s="655"/>
      <c r="W519" s="42" t="s">
        <v>39</v>
      </c>
      <c r="X519" s="43">
        <f>IFERROR(X516/H516,"0")+IFERROR(X517/H517,"0")+IFERROR(X518/H518,"0")</f>
        <v>208.33333333333331</v>
      </c>
      <c r="Y519" s="43">
        <f>IFERROR(Y516/H516,"0")+IFERROR(Y517/H517,"0")+IFERROR(Y518/H518,"0")</f>
        <v>209</v>
      </c>
      <c r="Z519" s="43">
        <f>IFERROR(IF(Z516="",0,Z516),"0")+IFERROR(IF(Z517="",0,Z517),"0")+IFERROR(IF(Z518="",0,Z518),"0")</f>
        <v>2.4996399999999999</v>
      </c>
      <c r="AA519" s="67"/>
      <c r="AB519" s="67"/>
      <c r="AC519" s="67"/>
    </row>
    <row r="520" spans="1:68" x14ac:dyDescent="0.2">
      <c r="A520" s="656"/>
      <c r="B520" s="656"/>
      <c r="C520" s="656"/>
      <c r="D520" s="656"/>
      <c r="E520" s="656"/>
      <c r="F520" s="656"/>
      <c r="G520" s="656"/>
      <c r="H520" s="656"/>
      <c r="I520" s="656"/>
      <c r="J520" s="656"/>
      <c r="K520" s="656"/>
      <c r="L520" s="656"/>
      <c r="M520" s="656"/>
      <c r="N520" s="656"/>
      <c r="O520" s="657"/>
      <c r="P520" s="653" t="s">
        <v>40</v>
      </c>
      <c r="Q520" s="654"/>
      <c r="R520" s="654"/>
      <c r="S520" s="654"/>
      <c r="T520" s="654"/>
      <c r="U520" s="654"/>
      <c r="V520" s="655"/>
      <c r="W520" s="42" t="s">
        <v>0</v>
      </c>
      <c r="X520" s="43">
        <f>IFERROR(SUM(X516:X518),"0")</f>
        <v>1100</v>
      </c>
      <c r="Y520" s="43">
        <f>IFERROR(SUM(Y516:Y518),"0")</f>
        <v>1103.52</v>
      </c>
      <c r="Z520" s="42"/>
      <c r="AA520" s="67"/>
      <c r="AB520" s="67"/>
      <c r="AC520" s="67"/>
    </row>
    <row r="521" spans="1:68" ht="14.25" hidden="1" customHeight="1" x14ac:dyDescent="0.25">
      <c r="A521" s="665" t="s">
        <v>77</v>
      </c>
      <c r="B521" s="665"/>
      <c r="C521" s="665"/>
      <c r="D521" s="665"/>
      <c r="E521" s="665"/>
      <c r="F521" s="665"/>
      <c r="G521" s="665"/>
      <c r="H521" s="665"/>
      <c r="I521" s="665"/>
      <c r="J521" s="665"/>
      <c r="K521" s="665"/>
      <c r="L521" s="665"/>
      <c r="M521" s="665"/>
      <c r="N521" s="665"/>
      <c r="O521" s="665"/>
      <c r="P521" s="665"/>
      <c r="Q521" s="665"/>
      <c r="R521" s="665"/>
      <c r="S521" s="665"/>
      <c r="T521" s="665"/>
      <c r="U521" s="665"/>
      <c r="V521" s="665"/>
      <c r="W521" s="665"/>
      <c r="X521" s="665"/>
      <c r="Y521" s="665"/>
      <c r="Z521" s="665"/>
      <c r="AA521" s="66"/>
      <c r="AB521" s="66"/>
      <c r="AC521" s="80"/>
    </row>
    <row r="522" spans="1:68" ht="27" customHeight="1" x14ac:dyDescent="0.25">
      <c r="A522" s="63" t="s">
        <v>833</v>
      </c>
      <c r="B522" s="63" t="s">
        <v>834</v>
      </c>
      <c r="C522" s="36">
        <v>4301031349</v>
      </c>
      <c r="D522" s="666">
        <v>4680115883116</v>
      </c>
      <c r="E522" s="666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6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8"/>
      <c r="R522" s="668"/>
      <c r="S522" s="668"/>
      <c r="T522" s="669"/>
      <c r="U522" s="39" t="s">
        <v>46</v>
      </c>
      <c r="V522" s="39" t="s">
        <v>46</v>
      </c>
      <c r="W522" s="40" t="s">
        <v>0</v>
      </c>
      <c r="X522" s="58">
        <v>100</v>
      </c>
      <c r="Y522" s="55">
        <f t="shared" ref="Y522:Y528" si="84">IFERROR(IF(X522="",0,CEILING((X522/$H522),1)*$H522),"")</f>
        <v>100.32000000000001</v>
      </c>
      <c r="Z522" s="41">
        <f>IFERROR(IF(Y522=0,"",ROUNDUP(Y522/H522,0)*0.01196),"")</f>
        <v>0.22724</v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106.62878787878788</v>
      </c>
      <c r="BN522" s="78">
        <f t="shared" ref="BN522:BN528" si="86">IFERROR(Y522*I522/H522,"0")</f>
        <v>106.97</v>
      </c>
      <c r="BO522" s="78">
        <f t="shared" ref="BO522:BO528" si="87">IFERROR(1/J522*(X522/H522),"0")</f>
        <v>0.18210955710955709</v>
      </c>
      <c r="BP522" s="78">
        <f t="shared" ref="BP522:BP528" si="88">IFERROR(1/J522*(Y522/H522),"0")</f>
        <v>0.18269230769230771</v>
      </c>
    </row>
    <row r="523" spans="1:68" ht="27" customHeight="1" x14ac:dyDescent="0.25">
      <c r="A523" s="63" t="s">
        <v>836</v>
      </c>
      <c r="B523" s="63" t="s">
        <v>837</v>
      </c>
      <c r="C523" s="36">
        <v>4301031350</v>
      </c>
      <c r="D523" s="666">
        <v>4680115883093</v>
      </c>
      <c r="E523" s="666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6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8"/>
      <c r="R523" s="668"/>
      <c r="S523" s="668"/>
      <c r="T523" s="669"/>
      <c r="U523" s="39" t="s">
        <v>46</v>
      </c>
      <c r="V523" s="39" t="s">
        <v>46</v>
      </c>
      <c r="W523" s="40" t="s">
        <v>0</v>
      </c>
      <c r="X523" s="58">
        <v>150</v>
      </c>
      <c r="Y523" s="55">
        <f t="shared" si="84"/>
        <v>153.12</v>
      </c>
      <c r="Z523" s="41">
        <f>IFERROR(IF(Y523=0,"",ROUNDUP(Y523/H523,0)*0.01196),"")</f>
        <v>0.34683999999999998</v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159.94318181818181</v>
      </c>
      <c r="BN523" s="78">
        <f t="shared" si="86"/>
        <v>163.26999999999998</v>
      </c>
      <c r="BO523" s="78">
        <f t="shared" si="87"/>
        <v>0.27316433566433568</v>
      </c>
      <c r="BP523" s="78">
        <f t="shared" si="88"/>
        <v>0.27884615384615385</v>
      </c>
    </row>
    <row r="524" spans="1:68" ht="27" customHeight="1" x14ac:dyDescent="0.25">
      <c r="A524" s="63" t="s">
        <v>839</v>
      </c>
      <c r="B524" s="63" t="s">
        <v>840</v>
      </c>
      <c r="C524" s="36">
        <v>4301031353</v>
      </c>
      <c r="D524" s="666">
        <v>4680115883109</v>
      </c>
      <c r="E524" s="666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6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8"/>
      <c r="R524" s="668"/>
      <c r="S524" s="668"/>
      <c r="T524" s="669"/>
      <c r="U524" s="39" t="s">
        <v>46</v>
      </c>
      <c r="V524" s="39" t="s">
        <v>46</v>
      </c>
      <c r="W524" s="40" t="s">
        <v>0</v>
      </c>
      <c r="X524" s="58">
        <v>100</v>
      </c>
      <c r="Y524" s="55">
        <f t="shared" si="84"/>
        <v>100.32000000000001</v>
      </c>
      <c r="Z524" s="41">
        <f>IFERROR(IF(Y524=0,"",ROUNDUP(Y524/H524,0)*0.01196),"")</f>
        <v>0.22724</v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106.62878787878788</v>
      </c>
      <c r="BN524" s="78">
        <f t="shared" si="86"/>
        <v>106.97</v>
      </c>
      <c r="BO524" s="78">
        <f t="shared" si="87"/>
        <v>0.18210955710955709</v>
      </c>
      <c r="BP524" s="78">
        <f t="shared" si="88"/>
        <v>0.18269230769230771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666">
        <v>4680115882072</v>
      </c>
      <c r="E525" s="666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6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8"/>
      <c r="R525" s="668"/>
      <c r="S525" s="668"/>
      <c r="T525" s="669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666">
        <v>4680115882102</v>
      </c>
      <c r="E526" s="666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8"/>
      <c r="R526" s="668"/>
      <c r="S526" s="668"/>
      <c r="T526" s="669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666">
        <v>4680115882102</v>
      </c>
      <c r="E527" s="666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6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8"/>
      <c r="R527" s="668"/>
      <c r="S527" s="668"/>
      <c r="T527" s="669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666">
        <v>4680115882096</v>
      </c>
      <c r="E528" s="666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8"/>
      <c r="R528" s="668"/>
      <c r="S528" s="668"/>
      <c r="T528" s="669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x14ac:dyDescent="0.2">
      <c r="A529" s="656"/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7"/>
      <c r="P529" s="653" t="s">
        <v>40</v>
      </c>
      <c r="Q529" s="654"/>
      <c r="R529" s="654"/>
      <c r="S529" s="654"/>
      <c r="T529" s="654"/>
      <c r="U529" s="654"/>
      <c r="V529" s="655"/>
      <c r="W529" s="42" t="s">
        <v>39</v>
      </c>
      <c r="X529" s="43">
        <f>IFERROR(X522/H522,"0")+IFERROR(X523/H523,"0")+IFERROR(X524/H524,"0")+IFERROR(X525/H525,"0")+IFERROR(X526/H526,"0")+IFERROR(X527/H527,"0")+IFERROR(X528/H528,"0")</f>
        <v>66.287878787878782</v>
      </c>
      <c r="Y529" s="43">
        <f>IFERROR(Y522/H522,"0")+IFERROR(Y523/H523,"0")+IFERROR(Y524/H524,"0")+IFERROR(Y525/H525,"0")+IFERROR(Y526/H526,"0")+IFERROR(Y527/H527,"0")+IFERROR(Y528/H528,"0")</f>
        <v>67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0.80131999999999992</v>
      </c>
      <c r="AA529" s="67"/>
      <c r="AB529" s="67"/>
      <c r="AC529" s="67"/>
    </row>
    <row r="530" spans="1:68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2" t="s">
        <v>0</v>
      </c>
      <c r="X530" s="43">
        <f>IFERROR(SUM(X522:X528),"0")</f>
        <v>350</v>
      </c>
      <c r="Y530" s="43">
        <f>IFERROR(SUM(Y522:Y528),"0")</f>
        <v>353.76</v>
      </c>
      <c r="Z530" s="42"/>
      <c r="AA530" s="67"/>
      <c r="AB530" s="67"/>
      <c r="AC530" s="67"/>
    </row>
    <row r="531" spans="1:68" ht="27.75" hidden="1" customHeight="1" x14ac:dyDescent="0.2">
      <c r="A531" s="683" t="s">
        <v>849</v>
      </c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683"/>
      <c r="O531" s="683"/>
      <c r="P531" s="683"/>
      <c r="Q531" s="683"/>
      <c r="R531" s="683"/>
      <c r="S531" s="683"/>
      <c r="T531" s="683"/>
      <c r="U531" s="683"/>
      <c r="V531" s="683"/>
      <c r="W531" s="683"/>
      <c r="X531" s="683"/>
      <c r="Y531" s="683"/>
      <c r="Z531" s="683"/>
      <c r="AA531" s="54"/>
      <c r="AB531" s="54"/>
      <c r="AC531" s="54"/>
    </row>
    <row r="532" spans="1:68" ht="16.5" hidden="1" customHeight="1" x14ac:dyDescent="0.25">
      <c r="A532" s="672" t="s">
        <v>849</v>
      </c>
      <c r="B532" s="672"/>
      <c r="C532" s="672"/>
      <c r="D532" s="672"/>
      <c r="E532" s="672"/>
      <c r="F532" s="672"/>
      <c r="G532" s="672"/>
      <c r="H532" s="672"/>
      <c r="I532" s="672"/>
      <c r="J532" s="672"/>
      <c r="K532" s="672"/>
      <c r="L532" s="672"/>
      <c r="M532" s="672"/>
      <c r="N532" s="672"/>
      <c r="O532" s="672"/>
      <c r="P532" s="672"/>
      <c r="Q532" s="672"/>
      <c r="R532" s="672"/>
      <c r="S532" s="672"/>
      <c r="T532" s="672"/>
      <c r="U532" s="672"/>
      <c r="V532" s="672"/>
      <c r="W532" s="672"/>
      <c r="X532" s="672"/>
      <c r="Y532" s="672"/>
      <c r="Z532" s="672"/>
      <c r="AA532" s="65"/>
      <c r="AB532" s="65"/>
      <c r="AC532" s="79"/>
    </row>
    <row r="533" spans="1:68" ht="14.25" hidden="1" customHeight="1" x14ac:dyDescent="0.25">
      <c r="A533" s="665" t="s">
        <v>122</v>
      </c>
      <c r="B533" s="665"/>
      <c r="C533" s="665"/>
      <c r="D533" s="665"/>
      <c r="E533" s="665"/>
      <c r="F533" s="665"/>
      <c r="G533" s="665"/>
      <c r="H533" s="665"/>
      <c r="I533" s="665"/>
      <c r="J533" s="665"/>
      <c r="K533" s="665"/>
      <c r="L533" s="665"/>
      <c r="M533" s="665"/>
      <c r="N533" s="665"/>
      <c r="O533" s="665"/>
      <c r="P533" s="665"/>
      <c r="Q533" s="665"/>
      <c r="R533" s="665"/>
      <c r="S533" s="665"/>
      <c r="T533" s="665"/>
      <c r="U533" s="665"/>
      <c r="V533" s="665"/>
      <c r="W533" s="665"/>
      <c r="X533" s="665"/>
      <c r="Y533" s="665"/>
      <c r="Z533" s="665"/>
      <c r="AA533" s="66"/>
      <c r="AB533" s="66"/>
      <c r="AC533" s="80"/>
    </row>
    <row r="534" spans="1:68" ht="27" customHeight="1" x14ac:dyDescent="0.25">
      <c r="A534" s="63" t="s">
        <v>850</v>
      </c>
      <c r="B534" s="63" t="s">
        <v>851</v>
      </c>
      <c r="C534" s="36">
        <v>4301011584</v>
      </c>
      <c r="D534" s="666">
        <v>4640242180564</v>
      </c>
      <c r="E534" s="666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7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8"/>
      <c r="R534" s="668"/>
      <c r="S534" s="668"/>
      <c r="T534" s="669"/>
      <c r="U534" s="39" t="s">
        <v>46</v>
      </c>
      <c r="V534" s="39" t="s">
        <v>46</v>
      </c>
      <c r="W534" s="40" t="s">
        <v>0</v>
      </c>
      <c r="X534" s="58">
        <v>120</v>
      </c>
      <c r="Y534" s="55">
        <f>IFERROR(IF(X534="",0,CEILING((X534/$H534),1)*$H534),"")</f>
        <v>120</v>
      </c>
      <c r="Z534" s="41">
        <f>IFERROR(IF(Y534=0,"",ROUNDUP(Y534/H534,0)*0.01898),"")</f>
        <v>0.1898</v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124.10000000000001</v>
      </c>
      <c r="BN534" s="78">
        <f>IFERROR(Y534*I534/H534,"0")</f>
        <v>124.10000000000001</v>
      </c>
      <c r="BO534" s="78">
        <f>IFERROR(1/J534*(X534/H534),"0")</f>
        <v>0.15625</v>
      </c>
      <c r="BP534" s="78">
        <f>IFERROR(1/J534*(Y534/H534),"0")</f>
        <v>0.15625</v>
      </c>
    </row>
    <row r="535" spans="1:68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2" t="s">
        <v>39</v>
      </c>
      <c r="X535" s="43">
        <f>IFERROR(X534/H534,"0")</f>
        <v>10</v>
      </c>
      <c r="Y535" s="43">
        <f>IFERROR(Y534/H534,"0")</f>
        <v>10</v>
      </c>
      <c r="Z535" s="43">
        <f>IFERROR(IF(Z534="",0,Z534),"0")</f>
        <v>0.1898</v>
      </c>
      <c r="AA535" s="67"/>
      <c r="AB535" s="67"/>
      <c r="AC535" s="67"/>
    </row>
    <row r="536" spans="1:68" x14ac:dyDescent="0.2">
      <c r="A536" s="656"/>
      <c r="B536" s="656"/>
      <c r="C536" s="656"/>
      <c r="D536" s="656"/>
      <c r="E536" s="656"/>
      <c r="F536" s="656"/>
      <c r="G536" s="656"/>
      <c r="H536" s="656"/>
      <c r="I536" s="656"/>
      <c r="J536" s="656"/>
      <c r="K536" s="656"/>
      <c r="L536" s="656"/>
      <c r="M536" s="656"/>
      <c r="N536" s="656"/>
      <c r="O536" s="657"/>
      <c r="P536" s="653" t="s">
        <v>40</v>
      </c>
      <c r="Q536" s="654"/>
      <c r="R536" s="654"/>
      <c r="S536" s="654"/>
      <c r="T536" s="654"/>
      <c r="U536" s="654"/>
      <c r="V536" s="655"/>
      <c r="W536" s="42" t="s">
        <v>0</v>
      </c>
      <c r="X536" s="43">
        <f>IFERROR(SUM(X534:X534),"0")</f>
        <v>120</v>
      </c>
      <c r="Y536" s="43">
        <f>IFERROR(SUM(Y534:Y534),"0")</f>
        <v>120</v>
      </c>
      <c r="Z536" s="42"/>
      <c r="AA536" s="67"/>
      <c r="AB536" s="67"/>
      <c r="AC536" s="67"/>
    </row>
    <row r="537" spans="1:68" ht="14.25" hidden="1" customHeight="1" x14ac:dyDescent="0.25">
      <c r="A537" s="665" t="s">
        <v>159</v>
      </c>
      <c r="B537" s="665"/>
      <c r="C537" s="665"/>
      <c r="D537" s="665"/>
      <c r="E537" s="665"/>
      <c r="F537" s="665"/>
      <c r="G537" s="665"/>
      <c r="H537" s="665"/>
      <c r="I537" s="665"/>
      <c r="J537" s="665"/>
      <c r="K537" s="665"/>
      <c r="L537" s="665"/>
      <c r="M537" s="665"/>
      <c r="N537" s="665"/>
      <c r="O537" s="665"/>
      <c r="P537" s="665"/>
      <c r="Q537" s="665"/>
      <c r="R537" s="665"/>
      <c r="S537" s="665"/>
      <c r="T537" s="665"/>
      <c r="U537" s="665"/>
      <c r="V537" s="665"/>
      <c r="W537" s="665"/>
      <c r="X537" s="665"/>
      <c r="Y537" s="665"/>
      <c r="Z537" s="665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666">
        <v>4680115889781</v>
      </c>
      <c r="E538" s="666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675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668"/>
      <c r="R538" s="668"/>
      <c r="S538" s="668"/>
      <c r="T538" s="669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56"/>
      <c r="B540" s="656"/>
      <c r="C540" s="656"/>
      <c r="D540" s="656"/>
      <c r="E540" s="656"/>
      <c r="F540" s="656"/>
      <c r="G540" s="656"/>
      <c r="H540" s="656"/>
      <c r="I540" s="656"/>
      <c r="J540" s="656"/>
      <c r="K540" s="656"/>
      <c r="L540" s="656"/>
      <c r="M540" s="656"/>
      <c r="N540" s="656"/>
      <c r="O540" s="657"/>
      <c r="P540" s="653" t="s">
        <v>40</v>
      </c>
      <c r="Q540" s="654"/>
      <c r="R540" s="654"/>
      <c r="S540" s="654"/>
      <c r="T540" s="654"/>
      <c r="U540" s="654"/>
      <c r="V540" s="655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65" t="s">
        <v>77</v>
      </c>
      <c r="B541" s="665"/>
      <c r="C541" s="665"/>
      <c r="D541" s="665"/>
      <c r="E541" s="665"/>
      <c r="F541" s="665"/>
      <c r="G541" s="665"/>
      <c r="H541" s="665"/>
      <c r="I541" s="665"/>
      <c r="J541" s="665"/>
      <c r="K541" s="665"/>
      <c r="L541" s="665"/>
      <c r="M541" s="665"/>
      <c r="N541" s="665"/>
      <c r="O541" s="665"/>
      <c r="P541" s="665"/>
      <c r="Q541" s="665"/>
      <c r="R541" s="665"/>
      <c r="S541" s="665"/>
      <c r="T541" s="665"/>
      <c r="U541" s="665"/>
      <c r="V541" s="665"/>
      <c r="W541" s="665"/>
      <c r="X541" s="665"/>
      <c r="Y541" s="665"/>
      <c r="Z541" s="665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666">
        <v>4640242180595</v>
      </c>
      <c r="E542" s="666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67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8"/>
      <c r="R542" s="668"/>
      <c r="S542" s="668"/>
      <c r="T542" s="669"/>
      <c r="U542" s="39" t="s">
        <v>46</v>
      </c>
      <c r="V542" s="39" t="s">
        <v>46</v>
      </c>
      <c r="W542" s="40" t="s">
        <v>0</v>
      </c>
      <c r="X542" s="58">
        <v>1300</v>
      </c>
      <c r="Y542" s="55">
        <f>IFERROR(IF(X542="",0,CEILING((X542/$H542),1)*$H542),"")</f>
        <v>1302</v>
      </c>
      <c r="Z542" s="41">
        <f>IFERROR(IF(Y542=0,"",ROUNDUP(Y542/H542,0)*0.00902),"")</f>
        <v>2.7962000000000002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1377.3809523809523</v>
      </c>
      <c r="BN542" s="78">
        <f>IFERROR(Y542*I542/H542,"0")</f>
        <v>1379.5</v>
      </c>
      <c r="BO542" s="78">
        <f>IFERROR(1/J542*(X542/H542),"0")</f>
        <v>2.3448773448773448</v>
      </c>
      <c r="BP542" s="78">
        <f>IFERROR(1/J542*(Y542/H542),"0")</f>
        <v>2.3484848484848486</v>
      </c>
    </row>
    <row r="543" spans="1:68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39</v>
      </c>
      <c r="X543" s="43">
        <f>IFERROR(X542/H542,"0")</f>
        <v>309.52380952380952</v>
      </c>
      <c r="Y543" s="43">
        <f>IFERROR(Y542/H542,"0")</f>
        <v>310</v>
      </c>
      <c r="Z543" s="43">
        <f>IFERROR(IF(Z542="",0,Z542),"0")</f>
        <v>2.7962000000000002</v>
      </c>
      <c r="AA543" s="67"/>
      <c r="AB543" s="67"/>
      <c r="AC543" s="67"/>
    </row>
    <row r="544" spans="1:68" x14ac:dyDescent="0.2">
      <c r="A544" s="656"/>
      <c r="B544" s="656"/>
      <c r="C544" s="656"/>
      <c r="D544" s="656"/>
      <c r="E544" s="656"/>
      <c r="F544" s="656"/>
      <c r="G544" s="656"/>
      <c r="H544" s="656"/>
      <c r="I544" s="656"/>
      <c r="J544" s="656"/>
      <c r="K544" s="656"/>
      <c r="L544" s="656"/>
      <c r="M544" s="656"/>
      <c r="N544" s="656"/>
      <c r="O544" s="657"/>
      <c r="P544" s="653" t="s">
        <v>40</v>
      </c>
      <c r="Q544" s="654"/>
      <c r="R544" s="654"/>
      <c r="S544" s="654"/>
      <c r="T544" s="654"/>
      <c r="U544" s="654"/>
      <c r="V544" s="655"/>
      <c r="W544" s="42" t="s">
        <v>0</v>
      </c>
      <c r="X544" s="43">
        <f>IFERROR(SUM(X542:X542),"0")</f>
        <v>1300</v>
      </c>
      <c r="Y544" s="43">
        <f>IFERROR(SUM(Y542:Y542),"0")</f>
        <v>1302</v>
      </c>
      <c r="Z544" s="42"/>
      <c r="AA544" s="67"/>
      <c r="AB544" s="67"/>
      <c r="AC544" s="67"/>
    </row>
    <row r="545" spans="1:68" ht="14.25" hidden="1" customHeight="1" x14ac:dyDescent="0.25">
      <c r="A545" s="665" t="s">
        <v>86</v>
      </c>
      <c r="B545" s="665"/>
      <c r="C545" s="665"/>
      <c r="D545" s="665"/>
      <c r="E545" s="665"/>
      <c r="F545" s="665"/>
      <c r="G545" s="665"/>
      <c r="H545" s="665"/>
      <c r="I545" s="665"/>
      <c r="J545" s="665"/>
      <c r="K545" s="665"/>
      <c r="L545" s="665"/>
      <c r="M545" s="665"/>
      <c r="N545" s="665"/>
      <c r="O545" s="665"/>
      <c r="P545" s="665"/>
      <c r="Q545" s="665"/>
      <c r="R545" s="665"/>
      <c r="S545" s="665"/>
      <c r="T545" s="665"/>
      <c r="U545" s="665"/>
      <c r="V545" s="665"/>
      <c r="W545" s="665"/>
      <c r="X545" s="665"/>
      <c r="Y545" s="665"/>
      <c r="Z545" s="665"/>
      <c r="AA545" s="66"/>
      <c r="AB545" s="66"/>
      <c r="AC545" s="80"/>
    </row>
    <row r="546" spans="1:68" ht="27" hidden="1" customHeight="1" x14ac:dyDescent="0.25">
      <c r="A546" s="63" t="s">
        <v>858</v>
      </c>
      <c r="B546" s="63" t="s">
        <v>859</v>
      </c>
      <c r="C546" s="36">
        <v>4301052043</v>
      </c>
      <c r="D546" s="666">
        <v>4640242180533</v>
      </c>
      <c r="E546" s="666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66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8"/>
      <c r="R546" s="668"/>
      <c r="S546" s="668"/>
      <c r="T546" s="669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39</v>
      </c>
      <c r="X547" s="43">
        <f>IFERROR(X546/H546,"0")</f>
        <v>0</v>
      </c>
      <c r="Y547" s="43">
        <f>IFERROR(Y546/H546,"0")</f>
        <v>0</v>
      </c>
      <c r="Z547" s="43">
        <f>IFERROR(IF(Z546="",0,Z546),"0")</f>
        <v>0</v>
      </c>
      <c r="AA547" s="67"/>
      <c r="AB547" s="67"/>
      <c r="AC547" s="67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2" t="s">
        <v>0</v>
      </c>
      <c r="X548" s="43">
        <f>IFERROR(SUM(X546:X546),"0")</f>
        <v>0</v>
      </c>
      <c r="Y548" s="43">
        <f>IFERROR(SUM(Y546:Y546),"0")</f>
        <v>0</v>
      </c>
      <c r="Z548" s="42"/>
      <c r="AA548" s="67"/>
      <c r="AB548" s="67"/>
      <c r="AC548" s="67"/>
    </row>
    <row r="549" spans="1:68" ht="14.25" hidden="1" customHeight="1" x14ac:dyDescent="0.25">
      <c r="A549" s="665" t="s">
        <v>178</v>
      </c>
      <c r="B549" s="665"/>
      <c r="C549" s="665"/>
      <c r="D549" s="665"/>
      <c r="E549" s="665"/>
      <c r="F549" s="665"/>
      <c r="G549" s="665"/>
      <c r="H549" s="665"/>
      <c r="I549" s="665"/>
      <c r="J549" s="665"/>
      <c r="K549" s="665"/>
      <c r="L549" s="665"/>
      <c r="M549" s="665"/>
      <c r="N549" s="665"/>
      <c r="O549" s="665"/>
      <c r="P549" s="665"/>
      <c r="Q549" s="665"/>
      <c r="R549" s="665"/>
      <c r="S549" s="665"/>
      <c r="T549" s="665"/>
      <c r="U549" s="665"/>
      <c r="V549" s="665"/>
      <c r="W549" s="665"/>
      <c r="X549" s="665"/>
      <c r="Y549" s="665"/>
      <c r="Z549" s="665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666">
        <v>4640242180120</v>
      </c>
      <c r="E550" s="666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6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8"/>
      <c r="R550" s="668"/>
      <c r="S550" s="668"/>
      <c r="T550" s="669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666">
        <v>4640242180137</v>
      </c>
      <c r="E551" s="666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67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8"/>
      <c r="R551" s="668"/>
      <c r="S551" s="668"/>
      <c r="T551" s="669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672" t="s">
        <v>867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5"/>
      <c r="AB554" s="65"/>
      <c r="AC554" s="79"/>
    </row>
    <row r="555" spans="1:68" ht="14.25" hidden="1" customHeight="1" x14ac:dyDescent="0.25">
      <c r="A555" s="665" t="s">
        <v>159</v>
      </c>
      <c r="B555" s="665"/>
      <c r="C555" s="665"/>
      <c r="D555" s="665"/>
      <c r="E555" s="665"/>
      <c r="F555" s="665"/>
      <c r="G555" s="665"/>
      <c r="H555" s="665"/>
      <c r="I555" s="665"/>
      <c r="J555" s="665"/>
      <c r="K555" s="665"/>
      <c r="L555" s="665"/>
      <c r="M555" s="665"/>
      <c r="N555" s="665"/>
      <c r="O555" s="665"/>
      <c r="P555" s="665"/>
      <c r="Q555" s="665"/>
      <c r="R555" s="665"/>
      <c r="S555" s="665"/>
      <c r="T555" s="665"/>
      <c r="U555" s="665"/>
      <c r="V555" s="665"/>
      <c r="W555" s="665"/>
      <c r="X555" s="665"/>
      <c r="Y555" s="665"/>
      <c r="Z555" s="665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666">
        <v>4680115889798</v>
      </c>
      <c r="E556" s="666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67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668"/>
      <c r="R556" s="668"/>
      <c r="S556" s="668"/>
      <c r="T556" s="669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57"/>
      <c r="P557" s="653" t="s">
        <v>40</v>
      </c>
      <c r="Q557" s="654"/>
      <c r="R557" s="654"/>
      <c r="S557" s="654"/>
      <c r="T557" s="654"/>
      <c r="U557" s="654"/>
      <c r="V557" s="655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57"/>
      <c r="P558" s="653" t="s">
        <v>40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33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18062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18138.23</v>
      </c>
      <c r="Z559" s="42"/>
      <c r="AA559" s="67"/>
      <c r="AB559" s="67"/>
      <c r="AC559" s="67"/>
    </row>
    <row r="560" spans="1:68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61"/>
      <c r="P560" s="658" t="s">
        <v>34</v>
      </c>
      <c r="Q560" s="659"/>
      <c r="R560" s="659"/>
      <c r="S560" s="659"/>
      <c r="T560" s="659"/>
      <c r="U560" s="659"/>
      <c r="V560" s="660"/>
      <c r="W560" s="42" t="s">
        <v>0</v>
      </c>
      <c r="X560" s="43">
        <f>IFERROR(SUM(BM22:BM556),"0")</f>
        <v>18956.450958961155</v>
      </c>
      <c r="Y560" s="43">
        <f>IFERROR(SUM(BN22:BN556),"0")</f>
        <v>19036.539999999997</v>
      </c>
      <c r="Z560" s="42"/>
      <c r="AA560" s="67"/>
      <c r="AB560" s="67"/>
      <c r="AC560" s="67"/>
    </row>
    <row r="561" spans="1:32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61"/>
      <c r="P561" s="658" t="s">
        <v>35</v>
      </c>
      <c r="Q561" s="659"/>
      <c r="R561" s="659"/>
      <c r="S561" s="659"/>
      <c r="T561" s="659"/>
      <c r="U561" s="659"/>
      <c r="V561" s="660"/>
      <c r="W561" s="42" t="s">
        <v>20</v>
      </c>
      <c r="X561" s="44">
        <f>ROUNDUP(SUM(BO22:BO556),0)</f>
        <v>31</v>
      </c>
      <c r="Y561" s="44">
        <f>ROUNDUP(SUM(BP22:BP556),0)</f>
        <v>31</v>
      </c>
      <c r="Z561" s="42"/>
      <c r="AA561" s="67"/>
      <c r="AB561" s="67"/>
      <c r="AC561" s="67"/>
    </row>
    <row r="562" spans="1:32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36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GrossWeightTotal+PalletQtyTotal*25</f>
        <v>19731.450958961155</v>
      </c>
      <c r="Y562" s="43">
        <f>GrossWeightTotalR+PalletQtyTotalR*25</f>
        <v>19811.539999999997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37</v>
      </c>
      <c r="Q563" s="659"/>
      <c r="R563" s="659"/>
      <c r="S563" s="659"/>
      <c r="T563" s="659"/>
      <c r="U563" s="659"/>
      <c r="V563" s="660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2458.408562388955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2470</v>
      </c>
      <c r="Z563" s="42"/>
      <c r="AA563" s="67"/>
      <c r="AB563" s="67"/>
      <c r="AC563" s="67"/>
    </row>
    <row r="564" spans="1:32" ht="14.25" hidden="1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38</v>
      </c>
      <c r="Q564" s="659"/>
      <c r="R564" s="659"/>
      <c r="S564" s="659"/>
      <c r="T564" s="659"/>
      <c r="U564" s="659"/>
      <c r="V564" s="660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36.090250000000005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652" t="s">
        <v>120</v>
      </c>
      <c r="E566" s="652" t="s">
        <v>120</v>
      </c>
      <c r="F566" s="652" t="s">
        <v>120</v>
      </c>
      <c r="G566" s="652" t="s">
        <v>120</v>
      </c>
      <c r="H566" s="652" t="s">
        <v>120</v>
      </c>
      <c r="I566" s="652" t="s">
        <v>120</v>
      </c>
      <c r="J566" s="652" t="s">
        <v>120</v>
      </c>
      <c r="K566" s="652" t="s">
        <v>345</v>
      </c>
      <c r="L566" s="652" t="s">
        <v>345</v>
      </c>
      <c r="M566" s="652" t="s">
        <v>345</v>
      </c>
      <c r="N566" s="662"/>
      <c r="O566" s="652" t="s">
        <v>345</v>
      </c>
      <c r="P566" s="652" t="s">
        <v>345</v>
      </c>
      <c r="Q566" s="652" t="s">
        <v>345</v>
      </c>
      <c r="R566" s="652" t="s">
        <v>345</v>
      </c>
      <c r="S566" s="652" t="s">
        <v>345</v>
      </c>
      <c r="T566" s="652" t="s">
        <v>345</v>
      </c>
      <c r="U566" s="652" t="s">
        <v>345</v>
      </c>
      <c r="V566" s="652" t="s">
        <v>345</v>
      </c>
      <c r="W566" s="652" t="s">
        <v>700</v>
      </c>
      <c r="X566" s="652" t="s">
        <v>700</v>
      </c>
      <c r="Y566" s="652" t="s">
        <v>766</v>
      </c>
      <c r="Z566" s="652" t="s">
        <v>766</v>
      </c>
      <c r="AA566" s="85" t="s">
        <v>802</v>
      </c>
      <c r="AB566" s="652" t="s">
        <v>849</v>
      </c>
      <c r="AC566" s="652" t="s">
        <v>849</v>
      </c>
      <c r="AF566" s="1"/>
    </row>
    <row r="567" spans="1:32" ht="14.25" customHeight="1" thickTop="1" x14ac:dyDescent="0.2">
      <c r="A567" s="663" t="s">
        <v>10</v>
      </c>
      <c r="B567" s="652" t="s">
        <v>76</v>
      </c>
      <c r="C567" s="652" t="s">
        <v>104</v>
      </c>
      <c r="D567" s="652" t="s">
        <v>121</v>
      </c>
      <c r="E567" s="652" t="s">
        <v>137</v>
      </c>
      <c r="F567" s="652" t="s">
        <v>186</v>
      </c>
      <c r="G567" s="652" t="s">
        <v>209</v>
      </c>
      <c r="H567" s="652" t="s">
        <v>249</v>
      </c>
      <c r="I567" s="652" t="s">
        <v>262</v>
      </c>
      <c r="J567" s="652" t="s">
        <v>120</v>
      </c>
      <c r="K567" s="652" t="s">
        <v>346</v>
      </c>
      <c r="L567" s="652" t="s">
        <v>367</v>
      </c>
      <c r="M567" s="652" t="s">
        <v>441</v>
      </c>
      <c r="N567" s="1"/>
      <c r="O567" s="652" t="s">
        <v>509</v>
      </c>
      <c r="P567" s="652" t="s">
        <v>538</v>
      </c>
      <c r="Q567" s="652" t="s">
        <v>558</v>
      </c>
      <c r="R567" s="652" t="s">
        <v>567</v>
      </c>
      <c r="S567" s="652" t="s">
        <v>588</v>
      </c>
      <c r="T567" s="652" t="s">
        <v>597</v>
      </c>
      <c r="U567" s="652" t="s">
        <v>683</v>
      </c>
      <c r="V567" s="652" t="s">
        <v>690</v>
      </c>
      <c r="W567" s="652" t="s">
        <v>701</v>
      </c>
      <c r="X567" s="652" t="s">
        <v>750</v>
      </c>
      <c r="Y567" s="652" t="s">
        <v>767</v>
      </c>
      <c r="Z567" s="652" t="s">
        <v>790</v>
      </c>
      <c r="AA567" s="652" t="s">
        <v>802</v>
      </c>
      <c r="AB567" s="652" t="s">
        <v>849</v>
      </c>
      <c r="AC567" s="652" t="s">
        <v>867</v>
      </c>
      <c r="AF567" s="1"/>
    </row>
    <row r="568" spans="1:32" ht="13.5" thickBot="1" x14ac:dyDescent="0.25">
      <c r="A568" s="664"/>
      <c r="B568" s="652"/>
      <c r="C568" s="652"/>
      <c r="D568" s="652"/>
      <c r="E568" s="652"/>
      <c r="F568" s="652"/>
      <c r="G568" s="652"/>
      <c r="H568" s="652"/>
      <c r="I568" s="652"/>
      <c r="J568" s="652"/>
      <c r="K568" s="652"/>
      <c r="L568" s="652"/>
      <c r="M568" s="652"/>
      <c r="N568" s="1"/>
      <c r="O568" s="652"/>
      <c r="P568" s="652"/>
      <c r="Q568" s="652"/>
      <c r="R568" s="652"/>
      <c r="S568" s="652"/>
      <c r="T568" s="652"/>
      <c r="U568" s="652"/>
      <c r="V568" s="652"/>
      <c r="W568" s="652"/>
      <c r="X568" s="652"/>
      <c r="Y568" s="652"/>
      <c r="Z568" s="652"/>
      <c r="AA568" s="652"/>
      <c r="AB568" s="652"/>
      <c r="AC568" s="652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760.40000000000009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1375.2</v>
      </c>
      <c r="F569" s="52">
        <f>IFERROR(Y87*1,"0")+IFERROR(Y88*1,"0")+IFERROR(Y89*1,"0")+IFERROR(Y90*1,"0")+IFERROR(Y91*1,"0")+IFERROR(Y95*1,"0")+IFERROR(Y96*1,"0")+IFERROR(Y97*1,"0")+IFERROR(Y98*1,"0")</f>
        <v>0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202.5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304.5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297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36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6674.55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4500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0</v>
      </c>
      <c r="Z569" s="52">
        <f>IFERROR(Y492*1,"0")+IFERROR(Y496*1,"0")+IFERROR(Y497*1,"0")+IFERROR(Y498*1,"0")</f>
        <v>0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2566.08</v>
      </c>
      <c r="AB569" s="52">
        <f>IFERROR(Y534*1,"0")+IFERROR(Y538*1,"0")+IFERROR(Y542*1,"0")+IFERROR(Y546*1,"0")+IFERROR(Y550*1,"0")+IFERROR(Y551*1,"0")</f>
        <v>1422</v>
      </c>
      <c r="AC569" s="52">
        <f>IFERROR(Y556*1,"0")</f>
        <v>0</v>
      </c>
      <c r="AF569" s="1"/>
    </row>
  </sheetData>
  <sheetProtection algorithmName="SHA-512" hashValue="9H4ee0pe2hgw9vvsUX3V7UwM4kMsSGSkQ50Hdveh79JCO3x5Isi1ObxNiypX6AtXenR4PfJXlZyq9mabBZdgaQ==" saltValue="DMFzXd+U3OgliGtvA65iAw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300,00"/>
        <filter val="1 364,00"/>
        <filter val="1 500,00"/>
        <filter val="1 740,00"/>
        <filter val="10,00"/>
        <filter val="100,00"/>
        <filter val="101,65"/>
        <filter val="12,00"/>
        <filter val="120,00"/>
        <filter val="142,86"/>
        <filter val="150,00"/>
        <filter val="18 062,00"/>
        <filter val="18 956,45"/>
        <filter val="19 731,45"/>
        <filter val="198,89"/>
        <filter val="2 458,41"/>
        <filter val="200,00"/>
        <filter val="202,97"/>
        <filter val="208,33"/>
        <filter val="24,69"/>
        <filter val="240,00"/>
        <filter val="290,00"/>
        <filter val="3 000,00"/>
        <filter val="3 500,00"/>
        <filter val="300,00"/>
        <filter val="309,52"/>
        <filter val="31"/>
        <filter val="350,00"/>
        <filter val="36,00"/>
        <filter val="4,71"/>
        <filter val="400,00"/>
        <filter val="448,72"/>
        <filter val="53,70"/>
        <filter val="550,00"/>
        <filter val="594,00"/>
        <filter val="600,00"/>
        <filter val="66,29"/>
        <filter val="670,00"/>
        <filter val="70,00"/>
        <filter val="700,00"/>
        <filter val="750,00"/>
        <filter val="80,00"/>
        <filter val="800,00"/>
        <filter val="82,04"/>
        <filter val="85,71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8" spans="2:8" x14ac:dyDescent="0.2">
      <c r="B8" s="53" t="s">
        <v>880</v>
      </c>
      <c r="C8" s="53" t="s">
        <v>881</v>
      </c>
      <c r="D8" s="53" t="s">
        <v>882</v>
      </c>
      <c r="E8" s="53" t="s">
        <v>46</v>
      </c>
    </row>
    <row r="10" spans="2:8" x14ac:dyDescent="0.2">
      <c r="B10" s="53" t="s">
        <v>883</v>
      </c>
      <c r="C10" s="53" t="s">
        <v>875</v>
      </c>
      <c r="D10" s="53" t="s">
        <v>46</v>
      </c>
      <c r="E10" s="53" t="s">
        <v>46</v>
      </c>
    </row>
    <row r="12" spans="2:8" x14ac:dyDescent="0.2">
      <c r="B12" s="53" t="s">
        <v>884</v>
      </c>
      <c r="C12" s="53" t="s">
        <v>878</v>
      </c>
      <c r="D12" s="53" t="s">
        <v>46</v>
      </c>
      <c r="E12" s="53" t="s">
        <v>46</v>
      </c>
    </row>
    <row r="14" spans="2:8" x14ac:dyDescent="0.2">
      <c r="B14" s="53" t="s">
        <v>885</v>
      </c>
      <c r="C14" s="53" t="s">
        <v>881</v>
      </c>
      <c r="D14" s="53" t="s">
        <v>46</v>
      </c>
      <c r="E14" s="53" t="s">
        <v>46</v>
      </c>
    </row>
    <row r="16" spans="2:8" x14ac:dyDescent="0.2">
      <c r="B16" s="53" t="s">
        <v>886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896</v>
      </c>
      <c r="C26" s="53" t="s">
        <v>46</v>
      </c>
      <c r="D26" s="53" t="s">
        <v>46</v>
      </c>
      <c r="E26" s="53" t="s">
        <v>46</v>
      </c>
    </row>
  </sheetData>
  <sheetProtection algorithmName="SHA-512" hashValue="uVVx4/mOXuPS4gvK6/YMgHjAqX8FHp0b/3ViHHfn5jOk+oy1DRVrN6flxy90RZshuaT8fwKR0mKOwoxkO0b8gw==" saltValue="5gMZ5p5ZCyTDpJz6FjzmV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2026-09-29T13:06:20Z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