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C81C553-261E-4613-8390-70E0883E316C}" xr6:coauthVersionLast="47" xr6:coauthVersionMax="47" xr10:uidLastSave="{00000000-0000-0000-0000-000000000000}"/>
  <bookViews>
    <workbookView xWindow="3135" yWindow="90" windowWidth="25290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Z528" i="2" s="1"/>
  <c r="P528" i="2"/>
  <c r="BO527" i="2"/>
  <c r="BM527" i="2"/>
  <c r="Y527" i="2"/>
  <c r="BP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N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N505" i="2" s="1"/>
  <c r="P505" i="2"/>
  <c r="BO504" i="2"/>
  <c r="BM504" i="2"/>
  <c r="Y504" i="2"/>
  <c r="P504" i="2"/>
  <c r="X500" i="2"/>
  <c r="X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Y499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P477" i="2"/>
  <c r="X473" i="2"/>
  <c r="X472" i="2"/>
  <c r="BO471" i="2"/>
  <c r="BM471" i="2"/>
  <c r="Y471" i="2"/>
  <c r="BN471" i="2" s="1"/>
  <c r="P471" i="2"/>
  <c r="BO470" i="2"/>
  <c r="BM470" i="2"/>
  <c r="Y470" i="2"/>
  <c r="BP470" i="2" s="1"/>
  <c r="P470" i="2"/>
  <c r="BO469" i="2"/>
  <c r="BM469" i="2"/>
  <c r="Y469" i="2"/>
  <c r="BP469" i="2" s="1"/>
  <c r="P469" i="2"/>
  <c r="X467" i="2"/>
  <c r="X466" i="2"/>
  <c r="BO465" i="2"/>
  <c r="BM465" i="2"/>
  <c r="Y465" i="2"/>
  <c r="Y466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BO448" i="2"/>
  <c r="BM448" i="2"/>
  <c r="Y448" i="2"/>
  <c r="P448" i="2"/>
  <c r="X446" i="2"/>
  <c r="X445" i="2"/>
  <c r="BO444" i="2"/>
  <c r="BM444" i="2"/>
  <c r="Y444" i="2"/>
  <c r="BP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Z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X427" i="2"/>
  <c r="X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P418" i="2"/>
  <c r="BO417" i="2"/>
  <c r="BM417" i="2"/>
  <c r="Y417" i="2"/>
  <c r="BN417" i="2" s="1"/>
  <c r="P417" i="2"/>
  <c r="X414" i="2"/>
  <c r="X413" i="2"/>
  <c r="BO412" i="2"/>
  <c r="BM412" i="2"/>
  <c r="Y412" i="2"/>
  <c r="BP412" i="2" s="1"/>
  <c r="P412" i="2"/>
  <c r="BO411" i="2"/>
  <c r="BM411" i="2"/>
  <c r="Y411" i="2"/>
  <c r="BP411" i="2" s="1"/>
  <c r="P411" i="2"/>
  <c r="BO410" i="2"/>
  <c r="BM410" i="2"/>
  <c r="Y410" i="2"/>
  <c r="P410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BP398" i="2" s="1"/>
  <c r="P398" i="2"/>
  <c r="BO397" i="2"/>
  <c r="BM397" i="2"/>
  <c r="Y397" i="2"/>
  <c r="Z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P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BO384" i="2"/>
  <c r="BM384" i="2"/>
  <c r="Y384" i="2"/>
  <c r="BN384" i="2" s="1"/>
  <c r="P384" i="2"/>
  <c r="X382" i="2"/>
  <c r="X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N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BP357" i="2" s="1"/>
  <c r="P357" i="2"/>
  <c r="X354" i="2"/>
  <c r="X353" i="2"/>
  <c r="BO352" i="2"/>
  <c r="BM352" i="2"/>
  <c r="Y352" i="2"/>
  <c r="P352" i="2"/>
  <c r="BO351" i="2"/>
  <c r="BM351" i="2"/>
  <c r="Y351" i="2"/>
  <c r="P351" i="2"/>
  <c r="X349" i="2"/>
  <c r="X348" i="2"/>
  <c r="BO347" i="2"/>
  <c r="BM347" i="2"/>
  <c r="Y347" i="2"/>
  <c r="BN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P336" i="2"/>
  <c r="X333" i="2"/>
  <c r="X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N328" i="2" s="1"/>
  <c r="P328" i="2"/>
  <c r="BO327" i="2"/>
  <c r="BM327" i="2"/>
  <c r="Y327" i="2"/>
  <c r="P327" i="2"/>
  <c r="BO326" i="2"/>
  <c r="BM326" i="2"/>
  <c r="Y326" i="2"/>
  <c r="BN326" i="2" s="1"/>
  <c r="P326" i="2"/>
  <c r="X323" i="2"/>
  <c r="X322" i="2"/>
  <c r="BO321" i="2"/>
  <c r="BM321" i="2"/>
  <c r="Y321" i="2"/>
  <c r="Y322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N304" i="2" s="1"/>
  <c r="P304" i="2"/>
  <c r="BO303" i="2"/>
  <c r="BM303" i="2"/>
  <c r="Y303" i="2"/>
  <c r="P303" i="2"/>
  <c r="X300" i="2"/>
  <c r="X299" i="2"/>
  <c r="BO298" i="2"/>
  <c r="BM298" i="2"/>
  <c r="Y298" i="2"/>
  <c r="BN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N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BN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BN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N261" i="2" s="1"/>
  <c r="P261" i="2"/>
  <c r="X258" i="2"/>
  <c r="X257" i="2"/>
  <c r="BO256" i="2"/>
  <c r="BM256" i="2"/>
  <c r="Y256" i="2"/>
  <c r="Y257" i="2" s="1"/>
  <c r="P256" i="2"/>
  <c r="X254" i="2"/>
  <c r="X253" i="2"/>
  <c r="BO252" i="2"/>
  <c r="BM252" i="2"/>
  <c r="Y252" i="2"/>
  <c r="BP252" i="2" s="1"/>
  <c r="P252" i="2"/>
  <c r="BO251" i="2"/>
  <c r="BM251" i="2"/>
  <c r="Y251" i="2"/>
  <c r="BN251" i="2" s="1"/>
  <c r="P251" i="2"/>
  <c r="BO250" i="2"/>
  <c r="BM250" i="2"/>
  <c r="Y250" i="2"/>
  <c r="P250" i="2"/>
  <c r="X248" i="2"/>
  <c r="X247" i="2"/>
  <c r="BO246" i="2"/>
  <c r="BM246" i="2"/>
  <c r="Y246" i="2"/>
  <c r="BP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BN238" i="2" s="1"/>
  <c r="P238" i="2"/>
  <c r="X236" i="2"/>
  <c r="X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Z216" i="2" s="1"/>
  <c r="Z217" i="2" s="1"/>
  <c r="P216" i="2"/>
  <c r="X213" i="2"/>
  <c r="X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X201" i="2"/>
  <c r="X200" i="2"/>
  <c r="BO199" i="2"/>
  <c r="BM199" i="2"/>
  <c r="Y199" i="2"/>
  <c r="Y201" i="2" s="1"/>
  <c r="P199" i="2"/>
  <c r="X197" i="2"/>
  <c r="X196" i="2"/>
  <c r="BO195" i="2"/>
  <c r="BM195" i="2"/>
  <c r="Y195" i="2"/>
  <c r="Y197" i="2" s="1"/>
  <c r="P195" i="2"/>
  <c r="X193" i="2"/>
  <c r="X192" i="2"/>
  <c r="BO191" i="2"/>
  <c r="BM191" i="2"/>
  <c r="Y191" i="2"/>
  <c r="P191" i="2"/>
  <c r="BO190" i="2"/>
  <c r="BM190" i="2"/>
  <c r="Y190" i="2"/>
  <c r="BP190" i="2" s="1"/>
  <c r="P190" i="2"/>
  <c r="BO189" i="2"/>
  <c r="BM189" i="2"/>
  <c r="Y189" i="2"/>
  <c r="Z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X173" i="2"/>
  <c r="X172" i="2"/>
  <c r="BO171" i="2"/>
  <c r="BM171" i="2"/>
  <c r="Y171" i="2"/>
  <c r="P171" i="2"/>
  <c r="BO170" i="2"/>
  <c r="BM170" i="2"/>
  <c r="Y170" i="2"/>
  <c r="BP170" i="2" s="1"/>
  <c r="P170" i="2"/>
  <c r="X168" i="2"/>
  <c r="X167" i="2"/>
  <c r="BO166" i="2"/>
  <c r="BM166" i="2"/>
  <c r="Y166" i="2"/>
  <c r="BN166" i="2" s="1"/>
  <c r="P166" i="2"/>
  <c r="BO165" i="2"/>
  <c r="BM165" i="2"/>
  <c r="Y165" i="2"/>
  <c r="P165" i="2"/>
  <c r="BP164" i="2"/>
  <c r="BO164" i="2"/>
  <c r="BM164" i="2"/>
  <c r="Y164" i="2"/>
  <c r="BN164" i="2" s="1"/>
  <c r="P164" i="2"/>
  <c r="BO163" i="2"/>
  <c r="BM163" i="2"/>
  <c r="Y163" i="2"/>
  <c r="BN163" i="2" s="1"/>
  <c r="P163" i="2"/>
  <c r="X160" i="2"/>
  <c r="X159" i="2"/>
  <c r="BO158" i="2"/>
  <c r="BM158" i="2"/>
  <c r="Y158" i="2"/>
  <c r="BN158" i="2" s="1"/>
  <c r="P158" i="2"/>
  <c r="X156" i="2"/>
  <c r="X155" i="2"/>
  <c r="BO154" i="2"/>
  <c r="BM154" i="2"/>
  <c r="Y154" i="2"/>
  <c r="BN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BN139" i="2" s="1"/>
  <c r="P139" i="2"/>
  <c r="BO138" i="2"/>
  <c r="BM138" i="2"/>
  <c r="Y138" i="2"/>
  <c r="BP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29" i="2" s="1"/>
  <c r="P128" i="2"/>
  <c r="X126" i="2"/>
  <c r="X125" i="2"/>
  <c r="BO124" i="2"/>
  <c r="BM124" i="2"/>
  <c r="Y124" i="2"/>
  <c r="BP124" i="2" s="1"/>
  <c r="P124" i="2"/>
  <c r="BO123" i="2"/>
  <c r="BM123" i="2"/>
  <c r="Y123" i="2"/>
  <c r="BP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Z98" i="2" s="1"/>
  <c r="P98" i="2"/>
  <c r="BO97" i="2"/>
  <c r="BM97" i="2"/>
  <c r="Y97" i="2"/>
  <c r="P97" i="2"/>
  <c r="BO96" i="2"/>
  <c r="BM96" i="2"/>
  <c r="Y96" i="2"/>
  <c r="BP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P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BN81" i="2" s="1"/>
  <c r="P81" i="2"/>
  <c r="BO80" i="2"/>
  <c r="BM80" i="2"/>
  <c r="Y80" i="2"/>
  <c r="BP80" i="2" s="1"/>
  <c r="P80" i="2"/>
  <c r="X78" i="2"/>
  <c r="X77" i="2"/>
  <c r="BO76" i="2"/>
  <c r="BM76" i="2"/>
  <c r="Y76" i="2"/>
  <c r="BN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Z47" i="2" s="1"/>
  <c r="P47" i="2"/>
  <c r="X43" i="2"/>
  <c r="X42" i="2"/>
  <c r="BO41" i="2"/>
  <c r="BM41" i="2"/>
  <c r="Y41" i="2"/>
  <c r="BP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Z449" i="2" l="1"/>
  <c r="BN449" i="2"/>
  <c r="BN470" i="2"/>
  <c r="Z82" i="2"/>
  <c r="BP298" i="2"/>
  <c r="BN60" i="2"/>
  <c r="BN229" i="2"/>
  <c r="BN424" i="2"/>
  <c r="BP139" i="2"/>
  <c r="BN291" i="2"/>
  <c r="BP337" i="2"/>
  <c r="F9" i="2"/>
  <c r="BP82" i="2"/>
  <c r="BN96" i="2"/>
  <c r="Z107" i="2"/>
  <c r="BN107" i="2"/>
  <c r="BN116" i="2"/>
  <c r="Z139" i="2"/>
  <c r="BP149" i="2"/>
  <c r="BP166" i="2"/>
  <c r="BN216" i="2"/>
  <c r="BN245" i="2"/>
  <c r="Z337" i="2"/>
  <c r="BN399" i="2"/>
  <c r="BN412" i="2"/>
  <c r="BP205" i="2"/>
  <c r="Y446" i="2"/>
  <c r="Y113" i="2"/>
  <c r="BN435" i="2"/>
  <c r="BP154" i="2"/>
  <c r="BP184" i="2"/>
  <c r="Z206" i="2"/>
  <c r="Z411" i="2"/>
  <c r="BN511" i="2"/>
  <c r="BN518" i="2"/>
  <c r="BN411" i="2"/>
  <c r="BP206" i="2"/>
  <c r="BP271" i="2"/>
  <c r="BN450" i="2"/>
  <c r="BN526" i="2"/>
  <c r="Z321" i="2"/>
  <c r="Z322" i="2" s="1"/>
  <c r="BN345" i="2"/>
  <c r="Z437" i="2"/>
  <c r="Z152" i="2"/>
  <c r="Z245" i="2"/>
  <c r="BP289" i="2"/>
  <c r="BP321" i="2"/>
  <c r="Z370" i="2"/>
  <c r="Z392" i="2"/>
  <c r="Z424" i="2"/>
  <c r="BN437" i="2"/>
  <c r="BP471" i="2"/>
  <c r="BN508" i="2"/>
  <c r="BN182" i="2"/>
  <c r="BN392" i="2"/>
  <c r="Z481" i="2"/>
  <c r="BP216" i="2"/>
  <c r="BN278" i="2"/>
  <c r="Y473" i="2"/>
  <c r="Z149" i="2"/>
  <c r="BN378" i="2"/>
  <c r="BP241" i="2"/>
  <c r="Z205" i="2"/>
  <c r="Z298" i="2"/>
  <c r="Y314" i="2"/>
  <c r="BP152" i="2"/>
  <c r="Z163" i="2"/>
  <c r="Z228" i="2"/>
  <c r="Z239" i="2"/>
  <c r="BP328" i="2"/>
  <c r="BN70" i="2"/>
  <c r="BN309" i="2"/>
  <c r="BN359" i="2"/>
  <c r="Y463" i="2"/>
  <c r="BN482" i="2"/>
  <c r="Z181" i="2"/>
  <c r="BN228" i="2"/>
  <c r="BN239" i="2"/>
  <c r="Z290" i="2"/>
  <c r="BP163" i="2"/>
  <c r="Y500" i="2"/>
  <c r="AA569" i="2"/>
  <c r="BN181" i="2"/>
  <c r="Z195" i="2"/>
  <c r="Z196" i="2" s="1"/>
  <c r="Z261" i="2"/>
  <c r="BN290" i="2"/>
  <c r="Y360" i="2"/>
  <c r="BP374" i="2"/>
  <c r="Z496" i="2"/>
  <c r="Z282" i="2"/>
  <c r="BN368" i="2"/>
  <c r="BN379" i="2"/>
  <c r="Z164" i="2"/>
  <c r="BN195" i="2"/>
  <c r="Z271" i="2"/>
  <c r="Y462" i="2"/>
  <c r="Z471" i="2"/>
  <c r="BN496" i="2"/>
  <c r="BP177" i="2"/>
  <c r="BP261" i="2"/>
  <c r="Y141" i="2"/>
  <c r="BP195" i="2"/>
  <c r="BP251" i="2"/>
  <c r="BP282" i="2"/>
  <c r="BN313" i="2"/>
  <c r="Y361" i="2"/>
  <c r="Y382" i="2"/>
  <c r="BP417" i="2"/>
  <c r="BN438" i="2"/>
  <c r="BP496" i="2"/>
  <c r="Y520" i="2"/>
  <c r="Z357" i="2"/>
  <c r="BP486" i="2"/>
  <c r="Y196" i="2"/>
  <c r="Y99" i="2"/>
  <c r="BN105" i="2"/>
  <c r="BN109" i="2"/>
  <c r="Z347" i="2"/>
  <c r="Z510" i="2"/>
  <c r="BP523" i="2"/>
  <c r="X561" i="2"/>
  <c r="BN497" i="2"/>
  <c r="BN510" i="2"/>
  <c r="BP528" i="2"/>
  <c r="BP542" i="2"/>
  <c r="BN39" i="2"/>
  <c r="BN124" i="2"/>
  <c r="Z175" i="2"/>
  <c r="Z227" i="2"/>
  <c r="Z238" i="2"/>
  <c r="BN272" i="2"/>
  <c r="BP347" i="2"/>
  <c r="BP30" i="2"/>
  <c r="BN117" i="2"/>
  <c r="BN370" i="2"/>
  <c r="BN391" i="2"/>
  <c r="Y483" i="2"/>
  <c r="BN481" i="2"/>
  <c r="BP23" i="2"/>
  <c r="BN175" i="2"/>
  <c r="BN246" i="2"/>
  <c r="Z289" i="2"/>
  <c r="BN358" i="2"/>
  <c r="Z460" i="2"/>
  <c r="Z507" i="2"/>
  <c r="Y530" i="2"/>
  <c r="Y544" i="2"/>
  <c r="BP56" i="2"/>
  <c r="BN49" i="2"/>
  <c r="BP91" i="2"/>
  <c r="BN138" i="2"/>
  <c r="BP227" i="2"/>
  <c r="BP238" i="2"/>
  <c r="BP384" i="2"/>
  <c r="BN469" i="2"/>
  <c r="Z569" i="2"/>
  <c r="BN498" i="2"/>
  <c r="BN62" i="2"/>
  <c r="Z184" i="2"/>
  <c r="BN256" i="2"/>
  <c r="BP477" i="2"/>
  <c r="BN507" i="2"/>
  <c r="BP98" i="2"/>
  <c r="Y414" i="2"/>
  <c r="BN410" i="2"/>
  <c r="Y413" i="2"/>
  <c r="BP410" i="2"/>
  <c r="Z410" i="2"/>
  <c r="BN506" i="2"/>
  <c r="BP506" i="2"/>
  <c r="Z506" i="2"/>
  <c r="H9" i="2"/>
  <c r="Y33" i="2"/>
  <c r="Z28" i="2"/>
  <c r="BP28" i="2"/>
  <c r="Y43" i="2"/>
  <c r="Z40" i="2"/>
  <c r="BP40" i="2"/>
  <c r="Z63" i="2"/>
  <c r="BP63" i="2"/>
  <c r="Z81" i="2"/>
  <c r="BP81" i="2"/>
  <c r="F569" i="2"/>
  <c r="BP88" i="2"/>
  <c r="Z104" i="2"/>
  <c r="BP104" i="2"/>
  <c r="Z106" i="2"/>
  <c r="BP106" i="2"/>
  <c r="Z128" i="2"/>
  <c r="Z129" i="2" s="1"/>
  <c r="BP128" i="2"/>
  <c r="Y130" i="2"/>
  <c r="Z151" i="2"/>
  <c r="BN171" i="2"/>
  <c r="BP171" i="2"/>
  <c r="Z171" i="2"/>
  <c r="Y193" i="2"/>
  <c r="Y236" i="2"/>
  <c r="BN220" i="2"/>
  <c r="BP220" i="2"/>
  <c r="Z220" i="2"/>
  <c r="BN226" i="2"/>
  <c r="BP226" i="2"/>
  <c r="Z226" i="2"/>
  <c r="BN274" i="2"/>
  <c r="BP274" i="2"/>
  <c r="BN293" i="2"/>
  <c r="BP293" i="2"/>
  <c r="BN327" i="2"/>
  <c r="BP327" i="2"/>
  <c r="Z405" i="2"/>
  <c r="BN405" i="2"/>
  <c r="V569" i="2"/>
  <c r="BN423" i="2"/>
  <c r="Y427" i="2"/>
  <c r="BP423" i="2"/>
  <c r="Z423" i="2"/>
  <c r="BN436" i="2"/>
  <c r="BP436" i="2"/>
  <c r="Z436" i="2"/>
  <c r="BP151" i="2"/>
  <c r="BN183" i="2"/>
  <c r="BP183" i="2"/>
  <c r="Z183" i="2"/>
  <c r="BN380" i="2"/>
  <c r="BP380" i="2"/>
  <c r="Z380" i="2"/>
  <c r="Y452" i="2"/>
  <c r="BN448" i="2"/>
  <c r="Y451" i="2"/>
  <c r="BP448" i="2"/>
  <c r="Z448" i="2"/>
  <c r="J9" i="2"/>
  <c r="X563" i="2"/>
  <c r="Z27" i="2"/>
  <c r="BP27" i="2"/>
  <c r="C569" i="2"/>
  <c r="Z39" i="2"/>
  <c r="BN58" i="2"/>
  <c r="Z60" i="2"/>
  <c r="BN61" i="2"/>
  <c r="Z62" i="2"/>
  <c r="Y100" i="2"/>
  <c r="Z96" i="2"/>
  <c r="BN98" i="2"/>
  <c r="BP109" i="2"/>
  <c r="Y119" i="2"/>
  <c r="Z117" i="2"/>
  <c r="Y126" i="2"/>
  <c r="Z138" i="2"/>
  <c r="Y140" i="2"/>
  <c r="BN143" i="2"/>
  <c r="BP143" i="2"/>
  <c r="Y145" i="2"/>
  <c r="Y173" i="2"/>
  <c r="BN208" i="2"/>
  <c r="BP208" i="2"/>
  <c r="Z208" i="2"/>
  <c r="BN346" i="2"/>
  <c r="BP346" i="2"/>
  <c r="Z346" i="2"/>
  <c r="BN351" i="2"/>
  <c r="BP351" i="2"/>
  <c r="BN400" i="2"/>
  <c r="BP400" i="2"/>
  <c r="Z400" i="2"/>
  <c r="BP517" i="2"/>
  <c r="BN517" i="2"/>
  <c r="Z517" i="2"/>
  <c r="BN191" i="2"/>
  <c r="BP191" i="2"/>
  <c r="Z191" i="2"/>
  <c r="Q569" i="2"/>
  <c r="BN336" i="2"/>
  <c r="BP336" i="2"/>
  <c r="Z336" i="2"/>
  <c r="BN369" i="2"/>
  <c r="BP369" i="2"/>
  <c r="Z369" i="2"/>
  <c r="F10" i="2"/>
  <c r="X560" i="2"/>
  <c r="X559" i="2"/>
  <c r="Z37" i="2"/>
  <c r="BP37" i="2"/>
  <c r="BN47" i="2"/>
  <c r="Z49" i="2"/>
  <c r="BN68" i="2"/>
  <c r="Z70" i="2"/>
  <c r="BN71" i="2"/>
  <c r="BP76" i="2"/>
  <c r="Y83" i="2"/>
  <c r="Y84" i="2"/>
  <c r="BN88" i="2"/>
  <c r="Z95" i="2"/>
  <c r="BP95" i="2"/>
  <c r="Z116" i="2"/>
  <c r="Z124" i="2"/>
  <c r="BN128" i="2"/>
  <c r="BP150" i="2"/>
  <c r="Z150" i="2"/>
  <c r="BN231" i="2"/>
  <c r="BP231" i="2"/>
  <c r="BN288" i="2"/>
  <c r="BP288" i="2"/>
  <c r="Z288" i="2"/>
  <c r="Y311" i="2"/>
  <c r="BN303" i="2"/>
  <c r="BP303" i="2"/>
  <c r="Z303" i="2"/>
  <c r="BN305" i="2"/>
  <c r="BP305" i="2"/>
  <c r="BN364" i="2"/>
  <c r="Y372" i="2"/>
  <c r="BP364" i="2"/>
  <c r="BN509" i="2"/>
  <c r="BP509" i="2"/>
  <c r="Z509" i="2"/>
  <c r="Y167" i="2"/>
  <c r="Y213" i="2"/>
  <c r="Y258" i="2"/>
  <c r="Y280" i="2"/>
  <c r="P569" i="2"/>
  <c r="Y349" i="2"/>
  <c r="Y353" i="2"/>
  <c r="Y408" i="2"/>
  <c r="Y519" i="2"/>
  <c r="I569" i="2"/>
  <c r="Z182" i="2"/>
  <c r="Z207" i="2"/>
  <c r="BP207" i="2"/>
  <c r="BP210" i="2"/>
  <c r="L569" i="2"/>
  <c r="Y218" i="2"/>
  <c r="BP222" i="2"/>
  <c r="Z229" i="2"/>
  <c r="Z246" i="2"/>
  <c r="Y254" i="2"/>
  <c r="Z256" i="2"/>
  <c r="Z257" i="2" s="1"/>
  <c r="BP256" i="2"/>
  <c r="Y279" i="2"/>
  <c r="Z272" i="2"/>
  <c r="Z278" i="2"/>
  <c r="Y294" i="2"/>
  <c r="BP284" i="2"/>
  <c r="Z291" i="2"/>
  <c r="BP304" i="2"/>
  <c r="Z309" i="2"/>
  <c r="BN321" i="2"/>
  <c r="Z326" i="2"/>
  <c r="BP326" i="2"/>
  <c r="Y340" i="2"/>
  <c r="Z345" i="2"/>
  <c r="BN357" i="2"/>
  <c r="Z359" i="2"/>
  <c r="Z368" i="2"/>
  <c r="Z379" i="2"/>
  <c r="Z391" i="2"/>
  <c r="Y395" i="2"/>
  <c r="Z399" i="2"/>
  <c r="Z404" i="2"/>
  <c r="BP404" i="2"/>
  <c r="Y407" i="2"/>
  <c r="Y419" i="2"/>
  <c r="Y426" i="2"/>
  <c r="Z435" i="2"/>
  <c r="Z438" i="2"/>
  <c r="Z461" i="2"/>
  <c r="BP461" i="2"/>
  <c r="Z470" i="2"/>
  <c r="Y472" i="2"/>
  <c r="Z498" i="2"/>
  <c r="Z508" i="2"/>
  <c r="Z516" i="2"/>
  <c r="BP516" i="2"/>
  <c r="Z527" i="2"/>
  <c r="J569" i="2"/>
  <c r="K569" i="2"/>
  <c r="Y247" i="2"/>
  <c r="M569" i="2"/>
  <c r="Y295" i="2"/>
  <c r="Z313" i="2"/>
  <c r="Z314" i="2" s="1"/>
  <c r="BP313" i="2"/>
  <c r="Y323" i="2"/>
  <c r="S569" i="2"/>
  <c r="Z358" i="2"/>
  <c r="Z378" i="2"/>
  <c r="Z412" i="2"/>
  <c r="Z425" i="2"/>
  <c r="W569" i="2"/>
  <c r="BP431" i="2"/>
  <c r="Z450" i="2"/>
  <c r="X569" i="2"/>
  <c r="Z469" i="2"/>
  <c r="Z482" i="2"/>
  <c r="Z497" i="2"/>
  <c r="Z518" i="2"/>
  <c r="Z526" i="2"/>
  <c r="Y543" i="2"/>
  <c r="BN122" i="2"/>
  <c r="Y125" i="2"/>
  <c r="Z133" i="2"/>
  <c r="Y146" i="2"/>
  <c r="BP158" i="2"/>
  <c r="Y172" i="2"/>
  <c r="BN179" i="2"/>
  <c r="BN189" i="2"/>
  <c r="Y192" i="2"/>
  <c r="Z199" i="2"/>
  <c r="Z200" i="2" s="1"/>
  <c r="Z211" i="2"/>
  <c r="Y217" i="2"/>
  <c r="BN224" i="2"/>
  <c r="Z232" i="2"/>
  <c r="BP234" i="2"/>
  <c r="Z242" i="2"/>
  <c r="BP244" i="2"/>
  <c r="Z252" i="2"/>
  <c r="BP267" i="2"/>
  <c r="Z275" i="2"/>
  <c r="BP277" i="2"/>
  <c r="Z285" i="2"/>
  <c r="BP287" i="2"/>
  <c r="BP297" i="2"/>
  <c r="Z306" i="2"/>
  <c r="BP308" i="2"/>
  <c r="Y319" i="2"/>
  <c r="Z329" i="2"/>
  <c r="BP331" i="2"/>
  <c r="BN343" i="2"/>
  <c r="Y354" i="2"/>
  <c r="Z365" i="2"/>
  <c r="BP367" i="2"/>
  <c r="Z375" i="2"/>
  <c r="BP377" i="2"/>
  <c r="Z385" i="2"/>
  <c r="BP387" i="2"/>
  <c r="BN397" i="2"/>
  <c r="Z418" i="2"/>
  <c r="BN433" i="2"/>
  <c r="BN443" i="2"/>
  <c r="BP455" i="2"/>
  <c r="Y467" i="2"/>
  <c r="Z478" i="2"/>
  <c r="BP480" i="2"/>
  <c r="BP505" i="2"/>
  <c r="Y514" i="2"/>
  <c r="Z523" i="2"/>
  <c r="BP525" i="2"/>
  <c r="Y552" i="2"/>
  <c r="Z38" i="2"/>
  <c r="Z50" i="2"/>
  <c r="Z61" i="2"/>
  <c r="Z71" i="2"/>
  <c r="Z105" i="2"/>
  <c r="Z115" i="2"/>
  <c r="Y248" i="2"/>
  <c r="Y263" i="2"/>
  <c r="Y484" i="2"/>
  <c r="BN528" i="2"/>
  <c r="BN542" i="2"/>
  <c r="Z89" i="2"/>
  <c r="Z110" i="2"/>
  <c r="Y24" i="2"/>
  <c r="BN31" i="2"/>
  <c r="BP47" i="2"/>
  <c r="Z56" i="2"/>
  <c r="BP58" i="2"/>
  <c r="BP68" i="2"/>
  <c r="Z76" i="2"/>
  <c r="BN89" i="2"/>
  <c r="Y92" i="2"/>
  <c r="BN110" i="2"/>
  <c r="BP122" i="2"/>
  <c r="BN133" i="2"/>
  <c r="Z143" i="2"/>
  <c r="Z154" i="2"/>
  <c r="Y159" i="2"/>
  <c r="Y168" i="2"/>
  <c r="Z177" i="2"/>
  <c r="BP179" i="2"/>
  <c r="BP189" i="2"/>
  <c r="BN199" i="2"/>
  <c r="BN211" i="2"/>
  <c r="Z222" i="2"/>
  <c r="BP224" i="2"/>
  <c r="BN232" i="2"/>
  <c r="Y235" i="2"/>
  <c r="BN242" i="2"/>
  <c r="BN252" i="2"/>
  <c r="Y268" i="2"/>
  <c r="BN275" i="2"/>
  <c r="BN285" i="2"/>
  <c r="Z293" i="2"/>
  <c r="BN306" i="2"/>
  <c r="BN329" i="2"/>
  <c r="Y332" i="2"/>
  <c r="BP343" i="2"/>
  <c r="Z351" i="2"/>
  <c r="BN365" i="2"/>
  <c r="BN375" i="2"/>
  <c r="BN385" i="2"/>
  <c r="Y388" i="2"/>
  <c r="BP397" i="2"/>
  <c r="BN418" i="2"/>
  <c r="Z431" i="2"/>
  <c r="BP433" i="2"/>
  <c r="BP443" i="2"/>
  <c r="Y456" i="2"/>
  <c r="BN478" i="2"/>
  <c r="Y489" i="2"/>
  <c r="Z511" i="2"/>
  <c r="Y536" i="2"/>
  <c r="Y548" i="2"/>
  <c r="Y439" i="2"/>
  <c r="Y553" i="2"/>
  <c r="O569" i="2"/>
  <c r="BN38" i="2"/>
  <c r="BN50" i="2"/>
  <c r="Z29" i="2"/>
  <c r="BP31" i="2"/>
  <c r="Z41" i="2"/>
  <c r="Z87" i="2"/>
  <c r="Z97" i="2"/>
  <c r="Z108" i="2"/>
  <c r="BP133" i="2"/>
  <c r="Z165" i="2"/>
  <c r="Z185" i="2"/>
  <c r="BP199" i="2"/>
  <c r="Z209" i="2"/>
  <c r="Z230" i="2"/>
  <c r="Z240" i="2"/>
  <c r="Z250" i="2"/>
  <c r="Y264" i="2"/>
  <c r="Z273" i="2"/>
  <c r="Z283" i="2"/>
  <c r="Z304" i="2"/>
  <c r="Z327" i="2"/>
  <c r="Z338" i="2"/>
  <c r="Z393" i="2"/>
  <c r="Z394" i="2" s="1"/>
  <c r="BP418" i="2"/>
  <c r="Z486" i="2"/>
  <c r="Y25" i="2"/>
  <c r="BP38" i="2"/>
  <c r="Z48" i="2"/>
  <c r="Z59" i="2"/>
  <c r="Z69" i="2"/>
  <c r="Y93" i="2"/>
  <c r="Z103" i="2"/>
  <c r="BP115" i="2"/>
  <c r="Z123" i="2"/>
  <c r="Y160" i="2"/>
  <c r="Z170" i="2"/>
  <c r="Z180" i="2"/>
  <c r="Z190" i="2"/>
  <c r="Z225" i="2"/>
  <c r="Y269" i="2"/>
  <c r="Y333" i="2"/>
  <c r="Z344" i="2"/>
  <c r="Y371" i="2"/>
  <c r="Y381" i="2"/>
  <c r="Y389" i="2"/>
  <c r="Z398" i="2"/>
  <c r="Z434" i="2"/>
  <c r="Z444" i="2"/>
  <c r="Y457" i="2"/>
  <c r="Z492" i="2"/>
  <c r="Z493" i="2" s="1"/>
  <c r="Y529" i="2"/>
  <c r="Z538" i="2"/>
  <c r="Z539" i="2" s="1"/>
  <c r="Z550" i="2"/>
  <c r="BN115" i="2"/>
  <c r="Y32" i="2"/>
  <c r="BN97" i="2"/>
  <c r="BN165" i="2"/>
  <c r="BN185" i="2"/>
  <c r="Y200" i="2"/>
  <c r="Y212" i="2"/>
  <c r="BN240" i="2"/>
  <c r="BN250" i="2"/>
  <c r="Y253" i="2"/>
  <c r="BN273" i="2"/>
  <c r="BN283" i="2"/>
  <c r="BN338" i="2"/>
  <c r="BN393" i="2"/>
  <c r="Y440" i="2"/>
  <c r="BN486" i="2"/>
  <c r="Z556" i="2"/>
  <c r="Z557" i="2" s="1"/>
  <c r="R569" i="2"/>
  <c r="BP55" i="2"/>
  <c r="Y118" i="2"/>
  <c r="BN29" i="2"/>
  <c r="BN41" i="2"/>
  <c r="Y65" i="2"/>
  <c r="BN87" i="2"/>
  <c r="BN108" i="2"/>
  <c r="BN209" i="2"/>
  <c r="BN230" i="2"/>
  <c r="Z22" i="2"/>
  <c r="BN48" i="2"/>
  <c r="Y51" i="2"/>
  <c r="BN59" i="2"/>
  <c r="BN69" i="2"/>
  <c r="Y72" i="2"/>
  <c r="Z90" i="2"/>
  <c r="BN103" i="2"/>
  <c r="Z111" i="2"/>
  <c r="BN123" i="2"/>
  <c r="Z134" i="2"/>
  <c r="BN170" i="2"/>
  <c r="BN180" i="2"/>
  <c r="BN190" i="2"/>
  <c r="BN225" i="2"/>
  <c r="Z233" i="2"/>
  <c r="Z243" i="2"/>
  <c r="Z266" i="2"/>
  <c r="Z276" i="2"/>
  <c r="Z286" i="2"/>
  <c r="Z307" i="2"/>
  <c r="Z330" i="2"/>
  <c r="BN344" i="2"/>
  <c r="Z366" i="2"/>
  <c r="Z376" i="2"/>
  <c r="Z386" i="2"/>
  <c r="BN398" i="2"/>
  <c r="Y401" i="2"/>
  <c r="BN434" i="2"/>
  <c r="BN444" i="2"/>
  <c r="Z454" i="2"/>
  <c r="Z479" i="2"/>
  <c r="BN492" i="2"/>
  <c r="Z504" i="2"/>
  <c r="Z524" i="2"/>
  <c r="BN538" i="2"/>
  <c r="BN550" i="2"/>
  <c r="Y77" i="2"/>
  <c r="BP87" i="2"/>
  <c r="Y155" i="2"/>
  <c r="BN556" i="2"/>
  <c r="T569" i="2"/>
  <c r="BP250" i="2"/>
  <c r="BN22" i="2"/>
  <c r="Z57" i="2"/>
  <c r="Z67" i="2"/>
  <c r="BN90" i="2"/>
  <c r="BP103" i="2"/>
  <c r="BN111" i="2"/>
  <c r="Z121" i="2"/>
  <c r="Z125" i="2" s="1"/>
  <c r="BN134" i="2"/>
  <c r="Z144" i="2"/>
  <c r="Z178" i="2"/>
  <c r="Z223" i="2"/>
  <c r="BN233" i="2"/>
  <c r="BN243" i="2"/>
  <c r="BN266" i="2"/>
  <c r="BN276" i="2"/>
  <c r="BN286" i="2"/>
  <c r="Y299" i="2"/>
  <c r="BN307" i="2"/>
  <c r="Y310" i="2"/>
  <c r="Z317" i="2"/>
  <c r="Z318" i="2" s="1"/>
  <c r="BN330" i="2"/>
  <c r="Z352" i="2"/>
  <c r="BN366" i="2"/>
  <c r="BN376" i="2"/>
  <c r="BN386" i="2"/>
  <c r="Z406" i="2"/>
  <c r="Y420" i="2"/>
  <c r="Z432" i="2"/>
  <c r="Z442" i="2"/>
  <c r="BN454" i="2"/>
  <c r="Z465" i="2"/>
  <c r="Z466" i="2" s="1"/>
  <c r="BN479" i="2"/>
  <c r="BP492" i="2"/>
  <c r="BN504" i="2"/>
  <c r="Z512" i="2"/>
  <c r="BN524" i="2"/>
  <c r="BP538" i="2"/>
  <c r="B569" i="2"/>
  <c r="U569" i="2"/>
  <c r="Y64" i="2"/>
  <c r="BP97" i="2"/>
  <c r="Y339" i="2"/>
  <c r="Y394" i="2"/>
  <c r="Y402" i="2"/>
  <c r="BP556" i="2"/>
  <c r="BP165" i="2"/>
  <c r="Y42" i="2"/>
  <c r="Y52" i="2"/>
  <c r="Y73" i="2"/>
  <c r="Y186" i="2"/>
  <c r="Z30" i="2"/>
  <c r="BN57" i="2"/>
  <c r="BN67" i="2"/>
  <c r="Y78" i="2"/>
  <c r="BN121" i="2"/>
  <c r="BN144" i="2"/>
  <c r="Y156" i="2"/>
  <c r="Z166" i="2"/>
  <c r="BN178" i="2"/>
  <c r="Z210" i="2"/>
  <c r="BN223" i="2"/>
  <c r="Z231" i="2"/>
  <c r="Z241" i="2"/>
  <c r="Z251" i="2"/>
  <c r="Z274" i="2"/>
  <c r="Z284" i="2"/>
  <c r="Z305" i="2"/>
  <c r="BN317" i="2"/>
  <c r="Z328" i="2"/>
  <c r="BN352" i="2"/>
  <c r="Z364" i="2"/>
  <c r="Z374" i="2"/>
  <c r="Z384" i="2"/>
  <c r="BN406" i="2"/>
  <c r="Z417" i="2"/>
  <c r="Z419" i="2" s="1"/>
  <c r="BN432" i="2"/>
  <c r="BN442" i="2"/>
  <c r="Y445" i="2"/>
  <c r="BN465" i="2"/>
  <c r="Z477" i="2"/>
  <c r="Z487" i="2"/>
  <c r="Y493" i="2"/>
  <c r="BP504" i="2"/>
  <c r="BN512" i="2"/>
  <c r="Z522" i="2"/>
  <c r="Z534" i="2"/>
  <c r="Z535" i="2" s="1"/>
  <c r="Y539" i="2"/>
  <c r="Z546" i="2"/>
  <c r="Z547" i="2" s="1"/>
  <c r="D569" i="2"/>
  <c r="Y300" i="2"/>
  <c r="BP425" i="2"/>
  <c r="BP460" i="2"/>
  <c r="BN527" i="2"/>
  <c r="Z551" i="2"/>
  <c r="Y557" i="2"/>
  <c r="E569" i="2"/>
  <c r="Z55" i="2"/>
  <c r="Z75" i="2"/>
  <c r="Y112" i="2"/>
  <c r="Y135" i="2"/>
  <c r="BP144" i="2"/>
  <c r="Z153" i="2"/>
  <c r="Z176" i="2"/>
  <c r="Y187" i="2"/>
  <c r="Z221" i="2"/>
  <c r="Z262" i="2"/>
  <c r="Z292" i="2"/>
  <c r="BP317" i="2"/>
  <c r="BP352" i="2"/>
  <c r="BP406" i="2"/>
  <c r="BP442" i="2"/>
  <c r="BP465" i="2"/>
  <c r="BN477" i="2"/>
  <c r="BN487" i="2"/>
  <c r="BN522" i="2"/>
  <c r="BN534" i="2"/>
  <c r="BN546" i="2"/>
  <c r="Y569" i="2"/>
  <c r="Z23" i="2"/>
  <c r="Z80" i="2"/>
  <c r="Z83" i="2" s="1"/>
  <c r="Z91" i="2"/>
  <c r="Z158" i="2"/>
  <c r="Z159" i="2" s="1"/>
  <c r="Z234" i="2"/>
  <c r="Z244" i="2"/>
  <c r="Z267" i="2"/>
  <c r="Z277" i="2"/>
  <c r="Z287" i="2"/>
  <c r="Z297" i="2"/>
  <c r="Z308" i="2"/>
  <c r="Z331" i="2"/>
  <c r="Y348" i="2"/>
  <c r="Z367" i="2"/>
  <c r="Z377" i="2"/>
  <c r="Z387" i="2"/>
  <c r="Z455" i="2"/>
  <c r="Z480" i="2"/>
  <c r="Y494" i="2"/>
  <c r="Z505" i="2"/>
  <c r="Z525" i="2"/>
  <c r="BN551" i="2"/>
  <c r="G569" i="2"/>
  <c r="BN153" i="2"/>
  <c r="BN221" i="2"/>
  <c r="BN262" i="2"/>
  <c r="BN292" i="2"/>
  <c r="Y513" i="2"/>
  <c r="BP534" i="2"/>
  <c r="BP546" i="2"/>
  <c r="Y558" i="2"/>
  <c r="H569" i="2"/>
  <c r="BN75" i="2"/>
  <c r="BN176" i="2"/>
  <c r="BN80" i="2"/>
  <c r="Z343" i="2"/>
  <c r="Z348" i="2" s="1"/>
  <c r="AB569" i="2"/>
  <c r="Z172" i="2" l="1"/>
  <c r="Z499" i="2"/>
  <c r="Z472" i="2"/>
  <c r="Z140" i="2"/>
  <c r="X562" i="2"/>
  <c r="Z192" i="2"/>
  <c r="Z339" i="2"/>
  <c r="Z360" i="2"/>
  <c r="Z155" i="2"/>
  <c r="Z401" i="2"/>
  <c r="Z519" i="2"/>
  <c r="Z426" i="2"/>
  <c r="Z167" i="2"/>
  <c r="Z299" i="2"/>
  <c r="Z488" i="2"/>
  <c r="Z51" i="2"/>
  <c r="Z212" i="2"/>
  <c r="Z462" i="2"/>
  <c r="Z263" i="2"/>
  <c r="Z407" i="2"/>
  <c r="Z451" i="2"/>
  <c r="Z64" i="2"/>
  <c r="Z310" i="2"/>
  <c r="Y561" i="2"/>
  <c r="Z294" i="2"/>
  <c r="Z247" i="2"/>
  <c r="Z99" i="2"/>
  <c r="Z32" i="2"/>
  <c r="Z118" i="2"/>
  <c r="Z413" i="2"/>
  <c r="Z186" i="2"/>
  <c r="Z72" i="2"/>
  <c r="Z513" i="2"/>
  <c r="Z279" i="2"/>
  <c r="Z92" i="2"/>
  <c r="Z42" i="2"/>
  <c r="Z456" i="2"/>
  <c r="Z332" i="2"/>
  <c r="Z77" i="2"/>
  <c r="Y563" i="2"/>
  <c r="Z353" i="2"/>
  <c r="Z552" i="2"/>
  <c r="Z253" i="2"/>
  <c r="Z381" i="2"/>
  <c r="Z112" i="2"/>
  <c r="Z483" i="2"/>
  <c r="Z145" i="2"/>
  <c r="Z371" i="2"/>
  <c r="Z235" i="2"/>
  <c r="Z135" i="2"/>
  <c r="Z439" i="2"/>
  <c r="Y560" i="2"/>
  <c r="Z529" i="2"/>
  <c r="Z24" i="2"/>
  <c r="Z388" i="2"/>
  <c r="Z445" i="2"/>
  <c r="Z268" i="2"/>
  <c r="Y559" i="2"/>
  <c r="Y562" i="2" l="1"/>
  <c r="Z564" i="2"/>
</calcChain>
</file>

<file path=xl/sharedStrings.xml><?xml version="1.0" encoding="utf-8"?>
<sst xmlns="http://schemas.openxmlformats.org/spreadsheetml/2006/main" count="4311" uniqueCount="906">
  <si>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</si>
  <si>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</si>
  <si>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</si>
  <si>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</si>
  <si>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</si>
  <si>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</si>
  <si>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</si>
  <si>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</si>
  <si>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</si>
  <si>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</si>
  <si>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</si>
  <si>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</si>
  <si>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</si>
  <si>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</si>
  <si>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</si>
  <si>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</si>
  <si>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</si>
  <si>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</si>
  <si>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</si>
  <si>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</si>
  <si>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</si>
  <si>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</si>
  <si>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</si>
  <si>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</si>
  <si>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</si>
  <si>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</si>
  <si>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</si>
  <si>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</si>
  <si>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</si>
  <si>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</si>
  <si>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</si>
  <si>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</si>
  <si>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</si>
  <si>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</si>
  <si>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</si>
  <si>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</si>
  <si>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</si>
  <si>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</si>
  <si>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</si>
  <si>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</si>
  <si>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</si>
  <si>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</si>
  <si>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</si>
  <si>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</si>
  <si>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</si>
  <si>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</si>
  <si>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</si>
  <si>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</si>
  <si>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</si>
  <si>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</si>
  <si>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</si>
  <si>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</si>
  <si>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</si>
  <si>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</si>
  <si>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</si>
  <si>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</si>
  <si>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</si>
  <si>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</si>
  <si>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</si>
  <si>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</si>
  <si>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</si>
  <si>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</si>
  <si>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</si>
  <si>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</si>
  <si>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</si>
  <si>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</si>
  <si>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</si>
  <si>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</si>
  <si>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</si>
  <si>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</si>
  <si>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</si>
  <si>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</si>
  <si>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</si>
  <si>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</si>
  <si>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</si>
  <si>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</si>
  <si>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</si>
  <si>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</si>
  <si>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</si>
  <si>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</si>
  <si>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</si>
  <si>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</si>
  <si>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</si>
  <si>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</si>
  <si>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</si>
  <si>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</si>
  <si>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</si>
  <si>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</si>
  <si>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</si>
  <si>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</si>
  <si>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</si>
  <si>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</si>
  <si>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</si>
  <si>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</si>
  <si>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</si>
  <si>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</si>
  <si>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</si>
  <si>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</si>
  <si>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</si>
  <si>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</si>
  <si>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</si>
  <si>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</si>
  <si>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</si>
  <si>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</si>
  <si>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</si>
  <si>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</si>
  <si>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</si>
  <si>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</si>
  <si>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</si>
  <si>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</si>
  <si>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</si>
  <si>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</si>
  <si>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</si>
  <si>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</si>
  <si>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</si>
  <si>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</si>
  <si>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</si>
  <si>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</si>
  <si>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</si>
  <si>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</si>
  <si>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</si>
  <si>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</si>
  <si>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</si>
  <si>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</si>
  <si>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</si>
  <si>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</si>
  <si>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</si>
  <si>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</si>
  <si>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</si>
  <si>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</si>
  <si>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</si>
  <si>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</si>
  <si>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</si>
  <si>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</si>
  <si>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</si>
  <si>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</si>
  <si>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</si>
  <si>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</si>
  <si>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</si>
  <si>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</si>
  <si>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</si>
  <si>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</si>
  <si>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</si>
  <si>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</si>
  <si>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</si>
  <si>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</si>
  <si>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</si>
  <si>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</si>
  <si>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</si>
  <si>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</si>
  <si>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</si>
  <si>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</si>
  <si>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</si>
  <si>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</si>
  <si>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</si>
  <si>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</si>
  <si>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</si>
  <si>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</si>
  <si>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</si>
  <si>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</si>
  <si>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</si>
  <si>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</si>
  <si>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</si>
  <si>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</si>
  <si>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</si>
  <si>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</si>
  <si>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</si>
  <si>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</si>
  <si>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</si>
  <si>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</si>
  <si>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</si>
  <si>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</si>
  <si>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</si>
  <si>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</si>
  <si>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</si>
  <si>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</si>
  <si>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</si>
  <si>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</si>
  <si>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</si>
  <si>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</si>
  <si>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</si>
  <si>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</si>
  <si>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</si>
  <si>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</si>
  <si>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</si>
  <si>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</si>
  <si>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</si>
  <si>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</si>
  <si>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</si>
  <si>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</si>
  <si>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</si>
  <si>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</si>
  <si>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</si>
  <si>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</si>
  <si>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</si>
  <si>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</si>
  <si>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</si>
  <si>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</si>
  <si>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</si>
  <si>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</si>
  <si>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</si>
  <si>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</si>
  <si>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</si>
  <si>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</si>
  <si>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</si>
  <si>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</si>
  <si>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</si>
  <si>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</si>
  <si>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</si>
  <si>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</si>
  <si>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</si>
  <si>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</si>
  <si>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</si>
  <si>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</si>
  <si>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</si>
  <si>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</si>
  <si>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</si>
  <si>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</si>
  <si>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</si>
  <si>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</si>
  <si>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</si>
  <si>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</si>
  <si>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</si>
  <si>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</si>
  <si>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</si>
  <si>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</si>
  <si>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</si>
  <si>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</si>
  <si>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</si>
  <si>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</si>
  <si>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</si>
  <si>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</si>
  <si>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</si>
  <si>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</si>
  <si>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</si>
  <si>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</si>
  <si>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</si>
  <si>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</si>
  <si>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</si>
  <si>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</si>
  <si>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</si>
  <si>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</si>
  <si>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</si>
  <si>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</si>
  <si>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</si>
  <si>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</si>
  <si>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</si>
  <si>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</si>
  <si>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</si>
  <si>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</si>
  <si>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</si>
  <si>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</si>
  <si>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</si>
  <si>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</si>
  <si>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</si>
  <si>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</si>
  <si>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</si>
  <si>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</si>
  <si>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</si>
  <si>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</si>
  <si>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</si>
  <si>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</si>
  <si>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</si>
  <si>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</si>
  <si>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</si>
  <si>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</si>
  <si>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</si>
  <si>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</si>
  <si>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</si>
  <si>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</si>
  <si>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</si>
  <si>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</si>
  <si>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</si>
  <si>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</si>
  <si>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</si>
  <si>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</si>
  <si>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</si>
  <si>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</si>
  <si>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</si>
  <si>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</si>
  <si>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</si>
  <si>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</si>
  <si>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</si>
  <si>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</si>
  <si>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</si>
  <si>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</si>
  <si>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</si>
  <si>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</si>
  <si>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</si>
  <si>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</si>
  <si>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</si>
  <si>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</si>
  <si>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</si>
  <si>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</si>
  <si>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</si>
  <si>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</si>
  <si>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</si>
  <si>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</si>
  <si>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</si>
  <si>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</si>
  <si>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</si>
  <si>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</si>
  <si>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</si>
  <si>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</si>
  <si>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</si>
  <si>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</si>
  <si>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</si>
  <si>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</si>
  <si>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</si>
  <si>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</si>
  <si>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</si>
  <si>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</si>
  <si>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</si>
  <si>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</si>
  <si>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</si>
  <si>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</si>
  <si>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</si>
  <si>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</si>
  <si>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</si>
  <si>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</si>
  <si>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</si>
  <si>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</si>
  <si>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</si>
  <si>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</si>
  <si>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</si>
  <si>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</si>
  <si>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</si>
  <si>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</si>
  <si>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</si>
  <si>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</si>
  <si>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</si>
  <si>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</si>
  <si>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</si>
  <si>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</si>
  <si>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</si>
  <si>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</si>
  <si>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</si>
  <si>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</si>
  <si>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</si>
  <si>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</si>
  <si>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</si>
  <si>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</si>
  <si>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</si>
  <si>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</si>
  <si>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</si>
  <si>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</si>
  <si>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</si>
  <si>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</si>
  <si>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</si>
  <si>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</si>
  <si>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</si>
  <si>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</si>
  <si>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</si>
  <si>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</si>
  <si>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</si>
  <si>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</si>
  <si>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</si>
  <si>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</si>
  <si>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</si>
  <si>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</si>
  <si>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</si>
  <si>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</si>
  <si>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</si>
  <si>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</si>
  <si>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</si>
  <si>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</si>
  <si>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</si>
  <si>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</si>
  <si>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</si>
  <si>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</si>
  <si>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</si>
  <si>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</si>
  <si>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</si>
  <si>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</si>
  <si>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</si>
  <si>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</si>
  <si>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</si>
  <si>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</si>
  <si>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</si>
  <si>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</si>
  <si>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</si>
  <si>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</si>
  <si>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</si>
  <si>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</si>
  <si>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</si>
  <si>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</si>
  <si>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</si>
  <si>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</si>
  <si>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</si>
  <si>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</si>
  <si>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</si>
  <si>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</si>
  <si>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</si>
  <si>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</si>
  <si>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</si>
  <si>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</si>
  <si>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</si>
  <si>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</si>
  <si>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</si>
  <si>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</si>
  <si>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</si>
  <si>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</si>
  <si>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</si>
  <si>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</si>
  <si>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</si>
  <si>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</si>
  <si>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</si>
  <si>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</si>
  <si>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</si>
  <si>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</si>
  <si>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</si>
  <si>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</si>
  <si>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</si>
  <si>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</si>
  <si>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</si>
  <si>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</si>
  <si>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</si>
  <si>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</si>
  <si>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</si>
  <si>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</si>
  <si>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</si>
  <si>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</si>
  <si>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</si>
  <si>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</si>
  <si>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</si>
  <si>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</si>
  <si>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</si>
  <si>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</si>
  <si>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</si>
  <si>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</si>
  <si>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</si>
  <si>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</si>
  <si>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</si>
  <si>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</si>
  <si>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</si>
  <si>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</si>
  <si>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</si>
  <si>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</si>
  <si>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</si>
  <si>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</si>
  <si>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</si>
  <si>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</si>
  <si>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</si>
  <si>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</si>
  <si>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</si>
  <si>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</si>
  <si>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</si>
  <si>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</si>
  <si>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</si>
  <si>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</si>
  <si>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</si>
  <si>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</si>
  <si>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</si>
  <si>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</si>
  <si>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</si>
  <si>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</si>
  <si>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</si>
  <si>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</si>
  <si>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</si>
  <si>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</si>
  <si>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</si>
  <si>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</si>
  <si>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</si>
  <si>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</si>
  <si>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</si>
  <si>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</si>
  <si>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</si>
  <si>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</si>
  <si>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</si>
  <si>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</si>
  <si>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</si>
  <si>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</si>
  <si>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</si>
  <si>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</si>
  <si>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</si>
  <si>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</si>
  <si>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</si>
  <si>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</si>
  <si>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</si>
  <si>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</si>
  <si>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</si>
  <si>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</si>
  <si>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</si>
  <si>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</si>
  <si>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</si>
  <si>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</si>
  <si>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</si>
  <si>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</si>
  <si>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</si>
  <si>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</si>
  <si>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</si>
  <si>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</si>
  <si>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</si>
  <si>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</si>
  <si>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</si>
  <si>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</si>
  <si>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</si>
  <si>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</si>
  <si>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</si>
  <si>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</si>
  <si>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</si>
  <si>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</si>
  <si>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</si>
  <si>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</si>
  <si>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</si>
  <si>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</si>
  <si>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</si>
  <si>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</si>
  <si>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</si>
  <si>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</si>
  <si>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</si>
  <si>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</si>
  <si>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</si>
  <si>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</si>
  <si>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</si>
  <si>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</si>
  <si>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</si>
  <si>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</si>
  <si>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</si>
  <si>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</si>
  <si>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</si>
  <si>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</si>
  <si>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</si>
  <si>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</si>
  <si>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</si>
  <si>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</si>
  <si>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</si>
  <si>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</si>
  <si>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</si>
  <si>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</si>
  <si>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</si>
  <si>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</si>
  <si>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</si>
  <si>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</si>
  <si>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</si>
  <si>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</si>
  <si>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</si>
  <si>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</si>
  <si>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</si>
  <si>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</si>
  <si>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</si>
  <si>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</si>
  <si>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</si>
  <si>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</si>
  <si>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</si>
  <si>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</si>
  <si>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</si>
  <si>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</si>
  <si>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</si>
  <si>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</si>
  <si>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</si>
  <si>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</si>
  <si>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</si>
  <si>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</si>
  <si>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</si>
  <si>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</si>
  <si>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</si>
  <si>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</si>
  <si>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</si>
  <si>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</si>
  <si>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</si>
  <si>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</si>
  <si>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</si>
  <si>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</si>
  <si>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</si>
  <si>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</si>
  <si>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</si>
  <si>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</si>
  <si>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</si>
  <si>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</si>
  <si>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</si>
  <si>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</si>
  <si>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</si>
  <si>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</si>
  <si>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</si>
  <si>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</si>
  <si>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</si>
  <si>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</si>
  <si>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</si>
  <si>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</si>
  <si>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</si>
  <si>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</si>
  <si>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</si>
  <si>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</si>
  <si>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</si>
  <si>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</si>
  <si>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</si>
  <si>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</si>
  <si>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</si>
  <si>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</si>
  <si>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</si>
  <si>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</si>
  <si>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</si>
  <si>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</si>
  <si>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</si>
  <si>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</si>
  <si>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</si>
  <si>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</si>
  <si>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</si>
  <si>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</si>
  <si>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</si>
  <si>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</si>
  <si>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</si>
  <si>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</si>
  <si>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</si>
  <si>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</si>
  <si>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</si>
  <si>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</si>
  <si>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</si>
  <si>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</si>
  <si>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</si>
  <si>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</si>
  <si>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</si>
  <si>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</si>
  <si>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</si>
  <si>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</si>
  <si>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</si>
  <si>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</si>
  <si>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</si>
  <si>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</si>
  <si>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</si>
  <si>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</si>
  <si>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</si>
  <si>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</si>
  <si>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</si>
  <si>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</si>
  <si>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</si>
  <si>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</si>
  <si>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</si>
  <si>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</si>
  <si>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</si>
  <si>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</si>
  <si>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</si>
  <si>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</si>
  <si>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</si>
  <si>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</si>
  <si>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</si>
  <si>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</si>
  <si>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</si>
  <si>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</si>
  <si>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</si>
  <si>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</si>
  <si>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</si>
  <si>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</si>
  <si>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</si>
  <si>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</si>
  <si>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</si>
  <si>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</si>
  <si>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</si>
  <si>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</si>
  <si>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</si>
  <si>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</si>
  <si>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</si>
  <si>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</si>
  <si>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</si>
  <si>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</si>
  <si>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</si>
  <si>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</si>
  <si>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</si>
  <si>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</si>
  <si>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</si>
  <si>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</si>
  <si>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</si>
  <si>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</si>
  <si>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</si>
  <si>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</si>
  <si>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</si>
  <si>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</si>
  <si>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</si>
  <si>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</si>
  <si>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</si>
  <si>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</si>
  <si>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</si>
  <si>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</si>
  <si>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</si>
  <si>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</si>
  <si>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</si>
  <si>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</si>
  <si>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</si>
  <si>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</si>
  <si>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</si>
  <si>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</si>
  <si>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</si>
  <si>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</si>
  <si>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</si>
  <si>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</si>
  <si>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</si>
  <si>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</si>
  <si>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</si>
  <si>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</si>
  <si>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</si>
  <si>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</si>
  <si>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</si>
  <si>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</si>
  <si>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</si>
  <si>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</si>
  <si>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</si>
  <si>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</si>
  <si>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</si>
  <si>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</si>
  <si>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</si>
  <si>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</si>
  <si>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</si>
  <si>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</si>
  <si>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</si>
  <si>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</si>
  <si>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</si>
  <si>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</si>
  <si>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</si>
  <si>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</si>
  <si>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</si>
  <si>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</si>
  <si>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</si>
  <si>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</si>
  <si>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</si>
  <si>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</si>
  <si>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</si>
  <si>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</si>
  <si>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</si>
  <si>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</si>
  <si>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</si>
  <si>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</si>
  <si>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</si>
  <si>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</si>
  <si>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</si>
  <si>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</si>
  <si>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</si>
  <si>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</si>
  <si>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</si>
  <si>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</si>
  <si>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</si>
  <si>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</si>
  <si>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</si>
  <si>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</si>
  <si>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</si>
  <si>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</si>
  <si>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</si>
  <si>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</si>
  <si>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</si>
  <si>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</si>
  <si>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</si>
  <si>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</si>
  <si>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</si>
  <si>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</si>
  <si>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</si>
  <si>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</si>
  <si>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</si>
  <si>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</si>
  <si>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</si>
  <si>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</si>
  <si>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</si>
  <si>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</si>
  <si>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</si>
  <si>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</si>
  <si>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</si>
  <si>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</si>
  <si>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</si>
  <si>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</si>
  <si>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</si>
  <si>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</si>
  <si>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</si>
  <si>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</si>
  <si>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</si>
  <si>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</si>
  <si>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</si>
  <si>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</si>
  <si>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</si>
  <si>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</si>
  <si>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</si>
  <si>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</si>
  <si>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</si>
  <si>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</si>
  <si>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</si>
  <si>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</si>
  <si>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</si>
  <si>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</si>
  <si>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</si>
  <si>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</si>
  <si>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</si>
  <si>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</si>
  <si>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</si>
  <si>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</si>
  <si>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</si>
  <si>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</si>
  <si>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</si>
  <si>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</si>
  <si>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</si>
  <si>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</si>
  <si>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</si>
  <si>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</si>
  <si>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</si>
  <si>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</si>
  <si>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</si>
  <si>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</si>
  <si>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</si>
  <si>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</si>
  <si>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</si>
  <si>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</si>
  <si>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</si>
  <si>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</si>
  <si>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</si>
  <si>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</si>
  <si>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</si>
  <si>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</si>
  <si>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</si>
  <si>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</si>
  <si>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</si>
  <si>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</si>
  <si>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</si>
  <si>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</si>
  <si>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</si>
  <si>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</si>
  <si>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</si>
  <si>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</si>
  <si>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</si>
  <si>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</si>
  <si>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</si>
  <si>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</si>
  <si>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</si>
  <si>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</si>
  <si>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</si>
  <si>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</si>
  <si>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</si>
  <si>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</si>
  <si>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</si>
  <si>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</si>
  <si>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</si>
  <si>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</si>
  <si>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</si>
  <si>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</si>
  <si>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</si>
  <si>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</si>
  <si>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</si>
  <si>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</si>
  <si>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</si>
  <si>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</si>
  <si>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</si>
  <si>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</si>
  <si>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</si>
  <si>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</si>
  <si>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</si>
  <si>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</si>
  <si>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</si>
  <si>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</si>
  <si>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</si>
  <si>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</si>
  <si>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</si>
  <si>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</si>
  <si>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</si>
  <si>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</si>
  <si>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</si>
  <si>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</si>
  <si>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</si>
  <si>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</si>
  <si>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</si>
  <si>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</si>
  <si>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</si>
  <si>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</si>
  <si>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</si>
  <si>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</si>
  <si>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</si>
  <si>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</si>
  <si>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</si>
  <si>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</si>
  <si>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</si>
  <si>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</si>
  <si>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</si>
  <si>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</si>
  <si>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</si>
  <si>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</si>
  <si>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</si>
  <si>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</si>
  <si>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</si>
  <si>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</si>
  <si>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</si>
  <si>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</si>
  <si>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</si>
  <si>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</si>
  <si>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</si>
  <si>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</si>
  <si>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</si>
  <si>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</si>
  <si>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</si>
  <si>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</si>
  <si>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</si>
  <si>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</si>
  <si>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</si>
  <si>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</si>
  <si>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</si>
  <si>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</si>
  <si>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</si>
  <si>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</si>
  <si>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</si>
  <si>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</si>
  <si>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</si>
  <si>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</si>
  <si>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</si>
  <si>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</si>
  <si>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</si>
  <si>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</si>
  <si>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</si>
  <si>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</si>
  <si>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</si>
  <si>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</si>
  <si>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к TSO001126456</t>
  </si>
  <si>
    <t>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</si>
</sst>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V12" sqref="V12:W1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66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67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904</v>
      </c>
      <c r="I5" s="652"/>
      <c r="J5" s="652"/>
      <c r="K5" s="652"/>
      <c r="L5" s="652"/>
      <c r="M5" s="652"/>
      <c r="N5" s="69"/>
      <c r="P5" s="26" t="s">
        <v>4</v>
      </c>
      <c r="Q5" s="654">
        <v>46294</v>
      </c>
      <c r="R5" s="654"/>
      <c r="T5" s="655" t="s">
        <v>3</v>
      </c>
      <c r="U5" s="656"/>
      <c r="V5" s="657" t="s">
        <v>872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 t="s">
        <v>882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Вторник</v>
      </c>
      <c r="R6" s="660"/>
      <c r="T6" s="661" t="s">
        <v>5</v>
      </c>
      <c r="U6" s="662"/>
      <c r="V6" s="663" t="s">
        <v>69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 t="str">
        <f>IFERROR(VLOOKUP(DeliveryAddress,Table,3,0),1)</f>
        <v>4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57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0.54166666666666663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70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905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71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72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73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74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60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58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65</v>
      </c>
      <c r="L17" s="693" t="s">
        <v>63</v>
      </c>
      <c r="M17" s="693" t="s">
        <v>2</v>
      </c>
      <c r="N17" s="693" t="s">
        <v>62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55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59</v>
      </c>
      <c r="AB17" s="707" t="s">
        <v>19</v>
      </c>
      <c r="AC17" s="707" t="s">
        <v>64</v>
      </c>
      <c r="AD17" s="709" t="s">
        <v>56</v>
      </c>
      <c r="AE17" s="710"/>
      <c r="AF17" s="711"/>
      <c r="AG17" s="77"/>
      <c r="BD17" s="76" t="s">
        <v>61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75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75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76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85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103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85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119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120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121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716" t="s">
        <v>136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121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140</v>
      </c>
      <c r="B57" s="60" t="s">
        <v>143</v>
      </c>
      <c r="C57" s="34">
        <v>4301012162</v>
      </c>
      <c r="D57" s="718">
        <v>4680115881426</v>
      </c>
      <c r="E57" s="71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126</v>
      </c>
      <c r="L57" s="35" t="s">
        <v>46</v>
      </c>
      <c r="M57" s="36" t="s">
        <v>125</v>
      </c>
      <c r="N57" s="36"/>
      <c r="O57" s="35">
        <v>50</v>
      </c>
      <c r="P57" s="74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144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145</v>
      </c>
      <c r="B58" s="60" t="s">
        <v>146</v>
      </c>
      <c r="C58" s="34">
        <v>4301012259</v>
      </c>
      <c r="D58" s="718">
        <v>4680115880283</v>
      </c>
      <c r="E58" s="71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45</v>
      </c>
      <c r="P58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147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148</v>
      </c>
      <c r="B59" s="60" t="s">
        <v>149</v>
      </c>
      <c r="C59" s="34">
        <v>4301011806</v>
      </c>
      <c r="D59" s="718">
        <v>4680115881525</v>
      </c>
      <c r="E59" s="71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148</v>
      </c>
      <c r="B60" s="60" t="s">
        <v>151</v>
      </c>
      <c r="C60" s="34">
        <v>4301012159</v>
      </c>
      <c r="D60" s="718">
        <v>4680115881525</v>
      </c>
      <c r="E60" s="71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133</v>
      </c>
      <c r="L60" s="35" t="s">
        <v>46</v>
      </c>
      <c r="M60" s="36" t="s">
        <v>125</v>
      </c>
      <c r="N60" s="36"/>
      <c r="O60" s="35">
        <v>50</v>
      </c>
      <c r="P60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144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152</v>
      </c>
      <c r="B61" s="60" t="s">
        <v>153</v>
      </c>
      <c r="C61" s="34">
        <v>4301012165</v>
      </c>
      <c r="D61" s="718">
        <v>4680115885899</v>
      </c>
      <c r="E61" s="71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90</v>
      </c>
      <c r="L61" s="35" t="s">
        <v>46</v>
      </c>
      <c r="M61" s="36" t="s">
        <v>125</v>
      </c>
      <c r="N61" s="36"/>
      <c r="O61" s="35">
        <v>50</v>
      </c>
      <c r="P61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0"/>
      <c r="R61" s="720"/>
      <c r="S61" s="720"/>
      <c r="T61" s="72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139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hidden="1" customHeight="1" x14ac:dyDescent="0.25">
      <c r="A62" s="60" t="s">
        <v>154</v>
      </c>
      <c r="B62" s="60" t="s">
        <v>155</v>
      </c>
      <c r="C62" s="34">
        <v>4301011801</v>
      </c>
      <c r="D62" s="718">
        <v>4680115881419</v>
      </c>
      <c r="E62" s="71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133</v>
      </c>
      <c r="L62" s="35" t="s">
        <v>46</v>
      </c>
      <c r="M62" s="36" t="s">
        <v>125</v>
      </c>
      <c r="N62" s="36"/>
      <c r="O62" s="35">
        <v>50</v>
      </c>
      <c r="P62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0"/>
      <c r="R62" s="720"/>
      <c r="S62" s="720"/>
      <c r="T62" s="721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7" t="s">
        <v>156</v>
      </c>
      <c r="AG62" s="75"/>
      <c r="AJ62" s="79" t="s">
        <v>46</v>
      </c>
      <c r="AK62" s="79">
        <v>0</v>
      </c>
      <c r="BB62" s="128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154</v>
      </c>
      <c r="B63" s="60" t="s">
        <v>157</v>
      </c>
      <c r="C63" s="34">
        <v>4301012158</v>
      </c>
      <c r="D63" s="718">
        <v>4680115881419</v>
      </c>
      <c r="E63" s="718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133</v>
      </c>
      <c r="L63" s="35" t="s">
        <v>46</v>
      </c>
      <c r="M63" s="36" t="s">
        <v>125</v>
      </c>
      <c r="N63" s="36"/>
      <c r="O63" s="35">
        <v>50</v>
      </c>
      <c r="P63" s="75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0"/>
      <c r="R63" s="720"/>
      <c r="S63" s="720"/>
      <c r="T63" s="72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144</v>
      </c>
      <c r="AG63" s="75"/>
      <c r="AJ63" s="79" t="s">
        <v>46</v>
      </c>
      <c r="AK63" s="79">
        <v>0</v>
      </c>
      <c r="BB63" s="130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idden="1" x14ac:dyDescent="0.2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0</v>
      </c>
      <c r="Y64" s="41">
        <f>IFERROR(Y55/H55,"0")+IFERROR(Y56/H56,"0")+IFERROR(Y57/H57,"0")+IFERROR(Y58/H58,"0")+IFERROR(Y59/H59,"0")+IFERROR(Y60/H60,"0")+IFERROR(Y61/H61,"0")+IFERROR(Y62/H62,"0")+IFERROR(Y63/H63,"0")</f>
        <v>0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4"/>
      <c r="AB64" s="64"/>
      <c r="AC64" s="64"/>
    </row>
    <row r="65" spans="1:68" hidden="1" x14ac:dyDescent="0.2">
      <c r="A65" s="726"/>
      <c r="B65" s="726"/>
      <c r="C65" s="726"/>
      <c r="D65" s="726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7"/>
      <c r="P65" s="723" t="s">
        <v>40</v>
      </c>
      <c r="Q65" s="724"/>
      <c r="R65" s="724"/>
      <c r="S65" s="724"/>
      <c r="T65" s="724"/>
      <c r="U65" s="724"/>
      <c r="V65" s="725"/>
      <c r="W65" s="40" t="s">
        <v>0</v>
      </c>
      <c r="X65" s="41">
        <f>IFERROR(SUM(X55:X63),"0")</f>
        <v>0</v>
      </c>
      <c r="Y65" s="41">
        <f>IFERROR(SUM(Y55:Y63),"0")</f>
        <v>0</v>
      </c>
      <c r="Z65" s="40"/>
      <c r="AA65" s="64"/>
      <c r="AB65" s="64"/>
      <c r="AC65" s="64"/>
    </row>
    <row r="66" spans="1:68" ht="14.25" hidden="1" customHeight="1" x14ac:dyDescent="0.25">
      <c r="A66" s="717" t="s">
        <v>158</v>
      </c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  <c r="R66" s="717"/>
      <c r="S66" s="717"/>
      <c r="T66" s="717"/>
      <c r="U66" s="717"/>
      <c r="V66" s="717"/>
      <c r="W66" s="717"/>
      <c r="X66" s="717"/>
      <c r="Y66" s="717"/>
      <c r="Z66" s="717"/>
      <c r="AA66" s="63"/>
      <c r="AB66" s="63"/>
      <c r="AC66" s="63"/>
    </row>
    <row r="67" spans="1:68" ht="16.5" hidden="1" customHeight="1" x14ac:dyDescent="0.25">
      <c r="A67" s="60" t="s">
        <v>159</v>
      </c>
      <c r="B67" s="60" t="s">
        <v>160</v>
      </c>
      <c r="C67" s="34">
        <v>4301020298</v>
      </c>
      <c r="D67" s="718">
        <v>4680115881440</v>
      </c>
      <c r="E67" s="718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126</v>
      </c>
      <c r="L67" s="35" t="s">
        <v>46</v>
      </c>
      <c r="M67" s="36" t="s">
        <v>125</v>
      </c>
      <c r="N67" s="36"/>
      <c r="O67" s="35">
        <v>50</v>
      </c>
      <c r="P67" s="7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IFERROR(IF(Y67=0,"",ROUNDUP(Y67/H67,0)*0.01898),"")</f>
        <v/>
      </c>
      <c r="AA67" s="65" t="s">
        <v>46</v>
      </c>
      <c r="AB67" s="66" t="s">
        <v>46</v>
      </c>
      <c r="AC67" s="131" t="s">
        <v>161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159</v>
      </c>
      <c r="B68" s="60" t="s">
        <v>162</v>
      </c>
      <c r="C68" s="34">
        <v>4301020390</v>
      </c>
      <c r="D68" s="718">
        <v>4680115881440</v>
      </c>
      <c r="E68" s="718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126</v>
      </c>
      <c r="L68" s="35" t="s">
        <v>46</v>
      </c>
      <c r="M68" s="36" t="s">
        <v>125</v>
      </c>
      <c r="N68" s="36"/>
      <c r="O68" s="35">
        <v>50</v>
      </c>
      <c r="P68" s="7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0"/>
      <c r="R68" s="720"/>
      <c r="S68" s="720"/>
      <c r="T68" s="72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163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164</v>
      </c>
      <c r="B69" s="60" t="s">
        <v>165</v>
      </c>
      <c r="C69" s="34">
        <v>4301020358</v>
      </c>
      <c r="D69" s="718">
        <v>4680115885950</v>
      </c>
      <c r="E69" s="718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90</v>
      </c>
      <c r="L69" s="35" t="s">
        <v>46</v>
      </c>
      <c r="M69" s="36" t="s">
        <v>89</v>
      </c>
      <c r="N69" s="36"/>
      <c r="O69" s="35">
        <v>50</v>
      </c>
      <c r="P69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0"/>
      <c r="R69" s="720"/>
      <c r="S69" s="720"/>
      <c r="T69" s="72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161</v>
      </c>
      <c r="AG69" s="75"/>
      <c r="AJ69" s="79" t="s">
        <v>46</v>
      </c>
      <c r="AK69" s="79">
        <v>0</v>
      </c>
      <c r="BB69" s="136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166</v>
      </c>
      <c r="B70" s="60" t="s">
        <v>167</v>
      </c>
      <c r="C70" s="34">
        <v>4301020371</v>
      </c>
      <c r="D70" s="718">
        <v>4680115887688</v>
      </c>
      <c r="E70" s="718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130</v>
      </c>
      <c r="L70" s="35" t="s">
        <v>46</v>
      </c>
      <c r="M70" s="36" t="s">
        <v>80</v>
      </c>
      <c r="N70" s="36"/>
      <c r="O70" s="35">
        <v>30</v>
      </c>
      <c r="P70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0"/>
      <c r="R70" s="720"/>
      <c r="S70" s="720"/>
      <c r="T70" s="72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168</v>
      </c>
      <c r="AG70" s="75"/>
      <c r="AJ70" s="79" t="s">
        <v>46</v>
      </c>
      <c r="AK70" s="79">
        <v>0</v>
      </c>
      <c r="BB70" s="138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hidden="1" customHeight="1" x14ac:dyDescent="0.25">
      <c r="A71" s="60" t="s">
        <v>169</v>
      </c>
      <c r="B71" s="60" t="s">
        <v>170</v>
      </c>
      <c r="C71" s="34">
        <v>4301020389</v>
      </c>
      <c r="D71" s="718">
        <v>4680115881433</v>
      </c>
      <c r="E71" s="718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90</v>
      </c>
      <c r="L71" s="35" t="s">
        <v>46</v>
      </c>
      <c r="M71" s="36" t="s">
        <v>125</v>
      </c>
      <c r="N71" s="36"/>
      <c r="O71" s="35">
        <v>50</v>
      </c>
      <c r="P71" s="75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9" t="s">
        <v>163</v>
      </c>
      <c r="AG71" s="75"/>
      <c r="AJ71" s="79" t="s">
        <v>46</v>
      </c>
      <c r="AK71" s="79">
        <v>0</v>
      </c>
      <c r="BB71" s="140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idden="1" x14ac:dyDescent="0.2">
      <c r="A72" s="726"/>
      <c r="B72" s="726"/>
      <c r="C72" s="726"/>
      <c r="D72" s="726"/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7"/>
      <c r="P72" s="723" t="s">
        <v>40</v>
      </c>
      <c r="Q72" s="724"/>
      <c r="R72" s="724"/>
      <c r="S72" s="724"/>
      <c r="T72" s="724"/>
      <c r="U72" s="724"/>
      <c r="V72" s="725"/>
      <c r="W72" s="40" t="s">
        <v>39</v>
      </c>
      <c r="X72" s="41">
        <f>IFERROR(X67/H67,"0")+IFERROR(X68/H68,"0")+IFERROR(X69/H69,"0")+IFERROR(X70/H70,"0")+IFERROR(X71/H71,"0")</f>
        <v>0</v>
      </c>
      <c r="Y72" s="41">
        <f>IFERROR(Y67/H67,"0")+IFERROR(Y68/H68,"0")+IFERROR(Y69/H69,"0")+IFERROR(Y70/H70,"0")+IFERROR(Y71/H71,"0")</f>
        <v>0</v>
      </c>
      <c r="Z72" s="41">
        <f>IFERROR(IF(Z67="",0,Z67),"0")+IFERROR(IF(Z68="",0,Z68),"0")+IFERROR(IF(Z69="",0,Z69),"0")+IFERROR(IF(Z70="",0,Z70),"0")+IFERROR(IF(Z71="",0,Z71),"0")</f>
        <v>0</v>
      </c>
      <c r="AA72" s="64"/>
      <c r="AB72" s="64"/>
      <c r="AC72" s="64"/>
    </row>
    <row r="73" spans="1:68" hidden="1" x14ac:dyDescent="0.2">
      <c r="A73" s="726"/>
      <c r="B73" s="726"/>
      <c r="C73" s="726"/>
      <c r="D73" s="726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7"/>
      <c r="P73" s="723" t="s">
        <v>40</v>
      </c>
      <c r="Q73" s="724"/>
      <c r="R73" s="724"/>
      <c r="S73" s="724"/>
      <c r="T73" s="724"/>
      <c r="U73" s="724"/>
      <c r="V73" s="725"/>
      <c r="W73" s="40" t="s">
        <v>0</v>
      </c>
      <c r="X73" s="41">
        <f>IFERROR(SUM(X67:X71),"0")</f>
        <v>0</v>
      </c>
      <c r="Y73" s="41">
        <f>IFERROR(SUM(Y67:Y71),"0")</f>
        <v>0</v>
      </c>
      <c r="Z73" s="40"/>
      <c r="AA73" s="64"/>
      <c r="AB73" s="64"/>
      <c r="AC73" s="64"/>
    </row>
    <row r="74" spans="1:68" ht="14.25" hidden="1" customHeight="1" x14ac:dyDescent="0.25">
      <c r="A74" s="717" t="s">
        <v>85</v>
      </c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7"/>
      <c r="P74" s="717"/>
      <c r="Q74" s="717"/>
      <c r="R74" s="717"/>
      <c r="S74" s="717"/>
      <c r="T74" s="717"/>
      <c r="U74" s="717"/>
      <c r="V74" s="717"/>
      <c r="W74" s="717"/>
      <c r="X74" s="717"/>
      <c r="Y74" s="717"/>
      <c r="Z74" s="717"/>
      <c r="AA74" s="63"/>
      <c r="AB74" s="63"/>
      <c r="AC74" s="63"/>
    </row>
    <row r="75" spans="1:68" ht="16.5" hidden="1" customHeight="1" x14ac:dyDescent="0.25">
      <c r="A75" s="60" t="s">
        <v>171</v>
      </c>
      <c r="B75" s="60" t="s">
        <v>172</v>
      </c>
      <c r="C75" s="34">
        <v>4301051837</v>
      </c>
      <c r="D75" s="718">
        <v>4680115884311</v>
      </c>
      <c r="E75" s="718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90</v>
      </c>
      <c r="L75" s="35" t="s">
        <v>46</v>
      </c>
      <c r="M75" s="36" t="s">
        <v>89</v>
      </c>
      <c r="N75" s="36"/>
      <c r="O75" s="35">
        <v>40</v>
      </c>
      <c r="P75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0"/>
      <c r="R75" s="720"/>
      <c r="S75" s="720"/>
      <c r="T75" s="721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173</v>
      </c>
      <c r="AG75" s="75"/>
      <c r="AJ75" s="79" t="s">
        <v>46</v>
      </c>
      <c r="AK75" s="79">
        <v>0</v>
      </c>
      <c r="BB75" s="142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174</v>
      </c>
      <c r="B76" s="60" t="s">
        <v>175</v>
      </c>
      <c r="C76" s="34">
        <v>4301052083</v>
      </c>
      <c r="D76" s="718">
        <v>4680115884403</v>
      </c>
      <c r="E76" s="71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90</v>
      </c>
      <c r="L76" s="35" t="s">
        <v>46</v>
      </c>
      <c r="M76" s="36" t="s">
        <v>89</v>
      </c>
      <c r="N76" s="36"/>
      <c r="O76" s="35">
        <v>40</v>
      </c>
      <c r="P76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0"/>
      <c r="R76" s="720"/>
      <c r="S76" s="720"/>
      <c r="T76" s="72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176</v>
      </c>
      <c r="AG76" s="75"/>
      <c r="AJ76" s="79" t="s">
        <v>46</v>
      </c>
      <c r="AK76" s="79">
        <v>0</v>
      </c>
      <c r="BB76" s="144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726"/>
      <c r="B77" s="726"/>
      <c r="C77" s="726"/>
      <c r="D77" s="726"/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7"/>
      <c r="P77" s="723" t="s">
        <v>40</v>
      </c>
      <c r="Q77" s="724"/>
      <c r="R77" s="724"/>
      <c r="S77" s="724"/>
      <c r="T77" s="724"/>
      <c r="U77" s="724"/>
      <c r="V77" s="725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726"/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7"/>
      <c r="P78" s="723" t="s">
        <v>40</v>
      </c>
      <c r="Q78" s="724"/>
      <c r="R78" s="724"/>
      <c r="S78" s="724"/>
      <c r="T78" s="724"/>
      <c r="U78" s="724"/>
      <c r="V78" s="725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717" t="s">
        <v>177</v>
      </c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  <c r="R79" s="717"/>
      <c r="S79" s="717"/>
      <c r="T79" s="717"/>
      <c r="U79" s="717"/>
      <c r="V79" s="717"/>
      <c r="W79" s="717"/>
      <c r="X79" s="717"/>
      <c r="Y79" s="717"/>
      <c r="Z79" s="717"/>
      <c r="AA79" s="63"/>
      <c r="AB79" s="63"/>
      <c r="AC79" s="63"/>
    </row>
    <row r="80" spans="1:68" ht="27" hidden="1" customHeight="1" x14ac:dyDescent="0.25">
      <c r="A80" s="60" t="s">
        <v>178</v>
      </c>
      <c r="B80" s="60" t="s">
        <v>179</v>
      </c>
      <c r="C80" s="34">
        <v>4301060455</v>
      </c>
      <c r="D80" s="718">
        <v>4680115881532</v>
      </c>
      <c r="E80" s="718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126</v>
      </c>
      <c r="L80" s="35" t="s">
        <v>46</v>
      </c>
      <c r="M80" s="36" t="s">
        <v>96</v>
      </c>
      <c r="N80" s="36"/>
      <c r="O80" s="35">
        <v>30</v>
      </c>
      <c r="P80" s="7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178</v>
      </c>
      <c r="B81" s="60" t="s">
        <v>181</v>
      </c>
      <c r="C81" s="34">
        <v>4301060526</v>
      </c>
      <c r="D81" s="718">
        <v>4680115881532</v>
      </c>
      <c r="E81" s="71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126</v>
      </c>
      <c r="L81" s="35" t="s">
        <v>46</v>
      </c>
      <c r="M81" s="36" t="s">
        <v>96</v>
      </c>
      <c r="N81" s="36"/>
      <c r="O81" s="35">
        <v>30</v>
      </c>
      <c r="P81" s="7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0"/>
      <c r="R81" s="720"/>
      <c r="S81" s="720"/>
      <c r="T81" s="72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180</v>
      </c>
      <c r="AG81" s="75"/>
      <c r="AJ81" s="79" t="s">
        <v>46</v>
      </c>
      <c r="AK81" s="79">
        <v>0</v>
      </c>
      <c r="BB81" s="148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182</v>
      </c>
      <c r="B82" s="60" t="s">
        <v>183</v>
      </c>
      <c r="C82" s="34">
        <v>4301060527</v>
      </c>
      <c r="D82" s="718">
        <v>4680115881464</v>
      </c>
      <c r="E82" s="71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133</v>
      </c>
      <c r="L82" s="35" t="s">
        <v>46</v>
      </c>
      <c r="M82" s="36" t="s">
        <v>89</v>
      </c>
      <c r="N82" s="36"/>
      <c r="O82" s="35">
        <v>30</v>
      </c>
      <c r="P82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0"/>
      <c r="R82" s="720"/>
      <c r="S82" s="720"/>
      <c r="T82" s="72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184</v>
      </c>
      <c r="AG82" s="75"/>
      <c r="AJ82" s="79" t="s">
        <v>46</v>
      </c>
      <c r="AK82" s="79">
        <v>0</v>
      </c>
      <c r="BB82" s="150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idden="1" x14ac:dyDescent="0.2">
      <c r="A83" s="726"/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7"/>
      <c r="P83" s="723" t="s">
        <v>40</v>
      </c>
      <c r="Q83" s="724"/>
      <c r="R83" s="724"/>
      <c r="S83" s="724"/>
      <c r="T83" s="724"/>
      <c r="U83" s="724"/>
      <c r="V83" s="725"/>
      <c r="W83" s="40" t="s">
        <v>39</v>
      </c>
      <c r="X83" s="41">
        <f>IFERROR(X80/H80,"0")+IFERROR(X81/H81,"0")+IFERROR(X82/H82,"0")</f>
        <v>0</v>
      </c>
      <c r="Y83" s="41">
        <f>IFERROR(Y80/H80,"0")+IFERROR(Y81/H81,"0")+IFERROR(Y82/H82,"0")</f>
        <v>0</v>
      </c>
      <c r="Z83" s="41">
        <f>IFERROR(IF(Z80="",0,Z80),"0")+IFERROR(IF(Z81="",0,Z81),"0")+IFERROR(IF(Z82="",0,Z82),"0")</f>
        <v>0</v>
      </c>
      <c r="AA83" s="64"/>
      <c r="AB83" s="64"/>
      <c r="AC83" s="64"/>
    </row>
    <row r="84" spans="1:68" hidden="1" x14ac:dyDescent="0.2">
      <c r="A84" s="726"/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7"/>
      <c r="P84" s="723" t="s">
        <v>40</v>
      </c>
      <c r="Q84" s="724"/>
      <c r="R84" s="724"/>
      <c r="S84" s="724"/>
      <c r="T84" s="724"/>
      <c r="U84" s="724"/>
      <c r="V84" s="725"/>
      <c r="W84" s="40" t="s">
        <v>0</v>
      </c>
      <c r="X84" s="41">
        <f>IFERROR(SUM(X80:X82),"0")</f>
        <v>0</v>
      </c>
      <c r="Y84" s="41">
        <f>IFERROR(SUM(Y80:Y82),"0")</f>
        <v>0</v>
      </c>
      <c r="Z84" s="40"/>
      <c r="AA84" s="64"/>
      <c r="AB84" s="64"/>
      <c r="AC84" s="64"/>
    </row>
    <row r="85" spans="1:68" ht="16.5" hidden="1" customHeight="1" x14ac:dyDescent="0.25">
      <c r="A85" s="716" t="s">
        <v>185</v>
      </c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62"/>
      <c r="AB85" s="62"/>
      <c r="AC85" s="62"/>
    </row>
    <row r="86" spans="1:68" ht="14.25" hidden="1" customHeight="1" x14ac:dyDescent="0.25">
      <c r="A86" s="717" t="s">
        <v>121</v>
      </c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7"/>
      <c r="W86" s="717"/>
      <c r="X86" s="717"/>
      <c r="Y86" s="717"/>
      <c r="Z86" s="717"/>
      <c r="AA86" s="63"/>
      <c r="AB86" s="63"/>
      <c r="AC86" s="63"/>
    </row>
    <row r="87" spans="1:68" ht="27" hidden="1" customHeight="1" x14ac:dyDescent="0.25">
      <c r="A87" s="60" t="s">
        <v>186</v>
      </c>
      <c r="B87" s="60" t="s">
        <v>187</v>
      </c>
      <c r="C87" s="34">
        <v>4301011468</v>
      </c>
      <c r="D87" s="718">
        <v>4680115881327</v>
      </c>
      <c r="E87" s="71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126</v>
      </c>
      <c r="L87" s="35" t="s">
        <v>46</v>
      </c>
      <c r="M87" s="36" t="s">
        <v>96</v>
      </c>
      <c r="N87" s="36"/>
      <c r="O87" s="35">
        <v>50</v>
      </c>
      <c r="P87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189</v>
      </c>
      <c r="B88" s="60" t="s">
        <v>190</v>
      </c>
      <c r="C88" s="34">
        <v>4301012392</v>
      </c>
      <c r="D88" s="718">
        <v>4680115887732</v>
      </c>
      <c r="E88" s="718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130</v>
      </c>
      <c r="L88" s="35" t="s">
        <v>46</v>
      </c>
      <c r="M88" s="36" t="s">
        <v>80</v>
      </c>
      <c r="N88" s="36"/>
      <c r="O88" s="35">
        <v>30</v>
      </c>
      <c r="P88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191</v>
      </c>
      <c r="AG88" s="75"/>
      <c r="AJ88" s="79" t="s">
        <v>46</v>
      </c>
      <c r="AK88" s="79">
        <v>0</v>
      </c>
      <c r="BB88" s="154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4301011476</v>
      </c>
      <c r="D89" s="718">
        <v>4680115881518</v>
      </c>
      <c r="E89" s="71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133</v>
      </c>
      <c r="L89" s="35" t="s">
        <v>46</v>
      </c>
      <c r="M89" s="36" t="s">
        <v>89</v>
      </c>
      <c r="N89" s="36"/>
      <c r="O89" s="35">
        <v>50</v>
      </c>
      <c r="P89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188</v>
      </c>
      <c r="AG89" s="75"/>
      <c r="AJ89" s="79" t="s">
        <v>46</v>
      </c>
      <c r="AK89" s="79">
        <v>0</v>
      </c>
      <c r="BB89" s="156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4301012252</v>
      </c>
      <c r="D90" s="718">
        <v>4680115881518</v>
      </c>
      <c r="E90" s="718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76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0"/>
      <c r="R90" s="720"/>
      <c r="S90" s="720"/>
      <c r="T90" s="72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188</v>
      </c>
      <c r="AG90" s="75"/>
      <c r="AJ90" s="79" t="s">
        <v>46</v>
      </c>
      <c r="AK90" s="79">
        <v>0</v>
      </c>
      <c r="BB90" s="158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195</v>
      </c>
      <c r="B91" s="60" t="s">
        <v>196</v>
      </c>
      <c r="C91" s="34">
        <v>4301012250</v>
      </c>
      <c r="D91" s="718">
        <v>4680115881303</v>
      </c>
      <c r="E91" s="718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133</v>
      </c>
      <c r="L91" s="35" t="s">
        <v>46</v>
      </c>
      <c r="M91" s="36" t="s">
        <v>125</v>
      </c>
      <c r="N91" s="36"/>
      <c r="O91" s="35">
        <v>50</v>
      </c>
      <c r="P91" s="76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0"/>
      <c r="R91" s="720"/>
      <c r="S91" s="720"/>
      <c r="T91" s="721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9" t="s">
        <v>188</v>
      </c>
      <c r="AG91" s="75"/>
      <c r="AJ91" s="79" t="s">
        <v>46</v>
      </c>
      <c r="AK91" s="79">
        <v>0</v>
      </c>
      <c r="BB91" s="160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0" t="s">
        <v>39</v>
      </c>
      <c r="X92" s="41">
        <f>IFERROR(X87/H87,"0")+IFERROR(X88/H88,"0")+IFERROR(X89/H89,"0")+IFERROR(X90/H90,"0")+IFERROR(X91/H91,"0")</f>
        <v>0</v>
      </c>
      <c r="Y92" s="41">
        <f>IFERROR(Y87/H87,"0")+IFERROR(Y88/H88,"0")+IFERROR(Y89/H89,"0")+IFERROR(Y90/H90,"0")+IFERROR(Y91/H91,"0")</f>
        <v>0</v>
      </c>
      <c r="Z92" s="41">
        <f>IFERROR(IF(Z87="",0,Z87),"0")+IFERROR(IF(Z88="",0,Z88),"0")+IFERROR(IF(Z89="",0,Z89),"0")+IFERROR(IF(Z90="",0,Z90),"0")+IFERROR(IF(Z91="",0,Z91),"0")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26"/>
      <c r="B93" s="726"/>
      <c r="C93" s="726"/>
      <c r="D93" s="726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7"/>
      <c r="P93" s="723" t="s">
        <v>40</v>
      </c>
      <c r="Q93" s="724"/>
      <c r="R93" s="724"/>
      <c r="S93" s="724"/>
      <c r="T93" s="724"/>
      <c r="U93" s="724"/>
      <c r="V93" s="725"/>
      <c r="W93" s="40" t="s">
        <v>0</v>
      </c>
      <c r="X93" s="41">
        <f>IFERROR(SUM(X87:X91),"0")</f>
        <v>0</v>
      </c>
      <c r="Y93" s="41">
        <f>IFERROR(SUM(Y87:Y91),"0")</f>
        <v>0</v>
      </c>
      <c r="Z93" s="40"/>
      <c r="AA93" s="64"/>
      <c r="AB93" s="64"/>
      <c r="AC93" s="64"/>
    </row>
    <row r="94" spans="1:68" ht="14.25" hidden="1" customHeight="1" x14ac:dyDescent="0.25">
      <c r="A94" s="717" t="s">
        <v>85</v>
      </c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7"/>
      <c r="W94" s="717"/>
      <c r="X94" s="717"/>
      <c r="Y94" s="717"/>
      <c r="Z94" s="717"/>
      <c r="AA94" s="63"/>
      <c r="AB94" s="63"/>
      <c r="AC94" s="63"/>
    </row>
    <row r="95" spans="1:68" ht="27" hidden="1" customHeight="1" x14ac:dyDescent="0.25">
      <c r="A95" s="60" t="s">
        <v>197</v>
      </c>
      <c r="B95" s="60" t="s">
        <v>198</v>
      </c>
      <c r="C95" s="34">
        <v>4301052101</v>
      </c>
      <c r="D95" s="718">
        <v>4607091386967</v>
      </c>
      <c r="E95" s="718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126</v>
      </c>
      <c r="L95" s="35" t="s">
        <v>46</v>
      </c>
      <c r="M95" s="36" t="s">
        <v>96</v>
      </c>
      <c r="N95" s="36"/>
      <c r="O95" s="35">
        <v>45</v>
      </c>
      <c r="P95" s="76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61" t="s">
        <v>199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200</v>
      </c>
      <c r="B96" s="60" t="s">
        <v>201</v>
      </c>
      <c r="C96" s="34">
        <v>4301052090</v>
      </c>
      <c r="D96" s="718">
        <v>4680115884953</v>
      </c>
      <c r="E96" s="71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6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202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199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207</v>
      </c>
      <c r="AG98" s="75"/>
      <c r="AJ98" s="79" t="s">
        <v>46</v>
      </c>
      <c r="AK98" s="79">
        <v>0</v>
      </c>
      <c r="BB98" s="168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716" t="s">
        <v>208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121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126</v>
      </c>
      <c r="L103" s="35" t="s">
        <v>46</v>
      </c>
      <c r="M103" s="36" t="s">
        <v>125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1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211</v>
      </c>
      <c r="AG103" s="75"/>
      <c r="AJ103" s="79" t="s">
        <v>46</v>
      </c>
      <c r="AK103" s="79">
        <v>0</v>
      </c>
      <c r="BB103" s="170" t="s">
        <v>66</v>
      </c>
      <c r="BM103" s="75">
        <f t="shared" ref="BM103:BM111" si="6">IFERROR(X103*I103/H103,"0")</f>
        <v>0</v>
      </c>
      <c r="BN103" s="75">
        <f t="shared" ref="BN103:BN111" si="7">IFERROR(Y103*I103/H103,"0")</f>
        <v>0</v>
      </c>
      <c r="BO103" s="75">
        <f t="shared" ref="BO103:BO111" si="8">IFERROR(1/J103*(X103/H103),"0")</f>
        <v>0</v>
      </c>
      <c r="BP103" s="75">
        <f t="shared" ref="BP103:BP111" si="9">IFERROR(1/J103*(Y103/H103),"0")</f>
        <v>0</v>
      </c>
    </row>
    <row r="104" spans="1:68" ht="27" hidden="1" customHeight="1" x14ac:dyDescent="0.25">
      <c r="A104" s="60" t="s">
        <v>209</v>
      </c>
      <c r="B104" s="60" t="s">
        <v>212</v>
      </c>
      <c r="C104" s="34">
        <v>4301012256</v>
      </c>
      <c r="D104" s="718">
        <v>4680115882133</v>
      </c>
      <c r="E104" s="71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126</v>
      </c>
      <c r="L104" s="35" t="s">
        <v>46</v>
      </c>
      <c r="M104" s="36" t="s">
        <v>125</v>
      </c>
      <c r="N104" s="36"/>
      <c r="O104" s="35">
        <v>50</v>
      </c>
      <c r="P104" s="77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213</v>
      </c>
      <c r="AG104" s="75"/>
      <c r="AJ104" s="79" t="s">
        <v>46</v>
      </c>
      <c r="AK104" s="79">
        <v>0</v>
      </c>
      <c r="BB104" s="172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214</v>
      </c>
      <c r="B105" s="60" t="s">
        <v>215</v>
      </c>
      <c r="C105" s="34">
        <v>4301012379</v>
      </c>
      <c r="D105" s="718">
        <v>4680115887718</v>
      </c>
      <c r="E105" s="718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130</v>
      </c>
      <c r="L105" s="35" t="s">
        <v>46</v>
      </c>
      <c r="M105" s="36" t="s">
        <v>80</v>
      </c>
      <c r="N105" s="36"/>
      <c r="O105" s="35">
        <v>30</v>
      </c>
      <c r="P105" s="7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216</v>
      </c>
      <c r="AG105" s="75"/>
      <c r="AJ105" s="79" t="s">
        <v>46</v>
      </c>
      <c r="AK105" s="79">
        <v>0</v>
      </c>
      <c r="BB105" s="174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718">
        <v>4680115880269</v>
      </c>
      <c r="E106" s="71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7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211</v>
      </c>
      <c r="AG106" s="75"/>
      <c r="AJ106" s="79" t="s">
        <v>46</v>
      </c>
      <c r="AK106" s="79">
        <v>0</v>
      </c>
      <c r="BB106" s="176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217</v>
      </c>
      <c r="B107" s="60" t="s">
        <v>219</v>
      </c>
      <c r="C107" s="34">
        <v>4301012253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213</v>
      </c>
      <c r="AG107" s="75"/>
      <c r="AJ107" s="79" t="s">
        <v>46</v>
      </c>
      <c r="AK107" s="79">
        <v>0</v>
      </c>
      <c r="BB107" s="178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220</v>
      </c>
      <c r="B108" s="60" t="s">
        <v>221</v>
      </c>
      <c r="C108" s="34">
        <v>4301012254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133</v>
      </c>
      <c r="L108" s="35" t="s">
        <v>46</v>
      </c>
      <c r="M108" s="36" t="s">
        <v>125</v>
      </c>
      <c r="N108" s="36"/>
      <c r="O108" s="35">
        <v>50</v>
      </c>
      <c r="P108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213</v>
      </c>
      <c r="AG108" s="75"/>
      <c r="AJ108" s="79" t="s">
        <v>46</v>
      </c>
      <c r="AK108" s="79">
        <v>0</v>
      </c>
      <c r="BB108" s="180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t="37.5" hidden="1" customHeight="1" x14ac:dyDescent="0.25">
      <c r="A109" s="60" t="s">
        <v>222</v>
      </c>
      <c r="B109" s="60" t="s">
        <v>223</v>
      </c>
      <c r="C109" s="34">
        <v>4301011462</v>
      </c>
      <c r="D109" s="718">
        <v>4680115881457</v>
      </c>
      <c r="E109" s="718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133</v>
      </c>
      <c r="L109" s="35" t="s">
        <v>46</v>
      </c>
      <c r="M109" s="36" t="s">
        <v>89</v>
      </c>
      <c r="N109" s="36"/>
      <c r="O109" s="35">
        <v>50</v>
      </c>
      <c r="P109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211</v>
      </c>
      <c r="AG109" s="75"/>
      <c r="AJ109" s="79" t="s">
        <v>46</v>
      </c>
      <c r="AK109" s="79">
        <v>0</v>
      </c>
      <c r="BB109" s="182" t="s">
        <v>66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222</v>
      </c>
      <c r="B110" s="60" t="s">
        <v>224</v>
      </c>
      <c r="C110" s="34">
        <v>4301012255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133</v>
      </c>
      <c r="L110" s="35" t="s">
        <v>46</v>
      </c>
      <c r="M110" s="36" t="s">
        <v>125</v>
      </c>
      <c r="N110" s="36"/>
      <c r="O110" s="35">
        <v>50</v>
      </c>
      <c r="P110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213</v>
      </c>
      <c r="AG110" s="75"/>
      <c r="AJ110" s="79" t="s">
        <v>46</v>
      </c>
      <c r="AK110" s="79">
        <v>0</v>
      </c>
      <c r="BB110" s="184" t="s">
        <v>66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225</v>
      </c>
      <c r="B111" s="60" t="s">
        <v>226</v>
      </c>
      <c r="C111" s="34">
        <v>4301012366</v>
      </c>
      <c r="D111" s="718">
        <v>4680115889477</v>
      </c>
      <c r="E111" s="718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90</v>
      </c>
      <c r="L111" s="35" t="s">
        <v>46</v>
      </c>
      <c r="M111" s="36" t="s">
        <v>125</v>
      </c>
      <c r="N111" s="36"/>
      <c r="O111" s="35">
        <v>55</v>
      </c>
      <c r="P111" s="77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0"/>
      <c r="R111" s="720"/>
      <c r="S111" s="720"/>
      <c r="T111" s="72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227</v>
      </c>
      <c r="AG111" s="75"/>
      <c r="AJ111" s="79" t="s">
        <v>46</v>
      </c>
      <c r="AK111" s="79">
        <v>0</v>
      </c>
      <c r="BB111" s="186" t="s">
        <v>66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hidden="1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0</v>
      </c>
      <c r="Y112" s="41">
        <f>IFERROR(Y103/H103,"0")+IFERROR(Y104/H104,"0")+IFERROR(Y105/H105,"0")+IFERROR(Y106/H106,"0")+IFERROR(Y107/H107,"0")+IFERROR(Y108/H108,"0")+IFERROR(Y109/H109,"0")+IFERROR(Y110/H110,"0")+IFERROR(Y111/H111,"0")</f>
        <v>0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4"/>
      <c r="AB112" s="64"/>
      <c r="AC112" s="64"/>
    </row>
    <row r="113" spans="1:68" hidden="1" x14ac:dyDescent="0.2">
      <c r="A113" s="726"/>
      <c r="B113" s="726"/>
      <c r="C113" s="726"/>
      <c r="D113" s="726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7"/>
      <c r="P113" s="723" t="s">
        <v>40</v>
      </c>
      <c r="Q113" s="724"/>
      <c r="R113" s="724"/>
      <c r="S113" s="724"/>
      <c r="T113" s="724"/>
      <c r="U113" s="724"/>
      <c r="V113" s="725"/>
      <c r="W113" s="40" t="s">
        <v>0</v>
      </c>
      <c r="X113" s="41">
        <f>IFERROR(SUM(X103:X111),"0")</f>
        <v>0</v>
      </c>
      <c r="Y113" s="41">
        <f>IFERROR(SUM(Y103:Y111),"0")</f>
        <v>0</v>
      </c>
      <c r="Z113" s="40"/>
      <c r="AA113" s="64"/>
      <c r="AB113" s="64"/>
      <c r="AC113" s="64"/>
    </row>
    <row r="114" spans="1:68" ht="14.25" hidden="1" customHeight="1" x14ac:dyDescent="0.25">
      <c r="A114" s="717" t="s">
        <v>158</v>
      </c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7"/>
      <c r="P114" s="717"/>
      <c r="Q114" s="717"/>
      <c r="R114" s="717"/>
      <c r="S114" s="717"/>
      <c r="T114" s="717"/>
      <c r="U114" s="717"/>
      <c r="V114" s="717"/>
      <c r="W114" s="717"/>
      <c r="X114" s="717"/>
      <c r="Y114" s="717"/>
      <c r="Z114" s="717"/>
      <c r="AA114" s="63"/>
      <c r="AB114" s="63"/>
      <c r="AC114" s="63"/>
    </row>
    <row r="115" spans="1:68" ht="27" hidden="1" customHeight="1" x14ac:dyDescent="0.25">
      <c r="A115" s="60" t="s">
        <v>228</v>
      </c>
      <c r="B115" s="60" t="s">
        <v>229</v>
      </c>
      <c r="C115" s="34">
        <v>4301020391</v>
      </c>
      <c r="D115" s="718">
        <v>4680115881488</v>
      </c>
      <c r="E115" s="71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126</v>
      </c>
      <c r="L115" s="35" t="s">
        <v>46</v>
      </c>
      <c r="M115" s="36" t="s">
        <v>125</v>
      </c>
      <c r="N115" s="36"/>
      <c r="O115" s="35">
        <v>55</v>
      </c>
      <c r="P115" s="7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230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231</v>
      </c>
      <c r="B116" s="60" t="s">
        <v>232</v>
      </c>
      <c r="C116" s="34">
        <v>4301020393</v>
      </c>
      <c r="D116" s="718">
        <v>4680115882775</v>
      </c>
      <c r="E116" s="71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81</v>
      </c>
      <c r="L116" s="35" t="s">
        <v>46</v>
      </c>
      <c r="M116" s="36" t="s">
        <v>125</v>
      </c>
      <c r="N116" s="36"/>
      <c r="O116" s="35">
        <v>55</v>
      </c>
      <c r="P116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230</v>
      </c>
      <c r="AG116" s="75"/>
      <c r="AJ116" s="79" t="s">
        <v>46</v>
      </c>
      <c r="AK116" s="79">
        <v>0</v>
      </c>
      <c r="BB116" s="190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234</v>
      </c>
      <c r="C117" s="34">
        <v>4301020392</v>
      </c>
      <c r="D117" s="718">
        <v>4680115880658</v>
      </c>
      <c r="E117" s="71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90</v>
      </c>
      <c r="L117" s="35" t="s">
        <v>46</v>
      </c>
      <c r="M117" s="36" t="s">
        <v>125</v>
      </c>
      <c r="N117" s="36"/>
      <c r="O117" s="35">
        <v>55</v>
      </c>
      <c r="P117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230</v>
      </c>
      <c r="AG117" s="75"/>
      <c r="AJ117" s="79" t="s">
        <v>46</v>
      </c>
      <c r="AK117" s="79">
        <v>0</v>
      </c>
      <c r="BB117" s="192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726"/>
      <c r="B118" s="726"/>
      <c r="C118" s="726"/>
      <c r="D118" s="726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7"/>
      <c r="P118" s="723" t="s">
        <v>40</v>
      </c>
      <c r="Q118" s="724"/>
      <c r="R118" s="724"/>
      <c r="S118" s="724"/>
      <c r="T118" s="724"/>
      <c r="U118" s="724"/>
      <c r="V118" s="725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717" t="s">
        <v>85</v>
      </c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7"/>
      <c r="P120" s="717"/>
      <c r="Q120" s="717"/>
      <c r="R120" s="717"/>
      <c r="S120" s="717"/>
      <c r="T120" s="717"/>
      <c r="U120" s="717"/>
      <c r="V120" s="717"/>
      <c r="W120" s="717"/>
      <c r="X120" s="717"/>
      <c r="Y120" s="717"/>
      <c r="Z120" s="717"/>
      <c r="AA120" s="63"/>
      <c r="AB120" s="63"/>
      <c r="AC120" s="63"/>
    </row>
    <row r="121" spans="1:68" ht="27" hidden="1" customHeight="1" x14ac:dyDescent="0.25">
      <c r="A121" s="60" t="s">
        <v>235</v>
      </c>
      <c r="B121" s="60" t="s">
        <v>236</v>
      </c>
      <c r="C121" s="34">
        <v>4301052088</v>
      </c>
      <c r="D121" s="718">
        <v>4607091385168</v>
      </c>
      <c r="E121" s="71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126</v>
      </c>
      <c r="L121" s="35" t="s">
        <v>46</v>
      </c>
      <c r="M121" s="36" t="s">
        <v>89</v>
      </c>
      <c r="N121" s="36"/>
      <c r="O121" s="35">
        <v>45</v>
      </c>
      <c r="P121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0"/>
      <c r="R121" s="720"/>
      <c r="S121" s="720"/>
      <c r="T121" s="72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IFERROR(IF(Y121=0,"",ROUNDUP(Y121/H121,0)*0.01898),"")</f>
        <v/>
      </c>
      <c r="AA121" s="65" t="s">
        <v>46</v>
      </c>
      <c r="AB121" s="66" t="s">
        <v>46</v>
      </c>
      <c r="AC121" s="193" t="s">
        <v>237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238</v>
      </c>
      <c r="B122" s="60" t="s">
        <v>239</v>
      </c>
      <c r="C122" s="34">
        <v>4301052087</v>
      </c>
      <c r="D122" s="718">
        <v>4607091383256</v>
      </c>
      <c r="E122" s="71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237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hidden="1" customHeight="1" x14ac:dyDescent="0.25">
      <c r="A123" s="60" t="s">
        <v>240</v>
      </c>
      <c r="B123" s="60" t="s">
        <v>241</v>
      </c>
      <c r="C123" s="34">
        <v>4301052086</v>
      </c>
      <c r="D123" s="718">
        <v>4607091385748</v>
      </c>
      <c r="E123" s="71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237</v>
      </c>
      <c r="AG123" s="75"/>
      <c r="AJ123" s="79" t="s">
        <v>46</v>
      </c>
      <c r="AK123" s="79">
        <v>0</v>
      </c>
      <c r="BB123" s="198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t="16.5" hidden="1" customHeight="1" x14ac:dyDescent="0.25">
      <c r="A124" s="60" t="s">
        <v>242</v>
      </c>
      <c r="B124" s="60" t="s">
        <v>243</v>
      </c>
      <c r="C124" s="34">
        <v>4301052085</v>
      </c>
      <c r="D124" s="718">
        <v>4680115884533</v>
      </c>
      <c r="E124" s="71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90</v>
      </c>
      <c r="L124" s="35" t="s">
        <v>46</v>
      </c>
      <c r="M124" s="36" t="s">
        <v>89</v>
      </c>
      <c r="N124" s="36"/>
      <c r="O124" s="35">
        <v>45</v>
      </c>
      <c r="P124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0</v>
      </c>
      <c r="Y124" s="53">
        <f>IFERROR(IF(X124="",0,CEILING((X124/$H124),1)*$H124),"")</f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66</v>
      </c>
      <c r="BM124" s="75">
        <f>IFERROR(X124*I124/H124,"0")</f>
        <v>0</v>
      </c>
      <c r="BN124" s="75">
        <f>IFERROR(Y124*I124/H124,"0")</f>
        <v>0</v>
      </c>
      <c r="BO124" s="75">
        <f>IFERROR(1/J124*(X124/H124),"0")</f>
        <v>0</v>
      </c>
      <c r="BP124" s="75">
        <f>IFERROR(1/J124*(Y124/H124),"0")</f>
        <v>0</v>
      </c>
    </row>
    <row r="125" spans="1:68" hidden="1" x14ac:dyDescent="0.2">
      <c r="A125" s="726"/>
      <c r="B125" s="726"/>
      <c r="C125" s="726"/>
      <c r="D125" s="726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7"/>
      <c r="P125" s="723" t="s">
        <v>40</v>
      </c>
      <c r="Q125" s="724"/>
      <c r="R125" s="724"/>
      <c r="S125" s="724"/>
      <c r="T125" s="724"/>
      <c r="U125" s="724"/>
      <c r="V125" s="725"/>
      <c r="W125" s="40" t="s">
        <v>39</v>
      </c>
      <c r="X125" s="41">
        <f>IFERROR(X121/H121,"0")+IFERROR(X122/H122,"0")+IFERROR(X123/H123,"0")+IFERROR(X124/H124,"0")</f>
        <v>0</v>
      </c>
      <c r="Y125" s="41">
        <f>IFERROR(Y121/H121,"0")+IFERROR(Y122/H122,"0")+IFERROR(Y123/H123,"0")+IFERROR(Y124/H124,"0")</f>
        <v>0</v>
      </c>
      <c r="Z125" s="41">
        <f>IFERROR(IF(Z121="",0,Z121),"0")+IFERROR(IF(Z122="",0,Z122),"0")+IFERROR(IF(Z123="",0,Z123),"0")+IFERROR(IF(Z124="",0,Z124),"0")</f>
        <v>0</v>
      </c>
      <c r="AA125" s="64"/>
      <c r="AB125" s="64"/>
      <c r="AC125" s="64"/>
    </row>
    <row r="126" spans="1:68" hidden="1" x14ac:dyDescent="0.2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0" t="s">
        <v>0</v>
      </c>
      <c r="X126" s="41">
        <f>IFERROR(SUM(X121:X124),"0")</f>
        <v>0</v>
      </c>
      <c r="Y126" s="41">
        <f>IFERROR(SUM(Y121:Y124),"0")</f>
        <v>0</v>
      </c>
      <c r="Z126" s="40"/>
      <c r="AA126" s="64"/>
      <c r="AB126" s="64"/>
      <c r="AC126" s="64"/>
    </row>
    <row r="127" spans="1:68" ht="14.25" hidden="1" customHeight="1" x14ac:dyDescent="0.25">
      <c r="A127" s="717" t="s">
        <v>177</v>
      </c>
      <c r="B127" s="717"/>
      <c r="C127" s="717"/>
      <c r="D127" s="717"/>
      <c r="E127" s="717"/>
      <c r="F127" s="717"/>
      <c r="G127" s="717"/>
      <c r="H127" s="717"/>
      <c r="I127" s="717"/>
      <c r="J127" s="717"/>
      <c r="K127" s="717"/>
      <c r="L127" s="717"/>
      <c r="M127" s="717"/>
      <c r="N127" s="717"/>
      <c r="O127" s="717"/>
      <c r="P127" s="717"/>
      <c r="Q127" s="717"/>
      <c r="R127" s="717"/>
      <c r="S127" s="717"/>
      <c r="T127" s="717"/>
      <c r="U127" s="717"/>
      <c r="V127" s="717"/>
      <c r="W127" s="717"/>
      <c r="X127" s="717"/>
      <c r="Y127" s="717"/>
      <c r="Z127" s="717"/>
      <c r="AA127" s="63"/>
      <c r="AB127" s="63"/>
      <c r="AC127" s="63"/>
    </row>
    <row r="128" spans="1:68" ht="16.5" hidden="1" customHeight="1" x14ac:dyDescent="0.25">
      <c r="A128" s="60" t="s">
        <v>245</v>
      </c>
      <c r="B128" s="60" t="s">
        <v>246</v>
      </c>
      <c r="C128" s="34">
        <v>4301060525</v>
      </c>
      <c r="D128" s="718">
        <v>4680115880238</v>
      </c>
      <c r="E128" s="71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90</v>
      </c>
      <c r="L128" s="35" t="s">
        <v>46</v>
      </c>
      <c r="M128" s="36" t="s">
        <v>89</v>
      </c>
      <c r="N128" s="36"/>
      <c r="O128" s="35">
        <v>40</v>
      </c>
      <c r="P128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1" t="s">
        <v>247</v>
      </c>
      <c r="AG128" s="75"/>
      <c r="AJ128" s="79" t="s">
        <v>46</v>
      </c>
      <c r="AK128" s="79">
        <v>0</v>
      </c>
      <c r="BB128" s="202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idden="1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IFERROR(X128/H128,"0")</f>
        <v>0</v>
      </c>
      <c r="Y129" s="41">
        <f>IFERROR(Y128/H128,"0")</f>
        <v>0</v>
      </c>
      <c r="Z129" s="41">
        <f>IFERROR(IF(Z128="",0,Z128),"0")</f>
        <v>0</v>
      </c>
      <c r="AA129" s="64"/>
      <c r="AB129" s="64"/>
      <c r="AC129" s="64"/>
    </row>
    <row r="130" spans="1:68" hidden="1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IFERROR(SUM(X128:X128),"0")</f>
        <v>0</v>
      </c>
      <c r="Y130" s="41">
        <f>IFERROR(SUM(Y128:Y128),"0")</f>
        <v>0</v>
      </c>
      <c r="Z130" s="40"/>
      <c r="AA130" s="64"/>
      <c r="AB130" s="64"/>
      <c r="AC130" s="64"/>
    </row>
    <row r="131" spans="1:68" ht="16.5" hidden="1" customHeight="1" x14ac:dyDescent="0.25">
      <c r="A131" s="716" t="s">
        <v>248</v>
      </c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62"/>
      <c r="AB131" s="62"/>
      <c r="AC131" s="62"/>
    </row>
    <row r="132" spans="1:68" ht="14.25" hidden="1" customHeight="1" x14ac:dyDescent="0.25">
      <c r="A132" s="717" t="s">
        <v>121</v>
      </c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7"/>
      <c r="P132" s="717"/>
      <c r="Q132" s="717"/>
      <c r="R132" s="717"/>
      <c r="S132" s="717"/>
      <c r="T132" s="717"/>
      <c r="U132" s="717"/>
      <c r="V132" s="717"/>
      <c r="W132" s="717"/>
      <c r="X132" s="717"/>
      <c r="Y132" s="717"/>
      <c r="Z132" s="717"/>
      <c r="AA132" s="63"/>
      <c r="AB132" s="63"/>
      <c r="AC132" s="63"/>
    </row>
    <row r="133" spans="1:68" ht="27" hidden="1" customHeight="1" x14ac:dyDescent="0.25">
      <c r="A133" s="60" t="s">
        <v>249</v>
      </c>
      <c r="B133" s="60" t="s">
        <v>250</v>
      </c>
      <c r="C133" s="34">
        <v>4301011562</v>
      </c>
      <c r="D133" s="718">
        <v>4680115882577</v>
      </c>
      <c r="E133" s="71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252</v>
      </c>
      <c r="N133" s="36"/>
      <c r="O133" s="35">
        <v>90</v>
      </c>
      <c r="P133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251</v>
      </c>
      <c r="AG133" s="75"/>
      <c r="AJ133" s="79" t="s">
        <v>46</v>
      </c>
      <c r="AK133" s="79">
        <v>0</v>
      </c>
      <c r="BB133" s="204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249</v>
      </c>
      <c r="B134" s="60" t="s">
        <v>253</v>
      </c>
      <c r="C134" s="34">
        <v>4301011564</v>
      </c>
      <c r="D134" s="718">
        <v>4680115882577</v>
      </c>
      <c r="E134" s="71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252</v>
      </c>
      <c r="N134" s="36"/>
      <c r="O134" s="35">
        <v>90</v>
      </c>
      <c r="P134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0"/>
      <c r="R134" s="720"/>
      <c r="S134" s="720"/>
      <c r="T134" s="72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05" t="s">
        <v>251</v>
      </c>
      <c r="AG134" s="75"/>
      <c r="AJ134" s="79" t="s">
        <v>46</v>
      </c>
      <c r="AK134" s="79">
        <v>0</v>
      </c>
      <c r="BB134" s="206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726"/>
      <c r="B136" s="726"/>
      <c r="C136" s="726"/>
      <c r="D136" s="726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7"/>
      <c r="P136" s="723" t="s">
        <v>40</v>
      </c>
      <c r="Q136" s="724"/>
      <c r="R136" s="724"/>
      <c r="S136" s="724"/>
      <c r="T136" s="724"/>
      <c r="U136" s="724"/>
      <c r="V136" s="725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717" t="s">
        <v>76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254</v>
      </c>
      <c r="B138" s="60" t="s">
        <v>255</v>
      </c>
      <c r="C138" s="34">
        <v>4301031234</v>
      </c>
      <c r="D138" s="718">
        <v>4680115883444</v>
      </c>
      <c r="E138" s="71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252</v>
      </c>
      <c r="N138" s="36"/>
      <c r="O138" s="35">
        <v>90</v>
      </c>
      <c r="P138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256</v>
      </c>
      <c r="AG138" s="75"/>
      <c r="AJ138" s="79" t="s">
        <v>46</v>
      </c>
      <c r="AK138" s="79">
        <v>0</v>
      </c>
      <c r="BB138" s="208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254</v>
      </c>
      <c r="B139" s="60" t="s">
        <v>257</v>
      </c>
      <c r="C139" s="34">
        <v>4301031235</v>
      </c>
      <c r="D139" s="718">
        <v>4680115883444</v>
      </c>
      <c r="E139" s="71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90</v>
      </c>
      <c r="L139" s="35" t="s">
        <v>46</v>
      </c>
      <c r="M139" s="36" t="s">
        <v>252</v>
      </c>
      <c r="N139" s="36"/>
      <c r="O139" s="35">
        <v>90</v>
      </c>
      <c r="P139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256</v>
      </c>
      <c r="AG139" s="75"/>
      <c r="AJ139" s="79" t="s">
        <v>46</v>
      </c>
      <c r="AK139" s="79">
        <v>0</v>
      </c>
      <c r="BB139" s="210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85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16.5" hidden="1" customHeight="1" x14ac:dyDescent="0.25">
      <c r="A143" s="60" t="s">
        <v>258</v>
      </c>
      <c r="B143" s="60" t="s">
        <v>259</v>
      </c>
      <c r="C143" s="34">
        <v>4301051476</v>
      </c>
      <c r="D143" s="718">
        <v>4680115882584</v>
      </c>
      <c r="E143" s="71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252</v>
      </c>
      <c r="N143" s="36"/>
      <c r="O143" s="35">
        <v>60</v>
      </c>
      <c r="P143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251</v>
      </c>
      <c r="AG143" s="75"/>
      <c r="AJ143" s="79" t="s">
        <v>46</v>
      </c>
      <c r="AK143" s="79">
        <v>0</v>
      </c>
      <c r="BB143" s="212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258</v>
      </c>
      <c r="B144" s="60" t="s">
        <v>260</v>
      </c>
      <c r="C144" s="34">
        <v>4301051477</v>
      </c>
      <c r="D144" s="718">
        <v>4680115882584</v>
      </c>
      <c r="E144" s="71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90</v>
      </c>
      <c r="L144" s="35" t="s">
        <v>46</v>
      </c>
      <c r="M144" s="36" t="s">
        <v>252</v>
      </c>
      <c r="N144" s="36"/>
      <c r="O144" s="35">
        <v>60</v>
      </c>
      <c r="P144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251</v>
      </c>
      <c r="AG144" s="75"/>
      <c r="AJ144" s="79" t="s">
        <v>46</v>
      </c>
      <c r="AK144" s="79">
        <v>0</v>
      </c>
      <c r="BB144" s="214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16" t="s">
        <v>261</v>
      </c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62"/>
      <c r="AB147" s="62"/>
      <c r="AC147" s="62"/>
    </row>
    <row r="148" spans="1:68" ht="14.25" hidden="1" customHeight="1" x14ac:dyDescent="0.25">
      <c r="A148" s="717" t="s">
        <v>85</v>
      </c>
      <c r="B148" s="717"/>
      <c r="C148" s="717"/>
      <c r="D148" s="717"/>
      <c r="E148" s="717"/>
      <c r="F148" s="717"/>
      <c r="G148" s="717"/>
      <c r="H148" s="717"/>
      <c r="I148" s="717"/>
      <c r="J148" s="717"/>
      <c r="K148" s="717"/>
      <c r="L148" s="717"/>
      <c r="M148" s="717"/>
      <c r="N148" s="717"/>
      <c r="O148" s="717"/>
      <c r="P148" s="717"/>
      <c r="Q148" s="717"/>
      <c r="R148" s="717"/>
      <c r="S148" s="717"/>
      <c r="T148" s="717"/>
      <c r="U148" s="717"/>
      <c r="V148" s="717"/>
      <c r="W148" s="717"/>
      <c r="X148" s="717"/>
      <c r="Y148" s="717"/>
      <c r="Z148" s="717"/>
      <c r="AA148" s="63"/>
      <c r="AB148" s="63"/>
      <c r="AC148" s="63"/>
    </row>
    <row r="149" spans="1:68" ht="27" hidden="1" customHeight="1" x14ac:dyDescent="0.25">
      <c r="A149" s="60" t="s">
        <v>262</v>
      </c>
      <c r="B149" s="60" t="s">
        <v>263</v>
      </c>
      <c r="C149" s="34">
        <v>4301052254</v>
      </c>
      <c r="D149" s="718">
        <v>4680115888203</v>
      </c>
      <c r="E149" s="71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264</v>
      </c>
      <c r="AG149" s="75"/>
      <c r="AJ149" s="79" t="s">
        <v>46</v>
      </c>
      <c r="AK149" s="79">
        <v>0</v>
      </c>
      <c r="BB149" s="216" t="s">
        <v>66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265</v>
      </c>
      <c r="B150" s="60" t="s">
        <v>266</v>
      </c>
      <c r="C150" s="34">
        <v>4301052172</v>
      </c>
      <c r="D150" s="718">
        <v>4680115888180</v>
      </c>
      <c r="E150" s="71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0"/>
      <c r="R150" s="720"/>
      <c r="S150" s="720"/>
      <c r="T150" s="72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267</v>
      </c>
      <c r="AG150" s="75"/>
      <c r="AJ150" s="79" t="s">
        <v>46</v>
      </c>
      <c r="AK150" s="79">
        <v>0</v>
      </c>
      <c r="BB150" s="218" t="s">
        <v>66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265</v>
      </c>
      <c r="B151" s="60" t="s">
        <v>268</v>
      </c>
      <c r="C151" s="34">
        <v>4301052252</v>
      </c>
      <c r="D151" s="718">
        <v>4680115888180</v>
      </c>
      <c r="E151" s="71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0"/>
      <c r="R151" s="720"/>
      <c r="S151" s="720"/>
      <c r="T151" s="72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267</v>
      </c>
      <c r="AG151" s="75"/>
      <c r="AJ151" s="79" t="s">
        <v>46</v>
      </c>
      <c r="AK151" s="79">
        <v>0</v>
      </c>
      <c r="BB151" s="220" t="s">
        <v>66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269</v>
      </c>
      <c r="B152" s="60" t="s">
        <v>270</v>
      </c>
      <c r="C152" s="34">
        <v>4301052253</v>
      </c>
      <c r="D152" s="718">
        <v>4680115888197</v>
      </c>
      <c r="E152" s="71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0"/>
      <c r="R152" s="720"/>
      <c r="S152" s="720"/>
      <c r="T152" s="72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271</v>
      </c>
      <c r="AG152" s="75"/>
      <c r="AJ152" s="79" t="s">
        <v>46</v>
      </c>
      <c r="AK152" s="79">
        <v>0</v>
      </c>
      <c r="BB152" s="222" t="s">
        <v>66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272</v>
      </c>
      <c r="B153" s="60" t="s">
        <v>273</v>
      </c>
      <c r="C153" s="34">
        <v>4301052175</v>
      </c>
      <c r="D153" s="718">
        <v>4680115888210</v>
      </c>
      <c r="E153" s="71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90</v>
      </c>
      <c r="L153" s="35" t="s">
        <v>46</v>
      </c>
      <c r="M153" s="36" t="s">
        <v>96</v>
      </c>
      <c r="N153" s="36"/>
      <c r="O153" s="35">
        <v>40</v>
      </c>
      <c r="P153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0"/>
      <c r="R153" s="720"/>
      <c r="S153" s="720"/>
      <c r="T153" s="721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274</v>
      </c>
      <c r="AG153" s="75"/>
      <c r="AJ153" s="79" t="s">
        <v>46</v>
      </c>
      <c r="AK153" s="79">
        <v>0</v>
      </c>
      <c r="BB153" s="224" t="s">
        <v>66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272</v>
      </c>
      <c r="B154" s="60" t="s">
        <v>275</v>
      </c>
      <c r="C154" s="34">
        <v>4301052255</v>
      </c>
      <c r="D154" s="718">
        <v>4680115888210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274</v>
      </c>
      <c r="AG154" s="75"/>
      <c r="AJ154" s="79" t="s">
        <v>46</v>
      </c>
      <c r="AK154" s="79">
        <v>0</v>
      </c>
      <c r="BB154" s="226" t="s">
        <v>66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26"/>
      <c r="B156" s="726"/>
      <c r="C156" s="726"/>
      <c r="D156" s="726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7"/>
      <c r="P156" s="723" t="s">
        <v>40</v>
      </c>
      <c r="Q156" s="724"/>
      <c r="R156" s="724"/>
      <c r="S156" s="724"/>
      <c r="T156" s="724"/>
      <c r="U156" s="724"/>
      <c r="V156" s="725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17" t="s">
        <v>276</v>
      </c>
      <c r="B157" s="717"/>
      <c r="C157" s="717"/>
      <c r="D157" s="717"/>
      <c r="E157" s="717"/>
      <c r="F157" s="717"/>
      <c r="G157" s="717"/>
      <c r="H157" s="717"/>
      <c r="I157" s="717"/>
      <c r="J157" s="717"/>
      <c r="K157" s="717"/>
      <c r="L157" s="717"/>
      <c r="M157" s="717"/>
      <c r="N157" s="717"/>
      <c r="O157" s="717"/>
      <c r="P157" s="717"/>
      <c r="Q157" s="717"/>
      <c r="R157" s="717"/>
      <c r="S157" s="717"/>
      <c r="T157" s="717"/>
      <c r="U157" s="717"/>
      <c r="V157" s="717"/>
      <c r="W157" s="717"/>
      <c r="X157" s="717"/>
      <c r="Y157" s="717"/>
      <c r="Z157" s="717"/>
      <c r="AA157" s="63"/>
      <c r="AB157" s="63"/>
      <c r="AC157" s="63"/>
    </row>
    <row r="158" spans="1:68" ht="27" hidden="1" customHeight="1" x14ac:dyDescent="0.25">
      <c r="A158" s="60" t="s">
        <v>277</v>
      </c>
      <c r="B158" s="60" t="s">
        <v>278</v>
      </c>
      <c r="C158" s="34">
        <v>4301032067</v>
      </c>
      <c r="D158" s="718">
        <v>4680115889132</v>
      </c>
      <c r="E158" s="71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282</v>
      </c>
      <c r="L158" s="35" t="s">
        <v>46</v>
      </c>
      <c r="M158" s="36" t="s">
        <v>281</v>
      </c>
      <c r="N158" s="36"/>
      <c r="O158" s="35">
        <v>120</v>
      </c>
      <c r="P158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279</v>
      </c>
      <c r="AG158" s="75"/>
      <c r="AJ158" s="79" t="s">
        <v>46</v>
      </c>
      <c r="AK158" s="79">
        <v>0</v>
      </c>
      <c r="BB158" s="228" t="s">
        <v>280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26"/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7"/>
      <c r="P159" s="723" t="s">
        <v>40</v>
      </c>
      <c r="Q159" s="724"/>
      <c r="R159" s="724"/>
      <c r="S159" s="724"/>
      <c r="T159" s="724"/>
      <c r="U159" s="724"/>
      <c r="V159" s="725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26"/>
      <c r="B160" s="726"/>
      <c r="C160" s="726"/>
      <c r="D160" s="726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7"/>
      <c r="P160" s="723" t="s">
        <v>40</v>
      </c>
      <c r="Q160" s="724"/>
      <c r="R160" s="724"/>
      <c r="S160" s="724"/>
      <c r="T160" s="724"/>
      <c r="U160" s="724"/>
      <c r="V160" s="725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16" t="s">
        <v>119</v>
      </c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62"/>
      <c r="AB161" s="62"/>
      <c r="AC161" s="62"/>
    </row>
    <row r="162" spans="1:68" ht="14.25" hidden="1" customHeight="1" x14ac:dyDescent="0.25">
      <c r="A162" s="717" t="s">
        <v>121</v>
      </c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7"/>
      <c r="P162" s="717"/>
      <c r="Q162" s="717"/>
      <c r="R162" s="717"/>
      <c r="S162" s="717"/>
      <c r="T162" s="717"/>
      <c r="U162" s="717"/>
      <c r="V162" s="717"/>
      <c r="W162" s="717"/>
      <c r="X162" s="717"/>
      <c r="Y162" s="717"/>
      <c r="Z162" s="717"/>
      <c r="AA162" s="63"/>
      <c r="AB162" s="63"/>
      <c r="AC162" s="63"/>
    </row>
    <row r="163" spans="1:68" ht="27" hidden="1" customHeight="1" x14ac:dyDescent="0.25">
      <c r="A163" s="60" t="s">
        <v>283</v>
      </c>
      <c r="B163" s="60" t="s">
        <v>284</v>
      </c>
      <c r="C163" s="34">
        <v>4301012338</v>
      </c>
      <c r="D163" s="718">
        <v>4680115887374</v>
      </c>
      <c r="E163" s="71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126</v>
      </c>
      <c r="L163" s="35" t="s">
        <v>46</v>
      </c>
      <c r="M163" s="36" t="s">
        <v>125</v>
      </c>
      <c r="N163" s="36"/>
      <c r="O163" s="35">
        <v>55</v>
      </c>
      <c r="P163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0"/>
      <c r="R163" s="720"/>
      <c r="S163" s="720"/>
      <c r="T163" s="72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285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286</v>
      </c>
      <c r="B164" s="60" t="s">
        <v>287</v>
      </c>
      <c r="C164" s="34">
        <v>4301011705</v>
      </c>
      <c r="D164" s="718">
        <v>4607091384604</v>
      </c>
      <c r="E164" s="71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133</v>
      </c>
      <c r="L164" s="35" t="s">
        <v>46</v>
      </c>
      <c r="M164" s="36" t="s">
        <v>125</v>
      </c>
      <c r="N164" s="36"/>
      <c r="O164" s="35">
        <v>50</v>
      </c>
      <c r="P164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288</v>
      </c>
      <c r="AG164" s="75"/>
      <c r="AJ164" s="79" t="s">
        <v>46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286</v>
      </c>
      <c r="B165" s="60" t="s">
        <v>289</v>
      </c>
      <c r="C165" s="34">
        <v>4301012258</v>
      </c>
      <c r="D165" s="718">
        <v>4607091384604</v>
      </c>
      <c r="E165" s="71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133</v>
      </c>
      <c r="L165" s="35" t="s">
        <v>46</v>
      </c>
      <c r="M165" s="36" t="s">
        <v>125</v>
      </c>
      <c r="N165" s="36"/>
      <c r="O165" s="35">
        <v>50</v>
      </c>
      <c r="P165" s="80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0"/>
      <c r="R165" s="720"/>
      <c r="S165" s="720"/>
      <c r="T165" s="72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288</v>
      </c>
      <c r="AG165" s="75"/>
      <c r="AJ165" s="79" t="s">
        <v>46</v>
      </c>
      <c r="AK165" s="79">
        <v>0</v>
      </c>
      <c r="BB165" s="234" t="s">
        <v>66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290</v>
      </c>
      <c r="B166" s="60" t="s">
        <v>291</v>
      </c>
      <c r="C166" s="34">
        <v>4301012344</v>
      </c>
      <c r="D166" s="718">
        <v>4680115888876</v>
      </c>
      <c r="E166" s="71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0"/>
      <c r="R166" s="720"/>
      <c r="S166" s="720"/>
      <c r="T166" s="72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292</v>
      </c>
      <c r="AG166" s="75"/>
      <c r="AJ166" s="79" t="s">
        <v>46</v>
      </c>
      <c r="AK166" s="79">
        <v>0</v>
      </c>
      <c r="BB166" s="236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17" t="s">
        <v>158</v>
      </c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7"/>
      <c r="P169" s="717"/>
      <c r="Q169" s="717"/>
      <c r="R169" s="717"/>
      <c r="S169" s="717"/>
      <c r="T169" s="717"/>
      <c r="U169" s="717"/>
      <c r="V169" s="717"/>
      <c r="W169" s="717"/>
      <c r="X169" s="717"/>
      <c r="Y169" s="717"/>
      <c r="Z169" s="717"/>
      <c r="AA169" s="63"/>
      <c r="AB169" s="63"/>
      <c r="AC169" s="63"/>
    </row>
    <row r="170" spans="1:68" ht="16.5" hidden="1" customHeight="1" x14ac:dyDescent="0.25">
      <c r="A170" s="60" t="s">
        <v>293</v>
      </c>
      <c r="B170" s="60" t="s">
        <v>294</v>
      </c>
      <c r="C170" s="34">
        <v>4301020410</v>
      </c>
      <c r="D170" s="718">
        <v>4680115887695</v>
      </c>
      <c r="E170" s="71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81</v>
      </c>
      <c r="L170" s="35" t="s">
        <v>46</v>
      </c>
      <c r="M170" s="36" t="s">
        <v>80</v>
      </c>
      <c r="N170" s="36"/>
      <c r="O170" s="35">
        <v>30</v>
      </c>
      <c r="P170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IFERROR(IF(Y170=0,"",ROUNDUP(Y170/H170,0)*0.00556),"")</f>
        <v/>
      </c>
      <c r="AA170" s="65" t="s">
        <v>46</v>
      </c>
      <c r="AB170" s="66" t="s">
        <v>46</v>
      </c>
      <c r="AC170" s="237" t="s">
        <v>295</v>
      </c>
      <c r="AG170" s="75"/>
      <c r="AJ170" s="79" t="s">
        <v>46</v>
      </c>
      <c r="AK170" s="79">
        <v>0</v>
      </c>
      <c r="BB170" s="238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296</v>
      </c>
      <c r="B171" s="60" t="s">
        <v>297</v>
      </c>
      <c r="C171" s="34">
        <v>4301020439</v>
      </c>
      <c r="D171" s="718">
        <v>4680115889491</v>
      </c>
      <c r="E171" s="71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81</v>
      </c>
      <c r="L171" s="35" t="s">
        <v>46</v>
      </c>
      <c r="M171" s="36" t="s">
        <v>125</v>
      </c>
      <c r="N171" s="36"/>
      <c r="O171" s="35">
        <v>55</v>
      </c>
      <c r="P171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298</v>
      </c>
      <c r="AG171" s="75"/>
      <c r="AJ171" s="79" t="s">
        <v>46</v>
      </c>
      <c r="AK171" s="79">
        <v>0</v>
      </c>
      <c r="BB171" s="240" t="s">
        <v>66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IFERROR(X170/H170,"0")+IFERROR(X171/H171,"0")</f>
        <v>0</v>
      </c>
      <c r="Y172" s="41">
        <f>IFERROR(Y170/H170,"0")+IFERROR(Y171/H171,"0")</f>
        <v>0</v>
      </c>
      <c r="Z172" s="41">
        <f>IFERROR(IF(Z170="",0,Z170),"0")+IFERROR(IF(Z171="",0,Z171),"0")</f>
        <v>0</v>
      </c>
      <c r="AA172" s="64"/>
      <c r="AB172" s="64"/>
      <c r="AC172" s="64"/>
    </row>
    <row r="173" spans="1:68" hidden="1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IFERROR(SUM(X170:X171),"0")</f>
        <v>0</v>
      </c>
      <c r="Y173" s="41">
        <f>IFERROR(SUM(Y170:Y171),"0")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7" t="s">
        <v>76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27" hidden="1" customHeight="1" x14ac:dyDescent="0.25">
      <c r="A175" s="60" t="s">
        <v>299</v>
      </c>
      <c r="B175" s="60" t="s">
        <v>300</v>
      </c>
      <c r="C175" s="34">
        <v>4301031496</v>
      </c>
      <c r="D175" s="718">
        <v>4680115887428</v>
      </c>
      <c r="E175" s="71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40</v>
      </c>
      <c r="P175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ref="Y175:Y185" si="16">IFERROR(IF(X175="",0,CEILING((X175/$H175),1)*$H175),"")</f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301</v>
      </c>
      <c r="AG175" s="75"/>
      <c r="AJ175" s="79" t="s">
        <v>46</v>
      </c>
      <c r="AK175" s="79">
        <v>0</v>
      </c>
      <c r="BB175" s="242" t="s">
        <v>66</v>
      </c>
      <c r="BM175" s="75">
        <f t="shared" ref="BM175:BM185" si="17">IFERROR(X175*I175/H175,"0")</f>
        <v>0</v>
      </c>
      <c r="BN175" s="75">
        <f t="shared" ref="BN175:BN185" si="18">IFERROR(Y175*I175/H175,"0")</f>
        <v>0</v>
      </c>
      <c r="BO175" s="75">
        <f t="shared" ref="BO175:BO185" si="19">IFERROR(1/J175*(X175/H175),"0")</f>
        <v>0</v>
      </c>
      <c r="BP175" s="75">
        <f t="shared" ref="BP175:BP185" si="20">IFERROR(1/J175*(Y175/H175),"0")</f>
        <v>0</v>
      </c>
    </row>
    <row r="176" spans="1:68" ht="27" hidden="1" customHeight="1" x14ac:dyDescent="0.25">
      <c r="A176" s="60" t="s">
        <v>302</v>
      </c>
      <c r="B176" s="60" t="s">
        <v>303</v>
      </c>
      <c r="C176" s="34">
        <v>4301031509</v>
      </c>
      <c r="D176" s="718">
        <v>4680115889170</v>
      </c>
      <c r="E176" s="71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304</v>
      </c>
      <c r="AG176" s="75"/>
      <c r="AJ176" s="79" t="s">
        <v>46</v>
      </c>
      <c r="AK176" s="79">
        <v>0</v>
      </c>
      <c r="BB176" s="244" t="s">
        <v>66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305</v>
      </c>
      <c r="B177" s="60" t="s">
        <v>306</v>
      </c>
      <c r="C177" s="34">
        <v>4301031522</v>
      </c>
      <c r="D177" s="718">
        <v>4680115887398</v>
      </c>
      <c r="E177" s="71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133</v>
      </c>
      <c r="L177" s="35" t="s">
        <v>46</v>
      </c>
      <c r="M177" s="36" t="s">
        <v>80</v>
      </c>
      <c r="N177" s="36"/>
      <c r="O177" s="35">
        <v>45</v>
      </c>
      <c r="P177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0"/>
      <c r="R177" s="720"/>
      <c r="S177" s="720"/>
      <c r="T177" s="72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307</v>
      </c>
      <c r="AG177" s="75"/>
      <c r="AJ177" s="79" t="s">
        <v>46</v>
      </c>
      <c r="AK177" s="79">
        <v>0</v>
      </c>
      <c r="BB177" s="246" t="s">
        <v>66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308</v>
      </c>
      <c r="B178" s="60" t="s">
        <v>309</v>
      </c>
      <c r="C178" s="34">
        <v>4301031520</v>
      </c>
      <c r="D178" s="718">
        <v>4680115887336</v>
      </c>
      <c r="E178" s="71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133</v>
      </c>
      <c r="L178" s="35" t="s">
        <v>46</v>
      </c>
      <c r="M178" s="36" t="s">
        <v>80</v>
      </c>
      <c r="N178" s="36"/>
      <c r="O178" s="35">
        <v>45</v>
      </c>
      <c r="P178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0"/>
      <c r="R178" s="720"/>
      <c r="S178" s="720"/>
      <c r="T178" s="72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310</v>
      </c>
      <c r="AG178" s="75"/>
      <c r="AJ178" s="79" t="s">
        <v>46</v>
      </c>
      <c r="AK178" s="79">
        <v>0</v>
      </c>
      <c r="BB178" s="248" t="s">
        <v>66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311</v>
      </c>
      <c r="B179" s="60" t="s">
        <v>312</v>
      </c>
      <c r="C179" s="34">
        <v>4301032049</v>
      </c>
      <c r="D179" s="718">
        <v>4680115887787</v>
      </c>
      <c r="E179" s="71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130</v>
      </c>
      <c r="L179" s="35" t="s">
        <v>46</v>
      </c>
      <c r="M179" s="36" t="s">
        <v>80</v>
      </c>
      <c r="N179" s="36"/>
      <c r="O179" s="35">
        <v>45</v>
      </c>
      <c r="P179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0"/>
      <c r="R179" s="720"/>
      <c r="S179" s="720"/>
      <c r="T179" s="72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IFERROR(IF(Y179=0,"",ROUNDUP(Y179/H179,0)*0.00417),"")</f>
        <v/>
      </c>
      <c r="AA179" s="65" t="s">
        <v>46</v>
      </c>
      <c r="AB179" s="66" t="s">
        <v>46</v>
      </c>
      <c r="AC179" s="249" t="s">
        <v>313</v>
      </c>
      <c r="AG179" s="75"/>
      <c r="AJ179" s="79" t="s">
        <v>46</v>
      </c>
      <c r="AK179" s="79">
        <v>0</v>
      </c>
      <c r="BB179" s="250" t="s">
        <v>66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16.5" hidden="1" customHeight="1" x14ac:dyDescent="0.25">
      <c r="A180" s="60" t="s">
        <v>311</v>
      </c>
      <c r="B180" s="60" t="s">
        <v>314</v>
      </c>
      <c r="C180" s="34">
        <v>4301031528</v>
      </c>
      <c r="D180" s="718">
        <v>4680115887787</v>
      </c>
      <c r="E180" s="71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66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315</v>
      </c>
      <c r="B181" s="60" t="s">
        <v>316</v>
      </c>
      <c r="C181" s="34">
        <v>4301031448</v>
      </c>
      <c r="D181" s="718">
        <v>4680115887503</v>
      </c>
      <c r="E181" s="71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40</v>
      </c>
      <c r="P181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301</v>
      </c>
      <c r="AG181" s="75"/>
      <c r="AJ181" s="79" t="s">
        <v>46</v>
      </c>
      <c r="AK181" s="79">
        <v>0</v>
      </c>
      <c r="BB181" s="254" t="s">
        <v>66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4301031389</v>
      </c>
      <c r="D182" s="718">
        <v>4680115887763</v>
      </c>
      <c r="E182" s="718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66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4301031521</v>
      </c>
      <c r="D183" s="718">
        <v>4680115887480</v>
      </c>
      <c r="E183" s="71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307</v>
      </c>
      <c r="AG183" s="75"/>
      <c r="AJ183" s="79" t="s">
        <v>46</v>
      </c>
      <c r="AK183" s="79">
        <v>0</v>
      </c>
      <c r="BB183" s="258" t="s">
        <v>66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322</v>
      </c>
      <c r="B184" s="60" t="s">
        <v>323</v>
      </c>
      <c r="C184" s="34">
        <v>4301031434</v>
      </c>
      <c r="D184" s="718">
        <v>4680115888067</v>
      </c>
      <c r="E184" s="71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130</v>
      </c>
      <c r="L184" s="35" t="s">
        <v>46</v>
      </c>
      <c r="M184" s="36" t="s">
        <v>80</v>
      </c>
      <c r="N184" s="36"/>
      <c r="O184" s="35">
        <v>45</v>
      </c>
      <c r="P184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66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hidden="1" customHeight="1" x14ac:dyDescent="0.25">
      <c r="A185" s="60" t="s">
        <v>325</v>
      </c>
      <c r="B185" s="60" t="s">
        <v>326</v>
      </c>
      <c r="C185" s="34">
        <v>4301031519</v>
      </c>
      <c r="D185" s="718">
        <v>4680115887435</v>
      </c>
      <c r="E185" s="71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45</v>
      </c>
      <c r="P185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6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61" t="s">
        <v>310</v>
      </c>
      <c r="AG185" s="75"/>
      <c r="AJ185" s="79" t="s">
        <v>46</v>
      </c>
      <c r="AK185" s="79">
        <v>0</v>
      </c>
      <c r="BB185" s="262" t="s">
        <v>66</v>
      </c>
      <c r="BM185" s="75">
        <f t="shared" si="17"/>
        <v>0</v>
      </c>
      <c r="BN185" s="75">
        <f t="shared" si="18"/>
        <v>0</v>
      </c>
      <c r="BO185" s="75">
        <f t="shared" si="19"/>
        <v>0</v>
      </c>
      <c r="BP185" s="75">
        <f t="shared" si="20"/>
        <v>0</v>
      </c>
    </row>
    <row r="186" spans="1:68" hidden="1" x14ac:dyDescent="0.2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4"/>
      <c r="AB186" s="64"/>
      <c r="AC186" s="64"/>
    </row>
    <row r="187" spans="1:68" hidden="1" x14ac:dyDescent="0.2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0" t="s">
        <v>0</v>
      </c>
      <c r="X187" s="41">
        <f>IFERROR(SUM(X175:X185),"0")</f>
        <v>0</v>
      </c>
      <c r="Y187" s="41">
        <f>IFERROR(SUM(Y175:Y185),"0")</f>
        <v>0</v>
      </c>
      <c r="Z187" s="40"/>
      <c r="AA187" s="64"/>
      <c r="AB187" s="64"/>
      <c r="AC187" s="64"/>
    </row>
    <row r="188" spans="1:68" ht="14.25" hidden="1" customHeight="1" x14ac:dyDescent="0.25">
      <c r="A188" s="717" t="s">
        <v>85</v>
      </c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7"/>
      <c r="P188" s="717"/>
      <c r="Q188" s="717"/>
      <c r="R188" s="717"/>
      <c r="S188" s="717"/>
      <c r="T188" s="717"/>
      <c r="U188" s="717"/>
      <c r="V188" s="717"/>
      <c r="W188" s="717"/>
      <c r="X188" s="717"/>
      <c r="Y188" s="717"/>
      <c r="Z188" s="717"/>
      <c r="AA188" s="63"/>
      <c r="AB188" s="63"/>
      <c r="AC188" s="63"/>
    </row>
    <row r="189" spans="1:68" ht="16.5" hidden="1" customHeight="1" x14ac:dyDescent="0.25">
      <c r="A189" s="60" t="s">
        <v>327</v>
      </c>
      <c r="B189" s="60" t="s">
        <v>328</v>
      </c>
      <c r="C189" s="34">
        <v>4301052193</v>
      </c>
      <c r="D189" s="718">
        <v>4680115888395</v>
      </c>
      <c r="E189" s="71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90</v>
      </c>
      <c r="L189" s="35" t="s">
        <v>46</v>
      </c>
      <c r="M189" s="36" t="s">
        <v>96</v>
      </c>
      <c r="N189" s="36"/>
      <c r="O189" s="35">
        <v>40</v>
      </c>
      <c r="P189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329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330</v>
      </c>
      <c r="B190" s="60" t="s">
        <v>331</v>
      </c>
      <c r="C190" s="34">
        <v>4301052191</v>
      </c>
      <c r="D190" s="718">
        <v>4680115888371</v>
      </c>
      <c r="E190" s="71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90</v>
      </c>
      <c r="L190" s="35" t="s">
        <v>46</v>
      </c>
      <c r="M190" s="36" t="s">
        <v>96</v>
      </c>
      <c r="N190" s="36"/>
      <c r="O190" s="35">
        <v>40</v>
      </c>
      <c r="P190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332</v>
      </c>
      <c r="AG190" s="75"/>
      <c r="AJ190" s="79" t="s">
        <v>46</v>
      </c>
      <c r="AK190" s="79">
        <v>0</v>
      </c>
      <c r="BB190" s="266" t="s">
        <v>66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333</v>
      </c>
      <c r="B191" s="60" t="s">
        <v>334</v>
      </c>
      <c r="C191" s="34">
        <v>4301052064</v>
      </c>
      <c r="D191" s="718">
        <v>4680115887459</v>
      </c>
      <c r="E191" s="71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90</v>
      </c>
      <c r="L191" s="35" t="s">
        <v>46</v>
      </c>
      <c r="M191" s="36" t="s">
        <v>89</v>
      </c>
      <c r="N191" s="36"/>
      <c r="O191" s="35">
        <v>45</v>
      </c>
      <c r="P191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335</v>
      </c>
      <c r="AG191" s="75"/>
      <c r="AJ191" s="79" t="s">
        <v>46</v>
      </c>
      <c r="AK191" s="79">
        <v>0</v>
      </c>
      <c r="BB191" s="268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276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336</v>
      </c>
      <c r="B195" s="60" t="s">
        <v>337</v>
      </c>
      <c r="C195" s="34">
        <v>4301032058</v>
      </c>
      <c r="D195" s="718">
        <v>4680115889026</v>
      </c>
      <c r="E195" s="71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339</v>
      </c>
      <c r="L195" s="35" t="s">
        <v>46</v>
      </c>
      <c r="M195" s="36" t="s">
        <v>281</v>
      </c>
      <c r="N195" s="36"/>
      <c r="O195" s="35">
        <v>60</v>
      </c>
      <c r="P195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338</v>
      </c>
      <c r="AG195" s="75"/>
      <c r="AJ195" s="79" t="s">
        <v>46</v>
      </c>
      <c r="AK195" s="79">
        <v>0</v>
      </c>
      <c r="BB195" s="270" t="s">
        <v>66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726"/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7"/>
      <c r="P196" s="723" t="s">
        <v>40</v>
      </c>
      <c r="Q196" s="724"/>
      <c r="R196" s="724"/>
      <c r="S196" s="724"/>
      <c r="T196" s="724"/>
      <c r="U196" s="724"/>
      <c r="V196" s="725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726"/>
      <c r="B197" s="726"/>
      <c r="C197" s="726"/>
      <c r="D197" s="726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7"/>
      <c r="P197" s="723" t="s">
        <v>40</v>
      </c>
      <c r="Q197" s="724"/>
      <c r="R197" s="724"/>
      <c r="S197" s="724"/>
      <c r="T197" s="724"/>
      <c r="U197" s="724"/>
      <c r="V197" s="725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17" t="s">
        <v>340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3"/>
      <c r="AB198" s="63"/>
      <c r="AC198" s="63"/>
    </row>
    <row r="199" spans="1:68" ht="27" hidden="1" customHeight="1" x14ac:dyDescent="0.25">
      <c r="A199" s="60" t="s">
        <v>341</v>
      </c>
      <c r="B199" s="60" t="s">
        <v>342</v>
      </c>
      <c r="C199" s="34">
        <v>4301041009</v>
      </c>
      <c r="D199" s="718">
        <v>4680115889033</v>
      </c>
      <c r="E199" s="718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339</v>
      </c>
      <c r="L199" s="35" t="s">
        <v>46</v>
      </c>
      <c r="M199" s="36" t="s">
        <v>281</v>
      </c>
      <c r="N199" s="36"/>
      <c r="O199" s="35">
        <v>60</v>
      </c>
      <c r="P199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0"/>
      <c r="R199" s="720"/>
      <c r="S199" s="720"/>
      <c r="T199" s="72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343</v>
      </c>
      <c r="AG199" s="75"/>
      <c r="AJ199" s="79" t="s">
        <v>46</v>
      </c>
      <c r="AK199" s="79">
        <v>0</v>
      </c>
      <c r="BB199" s="272" t="s">
        <v>66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726"/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7"/>
      <c r="P200" s="723" t="s">
        <v>40</v>
      </c>
      <c r="Q200" s="724"/>
      <c r="R200" s="724"/>
      <c r="S200" s="724"/>
      <c r="T200" s="724"/>
      <c r="U200" s="724"/>
      <c r="V200" s="725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726"/>
      <c r="B201" s="726"/>
      <c r="C201" s="726"/>
      <c r="D201" s="726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7"/>
      <c r="P201" s="723" t="s">
        <v>40</v>
      </c>
      <c r="Q201" s="724"/>
      <c r="R201" s="724"/>
      <c r="S201" s="724"/>
      <c r="T201" s="724"/>
      <c r="U201" s="724"/>
      <c r="V201" s="725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715" t="s">
        <v>344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52"/>
      <c r="AB202" s="52"/>
      <c r="AC202" s="52"/>
    </row>
    <row r="203" spans="1:68" ht="16.5" hidden="1" customHeight="1" x14ac:dyDescent="0.25">
      <c r="A203" s="716" t="s">
        <v>345</v>
      </c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  <c r="AA203" s="62"/>
      <c r="AB203" s="62"/>
      <c r="AC203" s="62"/>
    </row>
    <row r="204" spans="1:68" ht="14.25" hidden="1" customHeight="1" x14ac:dyDescent="0.25">
      <c r="A204" s="717" t="s">
        <v>121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346</v>
      </c>
      <c r="B205" s="60" t="s">
        <v>347</v>
      </c>
      <c r="C205" s="34">
        <v>4301011223</v>
      </c>
      <c r="D205" s="718">
        <v>4607091383423</v>
      </c>
      <c r="E205" s="718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124</v>
      </c>
      <c r="AG205" s="75"/>
      <c r="AJ205" s="79" t="s">
        <v>46</v>
      </c>
      <c r="AK205" s="79">
        <v>0</v>
      </c>
      <c r="BB205" s="274" t="s">
        <v>66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348</v>
      </c>
      <c r="B206" s="60" t="s">
        <v>349</v>
      </c>
      <c r="C206" s="34">
        <v>4301012340</v>
      </c>
      <c r="D206" s="718">
        <v>4680115888760</v>
      </c>
      <c r="E206" s="718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0"/>
      <c r="R206" s="720"/>
      <c r="S206" s="720"/>
      <c r="T206" s="72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350</v>
      </c>
      <c r="AG206" s="75"/>
      <c r="AJ206" s="79" t="s">
        <v>46</v>
      </c>
      <c r="AK206" s="79">
        <v>0</v>
      </c>
      <c r="BB206" s="276" t="s">
        <v>66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351</v>
      </c>
      <c r="B207" s="60" t="s">
        <v>352</v>
      </c>
      <c r="C207" s="34">
        <v>4301012341</v>
      </c>
      <c r="D207" s="718">
        <v>4680115888807</v>
      </c>
      <c r="E207" s="71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0"/>
      <c r="R207" s="720"/>
      <c r="S207" s="720"/>
      <c r="T207" s="72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353</v>
      </c>
      <c r="AG207" s="75"/>
      <c r="AJ207" s="79" t="s">
        <v>46</v>
      </c>
      <c r="AK207" s="79">
        <v>0</v>
      </c>
      <c r="BB207" s="278" t="s">
        <v>66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354</v>
      </c>
      <c r="B208" s="60" t="s">
        <v>355</v>
      </c>
      <c r="C208" s="34">
        <v>4301012342</v>
      </c>
      <c r="D208" s="718">
        <v>4680115888852</v>
      </c>
      <c r="E208" s="718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0"/>
      <c r="R208" s="720"/>
      <c r="S208" s="720"/>
      <c r="T208" s="72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356</v>
      </c>
      <c r="AG208" s="75"/>
      <c r="AJ208" s="79" t="s">
        <v>46</v>
      </c>
      <c r="AK208" s="79">
        <v>0</v>
      </c>
      <c r="BB208" s="280" t="s">
        <v>66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357</v>
      </c>
      <c r="B209" s="60" t="s">
        <v>358</v>
      </c>
      <c r="C209" s="34">
        <v>4301012370</v>
      </c>
      <c r="D209" s="718">
        <v>4680115886957</v>
      </c>
      <c r="E209" s="718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0"/>
      <c r="R209" s="720"/>
      <c r="S209" s="720"/>
      <c r="T209" s="72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359</v>
      </c>
      <c r="AG209" s="75"/>
      <c r="AJ209" s="79" t="s">
        <v>46</v>
      </c>
      <c r="AK209" s="79">
        <v>0</v>
      </c>
      <c r="BB209" s="282" t="s">
        <v>66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360</v>
      </c>
      <c r="B210" s="60" t="s">
        <v>361</v>
      </c>
      <c r="C210" s="34">
        <v>4301012098</v>
      </c>
      <c r="D210" s="718">
        <v>4680115885660</v>
      </c>
      <c r="E210" s="718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126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0"/>
      <c r="R210" s="720"/>
      <c r="S210" s="720"/>
      <c r="T210" s="72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362</v>
      </c>
      <c r="AG210" s="75"/>
      <c r="AJ210" s="79" t="s">
        <v>46</v>
      </c>
      <c r="AK210" s="79">
        <v>0</v>
      </c>
      <c r="BB210" s="284" t="s">
        <v>66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363</v>
      </c>
      <c r="B211" s="60" t="s">
        <v>364</v>
      </c>
      <c r="C211" s="34">
        <v>4301012369</v>
      </c>
      <c r="D211" s="718">
        <v>4680115886773</v>
      </c>
      <c r="E211" s="718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126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365</v>
      </c>
      <c r="AG211" s="75"/>
      <c r="AJ211" s="79" t="s">
        <v>46</v>
      </c>
      <c r="AK211" s="79">
        <v>0</v>
      </c>
      <c r="BB211" s="286" t="s">
        <v>66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726"/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7"/>
      <c r="P213" s="723" t="s">
        <v>40</v>
      </c>
      <c r="Q213" s="724"/>
      <c r="R213" s="724"/>
      <c r="S213" s="724"/>
      <c r="T213" s="724"/>
      <c r="U213" s="724"/>
      <c r="V213" s="725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716" t="s">
        <v>366</v>
      </c>
      <c r="B214" s="716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  <c r="AA214" s="62"/>
      <c r="AB214" s="62"/>
      <c r="AC214" s="62"/>
    </row>
    <row r="215" spans="1:68" ht="14.25" hidden="1" customHeight="1" x14ac:dyDescent="0.25">
      <c r="A215" s="717" t="s">
        <v>158</v>
      </c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7"/>
      <c r="P215" s="717"/>
      <c r="Q215" s="717"/>
      <c r="R215" s="717"/>
      <c r="S215" s="717"/>
      <c r="T215" s="717"/>
      <c r="U215" s="717"/>
      <c r="V215" s="717"/>
      <c r="W215" s="717"/>
      <c r="X215" s="717"/>
      <c r="Y215" s="717"/>
      <c r="Z215" s="717"/>
      <c r="AA215" s="63"/>
      <c r="AB215" s="63"/>
      <c r="AC215" s="63"/>
    </row>
    <row r="216" spans="1:68" ht="27" hidden="1" customHeight="1" x14ac:dyDescent="0.25">
      <c r="A216" s="60" t="s">
        <v>367</v>
      </c>
      <c r="B216" s="60" t="s">
        <v>368</v>
      </c>
      <c r="C216" s="34">
        <v>4301020323</v>
      </c>
      <c r="D216" s="718">
        <v>4680115886223</v>
      </c>
      <c r="E216" s="718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81</v>
      </c>
      <c r="L216" s="35" t="s">
        <v>46</v>
      </c>
      <c r="M216" s="36" t="s">
        <v>80</v>
      </c>
      <c r="N216" s="36"/>
      <c r="O216" s="35">
        <v>40</v>
      </c>
      <c r="P216" s="8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369</v>
      </c>
      <c r="AG216" s="75"/>
      <c r="AJ216" s="79" t="s">
        <v>46</v>
      </c>
      <c r="AK216" s="79">
        <v>0</v>
      </c>
      <c r="BB216" s="288" t="s">
        <v>66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726"/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7"/>
      <c r="P217" s="723" t="s">
        <v>40</v>
      </c>
      <c r="Q217" s="724"/>
      <c r="R217" s="724"/>
      <c r="S217" s="724"/>
      <c r="T217" s="724"/>
      <c r="U217" s="724"/>
      <c r="V217" s="725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717" t="s">
        <v>76</v>
      </c>
      <c r="B219" s="717"/>
      <c r="C219" s="717"/>
      <c r="D219" s="717"/>
      <c r="E219" s="717"/>
      <c r="F219" s="717"/>
      <c r="G219" s="717"/>
      <c r="H219" s="717"/>
      <c r="I219" s="717"/>
      <c r="J219" s="717"/>
      <c r="K219" s="717"/>
      <c r="L219" s="717"/>
      <c r="M219" s="717"/>
      <c r="N219" s="717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63"/>
      <c r="AB219" s="63"/>
      <c r="AC219" s="63"/>
    </row>
    <row r="220" spans="1:68" ht="27" hidden="1" customHeight="1" x14ac:dyDescent="0.25">
      <c r="A220" s="60" t="s">
        <v>370</v>
      </c>
      <c r="B220" s="60" t="s">
        <v>371</v>
      </c>
      <c r="C220" s="34">
        <v>4301031191</v>
      </c>
      <c r="D220" s="718">
        <v>4680115880993</v>
      </c>
      <c r="E220" s="718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0"/>
      <c r="R220" s="720"/>
      <c r="S220" s="720"/>
      <c r="T220" s="72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ref="Y220:Y234" si="27">IFERROR(IF(X220="",0,CEILING((X220/$H220),1)*$H220),"")</f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372</v>
      </c>
      <c r="AG220" s="75"/>
      <c r="AJ220" s="79" t="s">
        <v>46</v>
      </c>
      <c r="AK220" s="79">
        <v>0</v>
      </c>
      <c r="BB220" s="290" t="s">
        <v>66</v>
      </c>
      <c r="BM220" s="75">
        <f t="shared" ref="BM220:BM234" si="28">IFERROR(X220*I220/H220,"0")</f>
        <v>0</v>
      </c>
      <c r="BN220" s="75">
        <f t="shared" ref="BN220:BN234" si="29">IFERROR(Y220*I220/H220,"0")</f>
        <v>0</v>
      </c>
      <c r="BO220" s="75">
        <f t="shared" ref="BO220:BO234" si="30">IFERROR(1/J220*(X220/H220),"0")</f>
        <v>0</v>
      </c>
      <c r="BP220" s="75">
        <f t="shared" ref="BP220:BP234" si="31">IFERROR(1/J220*(Y220/H220),"0")</f>
        <v>0</v>
      </c>
    </row>
    <row r="221" spans="1:68" ht="27" hidden="1" customHeight="1" x14ac:dyDescent="0.25">
      <c r="A221" s="60" t="s">
        <v>373</v>
      </c>
      <c r="B221" s="60" t="s">
        <v>374</v>
      </c>
      <c r="C221" s="34">
        <v>4301031204</v>
      </c>
      <c r="D221" s="718">
        <v>4680115881761</v>
      </c>
      <c r="E221" s="71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133</v>
      </c>
      <c r="L221" s="35" t="s">
        <v>46</v>
      </c>
      <c r="M221" s="36" t="s">
        <v>80</v>
      </c>
      <c r="N221" s="36"/>
      <c r="O221" s="35">
        <v>40</v>
      </c>
      <c r="P221" s="8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0"/>
      <c r="R221" s="720"/>
      <c r="S221" s="720"/>
      <c r="T221" s="72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>IFERROR(IF(Y221=0,"",ROUNDUP(Y221/H221,0)*0.00902),"")</f>
        <v/>
      </c>
      <c r="AA221" s="65" t="s">
        <v>46</v>
      </c>
      <c r="AB221" s="66" t="s">
        <v>46</v>
      </c>
      <c r="AC221" s="291" t="s">
        <v>375</v>
      </c>
      <c r="AG221" s="75"/>
      <c r="AJ221" s="79" t="s">
        <v>46</v>
      </c>
      <c r="AK221" s="79">
        <v>0</v>
      </c>
      <c r="BB221" s="292" t="s">
        <v>66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376</v>
      </c>
      <c r="B222" s="60" t="s">
        <v>377</v>
      </c>
      <c r="C222" s="34">
        <v>4301031201</v>
      </c>
      <c r="D222" s="718">
        <v>4680115881563</v>
      </c>
      <c r="E222" s="718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133</v>
      </c>
      <c r="L222" s="35" t="s">
        <v>46</v>
      </c>
      <c r="M222" s="36" t="s">
        <v>80</v>
      </c>
      <c r="N222" s="36"/>
      <c r="O222" s="35">
        <v>40</v>
      </c>
      <c r="P22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>IFERROR(IF(Y222=0,"",ROUNDUP(Y222/H222,0)*0.00902),"")</f>
        <v/>
      </c>
      <c r="AA222" s="65" t="s">
        <v>46</v>
      </c>
      <c r="AB222" s="66" t="s">
        <v>46</v>
      </c>
      <c r="AC222" s="293" t="s">
        <v>378</v>
      </c>
      <c r="AG222" s="75"/>
      <c r="AJ222" s="79" t="s">
        <v>46</v>
      </c>
      <c r="AK222" s="79">
        <v>0</v>
      </c>
      <c r="BB222" s="294" t="s">
        <v>66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37.5" hidden="1" customHeight="1" x14ac:dyDescent="0.25">
      <c r="A223" s="60" t="s">
        <v>379</v>
      </c>
      <c r="B223" s="60" t="s">
        <v>380</v>
      </c>
      <c r="C223" s="34">
        <v>4301031447</v>
      </c>
      <c r="D223" s="718">
        <v>4680115887565</v>
      </c>
      <c r="E223" s="718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0"/>
      <c r="R223" s="720"/>
      <c r="S223" s="720"/>
      <c r="T223" s="72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>IFERROR(IF(Y223=0,"",ROUNDUP(Y223/H223,0)*0.00556),"")</f>
        <v/>
      </c>
      <c r="AA223" s="65" t="s">
        <v>46</v>
      </c>
      <c r="AB223" s="66" t="s">
        <v>46</v>
      </c>
      <c r="AC223" s="295" t="s">
        <v>381</v>
      </c>
      <c r="AG223" s="75"/>
      <c r="AJ223" s="79" t="s">
        <v>46</v>
      </c>
      <c r="AK223" s="79">
        <v>0</v>
      </c>
      <c r="BB223" s="296" t="s">
        <v>66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4301031199</v>
      </c>
      <c r="D224" s="718">
        <v>4680115880986</v>
      </c>
      <c r="E224" s="71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0"/>
      <c r="R224" s="720"/>
      <c r="S224" s="720"/>
      <c r="T224" s="72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ref="Z224:Z229" si="32">IFERROR(IF(Y224=0,"",ROUNDUP(Y224/H224,0)*0.00502),"")</f>
        <v/>
      </c>
      <c r="AA224" s="65" t="s">
        <v>46</v>
      </c>
      <c r="AB224" s="66" t="s">
        <v>46</v>
      </c>
      <c r="AC224" s="297" t="s">
        <v>372</v>
      </c>
      <c r="AG224" s="75"/>
      <c r="AJ224" s="79" t="s">
        <v>46</v>
      </c>
      <c r="AK224" s="79">
        <v>0</v>
      </c>
      <c r="BB224" s="298" t="s">
        <v>66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384</v>
      </c>
      <c r="B225" s="60" t="s">
        <v>385</v>
      </c>
      <c r="C225" s="34">
        <v>4301031443</v>
      </c>
      <c r="D225" s="718">
        <v>4680115887213</v>
      </c>
      <c r="E225" s="718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3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0"/>
      <c r="R225" s="720"/>
      <c r="S225" s="720"/>
      <c r="T225" s="72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386</v>
      </c>
      <c r="AG225" s="75"/>
      <c r="AJ225" s="79" t="s">
        <v>46</v>
      </c>
      <c r="AK225" s="79">
        <v>0</v>
      </c>
      <c r="BB225" s="300" t="s">
        <v>66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hidden="1" customHeight="1" x14ac:dyDescent="0.25">
      <c r="A226" s="60" t="s">
        <v>387</v>
      </c>
      <c r="B226" s="60" t="s">
        <v>388</v>
      </c>
      <c r="C226" s="34">
        <v>4301031205</v>
      </c>
      <c r="D226" s="718">
        <v>4680115881785</v>
      </c>
      <c r="E226" s="718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 t="shared" si="32"/>
        <v/>
      </c>
      <c r="AA226" s="65" t="s">
        <v>46</v>
      </c>
      <c r="AB226" s="66" t="s">
        <v>46</v>
      </c>
      <c r="AC226" s="301" t="s">
        <v>375</v>
      </c>
      <c r="AG226" s="75"/>
      <c r="AJ226" s="79" t="s">
        <v>46</v>
      </c>
      <c r="AK226" s="79">
        <v>0</v>
      </c>
      <c r="BB226" s="302" t="s">
        <v>66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4301031499</v>
      </c>
      <c r="D227" s="718">
        <v>4680115888432</v>
      </c>
      <c r="E227" s="71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66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4301031427</v>
      </c>
      <c r="D228" s="718">
        <v>4680115888104</v>
      </c>
      <c r="E228" s="718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66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395</v>
      </c>
      <c r="B229" s="60" t="s">
        <v>396</v>
      </c>
      <c r="C229" s="34">
        <v>4301031503</v>
      </c>
      <c r="D229" s="718">
        <v>4680115886537</v>
      </c>
      <c r="E229" s="718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66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398</v>
      </c>
      <c r="B230" s="60" t="s">
        <v>399</v>
      </c>
      <c r="C230" s="34">
        <v>4301031279</v>
      </c>
      <c r="D230" s="718">
        <v>4680115887596</v>
      </c>
      <c r="E230" s="718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130</v>
      </c>
      <c r="L230" s="35" t="s">
        <v>46</v>
      </c>
      <c r="M230" s="36" t="s">
        <v>80</v>
      </c>
      <c r="N230" s="36"/>
      <c r="O230" s="35">
        <v>45</v>
      </c>
      <c r="P230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400</v>
      </c>
      <c r="AG230" s="75"/>
      <c r="AJ230" s="79" t="s">
        <v>46</v>
      </c>
      <c r="AK230" s="79">
        <v>0</v>
      </c>
      <c r="BB230" s="310" t="s">
        <v>66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hidden="1" customHeight="1" x14ac:dyDescent="0.25">
      <c r="A231" s="60" t="s">
        <v>401</v>
      </c>
      <c r="B231" s="60" t="s">
        <v>402</v>
      </c>
      <c r="C231" s="34">
        <v>4301031530</v>
      </c>
      <c r="D231" s="718">
        <v>4680115881679</v>
      </c>
      <c r="E231" s="718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7"/>
        <v>0</v>
      </c>
      <c r="Z231" s="39" t="str">
        <f>IFERROR(IF(Y231=0,"",ROUNDUP(Y231/H231,0)*0.00502),"")</f>
        <v/>
      </c>
      <c r="AA231" s="65" t="s">
        <v>46</v>
      </c>
      <c r="AB231" s="66" t="s">
        <v>46</v>
      </c>
      <c r="AC231" s="311" t="s">
        <v>378</v>
      </c>
      <c r="AG231" s="75"/>
      <c r="AJ231" s="79" t="s">
        <v>46</v>
      </c>
      <c r="AK231" s="79">
        <v>0</v>
      </c>
      <c r="BB231" s="312" t="s">
        <v>66</v>
      </c>
      <c r="BM231" s="75">
        <f t="shared" si="28"/>
        <v>0</v>
      </c>
      <c r="BN231" s="75">
        <f t="shared" si="29"/>
        <v>0</v>
      </c>
      <c r="BO231" s="75">
        <f t="shared" si="30"/>
        <v>0</v>
      </c>
      <c r="BP231" s="75">
        <f t="shared" si="31"/>
        <v>0</v>
      </c>
    </row>
    <row r="232" spans="1:68" ht="27" hidden="1" customHeight="1" x14ac:dyDescent="0.25">
      <c r="A232" s="60" t="s">
        <v>403</v>
      </c>
      <c r="B232" s="60" t="s">
        <v>404</v>
      </c>
      <c r="C232" s="34">
        <v>4301031158</v>
      </c>
      <c r="D232" s="718">
        <v>4680115880191</v>
      </c>
      <c r="E232" s="718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90</v>
      </c>
      <c r="L232" s="35" t="s">
        <v>46</v>
      </c>
      <c r="M232" s="36" t="s">
        <v>80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378</v>
      </c>
      <c r="AG232" s="75"/>
      <c r="AJ232" s="79" t="s">
        <v>46</v>
      </c>
      <c r="AK232" s="79">
        <v>0</v>
      </c>
      <c r="BB232" s="314" t="s">
        <v>66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403</v>
      </c>
      <c r="B233" s="60" t="s">
        <v>405</v>
      </c>
      <c r="C233" s="34">
        <v>4301031531</v>
      </c>
      <c r="D233" s="718">
        <v>4680115880191</v>
      </c>
      <c r="E233" s="71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90</v>
      </c>
      <c r="L233" s="35" t="s">
        <v>46</v>
      </c>
      <c r="M233" s="36" t="s">
        <v>80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378</v>
      </c>
      <c r="AG233" s="75"/>
      <c r="AJ233" s="79" t="s">
        <v>46</v>
      </c>
      <c r="AK233" s="79">
        <v>0</v>
      </c>
      <c r="BB233" s="316" t="s">
        <v>66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406</v>
      </c>
      <c r="B234" s="60" t="s">
        <v>407</v>
      </c>
      <c r="C234" s="34">
        <v>4301031245</v>
      </c>
      <c r="D234" s="718">
        <v>4680115883963</v>
      </c>
      <c r="E234" s="71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408</v>
      </c>
      <c r="AG234" s="75"/>
      <c r="AJ234" s="79" t="s">
        <v>46</v>
      </c>
      <c r="AK234" s="79">
        <v>0</v>
      </c>
      <c r="BB234" s="318" t="s">
        <v>66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hidden="1" x14ac:dyDescent="0.2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0" t="s">
        <v>0</v>
      </c>
      <c r="X236" s="41">
        <f>IFERROR(SUM(X220:X234),"0")</f>
        <v>0</v>
      </c>
      <c r="Y236" s="41">
        <f>IFERROR(SUM(Y220:Y234),"0")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717" t="s">
        <v>85</v>
      </c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7"/>
      <c r="P237" s="717"/>
      <c r="Q237" s="717"/>
      <c r="R237" s="717"/>
      <c r="S237" s="717"/>
      <c r="T237" s="717"/>
      <c r="U237" s="717"/>
      <c r="V237" s="717"/>
      <c r="W237" s="717"/>
      <c r="X237" s="717"/>
      <c r="Y237" s="717"/>
      <c r="Z237" s="717"/>
      <c r="AA237" s="63"/>
      <c r="AB237" s="63"/>
      <c r="AC237" s="63"/>
    </row>
    <row r="238" spans="1:68" ht="16.5" hidden="1" customHeight="1" x14ac:dyDescent="0.25">
      <c r="A238" s="60" t="s">
        <v>409</v>
      </c>
      <c r="B238" s="60" t="s">
        <v>410</v>
      </c>
      <c r="C238" s="34">
        <v>4301052209</v>
      </c>
      <c r="D238" s="718">
        <v>4680115888692</v>
      </c>
      <c r="E238" s="71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411</v>
      </c>
      <c r="AG238" s="75"/>
      <c r="AJ238" s="79" t="s">
        <v>46</v>
      </c>
      <c r="AK238" s="79">
        <v>0</v>
      </c>
      <c r="BB238" s="320" t="s">
        <v>66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409</v>
      </c>
      <c r="B239" s="60" t="s">
        <v>412</v>
      </c>
      <c r="C239" s="34">
        <v>4301052279</v>
      </c>
      <c r="D239" s="718">
        <v>4680115888692</v>
      </c>
      <c r="E239" s="71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4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413</v>
      </c>
      <c r="AG239" s="75"/>
      <c r="AJ239" s="79" t="s">
        <v>46</v>
      </c>
      <c r="AK239" s="79">
        <v>0</v>
      </c>
      <c r="BB239" s="322" t="s">
        <v>66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414</v>
      </c>
      <c r="B240" s="60" t="s">
        <v>415</v>
      </c>
      <c r="C240" s="34">
        <v>4301052213</v>
      </c>
      <c r="D240" s="718">
        <v>4680115888722</v>
      </c>
      <c r="E240" s="718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126</v>
      </c>
      <c r="L240" s="35" t="s">
        <v>46</v>
      </c>
      <c r="M240" s="36" t="s">
        <v>96</v>
      </c>
      <c r="N240" s="36"/>
      <c r="O240" s="35">
        <v>35</v>
      </c>
      <c r="P240" s="84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0"/>
      <c r="R240" s="720"/>
      <c r="S240" s="720"/>
      <c r="T240" s="72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416</v>
      </c>
      <c r="AG240" s="75"/>
      <c r="AJ240" s="79" t="s">
        <v>46</v>
      </c>
      <c r="AK240" s="79">
        <v>0</v>
      </c>
      <c r="BB240" s="324" t="s">
        <v>66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414</v>
      </c>
      <c r="B241" s="60" t="s">
        <v>417</v>
      </c>
      <c r="C241" s="34">
        <v>4301052280</v>
      </c>
      <c r="D241" s="718">
        <v>4680115888722</v>
      </c>
      <c r="E241" s="718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126</v>
      </c>
      <c r="L241" s="35" t="s">
        <v>46</v>
      </c>
      <c r="M241" s="36" t="s">
        <v>96</v>
      </c>
      <c r="N241" s="36"/>
      <c r="O241" s="35">
        <v>40</v>
      </c>
      <c r="P241" s="84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0"/>
      <c r="R241" s="720"/>
      <c r="S241" s="720"/>
      <c r="T241" s="72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418</v>
      </c>
      <c r="AG241" s="75"/>
      <c r="AJ241" s="79" t="s">
        <v>46</v>
      </c>
      <c r="AK241" s="79">
        <v>0</v>
      </c>
      <c r="BB241" s="326" t="s">
        <v>66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419</v>
      </c>
      <c r="B242" s="60" t="s">
        <v>420</v>
      </c>
      <c r="C242" s="34">
        <v>4301052177</v>
      </c>
      <c r="D242" s="718">
        <v>4680115888951</v>
      </c>
      <c r="E242" s="71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4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0"/>
      <c r="R242" s="720"/>
      <c r="S242" s="720"/>
      <c r="T242" s="72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421</v>
      </c>
      <c r="AG242" s="75"/>
      <c r="AJ242" s="79" t="s">
        <v>46</v>
      </c>
      <c r="AK242" s="79">
        <v>0</v>
      </c>
      <c r="BB242" s="328" t="s">
        <v>66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419</v>
      </c>
      <c r="B243" s="60" t="s">
        <v>422</v>
      </c>
      <c r="C243" s="34">
        <v>4301052276</v>
      </c>
      <c r="D243" s="718">
        <v>4680115888951</v>
      </c>
      <c r="E243" s="71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40</v>
      </c>
      <c r="P243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413</v>
      </c>
      <c r="AG243" s="75"/>
      <c r="AJ243" s="79" t="s">
        <v>46</v>
      </c>
      <c r="AK243" s="79">
        <v>0</v>
      </c>
      <c r="BB243" s="330" t="s">
        <v>66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423</v>
      </c>
      <c r="B244" s="60" t="s">
        <v>424</v>
      </c>
      <c r="C244" s="34">
        <v>4301052178</v>
      </c>
      <c r="D244" s="718">
        <v>4680115888975</v>
      </c>
      <c r="E244" s="718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35</v>
      </c>
      <c r="P244" s="85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425</v>
      </c>
      <c r="AG244" s="75"/>
      <c r="AJ244" s="79" t="s">
        <v>46</v>
      </c>
      <c r="AK244" s="79">
        <v>0</v>
      </c>
      <c r="BB244" s="332" t="s">
        <v>66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426</v>
      </c>
      <c r="B245" s="60" t="s">
        <v>427</v>
      </c>
      <c r="C245" s="34">
        <v>4301052176</v>
      </c>
      <c r="D245" s="718">
        <v>4680115888982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133</v>
      </c>
      <c r="L245" s="35" t="s">
        <v>46</v>
      </c>
      <c r="M245" s="36" t="s">
        <v>96</v>
      </c>
      <c r="N245" s="36"/>
      <c r="O245" s="35">
        <v>35</v>
      </c>
      <c r="P245" s="85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416</v>
      </c>
      <c r="AG245" s="75"/>
      <c r="AJ245" s="79" t="s">
        <v>46</v>
      </c>
      <c r="AK245" s="79">
        <v>0</v>
      </c>
      <c r="BB245" s="334" t="s">
        <v>66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426</v>
      </c>
      <c r="B246" s="60" t="s">
        <v>428</v>
      </c>
      <c r="C246" s="34">
        <v>4301052277</v>
      </c>
      <c r="D246" s="718">
        <v>4680115888982</v>
      </c>
      <c r="E246" s="718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133</v>
      </c>
      <c r="L246" s="35" t="s">
        <v>46</v>
      </c>
      <c r="M246" s="36" t="s">
        <v>96</v>
      </c>
      <c r="N246" s="36"/>
      <c r="O246" s="35">
        <v>40</v>
      </c>
      <c r="P246" s="8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418</v>
      </c>
      <c r="AG246" s="75"/>
      <c r="AJ246" s="79" t="s">
        <v>46</v>
      </c>
      <c r="AK246" s="79">
        <v>0</v>
      </c>
      <c r="BB246" s="336" t="s">
        <v>66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726"/>
      <c r="B247" s="726"/>
      <c r="C247" s="726"/>
      <c r="D247" s="726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7"/>
      <c r="P247" s="723" t="s">
        <v>40</v>
      </c>
      <c r="Q247" s="724"/>
      <c r="R247" s="724"/>
      <c r="S247" s="724"/>
      <c r="T247" s="724"/>
      <c r="U247" s="724"/>
      <c r="V247" s="725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17" t="s">
        <v>276</v>
      </c>
      <c r="B249" s="717"/>
      <c r="C249" s="717"/>
      <c r="D249" s="717"/>
      <c r="E249" s="717"/>
      <c r="F249" s="717"/>
      <c r="G249" s="717"/>
      <c r="H249" s="717"/>
      <c r="I249" s="717"/>
      <c r="J249" s="717"/>
      <c r="K249" s="717"/>
      <c r="L249" s="717"/>
      <c r="M249" s="717"/>
      <c r="N249" s="717"/>
      <c r="O249" s="717"/>
      <c r="P249" s="717"/>
      <c r="Q249" s="717"/>
      <c r="R249" s="717"/>
      <c r="S249" s="717"/>
      <c r="T249" s="717"/>
      <c r="U249" s="717"/>
      <c r="V249" s="717"/>
      <c r="W249" s="717"/>
      <c r="X249" s="717"/>
      <c r="Y249" s="717"/>
      <c r="Z249" s="717"/>
      <c r="AA249" s="63"/>
      <c r="AB249" s="63"/>
      <c r="AC249" s="63"/>
    </row>
    <row r="250" spans="1:68" ht="27" hidden="1" customHeight="1" x14ac:dyDescent="0.25">
      <c r="A250" s="60" t="s">
        <v>429</v>
      </c>
      <c r="B250" s="60" t="s">
        <v>430</v>
      </c>
      <c r="C250" s="34">
        <v>4301032053</v>
      </c>
      <c r="D250" s="718">
        <v>4680115886780</v>
      </c>
      <c r="E250" s="71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339</v>
      </c>
      <c r="L250" s="35" t="s">
        <v>46</v>
      </c>
      <c r="M250" s="36" t="s">
        <v>281</v>
      </c>
      <c r="N250" s="36"/>
      <c r="O250" s="35">
        <v>60</v>
      </c>
      <c r="P250" s="8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0"/>
      <c r="R250" s="720"/>
      <c r="S250" s="720"/>
      <c r="T250" s="72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431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432</v>
      </c>
      <c r="B251" s="60" t="s">
        <v>433</v>
      </c>
      <c r="C251" s="34">
        <v>4301032051</v>
      </c>
      <c r="D251" s="718">
        <v>4680115886742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339</v>
      </c>
      <c r="L251" s="35" t="s">
        <v>46</v>
      </c>
      <c r="M251" s="36" t="s">
        <v>281</v>
      </c>
      <c r="N251" s="36"/>
      <c r="O251" s="35">
        <v>90</v>
      </c>
      <c r="P251" s="85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66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435</v>
      </c>
      <c r="B252" s="60" t="s">
        <v>436</v>
      </c>
      <c r="C252" s="34">
        <v>4301032052</v>
      </c>
      <c r="D252" s="718">
        <v>4680115886766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339</v>
      </c>
      <c r="L252" s="35" t="s">
        <v>46</v>
      </c>
      <c r="M252" s="36" t="s">
        <v>281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434</v>
      </c>
      <c r="AG252" s="75"/>
      <c r="AJ252" s="79" t="s">
        <v>46</v>
      </c>
      <c r="AK252" s="79">
        <v>0</v>
      </c>
      <c r="BB252" s="342" t="s">
        <v>66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idden="1" x14ac:dyDescent="0.2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0" t="s">
        <v>39</v>
      </c>
      <c r="X253" s="41">
        <f>IFERROR(X250/H250,"0")+IFERROR(X251/H251,"0")+IFERROR(X252/H252,"0")</f>
        <v>0</v>
      </c>
      <c r="Y253" s="41">
        <f>IFERROR(Y250/H250,"0")+IFERROR(Y251/H251,"0")+IFERROR(Y252/H252,"0")</f>
        <v>0</v>
      </c>
      <c r="Z253" s="41">
        <f>IFERROR(IF(Z250="",0,Z250),"0")+IFERROR(IF(Z251="",0,Z251),"0")+IFERROR(IF(Z252="",0,Z252),"0")</f>
        <v>0</v>
      </c>
      <c r="AA253" s="64"/>
      <c r="AB253" s="64"/>
      <c r="AC253" s="64"/>
    </row>
    <row r="254" spans="1:68" hidden="1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0</v>
      </c>
      <c r="X254" s="41">
        <f>IFERROR(SUM(X250:X252),"0")</f>
        <v>0</v>
      </c>
      <c r="Y254" s="41">
        <f>IFERROR(SUM(Y250:Y252),"0")</f>
        <v>0</v>
      </c>
      <c r="Z254" s="40"/>
      <c r="AA254" s="64"/>
      <c r="AB254" s="64"/>
      <c r="AC254" s="64"/>
    </row>
    <row r="255" spans="1:68" ht="14.25" hidden="1" customHeight="1" x14ac:dyDescent="0.25">
      <c r="A255" s="717" t="s">
        <v>437</v>
      </c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7"/>
      <c r="P255" s="717"/>
      <c r="Q255" s="717"/>
      <c r="R255" s="717"/>
      <c r="S255" s="717"/>
      <c r="T255" s="717"/>
      <c r="U255" s="717"/>
      <c r="V255" s="717"/>
      <c r="W255" s="717"/>
      <c r="X255" s="717"/>
      <c r="Y255" s="717"/>
      <c r="Z255" s="717"/>
      <c r="AA255" s="63"/>
      <c r="AB255" s="63"/>
      <c r="AC255" s="63"/>
    </row>
    <row r="256" spans="1:68" ht="27" hidden="1" customHeight="1" x14ac:dyDescent="0.25">
      <c r="A256" s="60" t="s">
        <v>438</v>
      </c>
      <c r="B256" s="60" t="s">
        <v>439</v>
      </c>
      <c r="C256" s="34">
        <v>4301170013</v>
      </c>
      <c r="D256" s="718">
        <v>4680115886797</v>
      </c>
      <c r="E256" s="71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339</v>
      </c>
      <c r="L256" s="35" t="s">
        <v>46</v>
      </c>
      <c r="M256" s="36" t="s">
        <v>281</v>
      </c>
      <c r="N256" s="36"/>
      <c r="O256" s="35">
        <v>90</v>
      </c>
      <c r="P256" s="8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0"/>
      <c r="R256" s="720"/>
      <c r="S256" s="720"/>
      <c r="T256" s="72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434</v>
      </c>
      <c r="AG256" s="75"/>
      <c r="AJ256" s="79" t="s">
        <v>46</v>
      </c>
      <c r="AK256" s="79">
        <v>0</v>
      </c>
      <c r="BB256" s="34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716" t="s">
        <v>440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  <c r="AA259" s="62"/>
      <c r="AB259" s="62"/>
      <c r="AC259" s="62"/>
    </row>
    <row r="260" spans="1:68" ht="14.25" hidden="1" customHeight="1" x14ac:dyDescent="0.25">
      <c r="A260" s="717" t="s">
        <v>121</v>
      </c>
      <c r="B260" s="717"/>
      <c r="C260" s="717"/>
      <c r="D260" s="717"/>
      <c r="E260" s="717"/>
      <c r="F260" s="717"/>
      <c r="G260" s="717"/>
      <c r="H260" s="717"/>
      <c r="I260" s="717"/>
      <c r="J260" s="717"/>
      <c r="K260" s="717"/>
      <c r="L260" s="717"/>
      <c r="M260" s="717"/>
      <c r="N260" s="717"/>
      <c r="O260" s="717"/>
      <c r="P260" s="717"/>
      <c r="Q260" s="717"/>
      <c r="R260" s="717"/>
      <c r="S260" s="717"/>
      <c r="T260" s="717"/>
      <c r="U260" s="717"/>
      <c r="V260" s="717"/>
      <c r="W260" s="717"/>
      <c r="X260" s="717"/>
      <c r="Y260" s="717"/>
      <c r="Z260" s="717"/>
      <c r="AA260" s="63"/>
      <c r="AB260" s="63"/>
      <c r="AC260" s="63"/>
    </row>
    <row r="261" spans="1:68" ht="27" hidden="1" customHeight="1" x14ac:dyDescent="0.25">
      <c r="A261" s="60" t="s">
        <v>441</v>
      </c>
      <c r="B261" s="60" t="s">
        <v>442</v>
      </c>
      <c r="C261" s="34">
        <v>4301011450</v>
      </c>
      <c r="D261" s="718">
        <v>4680115881402</v>
      </c>
      <c r="E261" s="718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126</v>
      </c>
      <c r="L261" s="35" t="s">
        <v>46</v>
      </c>
      <c r="M261" s="36" t="s">
        <v>125</v>
      </c>
      <c r="N261" s="36"/>
      <c r="O261" s="35">
        <v>55</v>
      </c>
      <c r="P261" s="8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0"/>
      <c r="R261" s="720"/>
      <c r="S261" s="720"/>
      <c r="T261" s="72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443</v>
      </c>
      <c r="AG261" s="75"/>
      <c r="AJ261" s="79" t="s">
        <v>46</v>
      </c>
      <c r="AK261" s="79">
        <v>0</v>
      </c>
      <c r="BB261" s="346" t="s">
        <v>66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444</v>
      </c>
      <c r="B262" s="60" t="s">
        <v>445</v>
      </c>
      <c r="C262" s="34">
        <v>4301011768</v>
      </c>
      <c r="D262" s="718">
        <v>4680115881396</v>
      </c>
      <c r="E262" s="718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90</v>
      </c>
      <c r="L262" s="35" t="s">
        <v>46</v>
      </c>
      <c r="M262" s="36" t="s">
        <v>125</v>
      </c>
      <c r="N262" s="36"/>
      <c r="O262" s="35">
        <v>55</v>
      </c>
      <c r="P262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443</v>
      </c>
      <c r="AG262" s="75"/>
      <c r="AJ262" s="79" t="s">
        <v>46</v>
      </c>
      <c r="AK262" s="79">
        <v>0</v>
      </c>
      <c r="BB262" s="34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6"/>
      <c r="B263" s="726"/>
      <c r="C263" s="726"/>
      <c r="D263" s="726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7"/>
      <c r="P263" s="723" t="s">
        <v>40</v>
      </c>
      <c r="Q263" s="724"/>
      <c r="R263" s="724"/>
      <c r="S263" s="724"/>
      <c r="T263" s="724"/>
      <c r="U263" s="724"/>
      <c r="V263" s="72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7" t="s">
        <v>158</v>
      </c>
      <c r="B265" s="717"/>
      <c r="C265" s="717"/>
      <c r="D265" s="717"/>
      <c r="E265" s="717"/>
      <c r="F265" s="717"/>
      <c r="G265" s="717"/>
      <c r="H265" s="717"/>
      <c r="I265" s="717"/>
      <c r="J265" s="717"/>
      <c r="K265" s="717"/>
      <c r="L265" s="717"/>
      <c r="M265" s="717"/>
      <c r="N265" s="717"/>
      <c r="O265" s="717"/>
      <c r="P265" s="717"/>
      <c r="Q265" s="717"/>
      <c r="R265" s="717"/>
      <c r="S265" s="717"/>
      <c r="T265" s="717"/>
      <c r="U265" s="717"/>
      <c r="V265" s="717"/>
      <c r="W265" s="717"/>
      <c r="X265" s="717"/>
      <c r="Y265" s="717"/>
      <c r="Z265" s="717"/>
      <c r="AA265" s="63"/>
      <c r="AB265" s="63"/>
      <c r="AC265" s="63"/>
    </row>
    <row r="266" spans="1:68" ht="16.5" hidden="1" customHeight="1" x14ac:dyDescent="0.25">
      <c r="A266" s="60" t="s">
        <v>446</v>
      </c>
      <c r="B266" s="60" t="s">
        <v>447</v>
      </c>
      <c r="C266" s="34">
        <v>4301020261</v>
      </c>
      <c r="D266" s="718">
        <v>4680115882935</v>
      </c>
      <c r="E266" s="71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126</v>
      </c>
      <c r="L266" s="35" t="s">
        <v>46</v>
      </c>
      <c r="M266" s="36" t="s">
        <v>125</v>
      </c>
      <c r="N266" s="36"/>
      <c r="O266" s="35">
        <v>50</v>
      </c>
      <c r="P266" s="8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0"/>
      <c r="R266" s="720"/>
      <c r="S266" s="720"/>
      <c r="T266" s="72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448</v>
      </c>
      <c r="AG266" s="75"/>
      <c r="AJ266" s="79" t="s">
        <v>46</v>
      </c>
      <c r="AK266" s="79">
        <v>0</v>
      </c>
      <c r="BB266" s="350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449</v>
      </c>
      <c r="B267" s="60" t="s">
        <v>450</v>
      </c>
      <c r="C267" s="34">
        <v>4301020220</v>
      </c>
      <c r="D267" s="718">
        <v>4680115880764</v>
      </c>
      <c r="E267" s="718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90</v>
      </c>
      <c r="L267" s="35" t="s">
        <v>46</v>
      </c>
      <c r="M267" s="36" t="s">
        <v>125</v>
      </c>
      <c r="N267" s="36"/>
      <c r="O267" s="35">
        <v>50</v>
      </c>
      <c r="P267" s="8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448</v>
      </c>
      <c r="AG267" s="75"/>
      <c r="AJ267" s="79" t="s">
        <v>46</v>
      </c>
      <c r="AK267" s="79">
        <v>0</v>
      </c>
      <c r="BB267" s="352" t="s">
        <v>66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17" t="s">
        <v>76</v>
      </c>
      <c r="B270" s="717"/>
      <c r="C270" s="717"/>
      <c r="D270" s="717"/>
      <c r="E270" s="717"/>
      <c r="F270" s="717"/>
      <c r="G270" s="717"/>
      <c r="H270" s="717"/>
      <c r="I270" s="717"/>
      <c r="J270" s="717"/>
      <c r="K270" s="717"/>
      <c r="L270" s="717"/>
      <c r="M270" s="717"/>
      <c r="N270" s="717"/>
      <c r="O270" s="717"/>
      <c r="P270" s="717"/>
      <c r="Q270" s="717"/>
      <c r="R270" s="717"/>
      <c r="S270" s="717"/>
      <c r="T270" s="717"/>
      <c r="U270" s="717"/>
      <c r="V270" s="717"/>
      <c r="W270" s="717"/>
      <c r="X270" s="717"/>
      <c r="Y270" s="717"/>
      <c r="Z270" s="717"/>
      <c r="AA270" s="63"/>
      <c r="AB270" s="63"/>
      <c r="AC270" s="63"/>
    </row>
    <row r="271" spans="1:68" ht="27" hidden="1" customHeight="1" x14ac:dyDescent="0.25">
      <c r="A271" s="60" t="s">
        <v>451</v>
      </c>
      <c r="B271" s="60" t="s">
        <v>452</v>
      </c>
      <c r="C271" s="34">
        <v>4301031224</v>
      </c>
      <c r="D271" s="718">
        <v>4680115882683</v>
      </c>
      <c r="E271" s="71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0"/>
      <c r="R271" s="720"/>
      <c r="S271" s="720"/>
      <c r="T271" s="72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ref="Y271:Y278" si="38">IFERROR(IF(X271="",0,CEILING((X271/$H271),1)*$H271),"")</f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453</v>
      </c>
      <c r="AG271" s="75"/>
      <c r="AJ271" s="79" t="s">
        <v>46</v>
      </c>
      <c r="AK271" s="79">
        <v>0</v>
      </c>
      <c r="BB271" s="354" t="s">
        <v>66</v>
      </c>
      <c r="BM271" s="75">
        <f t="shared" ref="BM271:BM278" si="39">IFERROR(X271*I271/H271,"0")</f>
        <v>0</v>
      </c>
      <c r="BN271" s="75">
        <f t="shared" ref="BN271:BN278" si="40">IFERROR(Y271*I271/H271,"0")</f>
        <v>0</v>
      </c>
      <c r="BO271" s="75">
        <f t="shared" ref="BO271:BO278" si="41">IFERROR(1/J271*(X271/H271),"0")</f>
        <v>0</v>
      </c>
      <c r="BP271" s="75">
        <f t="shared" ref="BP271:BP278" si="42">IFERROR(1/J271*(Y271/H271),"0")</f>
        <v>0</v>
      </c>
    </row>
    <row r="272" spans="1:68" ht="27" hidden="1" customHeight="1" x14ac:dyDescent="0.25">
      <c r="A272" s="60" t="s">
        <v>454</v>
      </c>
      <c r="B272" s="60" t="s">
        <v>455</v>
      </c>
      <c r="C272" s="34">
        <v>4301031230</v>
      </c>
      <c r="D272" s="718">
        <v>4680115882690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456</v>
      </c>
      <c r="AG272" s="75"/>
      <c r="AJ272" s="79" t="s">
        <v>46</v>
      </c>
      <c r="AK272" s="79">
        <v>0</v>
      </c>
      <c r="BB272" s="356" t="s">
        <v>66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457</v>
      </c>
      <c r="B273" s="60" t="s">
        <v>458</v>
      </c>
      <c r="C273" s="34">
        <v>4301031220</v>
      </c>
      <c r="D273" s="718">
        <v>4680115882669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133</v>
      </c>
      <c r="L273" s="35" t="s">
        <v>46</v>
      </c>
      <c r="M273" s="36" t="s">
        <v>80</v>
      </c>
      <c r="N273" s="36"/>
      <c r="O273" s="35">
        <v>40</v>
      </c>
      <c r="P273" s="86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459</v>
      </c>
      <c r="AG273" s="75"/>
      <c r="AJ273" s="79" t="s">
        <v>46</v>
      </c>
      <c r="AK273" s="79">
        <v>0</v>
      </c>
      <c r="BB273" s="358" t="s">
        <v>66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t="27" hidden="1" customHeight="1" x14ac:dyDescent="0.25">
      <c r="A274" s="60" t="s">
        <v>460</v>
      </c>
      <c r="B274" s="60" t="s">
        <v>461</v>
      </c>
      <c r="C274" s="34">
        <v>4301031221</v>
      </c>
      <c r="D274" s="718">
        <v>4680115882676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133</v>
      </c>
      <c r="L274" s="35" t="s">
        <v>46</v>
      </c>
      <c r="M274" s="36" t="s">
        <v>80</v>
      </c>
      <c r="N274" s="36"/>
      <c r="O274" s="35">
        <v>40</v>
      </c>
      <c r="P274" s="86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462</v>
      </c>
      <c r="AG274" s="75"/>
      <c r="AJ274" s="79" t="s">
        <v>46</v>
      </c>
      <c r="AK274" s="79">
        <v>0</v>
      </c>
      <c r="BB274" s="360" t="s">
        <v>66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hidden="1" customHeight="1" x14ac:dyDescent="0.25">
      <c r="A275" s="60" t="s">
        <v>463</v>
      </c>
      <c r="B275" s="60" t="s">
        <v>464</v>
      </c>
      <c r="C275" s="34">
        <v>4301031223</v>
      </c>
      <c r="D275" s="718">
        <v>4680115884014</v>
      </c>
      <c r="E275" s="718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8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453</v>
      </c>
      <c r="AG275" s="75"/>
      <c r="AJ275" s="79" t="s">
        <v>46</v>
      </c>
      <c r="AK275" s="79">
        <v>0</v>
      </c>
      <c r="BB275" s="362" t="s">
        <v>66</v>
      </c>
      <c r="BM275" s="75">
        <f t="shared" si="39"/>
        <v>0</v>
      </c>
      <c r="BN275" s="75">
        <f t="shared" si="40"/>
        <v>0</v>
      </c>
      <c r="BO275" s="75">
        <f t="shared" si="41"/>
        <v>0</v>
      </c>
      <c r="BP275" s="75">
        <f t="shared" si="42"/>
        <v>0</v>
      </c>
    </row>
    <row r="276" spans="1:68" ht="27" hidden="1" customHeight="1" x14ac:dyDescent="0.25">
      <c r="A276" s="60" t="s">
        <v>465</v>
      </c>
      <c r="B276" s="60" t="s">
        <v>466</v>
      </c>
      <c r="C276" s="34">
        <v>4301031222</v>
      </c>
      <c r="D276" s="718">
        <v>4680115884007</v>
      </c>
      <c r="E276" s="71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8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8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456</v>
      </c>
      <c r="AG276" s="75"/>
      <c r="AJ276" s="79" t="s">
        <v>46</v>
      </c>
      <c r="AK276" s="79">
        <v>0</v>
      </c>
      <c r="BB276" s="364" t="s">
        <v>66</v>
      </c>
      <c r="BM276" s="75">
        <f t="shared" si="39"/>
        <v>0</v>
      </c>
      <c r="BN276" s="75">
        <f t="shared" si="40"/>
        <v>0</v>
      </c>
      <c r="BO276" s="75">
        <f t="shared" si="41"/>
        <v>0</v>
      </c>
      <c r="BP276" s="75">
        <f t="shared" si="42"/>
        <v>0</v>
      </c>
    </row>
    <row r="277" spans="1:68" ht="27" hidden="1" customHeight="1" x14ac:dyDescent="0.25">
      <c r="A277" s="60" t="s">
        <v>467</v>
      </c>
      <c r="B277" s="60" t="s">
        <v>468</v>
      </c>
      <c r="C277" s="34">
        <v>4301031229</v>
      </c>
      <c r="D277" s="718">
        <v>4680115884038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81</v>
      </c>
      <c r="L277" s="35" t="s">
        <v>46</v>
      </c>
      <c r="M277" s="36" t="s">
        <v>80</v>
      </c>
      <c r="N277" s="36"/>
      <c r="O277" s="35">
        <v>40</v>
      </c>
      <c r="P27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8"/>
        <v>0</v>
      </c>
      <c r="Z277" s="39" t="str">
        <f>IFERROR(IF(Y277=0,"",ROUNDUP(Y277/H277,0)*0.00502),"")</f>
        <v/>
      </c>
      <c r="AA277" s="65" t="s">
        <v>46</v>
      </c>
      <c r="AB277" s="66" t="s">
        <v>46</v>
      </c>
      <c r="AC277" s="365" t="s">
        <v>459</v>
      </c>
      <c r="AG277" s="75"/>
      <c r="AJ277" s="79" t="s">
        <v>46</v>
      </c>
      <c r="AK277" s="79">
        <v>0</v>
      </c>
      <c r="BB277" s="366" t="s">
        <v>66</v>
      </c>
      <c r="BM277" s="75">
        <f t="shared" si="39"/>
        <v>0</v>
      </c>
      <c r="BN277" s="75">
        <f t="shared" si="40"/>
        <v>0</v>
      </c>
      <c r="BO277" s="75">
        <f t="shared" si="41"/>
        <v>0</v>
      </c>
      <c r="BP277" s="75">
        <f t="shared" si="42"/>
        <v>0</v>
      </c>
    </row>
    <row r="278" spans="1:68" ht="27" hidden="1" customHeight="1" x14ac:dyDescent="0.25">
      <c r="A278" s="60" t="s">
        <v>469</v>
      </c>
      <c r="B278" s="60" t="s">
        <v>470</v>
      </c>
      <c r="C278" s="34">
        <v>4301031225</v>
      </c>
      <c r="D278" s="718">
        <v>4680115884021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81</v>
      </c>
      <c r="L278" s="35" t="s">
        <v>46</v>
      </c>
      <c r="M278" s="36" t="s">
        <v>80</v>
      </c>
      <c r="N278" s="36"/>
      <c r="O278" s="35">
        <v>40</v>
      </c>
      <c r="P278" s="86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8"/>
        <v>0</v>
      </c>
      <c r="Z278" s="39" t="str">
        <f>IFERROR(IF(Y278=0,"",ROUNDUP(Y278/H278,0)*0.00502),"")</f>
        <v/>
      </c>
      <c r="AA278" s="65" t="s">
        <v>46</v>
      </c>
      <c r="AB278" s="66" t="s">
        <v>46</v>
      </c>
      <c r="AC278" s="367" t="s">
        <v>462</v>
      </c>
      <c r="AG278" s="75"/>
      <c r="AJ278" s="79" t="s">
        <v>46</v>
      </c>
      <c r="AK278" s="79">
        <v>0</v>
      </c>
      <c r="BB278" s="368" t="s">
        <v>66</v>
      </c>
      <c r="BM278" s="75">
        <f t="shared" si="39"/>
        <v>0</v>
      </c>
      <c r="BN278" s="75">
        <f t="shared" si="40"/>
        <v>0</v>
      </c>
      <c r="BO278" s="75">
        <f t="shared" si="41"/>
        <v>0</v>
      </c>
      <c r="BP278" s="75">
        <f t="shared" si="42"/>
        <v>0</v>
      </c>
    </row>
    <row r="279" spans="1:68" hidden="1" x14ac:dyDescent="0.2">
      <c r="A279" s="726"/>
      <c r="B279" s="726"/>
      <c r="C279" s="726"/>
      <c r="D279" s="726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7"/>
      <c r="P279" s="723" t="s">
        <v>40</v>
      </c>
      <c r="Q279" s="724"/>
      <c r="R279" s="724"/>
      <c r="S279" s="724"/>
      <c r="T279" s="724"/>
      <c r="U279" s="724"/>
      <c r="V279" s="725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0</v>
      </c>
      <c r="Y279" s="41">
        <f>IFERROR(Y271/H271,"0")+IFERROR(Y272/H272,"0")+IFERROR(Y273/H273,"0")+IFERROR(Y274/H274,"0")+IFERROR(Y275/H275,"0")+IFERROR(Y276/H276,"0")+IFERROR(Y277/H277,"0")+IFERROR(Y278/H278,"0")</f>
        <v>0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</v>
      </c>
      <c r="AA279" s="64"/>
      <c r="AB279" s="64"/>
      <c r="AC279" s="64"/>
    </row>
    <row r="280" spans="1:68" hidden="1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0</v>
      </c>
      <c r="X280" s="41">
        <f>IFERROR(SUM(X271:X278),"0")</f>
        <v>0</v>
      </c>
      <c r="Y280" s="41">
        <f>IFERROR(SUM(Y271:Y278),"0")</f>
        <v>0</v>
      </c>
      <c r="Z280" s="40"/>
      <c r="AA280" s="64"/>
      <c r="AB280" s="64"/>
      <c r="AC280" s="64"/>
    </row>
    <row r="281" spans="1:68" ht="14.25" hidden="1" customHeight="1" x14ac:dyDescent="0.25">
      <c r="A281" s="717" t="s">
        <v>85</v>
      </c>
      <c r="B281" s="717"/>
      <c r="C281" s="717"/>
      <c r="D281" s="717"/>
      <c r="E281" s="717"/>
      <c r="F281" s="717"/>
      <c r="G281" s="717"/>
      <c r="H281" s="717"/>
      <c r="I281" s="717"/>
      <c r="J281" s="717"/>
      <c r="K281" s="717"/>
      <c r="L281" s="717"/>
      <c r="M281" s="717"/>
      <c r="N281" s="717"/>
      <c r="O281" s="717"/>
      <c r="P281" s="717"/>
      <c r="Q281" s="717"/>
      <c r="R281" s="717"/>
      <c r="S281" s="717"/>
      <c r="T281" s="717"/>
      <c r="U281" s="717"/>
      <c r="V281" s="717"/>
      <c r="W281" s="717"/>
      <c r="X281" s="717"/>
      <c r="Y281" s="717"/>
      <c r="Z281" s="717"/>
      <c r="AA281" s="63"/>
      <c r="AB281" s="63"/>
      <c r="AC281" s="63"/>
    </row>
    <row r="282" spans="1:68" ht="27" hidden="1" customHeight="1" x14ac:dyDescent="0.25">
      <c r="A282" s="60" t="s">
        <v>471</v>
      </c>
      <c r="B282" s="60" t="s">
        <v>472</v>
      </c>
      <c r="C282" s="34">
        <v>4301051408</v>
      </c>
      <c r="D282" s="718">
        <v>4680115881594</v>
      </c>
      <c r="E282" s="718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40</v>
      </c>
      <c r="P282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0"/>
      <c r="R282" s="720"/>
      <c r="S282" s="720"/>
      <c r="T282" s="72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ref="Y282:Y293" si="43">IFERROR(IF(X282="",0,CEILING((X282/$H282),1)*$H282),"")</f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473</v>
      </c>
      <c r="AG282" s="75"/>
      <c r="AJ282" s="79" t="s">
        <v>46</v>
      </c>
      <c r="AK282" s="79">
        <v>0</v>
      </c>
      <c r="BB282" s="370" t="s">
        <v>66</v>
      </c>
      <c r="BM282" s="75">
        <f t="shared" ref="BM282:BM293" si="44">IFERROR(X282*I282/H282,"0")</f>
        <v>0</v>
      </c>
      <c r="BN282" s="75">
        <f t="shared" ref="BN282:BN293" si="45">IFERROR(Y282*I282/H282,"0")</f>
        <v>0</v>
      </c>
      <c r="BO282" s="75">
        <f t="shared" ref="BO282:BO293" si="46">IFERROR(1/J282*(X282/H282),"0")</f>
        <v>0</v>
      </c>
      <c r="BP282" s="75">
        <f t="shared" ref="BP282:BP293" si="47">IFERROR(1/J282*(Y282/H282),"0")</f>
        <v>0</v>
      </c>
    </row>
    <row r="283" spans="1:68" ht="27" hidden="1" customHeight="1" x14ac:dyDescent="0.25">
      <c r="A283" s="60" t="s">
        <v>474</v>
      </c>
      <c r="B283" s="60" t="s">
        <v>475</v>
      </c>
      <c r="C283" s="34">
        <v>4301051411</v>
      </c>
      <c r="D283" s="718">
        <v>4680115881617</v>
      </c>
      <c r="E283" s="718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126</v>
      </c>
      <c r="L283" s="35" t="s">
        <v>46</v>
      </c>
      <c r="M283" s="36" t="s">
        <v>89</v>
      </c>
      <c r="N283" s="36"/>
      <c r="O283" s="35">
        <v>40</v>
      </c>
      <c r="P283" s="8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476</v>
      </c>
      <c r="AG283" s="75"/>
      <c r="AJ283" s="79" t="s">
        <v>46</v>
      </c>
      <c r="AK283" s="79">
        <v>0</v>
      </c>
      <c r="BB283" s="372" t="s">
        <v>66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477</v>
      </c>
      <c r="B284" s="60" t="s">
        <v>478</v>
      </c>
      <c r="C284" s="34">
        <v>4301051656</v>
      </c>
      <c r="D284" s="718">
        <v>4680115880573</v>
      </c>
      <c r="E284" s="718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126</v>
      </c>
      <c r="L284" s="35" t="s">
        <v>46</v>
      </c>
      <c r="M284" s="36" t="s">
        <v>89</v>
      </c>
      <c r="N284" s="36"/>
      <c r="O284" s="35">
        <v>45</v>
      </c>
      <c r="P284" s="8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479</v>
      </c>
      <c r="AG284" s="75"/>
      <c r="AJ284" s="79" t="s">
        <v>46</v>
      </c>
      <c r="AK284" s="79">
        <v>0</v>
      </c>
      <c r="BB284" s="374" t="s">
        <v>66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480</v>
      </c>
      <c r="B285" s="60" t="s">
        <v>481</v>
      </c>
      <c r="C285" s="34">
        <v>4301051407</v>
      </c>
      <c r="D285" s="718">
        <v>4680115882195</v>
      </c>
      <c r="E285" s="718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90</v>
      </c>
      <c r="L285" s="35" t="s">
        <v>46</v>
      </c>
      <c r="M285" s="36" t="s">
        <v>89</v>
      </c>
      <c r="N285" s="36"/>
      <c r="O285" s="35">
        <v>40</v>
      </c>
      <c r="P28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75" t="s">
        <v>473</v>
      </c>
      <c r="AG285" s="75"/>
      <c r="AJ285" s="79" t="s">
        <v>46</v>
      </c>
      <c r="AK285" s="79">
        <v>0</v>
      </c>
      <c r="BB285" s="376" t="s">
        <v>66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482</v>
      </c>
      <c r="B286" s="60" t="s">
        <v>483</v>
      </c>
      <c r="C286" s="34">
        <v>4301051752</v>
      </c>
      <c r="D286" s="718">
        <v>4680115882607</v>
      </c>
      <c r="E286" s="718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90</v>
      </c>
      <c r="L286" s="35" t="s">
        <v>46</v>
      </c>
      <c r="M286" s="36" t="s">
        <v>96</v>
      </c>
      <c r="N286" s="36"/>
      <c r="O286" s="35">
        <v>45</v>
      </c>
      <c r="P28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479</v>
      </c>
      <c r="AG286" s="75"/>
      <c r="AJ286" s="79" t="s">
        <v>46</v>
      </c>
      <c r="AK286" s="79">
        <v>0</v>
      </c>
      <c r="BB286" s="378" t="s">
        <v>66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484</v>
      </c>
      <c r="B287" s="60" t="s">
        <v>485</v>
      </c>
      <c r="C287" s="34">
        <v>4301052143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133</v>
      </c>
      <c r="L287" s="35" t="s">
        <v>46</v>
      </c>
      <c r="M287" s="36" t="s">
        <v>89</v>
      </c>
      <c r="N287" s="36"/>
      <c r="O287" s="35">
        <v>45</v>
      </c>
      <c r="P287" s="8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486</v>
      </c>
      <c r="AG287" s="75"/>
      <c r="AJ287" s="79" t="s">
        <v>46</v>
      </c>
      <c r="AK287" s="79">
        <v>0</v>
      </c>
      <c r="BB287" s="380" t="s">
        <v>66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487</v>
      </c>
      <c r="B288" s="60" t="s">
        <v>488</v>
      </c>
      <c r="C288" s="34">
        <v>4301051666</v>
      </c>
      <c r="D288" s="718">
        <v>4680115880092</v>
      </c>
      <c r="E288" s="71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8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479</v>
      </c>
      <c r="AG288" s="75"/>
      <c r="AJ288" s="79" t="s">
        <v>46</v>
      </c>
      <c r="AK288" s="79">
        <v>0</v>
      </c>
      <c r="BB288" s="382" t="s">
        <v>66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t="27" hidden="1" customHeight="1" x14ac:dyDescent="0.25">
      <c r="A289" s="60" t="s">
        <v>489</v>
      </c>
      <c r="B289" s="60" t="s">
        <v>490</v>
      </c>
      <c r="C289" s="34">
        <v>4301052214</v>
      </c>
      <c r="D289" s="718">
        <v>4680115889064</v>
      </c>
      <c r="E289" s="718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126</v>
      </c>
      <c r="L289" s="35" t="s">
        <v>46</v>
      </c>
      <c r="M289" s="36" t="s">
        <v>89</v>
      </c>
      <c r="N289" s="36"/>
      <c r="O289" s="35">
        <v>45</v>
      </c>
      <c r="P289" s="8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486</v>
      </c>
      <c r="AG289" s="75"/>
      <c r="AJ289" s="79" t="s">
        <v>46</v>
      </c>
      <c r="AK289" s="79">
        <v>0</v>
      </c>
      <c r="BB289" s="384" t="s">
        <v>66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491</v>
      </c>
      <c r="B290" s="60" t="s">
        <v>492</v>
      </c>
      <c r="C290" s="34">
        <v>4301051668</v>
      </c>
      <c r="D290" s="718">
        <v>4680115880221</v>
      </c>
      <c r="E290" s="71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45</v>
      </c>
      <c r="P290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479</v>
      </c>
      <c r="AG290" s="75"/>
      <c r="AJ290" s="79" t="s">
        <v>46</v>
      </c>
      <c r="AK290" s="79">
        <v>0</v>
      </c>
      <c r="BB290" s="386" t="s">
        <v>66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hidden="1" customHeight="1" x14ac:dyDescent="0.25">
      <c r="A291" s="60" t="s">
        <v>493</v>
      </c>
      <c r="B291" s="60" t="s">
        <v>494</v>
      </c>
      <c r="C291" s="34">
        <v>4301051945</v>
      </c>
      <c r="D291" s="718">
        <v>4680115880504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96</v>
      </c>
      <c r="N291" s="36"/>
      <c r="O291" s="35">
        <v>40</v>
      </c>
      <c r="P291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3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495</v>
      </c>
      <c r="AG291" s="75"/>
      <c r="AJ291" s="79" t="s">
        <v>46</v>
      </c>
      <c r="AK291" s="79">
        <v>0</v>
      </c>
      <c r="BB291" s="388" t="s">
        <v>66</v>
      </c>
      <c r="BM291" s="75">
        <f t="shared" si="44"/>
        <v>0</v>
      </c>
      <c r="BN291" s="75">
        <f t="shared" si="45"/>
        <v>0</v>
      </c>
      <c r="BO291" s="75">
        <f t="shared" si="46"/>
        <v>0</v>
      </c>
      <c r="BP291" s="75">
        <f t="shared" si="47"/>
        <v>0</v>
      </c>
    </row>
    <row r="292" spans="1:68" ht="27" hidden="1" customHeight="1" x14ac:dyDescent="0.25">
      <c r="A292" s="60" t="s">
        <v>496</v>
      </c>
      <c r="B292" s="60" t="s">
        <v>497</v>
      </c>
      <c r="C292" s="34">
        <v>4301051410</v>
      </c>
      <c r="D292" s="718">
        <v>4680115882164</v>
      </c>
      <c r="E292" s="718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90</v>
      </c>
      <c r="L292" s="35" t="s">
        <v>46</v>
      </c>
      <c r="M292" s="36" t="s">
        <v>89</v>
      </c>
      <c r="N292" s="36"/>
      <c r="O292" s="35">
        <v>40</v>
      </c>
      <c r="P292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3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498</v>
      </c>
      <c r="AG292" s="75"/>
      <c r="AJ292" s="79" t="s">
        <v>46</v>
      </c>
      <c r="AK292" s="79">
        <v>0</v>
      </c>
      <c r="BB292" s="390" t="s">
        <v>66</v>
      </c>
      <c r="BM292" s="75">
        <f t="shared" si="44"/>
        <v>0</v>
      </c>
      <c r="BN292" s="75">
        <f t="shared" si="45"/>
        <v>0</v>
      </c>
      <c r="BO292" s="75">
        <f t="shared" si="46"/>
        <v>0</v>
      </c>
      <c r="BP292" s="75">
        <f t="shared" si="47"/>
        <v>0</v>
      </c>
    </row>
    <row r="293" spans="1:68" ht="27" hidden="1" customHeight="1" x14ac:dyDescent="0.25">
      <c r="A293" s="60" t="s">
        <v>499</v>
      </c>
      <c r="B293" s="60" t="s">
        <v>500</v>
      </c>
      <c r="C293" s="34">
        <v>4301052180</v>
      </c>
      <c r="D293" s="718">
        <v>4680115888340</v>
      </c>
      <c r="E293" s="71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90</v>
      </c>
      <c r="L293" s="35" t="s">
        <v>46</v>
      </c>
      <c r="M293" s="36" t="s">
        <v>89</v>
      </c>
      <c r="N293" s="36"/>
      <c r="O293" s="35">
        <v>45</v>
      </c>
      <c r="P293" s="88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501</v>
      </c>
      <c r="AG293" s="75"/>
      <c r="AJ293" s="79" t="s">
        <v>46</v>
      </c>
      <c r="AK293" s="79">
        <v>0</v>
      </c>
      <c r="BB293" s="392" t="s">
        <v>66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hidden="1" x14ac:dyDescent="0.2">
      <c r="A294" s="726"/>
      <c r="B294" s="726"/>
      <c r="C294" s="726"/>
      <c r="D294" s="726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7"/>
      <c r="P294" s="723" t="s">
        <v>40</v>
      </c>
      <c r="Q294" s="724"/>
      <c r="R294" s="724"/>
      <c r="S294" s="724"/>
      <c r="T294" s="724"/>
      <c r="U294" s="724"/>
      <c r="V294" s="725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4"/>
      <c r="AB294" s="64"/>
      <c r="AC294" s="64"/>
    </row>
    <row r="295" spans="1:68" hidden="1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0</v>
      </c>
      <c r="X295" s="41">
        <f>IFERROR(SUM(X282:X293),"0")</f>
        <v>0</v>
      </c>
      <c r="Y295" s="41">
        <f>IFERROR(SUM(Y282:Y293),"0")</f>
        <v>0</v>
      </c>
      <c r="Z295" s="40"/>
      <c r="AA295" s="64"/>
      <c r="AB295" s="64"/>
      <c r="AC295" s="64"/>
    </row>
    <row r="296" spans="1:68" ht="14.25" hidden="1" customHeight="1" x14ac:dyDescent="0.25">
      <c r="A296" s="717" t="s">
        <v>177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3"/>
      <c r="AB296" s="63"/>
      <c r="AC296" s="63"/>
    </row>
    <row r="297" spans="1:68" ht="27" hidden="1" customHeight="1" x14ac:dyDescent="0.25">
      <c r="A297" s="60" t="s">
        <v>502</v>
      </c>
      <c r="B297" s="60" t="s">
        <v>503</v>
      </c>
      <c r="C297" s="34">
        <v>4301060463</v>
      </c>
      <c r="D297" s="718">
        <v>4680115880818</v>
      </c>
      <c r="E297" s="718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90</v>
      </c>
      <c r="L297" s="35" t="s">
        <v>46</v>
      </c>
      <c r="M297" s="36" t="s">
        <v>96</v>
      </c>
      <c r="N297" s="36"/>
      <c r="O297" s="35">
        <v>40</v>
      </c>
      <c r="P297" s="8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0"/>
      <c r="R297" s="720"/>
      <c r="S297" s="720"/>
      <c r="T297" s="721"/>
      <c r="U297" s="37" t="s">
        <v>46</v>
      </c>
      <c r="V297" s="37" t="s">
        <v>46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3" t="s">
        <v>504</v>
      </c>
      <c r="AG297" s="75"/>
      <c r="AJ297" s="79" t="s">
        <v>46</v>
      </c>
      <c r="AK297" s="79">
        <v>0</v>
      </c>
      <c r="BB297" s="394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27" hidden="1" customHeight="1" x14ac:dyDescent="0.25">
      <c r="A298" s="60" t="s">
        <v>505</v>
      </c>
      <c r="B298" s="60" t="s">
        <v>506</v>
      </c>
      <c r="C298" s="34">
        <v>4301060389</v>
      </c>
      <c r="D298" s="718">
        <v>4680115880801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90</v>
      </c>
      <c r="L298" s="35" t="s">
        <v>46</v>
      </c>
      <c r="M298" s="36" t="s">
        <v>89</v>
      </c>
      <c r="N298" s="36"/>
      <c r="O298" s="35">
        <v>40</v>
      </c>
      <c r="P298" s="8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507</v>
      </c>
      <c r="AG298" s="75"/>
      <c r="AJ298" s="79" t="s">
        <v>46</v>
      </c>
      <c r="AK298" s="79">
        <v>0</v>
      </c>
      <c r="BB298" s="396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idden="1" x14ac:dyDescent="0.2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0" t="s">
        <v>39</v>
      </c>
      <c r="X299" s="41">
        <f>IFERROR(X297/H297,"0")+IFERROR(X298/H298,"0")</f>
        <v>0</v>
      </c>
      <c r="Y299" s="41">
        <f>IFERROR(Y297/H297,"0")+IFERROR(Y298/H298,"0")</f>
        <v>0</v>
      </c>
      <c r="Z299" s="41">
        <f>IFERROR(IF(Z297="",0,Z297),"0")+IFERROR(IF(Z298="",0,Z298),"0")</f>
        <v>0</v>
      </c>
      <c r="AA299" s="64"/>
      <c r="AB299" s="64"/>
      <c r="AC299" s="64"/>
    </row>
    <row r="300" spans="1:68" hidden="1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0</v>
      </c>
      <c r="X300" s="41">
        <f>IFERROR(SUM(X297:X298),"0")</f>
        <v>0</v>
      </c>
      <c r="Y300" s="41">
        <f>IFERROR(SUM(Y297:Y298),"0")</f>
        <v>0</v>
      </c>
      <c r="Z300" s="40"/>
      <c r="AA300" s="64"/>
      <c r="AB300" s="64"/>
      <c r="AC300" s="64"/>
    </row>
    <row r="301" spans="1:68" ht="16.5" hidden="1" customHeight="1" x14ac:dyDescent="0.25">
      <c r="A301" s="716" t="s">
        <v>508</v>
      </c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  <c r="AA301" s="62"/>
      <c r="AB301" s="62"/>
      <c r="AC301" s="62"/>
    </row>
    <row r="302" spans="1:68" ht="14.25" hidden="1" customHeight="1" x14ac:dyDescent="0.25">
      <c r="A302" s="717" t="s">
        <v>121</v>
      </c>
      <c r="B302" s="717"/>
      <c r="C302" s="717"/>
      <c r="D302" s="717"/>
      <c r="E302" s="717"/>
      <c r="F302" s="717"/>
      <c r="G302" s="717"/>
      <c r="H302" s="717"/>
      <c r="I302" s="717"/>
      <c r="J302" s="717"/>
      <c r="K302" s="717"/>
      <c r="L302" s="717"/>
      <c r="M302" s="717"/>
      <c r="N302" s="717"/>
      <c r="O302" s="717"/>
      <c r="P302" s="717"/>
      <c r="Q302" s="717"/>
      <c r="R302" s="717"/>
      <c r="S302" s="717"/>
      <c r="T302" s="717"/>
      <c r="U302" s="717"/>
      <c r="V302" s="717"/>
      <c r="W302" s="717"/>
      <c r="X302" s="717"/>
      <c r="Y302" s="717"/>
      <c r="Z302" s="717"/>
      <c r="AA302" s="63"/>
      <c r="AB302" s="63"/>
      <c r="AC302" s="63"/>
    </row>
    <row r="303" spans="1:68" ht="27" hidden="1" customHeight="1" x14ac:dyDescent="0.25">
      <c r="A303" s="60" t="s">
        <v>509</v>
      </c>
      <c r="B303" s="60" t="s">
        <v>510</v>
      </c>
      <c r="C303" s="34">
        <v>4301011826</v>
      </c>
      <c r="D303" s="718">
        <v>4680115884137</v>
      </c>
      <c r="E303" s="71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8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0"/>
      <c r="R303" s="720"/>
      <c r="S303" s="720"/>
      <c r="T303" s="72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511</v>
      </c>
      <c r="AG303" s="75"/>
      <c r="AJ303" s="79" t="s">
        <v>46</v>
      </c>
      <c r="AK303" s="79">
        <v>0</v>
      </c>
      <c r="BB303" s="398" t="s">
        <v>66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512</v>
      </c>
      <c r="B304" s="60" t="s">
        <v>513</v>
      </c>
      <c r="C304" s="34">
        <v>4301011724</v>
      </c>
      <c r="D304" s="718">
        <v>4680115884236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126</v>
      </c>
      <c r="L304" s="35" t="s">
        <v>46</v>
      </c>
      <c r="M304" s="36" t="s">
        <v>125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514</v>
      </c>
      <c r="AG304" s="75"/>
      <c r="AJ304" s="79" t="s">
        <v>46</v>
      </c>
      <c r="AK304" s="79">
        <v>0</v>
      </c>
      <c r="BB304" s="400" t="s">
        <v>66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hidden="1" customHeight="1" x14ac:dyDescent="0.25">
      <c r="A305" s="60" t="s">
        <v>515</v>
      </c>
      <c r="B305" s="60" t="s">
        <v>516</v>
      </c>
      <c r="C305" s="34">
        <v>4301011721</v>
      </c>
      <c r="D305" s="718">
        <v>4680115884175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126</v>
      </c>
      <c r="L305" s="35" t="s">
        <v>46</v>
      </c>
      <c r="M305" s="36" t="s">
        <v>125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48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362</v>
      </c>
      <c r="AG305" s="75"/>
      <c r="AJ305" s="79" t="s">
        <v>46</v>
      </c>
      <c r="AK305" s="79">
        <v>0</v>
      </c>
      <c r="BB305" s="402" t="s">
        <v>66</v>
      </c>
      <c r="BM305" s="75">
        <f t="shared" si="49"/>
        <v>0</v>
      </c>
      <c r="BN305" s="75">
        <f t="shared" si="50"/>
        <v>0</v>
      </c>
      <c r="BO305" s="75">
        <f t="shared" si="51"/>
        <v>0</v>
      </c>
      <c r="BP305" s="75">
        <f t="shared" si="52"/>
        <v>0</v>
      </c>
    </row>
    <row r="306" spans="1:68" ht="27" hidden="1" customHeight="1" x14ac:dyDescent="0.25">
      <c r="A306" s="60" t="s">
        <v>517</v>
      </c>
      <c r="B306" s="60" t="s">
        <v>518</v>
      </c>
      <c r="C306" s="34">
        <v>4301011824</v>
      </c>
      <c r="D306" s="718">
        <v>4680115884144</v>
      </c>
      <c r="E306" s="718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133</v>
      </c>
      <c r="L306" s="35" t="s">
        <v>46</v>
      </c>
      <c r="M306" s="36" t="s">
        <v>125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48"/>
        <v>0</v>
      </c>
      <c r="Z306" s="39" t="str">
        <f>IFERROR(IF(Y306=0,"",ROUNDUP(Y306/H306,0)*0.00902),"")</f>
        <v/>
      </c>
      <c r="AA306" s="65" t="s">
        <v>46</v>
      </c>
      <c r="AB306" s="66" t="s">
        <v>46</v>
      </c>
      <c r="AC306" s="403" t="s">
        <v>511</v>
      </c>
      <c r="AG306" s="75"/>
      <c r="AJ306" s="79" t="s">
        <v>46</v>
      </c>
      <c r="AK306" s="79">
        <v>0</v>
      </c>
      <c r="BB306" s="404" t="s">
        <v>66</v>
      </c>
      <c r="BM306" s="75">
        <f t="shared" si="49"/>
        <v>0</v>
      </c>
      <c r="BN306" s="75">
        <f t="shared" si="50"/>
        <v>0</v>
      </c>
      <c r="BO306" s="75">
        <f t="shared" si="51"/>
        <v>0</v>
      </c>
      <c r="BP306" s="75">
        <f t="shared" si="52"/>
        <v>0</v>
      </c>
    </row>
    <row r="307" spans="1:68" ht="27" hidden="1" customHeight="1" x14ac:dyDescent="0.25">
      <c r="A307" s="60" t="s">
        <v>519</v>
      </c>
      <c r="B307" s="60" t="s">
        <v>520</v>
      </c>
      <c r="C307" s="34">
        <v>4301012149</v>
      </c>
      <c r="D307" s="718">
        <v>4680115886551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521</v>
      </c>
      <c r="AG307" s="75"/>
      <c r="AJ307" s="79" t="s">
        <v>46</v>
      </c>
      <c r="AK307" s="79">
        <v>0</v>
      </c>
      <c r="BB307" s="406" t="s">
        <v>66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522</v>
      </c>
      <c r="B308" s="60" t="s">
        <v>523</v>
      </c>
      <c r="C308" s="34">
        <v>4301012228</v>
      </c>
      <c r="D308" s="718">
        <v>4680115887282</v>
      </c>
      <c r="E308" s="718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90</v>
      </c>
      <c r="L308" s="35" t="s">
        <v>46</v>
      </c>
      <c r="M308" s="36" t="s">
        <v>125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524</v>
      </c>
      <c r="AG308" s="75"/>
      <c r="AJ308" s="79" t="s">
        <v>46</v>
      </c>
      <c r="AK308" s="79">
        <v>0</v>
      </c>
      <c r="BB308" s="408" t="s">
        <v>66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hidden="1" customHeight="1" x14ac:dyDescent="0.25">
      <c r="A309" s="60" t="s">
        <v>525</v>
      </c>
      <c r="B309" s="60" t="s">
        <v>526</v>
      </c>
      <c r="C309" s="34">
        <v>4301011722</v>
      </c>
      <c r="D309" s="718">
        <v>4680115884205</v>
      </c>
      <c r="E309" s="718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133</v>
      </c>
      <c r="L309" s="35" t="s">
        <v>46</v>
      </c>
      <c r="M309" s="36" t="s">
        <v>125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48"/>
        <v>0</v>
      </c>
      <c r="Z309" s="39" t="str">
        <f>IFERROR(IF(Y309=0,"",ROUNDUP(Y309/H309,0)*0.00902),"")</f>
        <v/>
      </c>
      <c r="AA309" s="65" t="s">
        <v>46</v>
      </c>
      <c r="AB309" s="66" t="s">
        <v>46</v>
      </c>
      <c r="AC309" s="409" t="s">
        <v>362</v>
      </c>
      <c r="AG309" s="75"/>
      <c r="AJ309" s="79" t="s">
        <v>46</v>
      </c>
      <c r="AK309" s="79">
        <v>0</v>
      </c>
      <c r="BB309" s="410" t="s">
        <v>66</v>
      </c>
      <c r="BM309" s="75">
        <f t="shared" si="49"/>
        <v>0</v>
      </c>
      <c r="BN309" s="75">
        <f t="shared" si="50"/>
        <v>0</v>
      </c>
      <c r="BO309" s="75">
        <f t="shared" si="51"/>
        <v>0</v>
      </c>
      <c r="BP309" s="75">
        <f t="shared" si="52"/>
        <v>0</v>
      </c>
    </row>
    <row r="310" spans="1:68" hidden="1" x14ac:dyDescent="0.2">
      <c r="A310" s="726"/>
      <c r="B310" s="726"/>
      <c r="C310" s="726"/>
      <c r="D310" s="726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7"/>
      <c r="P310" s="723" t="s">
        <v>40</v>
      </c>
      <c r="Q310" s="724"/>
      <c r="R310" s="724"/>
      <c r="S310" s="724"/>
      <c r="T310" s="724"/>
      <c r="U310" s="724"/>
      <c r="V310" s="725"/>
      <c r="W310" s="40" t="s">
        <v>39</v>
      </c>
      <c r="X310" s="41">
        <f>IFERROR(X303/H303,"0")+IFERROR(X304/H304,"0")+IFERROR(X305/H305,"0")+IFERROR(X306/H306,"0")+IFERROR(X307/H307,"0")+IFERROR(X308/H308,"0")+IFERROR(X309/H309,"0")</f>
        <v>0</v>
      </c>
      <c r="Y310" s="41">
        <f>IFERROR(Y303/H303,"0")+IFERROR(Y304/H304,"0")+IFERROR(Y305/H305,"0")+IFERROR(Y306/H306,"0")+IFERROR(Y307/H307,"0")+IFERROR(Y308/H308,"0")+IFERROR(Y309/H309,"0")</f>
        <v>0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"/>
      <c r="AB310" s="64"/>
      <c r="AC310" s="64"/>
    </row>
    <row r="311" spans="1:68" hidden="1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0</v>
      </c>
      <c r="X311" s="41">
        <f>IFERROR(SUM(X303:X309),"0")</f>
        <v>0</v>
      </c>
      <c r="Y311" s="41">
        <f>IFERROR(SUM(Y303:Y309),"0")</f>
        <v>0</v>
      </c>
      <c r="Z311" s="40"/>
      <c r="AA311" s="64"/>
      <c r="AB311" s="64"/>
      <c r="AC311" s="64"/>
    </row>
    <row r="312" spans="1:68" ht="14.25" hidden="1" customHeight="1" x14ac:dyDescent="0.25">
      <c r="A312" s="717" t="s">
        <v>158</v>
      </c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7"/>
      <c r="P312" s="717"/>
      <c r="Q312" s="717"/>
      <c r="R312" s="717"/>
      <c r="S312" s="717"/>
      <c r="T312" s="717"/>
      <c r="U312" s="717"/>
      <c r="V312" s="717"/>
      <c r="W312" s="717"/>
      <c r="X312" s="717"/>
      <c r="Y312" s="717"/>
      <c r="Z312" s="717"/>
      <c r="AA312" s="63"/>
      <c r="AB312" s="63"/>
      <c r="AC312" s="63"/>
    </row>
    <row r="313" spans="1:68" ht="27" hidden="1" customHeight="1" x14ac:dyDescent="0.25">
      <c r="A313" s="60" t="s">
        <v>527</v>
      </c>
      <c r="B313" s="60" t="s">
        <v>528</v>
      </c>
      <c r="C313" s="34">
        <v>4301020377</v>
      </c>
      <c r="D313" s="718">
        <v>4680115885981</v>
      </c>
      <c r="E313" s="718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81</v>
      </c>
      <c r="L313" s="35" t="s">
        <v>46</v>
      </c>
      <c r="M313" s="36" t="s">
        <v>89</v>
      </c>
      <c r="N313" s="36"/>
      <c r="O313" s="35">
        <v>50</v>
      </c>
      <c r="P313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0"/>
      <c r="R313" s="720"/>
      <c r="S313" s="720"/>
      <c r="T313" s="72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529</v>
      </c>
      <c r="AG313" s="75"/>
      <c r="AJ313" s="79" t="s">
        <v>46</v>
      </c>
      <c r="AK313" s="79">
        <v>0</v>
      </c>
      <c r="BB313" s="412" t="s">
        <v>66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17" t="s">
        <v>530</v>
      </c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7"/>
      <c r="P316" s="717"/>
      <c r="Q316" s="717"/>
      <c r="R316" s="717"/>
      <c r="S316" s="717"/>
      <c r="T316" s="717"/>
      <c r="U316" s="717"/>
      <c r="V316" s="717"/>
      <c r="W316" s="717"/>
      <c r="X316" s="717"/>
      <c r="Y316" s="717"/>
      <c r="Z316" s="717"/>
      <c r="AA316" s="63"/>
      <c r="AB316" s="63"/>
      <c r="AC316" s="63"/>
    </row>
    <row r="317" spans="1:68" ht="27" hidden="1" customHeight="1" x14ac:dyDescent="0.25">
      <c r="A317" s="60" t="s">
        <v>531</v>
      </c>
      <c r="B317" s="60" t="s">
        <v>532</v>
      </c>
      <c r="C317" s="34">
        <v>4301040362</v>
      </c>
      <c r="D317" s="718">
        <v>4680115886803</v>
      </c>
      <c r="E317" s="718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339</v>
      </c>
      <c r="L317" s="35" t="s">
        <v>46</v>
      </c>
      <c r="M317" s="36" t="s">
        <v>281</v>
      </c>
      <c r="N317" s="36"/>
      <c r="O317" s="35">
        <v>45</v>
      </c>
      <c r="P317" s="8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0"/>
      <c r="R317" s="720"/>
      <c r="S317" s="720"/>
      <c r="T317" s="721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533</v>
      </c>
      <c r="AG317" s="75"/>
      <c r="AJ317" s="79" t="s">
        <v>46</v>
      </c>
      <c r="AK317" s="79">
        <v>0</v>
      </c>
      <c r="BB317" s="414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26"/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7"/>
      <c r="P318" s="723" t="s">
        <v>40</v>
      </c>
      <c r="Q318" s="724"/>
      <c r="R318" s="724"/>
      <c r="S318" s="724"/>
      <c r="T318" s="724"/>
      <c r="U318" s="724"/>
      <c r="V318" s="725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717" t="s">
        <v>340</v>
      </c>
      <c r="B320" s="717"/>
      <c r="C320" s="717"/>
      <c r="D320" s="717"/>
      <c r="E320" s="717"/>
      <c r="F320" s="717"/>
      <c r="G320" s="717"/>
      <c r="H320" s="717"/>
      <c r="I320" s="717"/>
      <c r="J320" s="717"/>
      <c r="K320" s="717"/>
      <c r="L320" s="717"/>
      <c r="M320" s="717"/>
      <c r="N320" s="717"/>
      <c r="O320" s="717"/>
      <c r="P320" s="717"/>
      <c r="Q320" s="717"/>
      <c r="R320" s="717"/>
      <c r="S320" s="717"/>
      <c r="T320" s="717"/>
      <c r="U320" s="717"/>
      <c r="V320" s="717"/>
      <c r="W320" s="717"/>
      <c r="X320" s="717"/>
      <c r="Y320" s="717"/>
      <c r="Z320" s="717"/>
      <c r="AA320" s="63"/>
      <c r="AB320" s="63"/>
      <c r="AC320" s="63"/>
    </row>
    <row r="321" spans="1:68" ht="27" hidden="1" customHeight="1" x14ac:dyDescent="0.25">
      <c r="A321" s="60" t="s">
        <v>534</v>
      </c>
      <c r="B321" s="60" t="s">
        <v>535</v>
      </c>
      <c r="C321" s="34">
        <v>4301041008</v>
      </c>
      <c r="D321" s="718">
        <v>4680115886681</v>
      </c>
      <c r="E321" s="718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339</v>
      </c>
      <c r="L321" s="35" t="s">
        <v>46</v>
      </c>
      <c r="M321" s="36" t="s">
        <v>281</v>
      </c>
      <c r="N321" s="36"/>
      <c r="O321" s="35">
        <v>90</v>
      </c>
      <c r="P321" s="8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0"/>
      <c r="R321" s="720"/>
      <c r="S321" s="720"/>
      <c r="T321" s="72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536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726"/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7"/>
      <c r="P322" s="723" t="s">
        <v>40</v>
      </c>
      <c r="Q322" s="724"/>
      <c r="R322" s="724"/>
      <c r="S322" s="724"/>
      <c r="T322" s="724"/>
      <c r="U322" s="724"/>
      <c r="V322" s="725"/>
      <c r="W322" s="40" t="s">
        <v>39</v>
      </c>
      <c r="X322" s="41">
        <f>IFERROR(X321/H321,"0")</f>
        <v>0</v>
      </c>
      <c r="Y322" s="41">
        <f>IFERROR(Y321/H321,"0")</f>
        <v>0</v>
      </c>
      <c r="Z322" s="41">
        <f>IFERROR(IF(Z321="",0,Z321),"0")</f>
        <v>0</v>
      </c>
      <c r="AA322" s="64"/>
      <c r="AB322" s="64"/>
      <c r="AC322" s="64"/>
    </row>
    <row r="323" spans="1:68" hidden="1" x14ac:dyDescent="0.2">
      <c r="A323" s="726"/>
      <c r="B323" s="726"/>
      <c r="C323" s="726"/>
      <c r="D323" s="726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7"/>
      <c r="P323" s="723" t="s">
        <v>40</v>
      </c>
      <c r="Q323" s="724"/>
      <c r="R323" s="724"/>
      <c r="S323" s="724"/>
      <c r="T323" s="724"/>
      <c r="U323" s="724"/>
      <c r="V323" s="725"/>
      <c r="W323" s="40" t="s">
        <v>0</v>
      </c>
      <c r="X323" s="41">
        <f>IFERROR(SUM(X321:X321),"0")</f>
        <v>0</v>
      </c>
      <c r="Y323" s="41">
        <f>IFERROR(SUM(Y321:Y321),"0")</f>
        <v>0</v>
      </c>
      <c r="Z323" s="40"/>
      <c r="AA323" s="64"/>
      <c r="AB323" s="64"/>
      <c r="AC323" s="64"/>
    </row>
    <row r="324" spans="1:68" ht="16.5" hidden="1" customHeight="1" x14ac:dyDescent="0.25">
      <c r="A324" s="716" t="s">
        <v>537</v>
      </c>
      <c r="B324" s="716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  <c r="AA324" s="62"/>
      <c r="AB324" s="62"/>
      <c r="AC324" s="62"/>
    </row>
    <row r="325" spans="1:68" ht="14.25" hidden="1" customHeight="1" x14ac:dyDescent="0.25">
      <c r="A325" s="717" t="s">
        <v>121</v>
      </c>
      <c r="B325" s="717"/>
      <c r="C325" s="717"/>
      <c r="D325" s="717"/>
      <c r="E325" s="717"/>
      <c r="F325" s="717"/>
      <c r="G325" s="717"/>
      <c r="H325" s="717"/>
      <c r="I325" s="717"/>
      <c r="J325" s="717"/>
      <c r="K325" s="717"/>
      <c r="L325" s="717"/>
      <c r="M325" s="717"/>
      <c r="N325" s="717"/>
      <c r="O325" s="717"/>
      <c r="P325" s="717"/>
      <c r="Q325" s="717"/>
      <c r="R325" s="717"/>
      <c r="S325" s="717"/>
      <c r="T325" s="717"/>
      <c r="U325" s="717"/>
      <c r="V325" s="717"/>
      <c r="W325" s="717"/>
      <c r="X325" s="717"/>
      <c r="Y325" s="717"/>
      <c r="Z325" s="717"/>
      <c r="AA325" s="63"/>
      <c r="AB325" s="63"/>
      <c r="AC325" s="63"/>
    </row>
    <row r="326" spans="1:68" ht="27" hidden="1" customHeight="1" x14ac:dyDescent="0.25">
      <c r="A326" s="60" t="s">
        <v>538</v>
      </c>
      <c r="B326" s="60" t="s">
        <v>539</v>
      </c>
      <c r="C326" s="34">
        <v>4301012390</v>
      </c>
      <c r="D326" s="718">
        <v>4680115889637</v>
      </c>
      <c r="E326" s="71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89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0"/>
      <c r="R326" s="720"/>
      <c r="S326" s="720"/>
      <c r="T326" s="72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541</v>
      </c>
      <c r="AC326" s="417" t="s">
        <v>540</v>
      </c>
      <c r="AG326" s="75"/>
      <c r="AJ326" s="79" t="s">
        <v>46</v>
      </c>
      <c r="AK326" s="79">
        <v>0</v>
      </c>
      <c r="BB326" s="418" t="s">
        <v>66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542</v>
      </c>
      <c r="B327" s="60" t="s">
        <v>543</v>
      </c>
      <c r="C327" s="34">
        <v>4301011855</v>
      </c>
      <c r="D327" s="718">
        <v>4680115885837</v>
      </c>
      <c r="E327" s="71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8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0"/>
      <c r="R327" s="720"/>
      <c r="S327" s="720"/>
      <c r="T327" s="72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544</v>
      </c>
      <c r="AG327" s="75"/>
      <c r="AJ327" s="79" t="s">
        <v>46</v>
      </c>
      <c r="AK327" s="79">
        <v>0</v>
      </c>
      <c r="BB327" s="420" t="s">
        <v>66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545</v>
      </c>
      <c r="B328" s="60" t="s">
        <v>546</v>
      </c>
      <c r="C328" s="34">
        <v>4301012234</v>
      </c>
      <c r="D328" s="718">
        <v>4680115887237</v>
      </c>
      <c r="E328" s="71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8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0"/>
      <c r="R328" s="720"/>
      <c r="S328" s="720"/>
      <c r="T328" s="721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547</v>
      </c>
      <c r="AG328" s="75"/>
      <c r="AJ328" s="79" t="s">
        <v>46</v>
      </c>
      <c r="AK328" s="79">
        <v>0</v>
      </c>
      <c r="BB328" s="422" t="s">
        <v>66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548</v>
      </c>
      <c r="B329" s="60" t="s">
        <v>549</v>
      </c>
      <c r="C329" s="34">
        <v>4301011850</v>
      </c>
      <c r="D329" s="718">
        <v>4680115885806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126</v>
      </c>
      <c r="L329" s="35" t="s">
        <v>46</v>
      </c>
      <c r="M329" s="36" t="s">
        <v>125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550</v>
      </c>
      <c r="AG329" s="75"/>
      <c r="AJ329" s="79" t="s">
        <v>46</v>
      </c>
      <c r="AK329" s="79">
        <v>0</v>
      </c>
      <c r="BB329" s="424" t="s">
        <v>66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551</v>
      </c>
      <c r="B330" s="60" t="s">
        <v>552</v>
      </c>
      <c r="C330" s="34">
        <v>4301011852</v>
      </c>
      <c r="D330" s="718">
        <v>4680115885844</v>
      </c>
      <c r="E330" s="71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553</v>
      </c>
      <c r="AG330" s="75"/>
      <c r="AJ330" s="79" t="s">
        <v>46</v>
      </c>
      <c r="AK330" s="79">
        <v>0</v>
      </c>
      <c r="BB330" s="426" t="s">
        <v>66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554</v>
      </c>
      <c r="B331" s="60" t="s">
        <v>555</v>
      </c>
      <c r="C331" s="34">
        <v>4301011851</v>
      </c>
      <c r="D331" s="718">
        <v>4680115885820</v>
      </c>
      <c r="E331" s="718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133</v>
      </c>
      <c r="L331" s="35" t="s">
        <v>46</v>
      </c>
      <c r="M331" s="36" t="s">
        <v>125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556</v>
      </c>
      <c r="AG331" s="75"/>
      <c r="AJ331" s="79" t="s">
        <v>46</v>
      </c>
      <c r="AK331" s="79">
        <v>0</v>
      </c>
      <c r="BB331" s="428" t="s">
        <v>66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726"/>
      <c r="B332" s="726"/>
      <c r="C332" s="726"/>
      <c r="D332" s="726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7"/>
      <c r="P332" s="723" t="s">
        <v>40</v>
      </c>
      <c r="Q332" s="724"/>
      <c r="R332" s="724"/>
      <c r="S332" s="724"/>
      <c r="T332" s="724"/>
      <c r="U332" s="724"/>
      <c r="V332" s="725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716" t="s">
        <v>557</v>
      </c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  <c r="AA334" s="62"/>
      <c r="AB334" s="62"/>
      <c r="AC334" s="62"/>
    </row>
    <row r="335" spans="1:68" ht="14.25" hidden="1" customHeight="1" x14ac:dyDescent="0.25">
      <c r="A335" s="717" t="s">
        <v>85</v>
      </c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7"/>
      <c r="P335" s="717"/>
      <c r="Q335" s="717"/>
      <c r="R335" s="717"/>
      <c r="S335" s="717"/>
      <c r="T335" s="717"/>
      <c r="U335" s="717"/>
      <c r="V335" s="717"/>
      <c r="W335" s="717"/>
      <c r="X335" s="717"/>
      <c r="Y335" s="717"/>
      <c r="Z335" s="717"/>
      <c r="AA335" s="63"/>
      <c r="AB335" s="63"/>
      <c r="AC335" s="63"/>
    </row>
    <row r="336" spans="1:68" ht="27" hidden="1" customHeight="1" x14ac:dyDescent="0.25">
      <c r="A336" s="60" t="s">
        <v>558</v>
      </c>
      <c r="B336" s="60" t="s">
        <v>559</v>
      </c>
      <c r="C336" s="34">
        <v>4301051893</v>
      </c>
      <c r="D336" s="718">
        <v>4680115886186</v>
      </c>
      <c r="E336" s="718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90</v>
      </c>
      <c r="L336" s="35" t="s">
        <v>46</v>
      </c>
      <c r="M336" s="36" t="s">
        <v>89</v>
      </c>
      <c r="N336" s="36"/>
      <c r="O336" s="35">
        <v>45</v>
      </c>
      <c r="P336" s="9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0"/>
      <c r="R336" s="720"/>
      <c r="S336" s="720"/>
      <c r="T336" s="72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560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561</v>
      </c>
      <c r="B337" s="60" t="s">
        <v>562</v>
      </c>
      <c r="C337" s="34">
        <v>4301051795</v>
      </c>
      <c r="D337" s="718">
        <v>4680115881228</v>
      </c>
      <c r="E337" s="718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90</v>
      </c>
      <c r="L337" s="35" t="s">
        <v>46</v>
      </c>
      <c r="M337" s="36" t="s">
        <v>96</v>
      </c>
      <c r="N337" s="36"/>
      <c r="O337" s="35">
        <v>40</v>
      </c>
      <c r="P337" s="9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0"/>
      <c r="R337" s="720"/>
      <c r="S337" s="720"/>
      <c r="T337" s="72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563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hidden="1" customHeight="1" x14ac:dyDescent="0.25">
      <c r="A338" s="60" t="s">
        <v>564</v>
      </c>
      <c r="B338" s="60" t="s">
        <v>565</v>
      </c>
      <c r="C338" s="34">
        <v>4301051388</v>
      </c>
      <c r="D338" s="718">
        <v>4680115881211</v>
      </c>
      <c r="E338" s="718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90</v>
      </c>
      <c r="L338" s="35" t="s">
        <v>46</v>
      </c>
      <c r="M338" s="36" t="s">
        <v>89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560</v>
      </c>
      <c r="AG338" s="75"/>
      <c r="AJ338" s="79" t="s">
        <v>46</v>
      </c>
      <c r="AK338" s="79">
        <v>0</v>
      </c>
      <c r="BB338" s="434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idden="1" x14ac:dyDescent="0.2">
      <c r="A339" s="726"/>
      <c r="B339" s="726"/>
      <c r="C339" s="726"/>
      <c r="D339" s="726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7"/>
      <c r="P339" s="723" t="s">
        <v>40</v>
      </c>
      <c r="Q339" s="724"/>
      <c r="R339" s="724"/>
      <c r="S339" s="724"/>
      <c r="T339" s="724"/>
      <c r="U339" s="724"/>
      <c r="V339" s="725"/>
      <c r="W339" s="40" t="s">
        <v>39</v>
      </c>
      <c r="X339" s="41">
        <f>IFERROR(X336/H336,"0")+IFERROR(X337/H337,"0")+IFERROR(X338/H338,"0")</f>
        <v>0</v>
      </c>
      <c r="Y339" s="41">
        <f>IFERROR(Y336/H336,"0")+IFERROR(Y337/H337,"0")+IFERROR(Y338/H338,"0")</f>
        <v>0</v>
      </c>
      <c r="Z339" s="41">
        <f>IFERROR(IF(Z336="",0,Z336),"0")+IFERROR(IF(Z337="",0,Z337),"0")+IFERROR(IF(Z338="",0,Z338),"0")</f>
        <v>0</v>
      </c>
      <c r="AA339" s="64"/>
      <c r="AB339" s="64"/>
      <c r="AC339" s="64"/>
    </row>
    <row r="340" spans="1:68" hidden="1" x14ac:dyDescent="0.2">
      <c r="A340" s="726"/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7"/>
      <c r="P340" s="723" t="s">
        <v>40</v>
      </c>
      <c r="Q340" s="724"/>
      <c r="R340" s="724"/>
      <c r="S340" s="724"/>
      <c r="T340" s="724"/>
      <c r="U340" s="724"/>
      <c r="V340" s="725"/>
      <c r="W340" s="40" t="s">
        <v>0</v>
      </c>
      <c r="X340" s="41">
        <f>IFERROR(SUM(X336:X338),"0")</f>
        <v>0</v>
      </c>
      <c r="Y340" s="41">
        <f>IFERROR(SUM(Y336:Y338),"0")</f>
        <v>0</v>
      </c>
      <c r="Z340" s="40"/>
      <c r="AA340" s="64"/>
      <c r="AB340" s="64"/>
      <c r="AC340" s="64"/>
    </row>
    <row r="341" spans="1:68" ht="16.5" hidden="1" customHeight="1" x14ac:dyDescent="0.25">
      <c r="A341" s="716" t="s">
        <v>566</v>
      </c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  <c r="AA341" s="62"/>
      <c r="AB341" s="62"/>
      <c r="AC341" s="62"/>
    </row>
    <row r="342" spans="1:68" ht="14.25" hidden="1" customHeight="1" x14ac:dyDescent="0.25">
      <c r="A342" s="717" t="s">
        <v>76</v>
      </c>
      <c r="B342" s="717"/>
      <c r="C342" s="717"/>
      <c r="D342" s="717"/>
      <c r="E342" s="717"/>
      <c r="F342" s="717"/>
      <c r="G342" s="717"/>
      <c r="H342" s="717"/>
      <c r="I342" s="717"/>
      <c r="J342" s="717"/>
      <c r="K342" s="717"/>
      <c r="L342" s="717"/>
      <c r="M342" s="717"/>
      <c r="N342" s="717"/>
      <c r="O342" s="717"/>
      <c r="P342" s="717"/>
      <c r="Q342" s="717"/>
      <c r="R342" s="717"/>
      <c r="S342" s="717"/>
      <c r="T342" s="717"/>
      <c r="U342" s="717"/>
      <c r="V342" s="717"/>
      <c r="W342" s="717"/>
      <c r="X342" s="717"/>
      <c r="Y342" s="717"/>
      <c r="Z342" s="717"/>
      <c r="AA342" s="63"/>
      <c r="AB342" s="63"/>
      <c r="AC342" s="63"/>
    </row>
    <row r="343" spans="1:68" ht="27" hidden="1" customHeight="1" x14ac:dyDescent="0.25">
      <c r="A343" s="60" t="s">
        <v>567</v>
      </c>
      <c r="B343" s="60" t="s">
        <v>568</v>
      </c>
      <c r="C343" s="34">
        <v>4301031445</v>
      </c>
      <c r="D343" s="718">
        <v>4680115888319</v>
      </c>
      <c r="E343" s="718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45</v>
      </c>
      <c r="P343" s="90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0"/>
      <c r="R343" s="720"/>
      <c r="S343" s="720"/>
      <c r="T343" s="72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394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569</v>
      </c>
      <c r="B344" s="60" t="s">
        <v>570</v>
      </c>
      <c r="C344" s="34">
        <v>4301031502</v>
      </c>
      <c r="D344" s="718">
        <v>4680115884700</v>
      </c>
      <c r="E344" s="718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90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0"/>
      <c r="R344" s="720"/>
      <c r="S344" s="720"/>
      <c r="T344" s="72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571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572</v>
      </c>
      <c r="B345" s="60" t="s">
        <v>573</v>
      </c>
      <c r="C345" s="34">
        <v>4301031307</v>
      </c>
      <c r="D345" s="718">
        <v>4680115880344</v>
      </c>
      <c r="E345" s="718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81</v>
      </c>
      <c r="L345" s="35" t="s">
        <v>46</v>
      </c>
      <c r="M345" s="36" t="s">
        <v>80</v>
      </c>
      <c r="N345" s="36"/>
      <c r="O345" s="35">
        <v>40</v>
      </c>
      <c r="P345" s="9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574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575</v>
      </c>
      <c r="B346" s="60" t="s">
        <v>576</v>
      </c>
      <c r="C346" s="34">
        <v>4301031501</v>
      </c>
      <c r="D346" s="718">
        <v>4680115886919</v>
      </c>
      <c r="E346" s="718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90</v>
      </c>
      <c r="L346" s="35" t="s">
        <v>46</v>
      </c>
      <c r="M346" s="36" t="s">
        <v>80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577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578</v>
      </c>
      <c r="B347" s="60" t="s">
        <v>579</v>
      </c>
      <c r="C347" s="34">
        <v>4301031246</v>
      </c>
      <c r="D347" s="718">
        <v>4680115883970</v>
      </c>
      <c r="E347" s="718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81</v>
      </c>
      <c r="L347" s="35" t="s">
        <v>46</v>
      </c>
      <c r="M347" s="36" t="s">
        <v>80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580</v>
      </c>
      <c r="AG347" s="75"/>
      <c r="AJ347" s="79" t="s">
        <v>46</v>
      </c>
      <c r="AK347" s="79">
        <v>0</v>
      </c>
      <c r="BB347" s="444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7"/>
      <c r="P349" s="723" t="s">
        <v>40</v>
      </c>
      <c r="Q349" s="724"/>
      <c r="R349" s="724"/>
      <c r="S349" s="724"/>
      <c r="T349" s="724"/>
      <c r="U349" s="724"/>
      <c r="V349" s="725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717" t="s">
        <v>85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3"/>
      <c r="AB350" s="63"/>
      <c r="AC350" s="63"/>
    </row>
    <row r="351" spans="1:68" ht="27" hidden="1" customHeight="1" x14ac:dyDescent="0.25">
      <c r="A351" s="60" t="s">
        <v>581</v>
      </c>
      <c r="B351" s="60" t="s">
        <v>582</v>
      </c>
      <c r="C351" s="34">
        <v>4301051782</v>
      </c>
      <c r="D351" s="718">
        <v>4680115884618</v>
      </c>
      <c r="E351" s="718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90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0"/>
      <c r="R351" s="720"/>
      <c r="S351" s="720"/>
      <c r="T351" s="72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583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584</v>
      </c>
      <c r="B352" s="60" t="s">
        <v>585</v>
      </c>
      <c r="C352" s="34">
        <v>4301052057</v>
      </c>
      <c r="D352" s="718">
        <v>4680115887114</v>
      </c>
      <c r="E352" s="718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133</v>
      </c>
      <c r="L352" s="35" t="s">
        <v>46</v>
      </c>
      <c r="M352" s="36" t="s">
        <v>89</v>
      </c>
      <c r="N352" s="36"/>
      <c r="O352" s="35">
        <v>45</v>
      </c>
      <c r="P352" s="9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0"/>
      <c r="R352" s="720"/>
      <c r="S352" s="720"/>
      <c r="T352" s="72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586</v>
      </c>
      <c r="AG352" s="75"/>
      <c r="AJ352" s="79" t="s">
        <v>46</v>
      </c>
      <c r="AK352" s="79">
        <v>0</v>
      </c>
      <c r="BB352" s="448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7"/>
      <c r="P354" s="723" t="s">
        <v>40</v>
      </c>
      <c r="Q354" s="724"/>
      <c r="R354" s="724"/>
      <c r="S354" s="724"/>
      <c r="T354" s="724"/>
      <c r="U354" s="724"/>
      <c r="V354" s="725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716" t="s">
        <v>587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  <c r="AA355" s="62"/>
      <c r="AB355" s="62"/>
      <c r="AC355" s="62"/>
    </row>
    <row r="356" spans="1:68" ht="14.25" hidden="1" customHeight="1" x14ac:dyDescent="0.25">
      <c r="A356" s="717" t="s">
        <v>121</v>
      </c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7"/>
      <c r="P356" s="717"/>
      <c r="Q356" s="717"/>
      <c r="R356" s="717"/>
      <c r="S356" s="717"/>
      <c r="T356" s="717"/>
      <c r="U356" s="717"/>
      <c r="V356" s="717"/>
      <c r="W356" s="717"/>
      <c r="X356" s="717"/>
      <c r="Y356" s="717"/>
      <c r="Z356" s="717"/>
      <c r="AA356" s="63"/>
      <c r="AB356" s="63"/>
      <c r="AC356" s="63"/>
    </row>
    <row r="357" spans="1:68" ht="27" hidden="1" customHeight="1" x14ac:dyDescent="0.25">
      <c r="A357" s="60" t="s">
        <v>588</v>
      </c>
      <c r="B357" s="60" t="s">
        <v>589</v>
      </c>
      <c r="C357" s="34">
        <v>4301012324</v>
      </c>
      <c r="D357" s="718">
        <v>4680115887947</v>
      </c>
      <c r="E357" s="71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91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0"/>
      <c r="R357" s="720"/>
      <c r="S357" s="720"/>
      <c r="T357" s="72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353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590</v>
      </c>
      <c r="B358" s="60" t="s">
        <v>591</v>
      </c>
      <c r="C358" s="34">
        <v>4301012325</v>
      </c>
      <c r="D358" s="718">
        <v>4680115887978</v>
      </c>
      <c r="E358" s="71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0"/>
      <c r="R358" s="720"/>
      <c r="S358" s="720"/>
      <c r="T358" s="72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592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593</v>
      </c>
      <c r="B359" s="60" t="s">
        <v>594</v>
      </c>
      <c r="C359" s="34">
        <v>4301012327</v>
      </c>
      <c r="D359" s="718">
        <v>4680115887992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126</v>
      </c>
      <c r="L359" s="35" t="s">
        <v>46</v>
      </c>
      <c r="M359" s="36" t="s">
        <v>89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595</v>
      </c>
      <c r="AG359" s="75"/>
      <c r="AJ359" s="79" t="s">
        <v>46</v>
      </c>
      <c r="AK359" s="79">
        <v>0</v>
      </c>
      <c r="BB359" s="454" t="s">
        <v>66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726"/>
      <c r="B360" s="726"/>
      <c r="C360" s="726"/>
      <c r="D360" s="726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7"/>
      <c r="P360" s="723" t="s">
        <v>40</v>
      </c>
      <c r="Q360" s="724"/>
      <c r="R360" s="724"/>
      <c r="S360" s="724"/>
      <c r="T360" s="724"/>
      <c r="U360" s="724"/>
      <c r="V360" s="725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7"/>
      <c r="P361" s="723" t="s">
        <v>40</v>
      </c>
      <c r="Q361" s="724"/>
      <c r="R361" s="724"/>
      <c r="S361" s="724"/>
      <c r="T361" s="724"/>
      <c r="U361" s="724"/>
      <c r="V361" s="725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716" t="s">
        <v>596</v>
      </c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  <c r="AA362" s="62"/>
      <c r="AB362" s="62"/>
      <c r="AC362" s="62"/>
    </row>
    <row r="363" spans="1:68" ht="14.25" hidden="1" customHeight="1" x14ac:dyDescent="0.25">
      <c r="A363" s="717" t="s">
        <v>121</v>
      </c>
      <c r="B363" s="717"/>
      <c r="C363" s="717"/>
      <c r="D363" s="717"/>
      <c r="E363" s="717"/>
      <c r="F363" s="717"/>
      <c r="G363" s="717"/>
      <c r="H363" s="717"/>
      <c r="I363" s="717"/>
      <c r="J363" s="717"/>
      <c r="K363" s="717"/>
      <c r="L363" s="717"/>
      <c r="M363" s="717"/>
      <c r="N363" s="717"/>
      <c r="O363" s="717"/>
      <c r="P363" s="717"/>
      <c r="Q363" s="717"/>
      <c r="R363" s="717"/>
      <c r="S363" s="717"/>
      <c r="T363" s="717"/>
      <c r="U363" s="717"/>
      <c r="V363" s="717"/>
      <c r="W363" s="717"/>
      <c r="X363" s="717"/>
      <c r="Y363" s="717"/>
      <c r="Z363" s="717"/>
      <c r="AA363" s="63"/>
      <c r="AB363" s="63"/>
      <c r="AC363" s="63"/>
    </row>
    <row r="364" spans="1:68" ht="27" hidden="1" customHeight="1" x14ac:dyDescent="0.25">
      <c r="A364" s="60" t="s">
        <v>597</v>
      </c>
      <c r="B364" s="60" t="s">
        <v>598</v>
      </c>
      <c r="C364" s="34">
        <v>4301012400</v>
      </c>
      <c r="D364" s="718">
        <v>4680115889880</v>
      </c>
      <c r="E364" s="71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91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0"/>
      <c r="R364" s="720"/>
      <c r="S364" s="720"/>
      <c r="T364" s="72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541</v>
      </c>
      <c r="AC364" s="455" t="s">
        <v>521</v>
      </c>
      <c r="AG364" s="75"/>
      <c r="AJ364" s="79" t="s">
        <v>46</v>
      </c>
      <c r="AK364" s="79">
        <v>0</v>
      </c>
      <c r="BB364" s="456" t="s">
        <v>66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599</v>
      </c>
      <c r="B365" s="60" t="s">
        <v>600</v>
      </c>
      <c r="C365" s="34">
        <v>4301012360</v>
      </c>
      <c r="D365" s="718">
        <v>4680115889293</v>
      </c>
      <c r="E365" s="71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91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0"/>
      <c r="R365" s="720"/>
      <c r="S365" s="720"/>
      <c r="T365" s="72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601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602</v>
      </c>
      <c r="B366" s="60" t="s">
        <v>603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125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604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605</v>
      </c>
      <c r="B367" s="60" t="s">
        <v>606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126</v>
      </c>
      <c r="L367" s="35" t="s">
        <v>46</v>
      </c>
      <c r="M367" s="36" t="s">
        <v>125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607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608</v>
      </c>
      <c r="B368" s="60" t="s">
        <v>609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126</v>
      </c>
      <c r="L368" s="35" t="s">
        <v>46</v>
      </c>
      <c r="M368" s="36" t="s">
        <v>89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610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611</v>
      </c>
      <c r="B369" s="60" t="s">
        <v>612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133</v>
      </c>
      <c r="L369" s="35" t="s">
        <v>46</v>
      </c>
      <c r="M369" s="36" t="s">
        <v>125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604</v>
      </c>
      <c r="AG369" s="75"/>
      <c r="AJ369" s="79" t="s">
        <v>46</v>
      </c>
      <c r="AK369" s="79">
        <v>0</v>
      </c>
      <c r="BB369" s="466" t="s">
        <v>66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613</v>
      </c>
      <c r="B370" s="60" t="s">
        <v>614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133</v>
      </c>
      <c r="L370" s="35" t="s">
        <v>46</v>
      </c>
      <c r="M370" s="36" t="s">
        <v>125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615</v>
      </c>
      <c r="AG370" s="75"/>
      <c r="AJ370" s="79" t="s">
        <v>46</v>
      </c>
      <c r="AK370" s="79">
        <v>0</v>
      </c>
      <c r="BB370" s="468" t="s">
        <v>66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76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616</v>
      </c>
      <c r="B374" s="60" t="s">
        <v>617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618</v>
      </c>
      <c r="AG374" s="75"/>
      <c r="AJ374" s="79" t="s">
        <v>46</v>
      </c>
      <c r="AK374" s="79">
        <v>0</v>
      </c>
      <c r="BB374" s="470" t="s">
        <v>66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619</v>
      </c>
      <c r="B375" s="60" t="s">
        <v>620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133</v>
      </c>
      <c r="L375" s="35" t="s">
        <v>46</v>
      </c>
      <c r="M375" s="36" t="s">
        <v>80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621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622</v>
      </c>
      <c r="B376" s="60" t="s">
        <v>623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133</v>
      </c>
      <c r="L376" s="35" t="s">
        <v>46</v>
      </c>
      <c r="M376" s="36" t="s">
        <v>80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624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625</v>
      </c>
      <c r="B377" s="60" t="s">
        <v>626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81</v>
      </c>
      <c r="L377" s="35" t="s">
        <v>46</v>
      </c>
      <c r="M377" s="36" t="s">
        <v>80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81</v>
      </c>
      <c r="L378" s="35" t="s">
        <v>46</v>
      </c>
      <c r="M378" s="36" t="s">
        <v>80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629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hidden="1" customHeight="1" x14ac:dyDescent="0.25">
      <c r="A379" s="60" t="s">
        <v>630</v>
      </c>
      <c r="B379" s="60" t="s">
        <v>631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133</v>
      </c>
      <c r="L379" s="35" t="s">
        <v>46</v>
      </c>
      <c r="M379" s="36" t="s">
        <v>80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624</v>
      </c>
      <c r="AG379" s="75"/>
      <c r="AJ379" s="79" t="s">
        <v>46</v>
      </c>
      <c r="AK379" s="79">
        <v>0</v>
      </c>
      <c r="BB379" s="480" t="s">
        <v>66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hidden="1" customHeight="1" x14ac:dyDescent="0.25">
      <c r="A380" s="60" t="s">
        <v>632</v>
      </c>
      <c r="B380" s="60" t="s">
        <v>633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90</v>
      </c>
      <c r="L380" s="35" t="s">
        <v>46</v>
      </c>
      <c r="M380" s="36" t="s">
        <v>80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81" t="s">
        <v>634</v>
      </c>
      <c r="AG380" s="75"/>
      <c r="AJ380" s="79" t="s">
        <v>46</v>
      </c>
      <c r="AK380" s="79">
        <v>0</v>
      </c>
      <c r="BB380" s="482" t="s">
        <v>66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idden="1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0</v>
      </c>
      <c r="Y381" s="41">
        <f>IFERROR(Y374/H374,"0")+IFERROR(Y375/H375,"0")+IFERROR(Y376/H376,"0")+IFERROR(Y377/H377,"0")+IFERROR(Y378/H378,"0")+IFERROR(Y379/H379,"0")+IFERROR(Y380/H380,"0")</f>
        <v>0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0</v>
      </c>
      <c r="Y382" s="41">
        <f>IFERROR(SUM(Y374:Y380),"0")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717" t="s">
        <v>85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635</v>
      </c>
      <c r="B384" s="60" t="s">
        <v>636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637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126</v>
      </c>
      <c r="L385" s="35" t="s">
        <v>46</v>
      </c>
      <c r="M385" s="36" t="s">
        <v>89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640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641</v>
      </c>
      <c r="B386" s="60" t="s">
        <v>642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126</v>
      </c>
      <c r="L386" s="35" t="s">
        <v>46</v>
      </c>
      <c r="M386" s="36" t="s">
        <v>89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643</v>
      </c>
      <c r="AG386" s="75"/>
      <c r="AJ386" s="79" t="s">
        <v>46</v>
      </c>
      <c r="AK386" s="79">
        <v>0</v>
      </c>
      <c r="BB386" s="488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90</v>
      </c>
      <c r="L387" s="35" t="s">
        <v>46</v>
      </c>
      <c r="M387" s="36" t="s">
        <v>89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637</v>
      </c>
      <c r="AG387" s="75"/>
      <c r="AJ387" s="79" t="s">
        <v>46</v>
      </c>
      <c r="AK387" s="79">
        <v>0</v>
      </c>
      <c r="BB387" s="490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177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hidden="1" customHeight="1" x14ac:dyDescent="0.25">
      <c r="A391" s="60" t="s">
        <v>646</v>
      </c>
      <c r="B391" s="60" t="s">
        <v>647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89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648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649</v>
      </c>
      <c r="B392" s="60" t="s">
        <v>650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126</v>
      </c>
      <c r="L392" s="35" t="s">
        <v>46</v>
      </c>
      <c r="M392" s="36" t="s">
        <v>89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651</v>
      </c>
      <c r="AG392" s="75"/>
      <c r="AJ392" s="79" t="s">
        <v>46</v>
      </c>
      <c r="AK392" s="79">
        <v>0</v>
      </c>
      <c r="BB392" s="494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652</v>
      </c>
      <c r="B393" s="60" t="s">
        <v>653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126</v>
      </c>
      <c r="L393" s="35" t="s">
        <v>46</v>
      </c>
      <c r="M393" s="36" t="s">
        <v>96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654</v>
      </c>
      <c r="AG393" s="75"/>
      <c r="AJ393" s="79" t="s">
        <v>46</v>
      </c>
      <c r="AK393" s="79">
        <v>0</v>
      </c>
      <c r="BB393" s="496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hidden="1" customHeight="1" x14ac:dyDescent="0.25">
      <c r="A396" s="717" t="s">
        <v>276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655</v>
      </c>
      <c r="B397" s="60" t="s">
        <v>656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133</v>
      </c>
      <c r="L397" s="35" t="s">
        <v>46</v>
      </c>
      <c r="M397" s="36" t="s">
        <v>252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657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658</v>
      </c>
      <c r="B398" s="60" t="s">
        <v>659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133</v>
      </c>
      <c r="L398" s="35" t="s">
        <v>46</v>
      </c>
      <c r="M398" s="36" t="s">
        <v>252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657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660</v>
      </c>
      <c r="B399" s="60" t="s">
        <v>661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90</v>
      </c>
      <c r="L399" s="35" t="s">
        <v>46</v>
      </c>
      <c r="M399" s="36" t="s">
        <v>252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657</v>
      </c>
      <c r="AG399" s="75"/>
      <c r="AJ399" s="79" t="s">
        <v>46</v>
      </c>
      <c r="AK399" s="79">
        <v>0</v>
      </c>
      <c r="BB399" s="502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662</v>
      </c>
      <c r="B400" s="60" t="s">
        <v>663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90</v>
      </c>
      <c r="L400" s="35" t="s">
        <v>46</v>
      </c>
      <c r="M400" s="36" t="s">
        <v>252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657</v>
      </c>
      <c r="AG400" s="75"/>
      <c r="AJ400" s="79" t="s">
        <v>46</v>
      </c>
      <c r="AK400" s="79">
        <v>0</v>
      </c>
      <c r="BB400" s="504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664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665</v>
      </c>
      <c r="B404" s="60" t="s">
        <v>666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668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667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669</v>
      </c>
      <c r="B405" s="60" t="s">
        <v>670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90</v>
      </c>
      <c r="L405" s="35" t="s">
        <v>46</v>
      </c>
      <c r="M405" s="36" t="s">
        <v>668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667</v>
      </c>
      <c r="AG405" s="75"/>
      <c r="AJ405" s="79" t="s">
        <v>46</v>
      </c>
      <c r="AK405" s="79">
        <v>0</v>
      </c>
      <c r="BB405" s="508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671</v>
      </c>
      <c r="B406" s="60" t="s">
        <v>672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90</v>
      </c>
      <c r="L406" s="35" t="s">
        <v>46</v>
      </c>
      <c r="M406" s="36" t="s">
        <v>668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667</v>
      </c>
      <c r="AG406" s="75"/>
      <c r="AJ406" s="79" t="s">
        <v>46</v>
      </c>
      <c r="AK406" s="79">
        <v>0</v>
      </c>
      <c r="BB406" s="510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673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674</v>
      </c>
      <c r="B410" s="60" t="s">
        <v>675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668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676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677</v>
      </c>
      <c r="B411" s="60" t="s">
        <v>678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133</v>
      </c>
      <c r="L411" s="35" t="s">
        <v>46</v>
      </c>
      <c r="M411" s="36" t="s">
        <v>668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679</v>
      </c>
      <c r="AG411" s="75"/>
      <c r="AJ411" s="79" t="s">
        <v>46</v>
      </c>
      <c r="AK411" s="79">
        <v>0</v>
      </c>
      <c r="BB411" s="514" t="s">
        <v>66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680</v>
      </c>
      <c r="B412" s="60" t="s">
        <v>681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90</v>
      </c>
      <c r="L412" s="35" t="s">
        <v>46</v>
      </c>
      <c r="M412" s="36" t="s">
        <v>668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676</v>
      </c>
      <c r="AG412" s="75"/>
      <c r="AJ412" s="79" t="s">
        <v>46</v>
      </c>
      <c r="AK412" s="79">
        <v>0</v>
      </c>
      <c r="BB412" s="516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682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85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683</v>
      </c>
      <c r="B417" s="60" t="s">
        <v>684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126</v>
      </c>
      <c r="L417" s="35" t="s">
        <v>46</v>
      </c>
      <c r="M417" s="36" t="s">
        <v>89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685</v>
      </c>
      <c r="AG417" s="75"/>
      <c r="AJ417" s="79" t="s">
        <v>46</v>
      </c>
      <c r="AK417" s="79">
        <v>0</v>
      </c>
      <c r="BB417" s="518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686</v>
      </c>
      <c r="B418" s="60" t="s">
        <v>687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126</v>
      </c>
      <c r="L418" s="35" t="s">
        <v>46</v>
      </c>
      <c r="M418" s="36" t="s">
        <v>89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688</v>
      </c>
      <c r="AG418" s="75"/>
      <c r="AJ418" s="79" t="s">
        <v>46</v>
      </c>
      <c r="AK418" s="79">
        <v>0</v>
      </c>
      <c r="BB418" s="520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689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85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690</v>
      </c>
      <c r="B423" s="60" t="s">
        <v>691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126</v>
      </c>
      <c r="L423" s="35" t="s">
        <v>46</v>
      </c>
      <c r="M423" s="36" t="s">
        <v>96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692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693</v>
      </c>
      <c r="B424" s="60" t="s">
        <v>694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90</v>
      </c>
      <c r="L424" s="35" t="s">
        <v>46</v>
      </c>
      <c r="M424" s="36" t="s">
        <v>89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695</v>
      </c>
      <c r="AG424" s="75"/>
      <c r="AJ424" s="79" t="s">
        <v>46</v>
      </c>
      <c r="AK424" s="79">
        <v>0</v>
      </c>
      <c r="BB424" s="52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696</v>
      </c>
      <c r="B425" s="60" t="s">
        <v>697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90</v>
      </c>
      <c r="L425" s="35" t="s">
        <v>46</v>
      </c>
      <c r="M425" s="36" t="s">
        <v>96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698</v>
      </c>
      <c r="AG425" s="75"/>
      <c r="AJ425" s="79" t="s">
        <v>46</v>
      </c>
      <c r="AK425" s="79">
        <v>0</v>
      </c>
      <c r="BB425" s="526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699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700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121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701</v>
      </c>
      <c r="B431" s="60" t="s">
        <v>702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96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703</v>
      </c>
      <c r="AG431" s="75"/>
      <c r="AJ431" s="79" t="s">
        <v>46</v>
      </c>
      <c r="AK431" s="79">
        <v>0</v>
      </c>
      <c r="BB431" s="528" t="s">
        <v>66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hidden="1" customHeight="1" x14ac:dyDescent="0.25">
      <c r="A432" s="60" t="s">
        <v>704</v>
      </c>
      <c r="B432" s="60" t="s">
        <v>705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706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27" customHeight="1" x14ac:dyDescent="0.25">
      <c r="A433" s="60" t="s">
        <v>707</v>
      </c>
      <c r="B433" s="60" t="s">
        <v>708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125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300</v>
      </c>
      <c r="Y433" s="53">
        <f t="shared" si="68"/>
        <v>300</v>
      </c>
      <c r="Z433" s="39">
        <f>IFERROR(IF(Y433=0,"",ROUNDUP(Y433/H433,0)*0.02175),"")</f>
        <v>0.43499999999999994</v>
      </c>
      <c r="AA433" s="65" t="s">
        <v>46</v>
      </c>
      <c r="AB433" s="66" t="s">
        <v>46</v>
      </c>
      <c r="AC433" s="531" t="s">
        <v>709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309.39999999999998</v>
      </c>
      <c r="BN433" s="75">
        <f t="shared" si="70"/>
        <v>309.39999999999998</v>
      </c>
      <c r="BO433" s="75">
        <f t="shared" si="71"/>
        <v>0.41666666666666663</v>
      </c>
      <c r="BP433" s="75">
        <f t="shared" si="72"/>
        <v>0.41666666666666663</v>
      </c>
    </row>
    <row r="434" spans="1:68" ht="27" hidden="1" customHeight="1" x14ac:dyDescent="0.25">
      <c r="A434" s="60" t="s">
        <v>710</v>
      </c>
      <c r="B434" s="60" t="s">
        <v>711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126</v>
      </c>
      <c r="L434" s="35" t="s">
        <v>46</v>
      </c>
      <c r="M434" s="36" t="s">
        <v>80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712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customHeight="1" x14ac:dyDescent="0.25">
      <c r="A435" s="60" t="s">
        <v>713</v>
      </c>
      <c r="B435" s="60" t="s">
        <v>714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126</v>
      </c>
      <c r="L435" s="35" t="s">
        <v>46</v>
      </c>
      <c r="M435" s="36" t="s">
        <v>96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300</v>
      </c>
      <c r="Y435" s="53">
        <f t="shared" si="68"/>
        <v>300</v>
      </c>
      <c r="Z435" s="39">
        <f>IFERROR(IF(Y435=0,"",ROUNDUP(Y435/H435,0)*0.02175),"")</f>
        <v>0.43499999999999994</v>
      </c>
      <c r="AA435" s="65" t="s">
        <v>46</v>
      </c>
      <c r="AB435" s="66" t="s">
        <v>46</v>
      </c>
      <c r="AC435" s="535" t="s">
        <v>715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309.39999999999998</v>
      </c>
      <c r="BN435" s="75">
        <f t="shared" si="70"/>
        <v>309.39999999999998</v>
      </c>
      <c r="BO435" s="75">
        <f t="shared" si="71"/>
        <v>0.41666666666666663</v>
      </c>
      <c r="BP435" s="75">
        <f t="shared" si="72"/>
        <v>0.41666666666666663</v>
      </c>
    </row>
    <row r="436" spans="1:68" ht="27" hidden="1" customHeight="1" x14ac:dyDescent="0.25">
      <c r="A436" s="60" t="s">
        <v>716</v>
      </c>
      <c r="B436" s="60" t="s">
        <v>717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133</v>
      </c>
      <c r="L436" s="35" t="s">
        <v>46</v>
      </c>
      <c r="M436" s="36" t="s">
        <v>125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718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719</v>
      </c>
      <c r="B437" s="60" t="s">
        <v>720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133</v>
      </c>
      <c r="L437" s="35" t="s">
        <v>46</v>
      </c>
      <c r="M437" s="36" t="s">
        <v>80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721</v>
      </c>
      <c r="AG437" s="75"/>
      <c r="AJ437" s="79" t="s">
        <v>46</v>
      </c>
      <c r="AK437" s="79">
        <v>0</v>
      </c>
      <c r="BB437" s="540" t="s">
        <v>66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722</v>
      </c>
      <c r="B438" s="60" t="s">
        <v>723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133</v>
      </c>
      <c r="L438" s="35" t="s">
        <v>46</v>
      </c>
      <c r="M438" s="36" t="s">
        <v>80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724</v>
      </c>
      <c r="AG438" s="75"/>
      <c r="AJ438" s="79" t="s">
        <v>46</v>
      </c>
      <c r="AK438" s="79">
        <v>0</v>
      </c>
      <c r="BB438" s="542" t="s">
        <v>66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40</v>
      </c>
      <c r="Y439" s="41">
        <f>IFERROR(Y431/H431,"0")+IFERROR(Y432/H432,"0")+IFERROR(Y433/H433,"0")+IFERROR(Y434/H434,"0")+IFERROR(Y435/H435,"0")+IFERROR(Y436/H436,"0")+IFERROR(Y437/H437,"0")+IFERROR(Y438/H438,"0")</f>
        <v>40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0.86999999999999988</v>
      </c>
      <c r="AA439" s="64"/>
      <c r="AB439" s="64"/>
      <c r="AC439" s="64"/>
    </row>
    <row r="440" spans="1:68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600</v>
      </c>
      <c r="Y440" s="41">
        <f>IFERROR(SUM(Y431:Y438),"0")</f>
        <v>600</v>
      </c>
      <c r="Z440" s="40"/>
      <c r="AA440" s="64"/>
      <c r="AB440" s="64"/>
      <c r="AC440" s="64"/>
    </row>
    <row r="441" spans="1:68" ht="14.25" hidden="1" customHeight="1" x14ac:dyDescent="0.25">
      <c r="A441" s="717" t="s">
        <v>158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hidden="1" customHeight="1" x14ac:dyDescent="0.25">
      <c r="A442" s="60" t="s">
        <v>725</v>
      </c>
      <c r="B442" s="60" t="s">
        <v>726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126</v>
      </c>
      <c r="L442" s="35" t="s">
        <v>46</v>
      </c>
      <c r="M442" s="36" t="s">
        <v>125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IFERROR(IF(Y442=0,"",ROUNDUP(Y442/H442,0)*0.02175),"")</f>
        <v/>
      </c>
      <c r="AA442" s="65" t="s">
        <v>46</v>
      </c>
      <c r="AB442" s="66" t="s">
        <v>46</v>
      </c>
      <c r="AC442" s="543" t="s">
        <v>727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27" hidden="1" customHeight="1" x14ac:dyDescent="0.25">
      <c r="A443" s="60" t="s">
        <v>728</v>
      </c>
      <c r="B443" s="60" t="s">
        <v>729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126</v>
      </c>
      <c r="L443" s="35" t="s">
        <v>46</v>
      </c>
      <c r="M443" s="36" t="s">
        <v>125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730</v>
      </c>
      <c r="AG443" s="75"/>
      <c r="AJ443" s="79" t="s">
        <v>46</v>
      </c>
      <c r="AK443" s="79">
        <v>0</v>
      </c>
      <c r="BB443" s="546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731</v>
      </c>
      <c r="B444" s="60" t="s">
        <v>732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133</v>
      </c>
      <c r="L444" s="35" t="s">
        <v>46</v>
      </c>
      <c r="M444" s="36" t="s">
        <v>125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733</v>
      </c>
      <c r="AG444" s="75"/>
      <c r="AJ444" s="79" t="s">
        <v>46</v>
      </c>
      <c r="AK444" s="79">
        <v>0</v>
      </c>
      <c r="BB444" s="548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717" t="s">
        <v>85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734</v>
      </c>
      <c r="B448" s="60" t="s">
        <v>735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126</v>
      </c>
      <c r="L448" s="35" t="s">
        <v>46</v>
      </c>
      <c r="M448" s="36" t="s">
        <v>89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736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737</v>
      </c>
      <c r="B449" s="60" t="s">
        <v>738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126</v>
      </c>
      <c r="L449" s="35" t="s">
        <v>46</v>
      </c>
      <c r="M449" s="36" t="s">
        <v>89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739</v>
      </c>
      <c r="AG449" s="75"/>
      <c r="AJ449" s="79" t="s">
        <v>46</v>
      </c>
      <c r="AK449" s="79">
        <v>0</v>
      </c>
      <c r="BB449" s="552" t="s">
        <v>66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740</v>
      </c>
      <c r="B450" s="60" t="s">
        <v>741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126</v>
      </c>
      <c r="L450" s="35" t="s">
        <v>46</v>
      </c>
      <c r="M450" s="36" t="s">
        <v>89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742</v>
      </c>
      <c r="AG450" s="75"/>
      <c r="AJ450" s="79" t="s">
        <v>46</v>
      </c>
      <c r="AK450" s="79">
        <v>0</v>
      </c>
      <c r="BB450" s="554" t="s">
        <v>66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177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743</v>
      </c>
      <c r="B454" s="60" t="s">
        <v>744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126</v>
      </c>
      <c r="L454" s="35" t="s">
        <v>46</v>
      </c>
      <c r="M454" s="36" t="s">
        <v>89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745</v>
      </c>
      <c r="AG454" s="75"/>
      <c r="AJ454" s="79" t="s">
        <v>46</v>
      </c>
      <c r="AK454" s="79">
        <v>0</v>
      </c>
      <c r="BB454" s="556" t="s">
        <v>66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746</v>
      </c>
      <c r="B455" s="60" t="s">
        <v>747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126</v>
      </c>
      <c r="L455" s="35" t="s">
        <v>46</v>
      </c>
      <c r="M455" s="36" t="s">
        <v>89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748</v>
      </c>
      <c r="AG455" s="75"/>
      <c r="AJ455" s="79" t="s">
        <v>46</v>
      </c>
      <c r="AK455" s="79">
        <v>0</v>
      </c>
      <c r="BB455" s="558" t="s">
        <v>66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749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121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750</v>
      </c>
      <c r="B460" s="60" t="s">
        <v>751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126</v>
      </c>
      <c r="L460" s="35" t="s">
        <v>46</v>
      </c>
      <c r="M460" s="36" t="s">
        <v>80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752</v>
      </c>
      <c r="AG460" s="75"/>
      <c r="AJ460" s="79" t="s">
        <v>46</v>
      </c>
      <c r="AK460" s="79">
        <v>0</v>
      </c>
      <c r="BB460" s="56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753</v>
      </c>
      <c r="B461" s="60" t="s">
        <v>754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133</v>
      </c>
      <c r="L461" s="35" t="s">
        <v>46</v>
      </c>
      <c r="M461" s="36" t="s">
        <v>80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752</v>
      </c>
      <c r="AG461" s="75"/>
      <c r="AJ461" s="79" t="s">
        <v>46</v>
      </c>
      <c r="AK461" s="79">
        <v>0</v>
      </c>
      <c r="BB461" s="56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76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755</v>
      </c>
      <c r="B465" s="60" t="s">
        <v>756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133</v>
      </c>
      <c r="L465" s="35" t="s">
        <v>46</v>
      </c>
      <c r="M465" s="36" t="s">
        <v>80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757</v>
      </c>
      <c r="AG465" s="75"/>
      <c r="AJ465" s="79" t="s">
        <v>46</v>
      </c>
      <c r="AK465" s="79">
        <v>0</v>
      </c>
      <c r="BB465" s="564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85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hidden="1" customHeight="1" x14ac:dyDescent="0.25">
      <c r="A469" s="60" t="s">
        <v>758</v>
      </c>
      <c r="B469" s="60" t="s">
        <v>759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126</v>
      </c>
      <c r="L469" s="35" t="s">
        <v>46</v>
      </c>
      <c r="M469" s="36" t="s">
        <v>89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760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761</v>
      </c>
      <c r="B470" s="60" t="s">
        <v>762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90</v>
      </c>
      <c r="L470" s="35" t="s">
        <v>46</v>
      </c>
      <c r="M470" s="36" t="s">
        <v>89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760</v>
      </c>
      <c r="AG470" s="75"/>
      <c r="AJ470" s="79" t="s">
        <v>46</v>
      </c>
      <c r="AK470" s="79">
        <v>0</v>
      </c>
      <c r="BB470" s="568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761</v>
      </c>
      <c r="B471" s="60" t="s">
        <v>763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90</v>
      </c>
      <c r="L471" s="35" t="s">
        <v>46</v>
      </c>
      <c r="M471" s="36" t="s">
        <v>89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764</v>
      </c>
      <c r="AG471" s="75"/>
      <c r="AJ471" s="79" t="s">
        <v>46</v>
      </c>
      <c r="AK471" s="79">
        <v>0</v>
      </c>
      <c r="BB471" s="57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715" t="s">
        <v>765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766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76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767</v>
      </c>
      <c r="B477" s="60" t="s">
        <v>768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133</v>
      </c>
      <c r="L477" s="35" t="s">
        <v>46</v>
      </c>
      <c r="M477" s="36" t="s">
        <v>80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769</v>
      </c>
      <c r="AG477" s="75"/>
      <c r="AJ477" s="79" t="s">
        <v>46</v>
      </c>
      <c r="AK477" s="79">
        <v>0</v>
      </c>
      <c r="BB477" s="572" t="s">
        <v>66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133</v>
      </c>
      <c r="L478" s="35" t="s">
        <v>46</v>
      </c>
      <c r="M478" s="36" t="s">
        <v>80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772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769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775</v>
      </c>
      <c r="B480" s="60" t="s">
        <v>776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777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778</v>
      </c>
      <c r="B481" s="60" t="s">
        <v>779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81</v>
      </c>
      <c r="L481" s="35" t="s">
        <v>46</v>
      </c>
      <c r="M481" s="36" t="s">
        <v>80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780</v>
      </c>
      <c r="AG481" s="75"/>
      <c r="AJ481" s="79" t="s">
        <v>46</v>
      </c>
      <c r="AK481" s="79">
        <v>0</v>
      </c>
      <c r="BB481" s="580" t="s">
        <v>66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781</v>
      </c>
      <c r="B482" s="60" t="s">
        <v>782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81</v>
      </c>
      <c r="L482" s="35" t="s">
        <v>46</v>
      </c>
      <c r="M482" s="36" t="s">
        <v>80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777</v>
      </c>
      <c r="AG482" s="75"/>
      <c r="AJ482" s="79" t="s">
        <v>46</v>
      </c>
      <c r="AK482" s="79">
        <v>0</v>
      </c>
      <c r="BB482" s="582" t="s">
        <v>66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85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783</v>
      </c>
      <c r="B486" s="60" t="s">
        <v>784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133</v>
      </c>
      <c r="L486" s="35" t="s">
        <v>46</v>
      </c>
      <c r="M486" s="36" t="s">
        <v>89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785</v>
      </c>
      <c r="AG486" s="75"/>
      <c r="AJ486" s="79" t="s">
        <v>46</v>
      </c>
      <c r="AK486" s="79">
        <v>0</v>
      </c>
      <c r="BB486" s="584" t="s">
        <v>66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786</v>
      </c>
      <c r="B487" s="60" t="s">
        <v>787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90</v>
      </c>
      <c r="L487" s="35" t="s">
        <v>46</v>
      </c>
      <c r="M487" s="36" t="s">
        <v>89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788</v>
      </c>
      <c r="AG487" s="75"/>
      <c r="AJ487" s="79" t="s">
        <v>46</v>
      </c>
      <c r="AK487" s="79">
        <v>0</v>
      </c>
      <c r="BB487" s="586" t="s">
        <v>66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789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158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790</v>
      </c>
      <c r="B492" s="60" t="s">
        <v>791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90</v>
      </c>
      <c r="L492" s="35" t="s">
        <v>46</v>
      </c>
      <c r="M492" s="36" t="s">
        <v>80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792</v>
      </c>
      <c r="AG492" s="75"/>
      <c r="AJ492" s="79" t="s">
        <v>46</v>
      </c>
      <c r="AK492" s="79">
        <v>0</v>
      </c>
      <c r="BB492" s="588" t="s">
        <v>66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76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793</v>
      </c>
      <c r="B496" s="60" t="s">
        <v>794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133</v>
      </c>
      <c r="L496" s="35" t="s">
        <v>46</v>
      </c>
      <c r="M496" s="36" t="s">
        <v>80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796</v>
      </c>
      <c r="B497" s="60" t="s">
        <v>797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81</v>
      </c>
      <c r="L497" s="35" t="s">
        <v>46</v>
      </c>
      <c r="M497" s="36" t="s">
        <v>80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798</v>
      </c>
      <c r="AG497" s="75"/>
      <c r="AJ497" s="79" t="s">
        <v>46</v>
      </c>
      <c r="AK497" s="79">
        <v>0</v>
      </c>
      <c r="BB497" s="592" t="s">
        <v>66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799</v>
      </c>
      <c r="B498" s="60" t="s">
        <v>800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81</v>
      </c>
      <c r="L498" s="35" t="s">
        <v>46</v>
      </c>
      <c r="M498" s="36" t="s">
        <v>80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798</v>
      </c>
      <c r="AG498" s="75"/>
      <c r="AJ498" s="79" t="s">
        <v>46</v>
      </c>
      <c r="AK498" s="79">
        <v>0</v>
      </c>
      <c r="BB498" s="594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801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801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121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hidden="1" customHeight="1" x14ac:dyDescent="0.25">
      <c r="A504" s="60" t="s">
        <v>802</v>
      </c>
      <c r="B504" s="60" t="s">
        <v>803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89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2" si="78">IFERROR(IF(X504="",0,CEILING((X504/$H504),1)*$H504),"")</f>
        <v>0</v>
      </c>
      <c r="Z504" s="39" t="str">
        <f t="shared" ref="Z504:Z509" si="79">IFERROR(IF(Y504=0,"",ROUNDUP(Y504/H504,0)*0.01196),"")</f>
        <v/>
      </c>
      <c r="AA504" s="65" t="s">
        <v>46</v>
      </c>
      <c r="AB504" s="66" t="s">
        <v>46</v>
      </c>
      <c r="AC504" s="595" t="s">
        <v>124</v>
      </c>
      <c r="AG504" s="75"/>
      <c r="AJ504" s="79" t="s">
        <v>46</v>
      </c>
      <c r="AK504" s="79">
        <v>0</v>
      </c>
      <c r="BB504" s="596" t="s">
        <v>66</v>
      </c>
      <c r="BM504" s="75">
        <f t="shared" ref="BM504:BM512" si="80">IFERROR(X504*I504/H504,"0")</f>
        <v>0</v>
      </c>
      <c r="BN504" s="75">
        <f t="shared" ref="BN504:BN512" si="81">IFERROR(Y504*I504/H504,"0")</f>
        <v>0</v>
      </c>
      <c r="BO504" s="75">
        <f t="shared" ref="BO504:BO512" si="82">IFERROR(1/J504*(X504/H504),"0")</f>
        <v>0</v>
      </c>
      <c r="BP504" s="75">
        <f t="shared" ref="BP504:BP512" si="83">IFERROR(1/J504*(Y504/H504),"0")</f>
        <v>0</v>
      </c>
    </row>
    <row r="505" spans="1:68" ht="16.5" hidden="1" customHeight="1" x14ac:dyDescent="0.25">
      <c r="A505" s="60" t="s">
        <v>804</v>
      </c>
      <c r="B505" s="60" t="s">
        <v>805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806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807</v>
      </c>
      <c r="B506" s="60" t="s">
        <v>808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125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809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810</v>
      </c>
      <c r="B507" s="60" t="s">
        <v>811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812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813</v>
      </c>
      <c r="B508" s="60" t="s">
        <v>814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126</v>
      </c>
      <c r="L508" s="35" t="s">
        <v>46</v>
      </c>
      <c r="M508" s="36" t="s">
        <v>89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815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816</v>
      </c>
      <c r="B509" s="60" t="s">
        <v>817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126</v>
      </c>
      <c r="L509" s="35" t="s">
        <v>46</v>
      </c>
      <c r="M509" s="36" t="s">
        <v>125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818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819</v>
      </c>
      <c r="B510" s="60" t="s">
        <v>820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90</v>
      </c>
      <c r="L510" s="35" t="s">
        <v>46</v>
      </c>
      <c r="M510" s="36" t="s">
        <v>89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124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821</v>
      </c>
      <c r="B511" s="60" t="s">
        <v>822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133</v>
      </c>
      <c r="L511" s="35" t="s">
        <v>46</v>
      </c>
      <c r="M511" s="36" t="s">
        <v>89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124</v>
      </c>
      <c r="AG511" s="75"/>
      <c r="AJ511" s="79" t="s">
        <v>46</v>
      </c>
      <c r="AK511" s="79">
        <v>0</v>
      </c>
      <c r="BB511" s="610" t="s">
        <v>66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823</v>
      </c>
      <c r="B512" s="60" t="s">
        <v>824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133</v>
      </c>
      <c r="L512" s="35" t="s">
        <v>46</v>
      </c>
      <c r="M512" s="36" t="s">
        <v>125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818</v>
      </c>
      <c r="AG512" s="75"/>
      <c r="AJ512" s="79" t="s">
        <v>46</v>
      </c>
      <c r="AK512" s="79">
        <v>0</v>
      </c>
      <c r="BB512" s="612" t="s">
        <v>66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idden="1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0</v>
      </c>
      <c r="Y513" s="41">
        <f>IFERROR(Y504/H504,"0")+IFERROR(Y505/H505,"0")+IFERROR(Y506/H506,"0")+IFERROR(Y507/H507,"0")+IFERROR(Y508/H508,"0")+IFERROR(Y509/H509,"0")+IFERROR(Y510/H510,"0")+IFERROR(Y511/H511,"0")+IFERROR(Y512/H512,"0")</f>
        <v>0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</v>
      </c>
      <c r="AA513" s="64"/>
      <c r="AB513" s="64"/>
      <c r="AC513" s="64"/>
    </row>
    <row r="514" spans="1:68" hidden="1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0</v>
      </c>
      <c r="Y514" s="41">
        <f>IFERROR(SUM(Y504:Y512),"0")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717" t="s">
        <v>158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hidden="1" customHeight="1" x14ac:dyDescent="0.25">
      <c r="A516" s="60" t="s">
        <v>825</v>
      </c>
      <c r="B516" s="60" t="s">
        <v>826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126</v>
      </c>
      <c r="L516" s="35" t="s">
        <v>46</v>
      </c>
      <c r="M516" s="36" t="s">
        <v>89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13" t="s">
        <v>827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16.5" hidden="1" customHeight="1" x14ac:dyDescent="0.25">
      <c r="A517" s="60" t="s">
        <v>828</v>
      </c>
      <c r="B517" s="60" t="s">
        <v>829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90</v>
      </c>
      <c r="L517" s="35" t="s">
        <v>46</v>
      </c>
      <c r="M517" s="36" t="s">
        <v>125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827</v>
      </c>
      <c r="AG517" s="75"/>
      <c r="AJ517" s="79" t="s">
        <v>46</v>
      </c>
      <c r="AK517" s="79">
        <v>0</v>
      </c>
      <c r="BB517" s="616" t="s">
        <v>66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830</v>
      </c>
      <c r="B518" s="60" t="s">
        <v>831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133</v>
      </c>
      <c r="L518" s="35" t="s">
        <v>46</v>
      </c>
      <c r="M518" s="36" t="s">
        <v>125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7" t="s">
        <v>827</v>
      </c>
      <c r="AG518" s="75"/>
      <c r="AJ518" s="79" t="s">
        <v>46</v>
      </c>
      <c r="AK518" s="79">
        <v>0</v>
      </c>
      <c r="BB518" s="618" t="s">
        <v>66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idden="1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0</v>
      </c>
      <c r="Y519" s="41">
        <f>IFERROR(Y516/H516,"0")+IFERROR(Y517/H517,"0")+IFERROR(Y518/H518,"0")</f>
        <v>0</v>
      </c>
      <c r="Z519" s="41">
        <f>IFERROR(IF(Z516="",0,Z516),"0")+IFERROR(IF(Z517="",0,Z517),"0")+IFERROR(IF(Z518="",0,Z518),"0")</f>
        <v>0</v>
      </c>
      <c r="AA519" s="64"/>
      <c r="AB519" s="64"/>
      <c r="AC519" s="64"/>
    </row>
    <row r="520" spans="1:68" hidden="1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0</v>
      </c>
      <c r="Y520" s="41">
        <f>IFERROR(SUM(Y516:Y518),"0")</f>
        <v>0</v>
      </c>
      <c r="Z520" s="40"/>
      <c r="AA520" s="64"/>
      <c r="AB520" s="64"/>
      <c r="AC520" s="64"/>
    </row>
    <row r="521" spans="1:68" ht="14.25" hidden="1" customHeight="1" x14ac:dyDescent="0.25">
      <c r="A521" s="717" t="s">
        <v>76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hidden="1" customHeight="1" x14ac:dyDescent="0.25">
      <c r="A522" s="60" t="s">
        <v>832</v>
      </c>
      <c r="B522" s="60" t="s">
        <v>833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125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ref="Y522:Y528" si="84">IFERROR(IF(X522="",0,CEILING((X522/$H522),1)*$H522),"")</f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834</v>
      </c>
      <c r="AG522" s="75"/>
      <c r="AJ522" s="79" t="s">
        <v>46</v>
      </c>
      <c r="AK522" s="79">
        <v>0</v>
      </c>
      <c r="BB522" s="620" t="s">
        <v>66</v>
      </c>
      <c r="BM522" s="75">
        <f t="shared" ref="BM522:BM528" si="85">IFERROR(X522*I522/H522,"0")</f>
        <v>0</v>
      </c>
      <c r="BN522" s="75">
        <f t="shared" ref="BN522:BN528" si="86">IFERROR(Y522*I522/H522,"0")</f>
        <v>0</v>
      </c>
      <c r="BO522" s="75">
        <f t="shared" ref="BO522:BO528" si="87">IFERROR(1/J522*(X522/H522),"0")</f>
        <v>0</v>
      </c>
      <c r="BP522" s="75">
        <f t="shared" ref="BP522:BP528" si="88">IFERROR(1/J522*(Y522/H522),"0")</f>
        <v>0</v>
      </c>
    </row>
    <row r="523" spans="1:68" ht="27" hidden="1" customHeight="1" x14ac:dyDescent="0.25">
      <c r="A523" s="60" t="s">
        <v>835</v>
      </c>
      <c r="B523" s="60" t="s">
        <v>836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126</v>
      </c>
      <c r="L523" s="35" t="s">
        <v>46</v>
      </c>
      <c r="M523" s="36" t="s">
        <v>80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837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838</v>
      </c>
      <c r="B524" s="60" t="s">
        <v>839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126</v>
      </c>
      <c r="L524" s="35" t="s">
        <v>46</v>
      </c>
      <c r="M524" s="36" t="s">
        <v>80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840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841</v>
      </c>
      <c r="B525" s="60" t="s">
        <v>842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133</v>
      </c>
      <c r="L525" s="35" t="s">
        <v>46</v>
      </c>
      <c r="M525" s="36" t="s">
        <v>125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843</v>
      </c>
      <c r="B527" s="60" t="s">
        <v>845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133</v>
      </c>
      <c r="L527" s="35" t="s">
        <v>46</v>
      </c>
      <c r="M527" s="36" t="s">
        <v>80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837</v>
      </c>
      <c r="AG527" s="75"/>
      <c r="AJ527" s="79" t="s">
        <v>46</v>
      </c>
      <c r="AK527" s="79">
        <v>0</v>
      </c>
      <c r="BB527" s="630" t="s">
        <v>66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846</v>
      </c>
      <c r="B528" s="60" t="s">
        <v>847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133</v>
      </c>
      <c r="L528" s="35" t="s">
        <v>46</v>
      </c>
      <c r="M528" s="36" t="s">
        <v>80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840</v>
      </c>
      <c r="AG528" s="75"/>
      <c r="AJ528" s="79" t="s">
        <v>46</v>
      </c>
      <c r="AK528" s="79">
        <v>0</v>
      </c>
      <c r="BB528" s="632" t="s">
        <v>66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idden="1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0</v>
      </c>
      <c r="Y529" s="41">
        <f>IFERROR(Y522/H522,"0")+IFERROR(Y523/H523,"0")+IFERROR(Y524/H524,"0")+IFERROR(Y525/H525,"0")+IFERROR(Y526/H526,"0")+IFERROR(Y527/H527,"0")+IFERROR(Y528/H528,"0")</f>
        <v>0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4"/>
      <c r="AB529" s="64"/>
      <c r="AC529" s="64"/>
    </row>
    <row r="530" spans="1:68" hidden="1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0</v>
      </c>
      <c r="Y530" s="41">
        <f>IFERROR(SUM(Y522:Y528),"0")</f>
        <v>0</v>
      </c>
      <c r="Z530" s="40"/>
      <c r="AA530" s="64"/>
      <c r="AB530" s="64"/>
      <c r="AC530" s="64"/>
    </row>
    <row r="531" spans="1:68" ht="27.75" hidden="1" customHeight="1" x14ac:dyDescent="0.2">
      <c r="A531" s="715" t="s">
        <v>848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848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121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hidden="1" customHeight="1" x14ac:dyDescent="0.25">
      <c r="A534" s="60" t="s">
        <v>849</v>
      </c>
      <c r="B534" s="60" t="s">
        <v>850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126</v>
      </c>
      <c r="L534" s="35" t="s">
        <v>46</v>
      </c>
      <c r="M534" s="36" t="s">
        <v>125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33" t="s">
        <v>851</v>
      </c>
      <c r="AG534" s="75"/>
      <c r="AJ534" s="79" t="s">
        <v>46</v>
      </c>
      <c r="AK534" s="79">
        <v>0</v>
      </c>
      <c r="BB534" s="63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717" t="s">
        <v>158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852</v>
      </c>
      <c r="B538" s="60" t="s">
        <v>853</v>
      </c>
      <c r="C538" s="34">
        <v>4301020444</v>
      </c>
      <c r="D538" s="718">
        <v>4680115889781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126</v>
      </c>
      <c r="L538" s="35" t="s">
        <v>46</v>
      </c>
      <c r="M538" s="36" t="s">
        <v>89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727</v>
      </c>
      <c r="AG538" s="75"/>
      <c r="AJ538" s="79" t="s">
        <v>46</v>
      </c>
      <c r="AK538" s="79">
        <v>0</v>
      </c>
      <c r="BB538" s="63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76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854</v>
      </c>
      <c r="B542" s="60" t="s">
        <v>855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133</v>
      </c>
      <c r="L542" s="35" t="s">
        <v>46</v>
      </c>
      <c r="M542" s="36" t="s">
        <v>80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856</v>
      </c>
      <c r="AG542" s="75"/>
      <c r="AJ542" s="79" t="s">
        <v>46</v>
      </c>
      <c r="AK542" s="79">
        <v>0</v>
      </c>
      <c r="BB542" s="63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85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hidden="1" customHeight="1" x14ac:dyDescent="0.25">
      <c r="A546" s="60" t="s">
        <v>857</v>
      </c>
      <c r="B546" s="60" t="s">
        <v>858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126</v>
      </c>
      <c r="L546" s="35" t="s">
        <v>46</v>
      </c>
      <c r="M546" s="36" t="s">
        <v>89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859</v>
      </c>
      <c r="AG546" s="75"/>
      <c r="AJ546" s="79" t="s">
        <v>46</v>
      </c>
      <c r="AK546" s="79">
        <v>0</v>
      </c>
      <c r="BB546" s="640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0</v>
      </c>
      <c r="Y547" s="41">
        <f>IFERROR(Y546/H546,"0")</f>
        <v>0</v>
      </c>
      <c r="Z547" s="41">
        <f>IFERROR(IF(Z546="",0,Z546),"0")</f>
        <v>0</v>
      </c>
      <c r="AA547" s="64"/>
      <c r="AB547" s="64"/>
      <c r="AC547" s="64"/>
    </row>
    <row r="548" spans="1:68" hidden="1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0</v>
      </c>
      <c r="Y548" s="41">
        <f>IFERROR(SUM(Y546:Y546),"0")</f>
        <v>0</v>
      </c>
      <c r="Z548" s="40"/>
      <c r="AA548" s="64"/>
      <c r="AB548" s="64"/>
      <c r="AC548" s="64"/>
    </row>
    <row r="549" spans="1:68" ht="14.25" hidden="1" customHeight="1" x14ac:dyDescent="0.25">
      <c r="A549" s="717" t="s">
        <v>177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860</v>
      </c>
      <c r="B550" s="60" t="s">
        <v>861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126</v>
      </c>
      <c r="L550" s="35" t="s">
        <v>46</v>
      </c>
      <c r="M550" s="36" t="s">
        <v>89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862</v>
      </c>
      <c r="AG550" s="75"/>
      <c r="AJ550" s="79" t="s">
        <v>46</v>
      </c>
      <c r="AK550" s="79">
        <v>0</v>
      </c>
      <c r="BB550" s="642" t="s">
        <v>66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863</v>
      </c>
      <c r="B551" s="60" t="s">
        <v>864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126</v>
      </c>
      <c r="L551" s="35" t="s">
        <v>46</v>
      </c>
      <c r="M551" s="36" t="s">
        <v>89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865</v>
      </c>
      <c r="AG551" s="75"/>
      <c r="AJ551" s="79" t="s">
        <v>46</v>
      </c>
      <c r="AK551" s="79">
        <v>0</v>
      </c>
      <c r="BB551" s="644" t="s">
        <v>66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866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158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867</v>
      </c>
      <c r="B556" s="60" t="s">
        <v>868</v>
      </c>
      <c r="C556" s="34">
        <v>4301020441</v>
      </c>
      <c r="D556" s="718">
        <v>4680115889798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126</v>
      </c>
      <c r="L556" s="35" t="s">
        <v>46</v>
      </c>
      <c r="M556" s="36" t="s">
        <v>125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869</v>
      </c>
      <c r="AG556" s="75"/>
      <c r="AJ556" s="79" t="s">
        <v>46</v>
      </c>
      <c r="AK556" s="79">
        <v>0</v>
      </c>
      <c r="BB556" s="646" t="s">
        <v>66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600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600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618.79999999999995</v>
      </c>
      <c r="Y560" s="41">
        <f>IFERROR(SUM(BN22:BN556),"0")</f>
        <v>618.79999999999995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1</v>
      </c>
      <c r="Y561" s="42">
        <f>ROUNDUP(SUM(BP22:BP556),0)</f>
        <v>1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643.79999999999995</v>
      </c>
      <c r="Y562" s="41">
        <f>GrossWeightTotalR+PalletQtyTotalR*25</f>
        <v>643.79999999999995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40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40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0.86999999999999988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75</v>
      </c>
      <c r="C566" s="80" t="s">
        <v>45</v>
      </c>
      <c r="D566" s="1005" t="s">
        <v>119</v>
      </c>
      <c r="E566" s="1005" t="s">
        <v>119</v>
      </c>
      <c r="F566" s="1005" t="s">
        <v>119</v>
      </c>
      <c r="G566" s="1005" t="s">
        <v>119</v>
      </c>
      <c r="H566" s="1005" t="s">
        <v>119</v>
      </c>
      <c r="I566" s="1005" t="s">
        <v>119</v>
      </c>
      <c r="J566" s="1005" t="s">
        <v>119</v>
      </c>
      <c r="K566" s="1005" t="s">
        <v>344</v>
      </c>
      <c r="L566" s="1005" t="s">
        <v>344</v>
      </c>
      <c r="M566" s="1005" t="s">
        <v>344</v>
      </c>
      <c r="N566" s="1014"/>
      <c r="O566" s="1005" t="s">
        <v>344</v>
      </c>
      <c r="P566" s="1005" t="s">
        <v>344</v>
      </c>
      <c r="Q566" s="1005" t="s">
        <v>344</v>
      </c>
      <c r="R566" s="1005" t="s">
        <v>344</v>
      </c>
      <c r="S566" s="1005" t="s">
        <v>344</v>
      </c>
      <c r="T566" s="1005" t="s">
        <v>344</v>
      </c>
      <c r="U566" s="1005" t="s">
        <v>344</v>
      </c>
      <c r="V566" s="1005" t="s">
        <v>344</v>
      </c>
      <c r="W566" s="1005" t="s">
        <v>699</v>
      </c>
      <c r="X566" s="1005" t="s">
        <v>699</v>
      </c>
      <c r="Y566" s="1005" t="s">
        <v>765</v>
      </c>
      <c r="Z566" s="1005" t="s">
        <v>765</v>
      </c>
      <c r="AA566" s="80" t="s">
        <v>801</v>
      </c>
      <c r="AB566" s="1005" t="s">
        <v>848</v>
      </c>
      <c r="AC566" s="1005" t="s">
        <v>848</v>
      </c>
      <c r="AF566" s="1"/>
    </row>
    <row r="567" spans="1:32" ht="14.25" customHeight="1" thickTop="1" x14ac:dyDescent="0.2">
      <c r="A567" s="1015" t="s">
        <v>10</v>
      </c>
      <c r="B567" s="1005" t="s">
        <v>75</v>
      </c>
      <c r="C567" s="1005" t="s">
        <v>103</v>
      </c>
      <c r="D567" s="1005" t="s">
        <v>120</v>
      </c>
      <c r="E567" s="1005" t="s">
        <v>136</v>
      </c>
      <c r="F567" s="1005" t="s">
        <v>185</v>
      </c>
      <c r="G567" s="1005" t="s">
        <v>208</v>
      </c>
      <c r="H567" s="1005" t="s">
        <v>248</v>
      </c>
      <c r="I567" s="1005" t="s">
        <v>261</v>
      </c>
      <c r="J567" s="1005" t="s">
        <v>119</v>
      </c>
      <c r="K567" s="1005" t="s">
        <v>345</v>
      </c>
      <c r="L567" s="1005" t="s">
        <v>366</v>
      </c>
      <c r="M567" s="1005" t="s">
        <v>440</v>
      </c>
      <c r="N567" s="1"/>
      <c r="O567" s="1005" t="s">
        <v>508</v>
      </c>
      <c r="P567" s="1005" t="s">
        <v>537</v>
      </c>
      <c r="Q567" s="1005" t="s">
        <v>557</v>
      </c>
      <c r="R567" s="1005" t="s">
        <v>566</v>
      </c>
      <c r="S567" s="1005" t="s">
        <v>587</v>
      </c>
      <c r="T567" s="1005" t="s">
        <v>596</v>
      </c>
      <c r="U567" s="1005" t="s">
        <v>682</v>
      </c>
      <c r="V567" s="1005" t="s">
        <v>689</v>
      </c>
      <c r="W567" s="1005" t="s">
        <v>700</v>
      </c>
      <c r="X567" s="1005" t="s">
        <v>749</v>
      </c>
      <c r="Y567" s="1005" t="s">
        <v>766</v>
      </c>
      <c r="Z567" s="1005" t="s">
        <v>789</v>
      </c>
      <c r="AA567" s="1005" t="s">
        <v>801</v>
      </c>
      <c r="AB567" s="1005" t="s">
        <v>848</v>
      </c>
      <c r="AC567" s="1005" t="s">
        <v>866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0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0</v>
      </c>
      <c r="F569" s="50">
        <f>IFERROR(Y87*1,"0")+IFERROR(Y88*1,"0")+IFERROR(Y89*1,"0")+IFERROR(Y90*1,"0")+IFERROR(Y91*1,"0")+IFERROR(Y95*1,"0")+IFERROR(Y96*1,"0")+IFERROR(Y97*1,"0")+IFERROR(Y98*1,"0")</f>
        <v>0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0</v>
      </c>
      <c r="H569" s="50">
        <f>IFERROR(Y133*1,"0")+IFERROR(Y134*1,"0")+IFERROR(Y138*1,"0")+IFERROR(Y139*1,"0")+IFERROR(Y143*1,"0")+IFERROR(Y144*1,"0")</f>
        <v>0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0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0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0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0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0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600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0</v>
      </c>
      <c r="AB569" s="50">
        <f>IFERROR(Y534*1,"0")+IFERROR(Y538*1,"0")+IFERROR(Y542*1,"0")+IFERROR(Y546*1,"0")+IFERROR(Y550*1,"0")+IFERROR(Y551*1,"0")</f>
        <v>0</v>
      </c>
      <c r="AC569" s="50">
        <f>IFERROR(Y556*1,"0")</f>
        <v>0</v>
      </c>
      <c r="AF569" s="1"/>
    </row>
  </sheetData>
  <sheetProtection algorithmName="SHA-512" hashValue="Y7Sp2sZtXIPKZjg0M2hfCsYz06TaNkMR03qo9GR6eBOE1yTP6+EeD0t86nAC0K7PSvSnVOhKFFsV7oYyK4meOw==" saltValue="7AlZPN0R/D/PVp3rLiphK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300,00"/>
        <filter val="40,00"/>
        <filter val="600,00"/>
        <filter val="618,80"/>
        <filter val="643,80"/>
      </filters>
    </filterColumn>
    <filterColumn colId="29" showButton="0"/>
    <filterColumn colId="30" showButton="0"/>
  </autoFilter>
  <dataConsolidate/>
  <mergeCells count="1003"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Y567:Y568"/>
    <mergeCell ref="Z567:Z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4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5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1" t="s">
        <v>871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873</v>
      </c>
      <c r="C6" s="51" t="s">
        <v>874</v>
      </c>
      <c r="D6" s="51" t="s">
        <v>875</v>
      </c>
      <c r="E6" s="51" t="s">
        <v>46</v>
      </c>
    </row>
    <row r="7" spans="2:8" x14ac:dyDescent="0.2">
      <c r="B7" s="51" t="s">
        <v>876</v>
      </c>
      <c r="C7" s="51" t="s">
        <v>877</v>
      </c>
      <c r="D7" s="51" t="s">
        <v>878</v>
      </c>
      <c r="E7" s="51" t="s">
        <v>46</v>
      </c>
    </row>
    <row r="8" spans="2:8" x14ac:dyDescent="0.2">
      <c r="B8" s="51" t="s">
        <v>879</v>
      </c>
      <c r="C8" s="51" t="s">
        <v>880</v>
      </c>
      <c r="D8" s="51" t="s">
        <v>881</v>
      </c>
      <c r="E8" s="51" t="s">
        <v>46</v>
      </c>
    </row>
    <row r="9" spans="2:8" x14ac:dyDescent="0.2">
      <c r="B9" s="51" t="s">
        <v>882</v>
      </c>
      <c r="C9" s="51" t="s">
        <v>883</v>
      </c>
      <c r="D9" s="51" t="s">
        <v>884</v>
      </c>
      <c r="E9" s="51" t="s">
        <v>46</v>
      </c>
    </row>
    <row r="10" spans="2:8" x14ac:dyDescent="0.2">
      <c r="B10" s="51" t="s">
        <v>885</v>
      </c>
      <c r="C10" s="51" t="s">
        <v>886</v>
      </c>
      <c r="D10" s="51" t="s">
        <v>887</v>
      </c>
      <c r="E10" s="51" t="s">
        <v>46</v>
      </c>
    </row>
    <row r="12" spans="2:8" x14ac:dyDescent="0.2">
      <c r="B12" s="51" t="s">
        <v>888</v>
      </c>
      <c r="C12" s="51" t="s">
        <v>874</v>
      </c>
      <c r="D12" s="51" t="s">
        <v>46</v>
      </c>
      <c r="E12" s="51" t="s">
        <v>46</v>
      </c>
    </row>
    <row r="14" spans="2:8" x14ac:dyDescent="0.2">
      <c r="B14" s="51" t="s">
        <v>889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890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891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892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893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894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895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896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897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898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899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900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901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902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903</v>
      </c>
      <c r="C32" s="51" t="s">
        <v>46</v>
      </c>
      <c r="D32" s="51" t="s">
        <v>46</v>
      </c>
      <c r="E32" s="51" t="s">
        <v>46</v>
      </c>
    </row>
  </sheetData>
  <sheetProtection algorithmName="SHA-512" hashValue="NvjLKuQIqsdN6psh5/TyqwsRHWHavDM+daRvlIHpQnfFeBRtsZlLpEPDlMt1jPFxa+IeKYs0rCPfwEfqd2FHSQ==" saltValue="dbx/mNqc1NlYnaQhiPo4S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2026-09-29T09:01:12Z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