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F62C49-89E5-4776-BC7D-F1BA1EA9141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N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Y440" i="2" s="1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Y403" i="2" s="1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BP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Z221" i="2" l="1"/>
  <c r="Z133" i="2"/>
  <c r="Z58" i="2"/>
  <c r="BN58" i="2"/>
  <c r="Z180" i="2"/>
  <c r="BN180" i="2"/>
  <c r="BP181" i="2"/>
  <c r="BP273" i="2"/>
  <c r="Z473" i="2"/>
  <c r="BN473" i="2"/>
  <c r="X556" i="2"/>
  <c r="Y25" i="2"/>
  <c r="Z78" i="2"/>
  <c r="BN78" i="2"/>
  <c r="Z79" i="2"/>
  <c r="Z203" i="2"/>
  <c r="BN203" i="2"/>
  <c r="Z236" i="2"/>
  <c r="BN236" i="2"/>
  <c r="BP312" i="2"/>
  <c r="Z325" i="2"/>
  <c r="BN325" i="2"/>
  <c r="Z331" i="2"/>
  <c r="Z518" i="2"/>
  <c r="BN518" i="2"/>
  <c r="Z38" i="2"/>
  <c r="Z66" i="2"/>
  <c r="Z113" i="2"/>
  <c r="BN113" i="2"/>
  <c r="Z114" i="2"/>
  <c r="BN114" i="2"/>
  <c r="Z115" i="2"/>
  <c r="BN115" i="2"/>
  <c r="Z151" i="2"/>
  <c r="BN151" i="2"/>
  <c r="Z177" i="2"/>
  <c r="Z189" i="2"/>
  <c r="BN189" i="2"/>
  <c r="Z215" i="2"/>
  <c r="BN215" i="2"/>
  <c r="Z225" i="2"/>
  <c r="BN225" i="2"/>
  <c r="Z226" i="2"/>
  <c r="BN226" i="2"/>
  <c r="Z251" i="2"/>
  <c r="Z252" i="2" s="1"/>
  <c r="Z352" i="2"/>
  <c r="BN352" i="2"/>
  <c r="Y356" i="2"/>
  <c r="Z362" i="2"/>
  <c r="Z386" i="2"/>
  <c r="BN386" i="2"/>
  <c r="Z388" i="2"/>
  <c r="BN388" i="2"/>
  <c r="Y389" i="2"/>
  <c r="BP393" i="2"/>
  <c r="Z455" i="2"/>
  <c r="BN455" i="2"/>
  <c r="BP456" i="2"/>
  <c r="BP504" i="2"/>
  <c r="X558" i="2"/>
  <c r="Z27" i="2"/>
  <c r="BN27" i="2"/>
  <c r="Y32" i="2"/>
  <c r="Z48" i="2"/>
  <c r="BN48" i="2"/>
  <c r="Z49" i="2"/>
  <c r="BN49" i="2"/>
  <c r="Z72" i="2"/>
  <c r="BN72" i="2"/>
  <c r="Z86" i="2"/>
  <c r="Y109" i="2"/>
  <c r="Y118" i="2"/>
  <c r="Z120" i="2"/>
  <c r="Z134" i="2"/>
  <c r="Z143" i="2"/>
  <c r="Z173" i="2"/>
  <c r="BN173" i="2"/>
  <c r="Z179" i="2"/>
  <c r="Z184" i="2"/>
  <c r="BN184" i="2"/>
  <c r="Z200" i="2"/>
  <c r="Z205" i="2"/>
  <c r="BN205" i="2"/>
  <c r="Z217" i="2"/>
  <c r="BN217" i="2"/>
  <c r="Z223" i="2"/>
  <c r="Z233" i="2"/>
  <c r="Z256" i="2"/>
  <c r="BN256" i="2"/>
  <c r="Z269" i="2"/>
  <c r="BN269" i="2"/>
  <c r="Z300" i="2"/>
  <c r="BN300" i="2"/>
  <c r="Z340" i="2"/>
  <c r="BN340" i="2"/>
  <c r="Z370" i="2"/>
  <c r="BN370" i="2"/>
  <c r="Z382" i="2"/>
  <c r="Z399" i="2"/>
  <c r="BN399" i="2"/>
  <c r="BP399" i="2"/>
  <c r="Y402" i="2"/>
  <c r="Z413" i="2"/>
  <c r="BN413" i="2"/>
  <c r="Y414" i="2"/>
  <c r="Z437" i="2"/>
  <c r="Z445" i="2"/>
  <c r="BN445" i="2"/>
  <c r="Z450" i="2"/>
  <c r="Z460" i="2"/>
  <c r="Z461" i="2" s="1"/>
  <c r="Z500" i="2"/>
  <c r="Z507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BP211" i="2"/>
  <c r="Y212" i="2"/>
  <c r="BN237" i="2"/>
  <c r="BN270" i="2"/>
  <c r="BP270" i="2"/>
  <c r="BN282" i="2"/>
  <c r="BN301" i="2"/>
  <c r="BP301" i="2"/>
  <c r="BN321" i="2"/>
  <c r="BN323" i="2"/>
  <c r="BP323" i="2"/>
  <c r="BN324" i="2"/>
  <c r="BP324" i="2"/>
  <c r="BP341" i="2"/>
  <c r="BN341" i="2"/>
  <c r="Z341" i="2"/>
  <c r="BP342" i="2"/>
  <c r="Z342" i="2"/>
  <c r="BP360" i="2"/>
  <c r="BN360" i="2"/>
  <c r="Z360" i="2"/>
  <c r="BN372" i="2"/>
  <c r="Z372" i="2"/>
  <c r="BN375" i="2"/>
  <c r="BP375" i="2"/>
  <c r="Y384" i="2"/>
  <c r="Y383" i="2"/>
  <c r="BP380" i="2"/>
  <c r="BN380" i="2"/>
  <c r="Z380" i="2"/>
  <c r="BN394" i="2"/>
  <c r="BP394" i="2"/>
  <c r="BN395" i="2"/>
  <c r="Z395" i="2"/>
  <c r="BN428" i="2"/>
  <c r="BP428" i="2"/>
  <c r="BN430" i="2"/>
  <c r="BP430" i="2"/>
  <c r="BP432" i="2"/>
  <c r="BN432" i="2"/>
  <c r="Z432" i="2"/>
  <c r="BN433" i="2"/>
  <c r="BP433" i="2"/>
  <c r="Z443" i="2"/>
  <c r="Y447" i="2"/>
  <c r="Y446" i="2"/>
  <c r="BN443" i="2"/>
  <c r="BP443" i="2"/>
  <c r="BN444" i="2"/>
  <c r="Z444" i="2"/>
  <c r="BN475" i="2"/>
  <c r="Z475" i="2"/>
  <c r="BP522" i="2"/>
  <c r="Z522" i="2"/>
  <c r="X555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194" i="2"/>
  <c r="Y195" i="2"/>
  <c r="BP200" i="2"/>
  <c r="Z204" i="2"/>
  <c r="BN204" i="2"/>
  <c r="Z211" i="2"/>
  <c r="Z212" i="2" s="1"/>
  <c r="Y213" i="2"/>
  <c r="Y230" i="2"/>
  <c r="BP216" i="2"/>
  <c r="BP221" i="2"/>
  <c r="Z224" i="2"/>
  <c r="BN224" i="2"/>
  <c r="Z227" i="2"/>
  <c r="BN227" i="2"/>
  <c r="Z234" i="2"/>
  <c r="BN234" i="2"/>
  <c r="BN235" i="2"/>
  <c r="BP235" i="2"/>
  <c r="BP240" i="2"/>
  <c r="BN241" i="2"/>
  <c r="Z246" i="2"/>
  <c r="BN246" i="2"/>
  <c r="BP251" i="2"/>
  <c r="Y252" i="2"/>
  <c r="Y253" i="2"/>
  <c r="Y259" i="2"/>
  <c r="BN257" i="2"/>
  <c r="BP257" i="2"/>
  <c r="Y258" i="2"/>
  <c r="BP262" i="2"/>
  <c r="Z267" i="2"/>
  <c r="BN267" i="2"/>
  <c r="Z277" i="2"/>
  <c r="BN277" i="2"/>
  <c r="Z279" i="2"/>
  <c r="BN279" i="2"/>
  <c r="BN284" i="2"/>
  <c r="Z285" i="2"/>
  <c r="BN285" i="2"/>
  <c r="Z286" i="2"/>
  <c r="BN286" i="2"/>
  <c r="BP287" i="2"/>
  <c r="BN292" i="2"/>
  <c r="Z298" i="2"/>
  <c r="Y306" i="2"/>
  <c r="BN298" i="2"/>
  <c r="BP298" i="2"/>
  <c r="BP299" i="2"/>
  <c r="BN299" i="2"/>
  <c r="Z299" i="2"/>
  <c r="BP354" i="2"/>
  <c r="BN354" i="2"/>
  <c r="Z354" i="2"/>
  <c r="BP372" i="2"/>
  <c r="BN374" i="2"/>
  <c r="Z374" i="2"/>
  <c r="BN401" i="2"/>
  <c r="Z401" i="2"/>
  <c r="BN418" i="2"/>
  <c r="BP418" i="2"/>
  <c r="BP420" i="2"/>
  <c r="BN420" i="2"/>
  <c r="Z420" i="2"/>
  <c r="BN427" i="2"/>
  <c r="Z427" i="2"/>
  <c r="BP475" i="2"/>
  <c r="BN481" i="2"/>
  <c r="Z481" i="2"/>
  <c r="Z491" i="2"/>
  <c r="Y495" i="2"/>
  <c r="BN491" i="2"/>
  <c r="BP491" i="2"/>
  <c r="BP493" i="2"/>
  <c r="BN493" i="2"/>
  <c r="Z493" i="2"/>
  <c r="BP505" i="2"/>
  <c r="BN505" i="2"/>
  <c r="Z505" i="2"/>
  <c r="BP506" i="2"/>
  <c r="BN506" i="2"/>
  <c r="Z506" i="2"/>
  <c r="Y509" i="2"/>
  <c r="BN513" i="2"/>
  <c r="BP513" i="2"/>
  <c r="BN520" i="2"/>
  <c r="Z520" i="2"/>
  <c r="Z537" i="2"/>
  <c r="Z538" i="2" s="1"/>
  <c r="Y539" i="2"/>
  <c r="BN537" i="2"/>
  <c r="BP537" i="2"/>
  <c r="Y538" i="2"/>
  <c r="BN308" i="2"/>
  <c r="BP308" i="2"/>
  <c r="Y309" i="2"/>
  <c r="Y310" i="2"/>
  <c r="Y335" i="2"/>
  <c r="BN338" i="2"/>
  <c r="BP338" i="2"/>
  <c r="BP362" i="2"/>
  <c r="BN365" i="2"/>
  <c r="BP365" i="2"/>
  <c r="BP382" i="2"/>
  <c r="BN392" i="2"/>
  <c r="BP392" i="2"/>
  <c r="BN407" i="2"/>
  <c r="BP407" i="2"/>
  <c r="BP437" i="2"/>
  <c r="BN438" i="2"/>
  <c r="BP438" i="2"/>
  <c r="BP450" i="2"/>
  <c r="Y451" i="2"/>
  <c r="BP460" i="2"/>
  <c r="Y461" i="2"/>
  <c r="Y462" i="2"/>
  <c r="BN466" i="2"/>
  <c r="BP466" i="2"/>
  <c r="BP500" i="2"/>
  <c r="BN503" i="2"/>
  <c r="BP503" i="2"/>
  <c r="BP507" i="2"/>
  <c r="BN523" i="2"/>
  <c r="BP523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BP101" i="2"/>
  <c r="Z414" i="2" l="1"/>
  <c r="Z81" i="2"/>
  <c r="X557" i="2"/>
  <c r="Z389" i="2"/>
  <c r="Z355" i="2"/>
  <c r="Z478" i="2"/>
  <c r="Z457" i="2"/>
  <c r="Z124" i="2"/>
  <c r="Z440" i="2"/>
  <c r="Z230" i="2"/>
  <c r="Z51" i="2"/>
  <c r="Z248" i="2"/>
  <c r="Z343" i="2"/>
  <c r="Z494" i="2"/>
  <c r="Z117" i="2"/>
  <c r="Z483" i="2"/>
  <c r="Z69" i="2"/>
  <c r="Z185" i="2"/>
  <c r="Z467" i="2"/>
  <c r="Z207" i="2"/>
  <c r="Z451" i="2"/>
  <c r="Z402" i="2"/>
  <c r="Z524" i="2"/>
  <c r="Z154" i="2"/>
  <c r="Z305" i="2"/>
  <c r="Z446" i="2"/>
  <c r="Z191" i="2"/>
  <c r="Z62" i="2"/>
  <c r="Z396" i="2"/>
  <c r="Y554" i="2"/>
  <c r="Z289" i="2"/>
  <c r="Z242" i="2"/>
  <c r="Y555" i="2"/>
  <c r="Z376" i="2"/>
  <c r="Z32" i="2"/>
  <c r="Z139" i="2"/>
  <c r="Z514" i="2"/>
  <c r="Z334" i="2"/>
  <c r="Z75" i="2"/>
  <c r="Z97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<sst xmlns="http://schemas.openxmlformats.org/spreadsheetml/2006/main" count="4298" uniqueCount="916">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</sst>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120" sqref="AA12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 t="s">
        <v>915</v>
      </c>
      <c r="I5" s="1004"/>
      <c r="J5" s="1004"/>
      <c r="K5" s="1004"/>
      <c r="L5" s="1004"/>
      <c r="M5" s="1004"/>
      <c r="N5" s="69"/>
      <c r="P5" s="26" t="s">
        <v>4</v>
      </c>
      <c r="Q5" s="1006">
        <v>46291</v>
      </c>
      <c r="R5" s="1006"/>
      <c r="T5" s="1007" t="s">
        <v>3</v>
      </c>
      <c r="U5" s="1008"/>
      <c r="V5" s="1009" t="s">
        <v>875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 t="s">
        <v>888</v>
      </c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>Суббота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 t="str">
        <f>IFERROR(VLOOKUP(DeliveryAddress,Table,3,0),1)</f>
        <v>5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>
        <v>0.45833333333333331</v>
      </c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400</v>
      </c>
      <c r="Y120" s="53">
        <f>IFERROR(IF(X120="",0,CEILING((X120/$H120),1)*$H120),"")</f>
        <v>405</v>
      </c>
      <c r="Z120" s="39">
        <f>IFERROR(IF(Y120=0,"",ROUNDUP(Y120/H120,0)*0.01898),"")</f>
        <v>0.94900000000000007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424.09876543209879</v>
      </c>
      <c r="BN120" s="75">
        <f>IFERROR(Y120*I120/H120,"0")</f>
        <v>429.4</v>
      </c>
      <c r="BO120" s="75">
        <f>IFERROR(1/J120*(X120/H120),"0")</f>
        <v>0.77160493827160492</v>
      </c>
      <c r="BP120" s="75">
        <f>IFERROR(1/J120*(Y120/H120),"0")</f>
        <v>0.78125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49.382716049382715</v>
      </c>
      <c r="Y124" s="41">
        <f>IFERROR(Y120/H120,"0")+IFERROR(Y121/H121,"0")+IFERROR(Y122/H122,"0")+IFERROR(Y123/H123,"0")</f>
        <v>50</v>
      </c>
      <c r="Z124" s="41">
        <f>IFERROR(IF(Z120="",0,Z120),"0")+IFERROR(IF(Z121="",0,Z121),"0")+IFERROR(IF(Z122="",0,Z122),"0")+IFERROR(IF(Z123="",0,Z123),"0")</f>
        <v>0.94900000000000007</v>
      </c>
      <c r="AA124" s="64"/>
      <c r="AB124" s="64"/>
      <c r="AC124" s="64"/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400</v>
      </c>
      <c r="Y125" s="41">
        <f>IFERROR(SUM(Y120:Y123),"0")</f>
        <v>405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400</v>
      </c>
      <c r="Y427" s="53">
        <f t="shared" si="68"/>
        <v>405</v>
      </c>
      <c r="Z427" s="39">
        <f>IFERROR(IF(Y427=0,"",ROUNDUP(Y427/H427,0)*0.02175),"")</f>
        <v>0.58724999999999994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412.53333333333336</v>
      </c>
      <c r="BN427" s="75">
        <f t="shared" si="70"/>
        <v>417.69</v>
      </c>
      <c r="BO427" s="75">
        <f t="shared" si="71"/>
        <v>0.55555555555555558</v>
      </c>
      <c r="BP427" s="75">
        <f t="shared" si="72"/>
        <v>0.5625</v>
      </c>
    </row>
    <row r="428" spans="1:68" ht="27" hidden="1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6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0</v>
      </c>
      <c r="BN428" s="75">
        <f t="shared" si="70"/>
        <v>0</v>
      </c>
      <c r="BO428" s="75">
        <f t="shared" si="71"/>
        <v>0</v>
      </c>
      <c r="BP428" s="75">
        <f t="shared" si="72"/>
        <v>0</v>
      </c>
    </row>
    <row r="429" spans="1:68" ht="27" hidden="1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0</v>
      </c>
      <c r="BN429" s="75">
        <f t="shared" si="70"/>
        <v>0</v>
      </c>
      <c r="BO429" s="75">
        <f t="shared" si="71"/>
        <v>0</v>
      </c>
      <c r="BP429" s="75">
        <f t="shared" si="72"/>
        <v>0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26.666666666666668</v>
      </c>
      <c r="Y434" s="41">
        <f>IFERROR(Y426/H426,"0")+IFERROR(Y427/H427,"0")+IFERROR(Y428/H428,"0")+IFERROR(Y429/H429,"0")+IFERROR(Y430/H430,"0")+IFERROR(Y431/H431,"0")+IFERROR(Y432/H432,"0")+IFERROR(Y433/H433,"0")</f>
        <v>27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0.58724999999999994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400</v>
      </c>
      <c r="Y435" s="41">
        <f>IFERROR(SUM(Y426:Y433),"0")</f>
        <v>405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400</v>
      </c>
      <c r="Y437" s="53">
        <f>IFERROR(IF(X437="",0,CEILING((X437/$H437),1)*$H437),"")</f>
        <v>405</v>
      </c>
      <c r="Z437" s="39">
        <f>IFERROR(IF(Y437=0,"",ROUNDUP(Y437/H437,0)*0.02175),"")</f>
        <v>0.58724999999999994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412.53333333333336</v>
      </c>
      <c r="BN437" s="75">
        <f>IFERROR(Y437*I437/H437,"0")</f>
        <v>417.69</v>
      </c>
      <c r="BO437" s="75">
        <f>IFERROR(1/J437*(X437/H437),"0")</f>
        <v>0.55555555555555558</v>
      </c>
      <c r="BP437" s="75">
        <f>IFERROR(1/J437*(Y437/H437),"0")</f>
        <v>0.5625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26.666666666666668</v>
      </c>
      <c r="Y440" s="41">
        <f>IFERROR(Y437/H437,"0")+IFERROR(Y438/H438,"0")+IFERROR(Y439/H439,"0")</f>
        <v>27</v>
      </c>
      <c r="Z440" s="41">
        <f>IFERROR(IF(Z437="",0,Z437),"0")+IFERROR(IF(Z438="",0,Z438),"0")+IFERROR(IF(Z439="",0,Z439),"0")</f>
        <v>0.58724999999999994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400</v>
      </c>
      <c r="Y441" s="41">
        <f>IFERROR(SUM(Y437:Y439),"0")</f>
        <v>405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500</v>
      </c>
      <c r="Y502" s="53">
        <f t="shared" si="78"/>
        <v>501.6</v>
      </c>
      <c r="Z502" s="39">
        <f t="shared" si="79"/>
        <v>1.1362000000000001</v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533.14393939393938</v>
      </c>
      <c r="BN502" s="75">
        <f t="shared" si="81"/>
        <v>534.85</v>
      </c>
      <c r="BO502" s="75">
        <f t="shared" si="82"/>
        <v>0.91054778554778548</v>
      </c>
      <c r="BP502" s="75">
        <f t="shared" si="83"/>
        <v>0.91346153846153855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94.696969696969688</v>
      </c>
      <c r="Y508" s="41">
        <f>IFERROR(Y499/H499,"0")+IFERROR(Y500/H500,"0")+IFERROR(Y501/H501,"0")+IFERROR(Y502/H502,"0")+IFERROR(Y503/H503,"0")+IFERROR(Y504/H504,"0")+IFERROR(Y505/H505,"0")+IFERROR(Y506/H506,"0")+IFERROR(Y507/H507,"0")</f>
        <v>95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1.1362000000000001</v>
      </c>
      <c r="AA508" s="64"/>
      <c r="AB508" s="64"/>
      <c r="AC508" s="64"/>
    </row>
    <row r="509" spans="1:68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500</v>
      </c>
      <c r="Y509" s="41">
        <f>IFERROR(SUM(Y499:Y507),"0")</f>
        <v>501.6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500</v>
      </c>
      <c r="Y511" s="53">
        <f>IFERROR(IF(X511="",0,CEILING((X511/$H511),1)*$H511),"")</f>
        <v>501.6</v>
      </c>
      <c r="Z511" s="39">
        <f>IFERROR(IF(Y511=0,"",ROUNDUP(Y511/H511,0)*0.01196),"")</f>
        <v>1.1362000000000001</v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533.14393939393938</v>
      </c>
      <c r="BN511" s="75">
        <f>IFERROR(Y511*I511/H511,"0")</f>
        <v>534.85</v>
      </c>
      <c r="BO511" s="75">
        <f>IFERROR(1/J511*(X511/H511),"0")</f>
        <v>0.91054778554778548</v>
      </c>
      <c r="BP511" s="75">
        <f>IFERROR(1/J511*(Y511/H511),"0")</f>
        <v>0.91346153846153855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94.696969696969688</v>
      </c>
      <c r="Y514" s="41">
        <f>IFERROR(Y511/H511,"0")+IFERROR(Y512/H512,"0")+IFERROR(Y513/H513,"0")</f>
        <v>95</v>
      </c>
      <c r="Z514" s="41">
        <f>IFERROR(IF(Z511="",0,Z511),"0")+IFERROR(IF(Z512="",0,Z512),"0")+IFERROR(IF(Z513="",0,Z513),"0")</f>
        <v>1.1362000000000001</v>
      </c>
      <c r="AA514" s="64"/>
      <c r="AB514" s="64"/>
      <c r="AC514" s="64"/>
    </row>
    <row r="515" spans="1:68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500</v>
      </c>
      <c r="Y515" s="41">
        <f>IFERROR(SUM(Y511:Y513),"0")</f>
        <v>501.6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2200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2218.1999999999998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2315.4533108866444</v>
      </c>
      <c r="Y555" s="41">
        <f>IFERROR(SUM(BN22:BN551),"0")</f>
        <v>2334.48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4</v>
      </c>
      <c r="Y556" s="42">
        <f>ROUNDUP(SUM(BP22:BP551),0)</f>
        <v>4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2415.4533108866444</v>
      </c>
      <c r="Y557" s="41">
        <f>GrossWeightTotalR+PalletQtyTotalR*25</f>
        <v>2434.48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292.10998877665543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294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4.3959000000000001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405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810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1003.2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200,00"/>
        <filter val="2 315,45"/>
        <filter val="2 415,45"/>
        <filter val="26,67"/>
        <filter val="292,11"/>
        <filter val="4"/>
        <filter val="400,00"/>
        <filter val="49,38"/>
        <filter val="500,00"/>
        <filter val="94,7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