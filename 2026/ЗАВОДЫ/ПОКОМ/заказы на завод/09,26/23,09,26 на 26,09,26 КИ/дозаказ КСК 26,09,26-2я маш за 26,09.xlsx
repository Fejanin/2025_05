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0ECEE7-D0E4-4060-96D6-7E7361EFDC7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277" i="2" l="1"/>
  <c r="Y447" i="2"/>
  <c r="BP275" i="2"/>
  <c r="BN393" i="2"/>
  <c r="Y249" i="2"/>
  <c r="BN80" i="2"/>
  <c r="BN60" i="2"/>
  <c r="BP385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489" i="2" l="1"/>
  <c r="Z264" i="2"/>
  <c r="Z341" i="2"/>
  <c r="Z61" i="2"/>
  <c r="Z452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<sst xmlns="http://schemas.openxmlformats.org/spreadsheetml/2006/main" count="4310" uniqueCount="900">
  <si>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</si>
  <si>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</si>
  <si>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</si>
  <si>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</si>
  <si>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</si>
  <si>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</si>
  <si>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</si>
  <si>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</si>
  <si>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</si>
  <si>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</si>
  <si>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</si>
  <si>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</si>
  <si>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</si>
  <si>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</si>
  <si>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</si>
  <si>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</si>
  <si>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</si>
  <si>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</si>
  <si>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</si>
  <si>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</si>
  <si>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</si>
  <si>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</si>
  <si>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</si>
  <si>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</si>
  <si>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</si>
  <si>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</si>
  <si>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</si>
  <si>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</si>
  <si>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</si>
  <si>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</si>
  <si>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</si>
  <si>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</si>
  <si>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</si>
  <si>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</si>
  <si>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</si>
  <si>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</si>
  <si>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</si>
  <si>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</si>
  <si>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</si>
  <si>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</si>
  <si>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</si>
  <si>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</si>
  <si>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</si>
  <si>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</si>
  <si>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</si>
  <si>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</si>
  <si>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</si>
  <si>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</si>
  <si>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</si>
  <si>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</si>
  <si>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</si>
  <si>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</si>
  <si>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</si>
  <si>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</si>
  <si>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</si>
  <si>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</si>
  <si>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</si>
  <si>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</si>
  <si>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</si>
  <si>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</si>
  <si>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</si>
  <si>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</si>
  <si>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</si>
  <si>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</si>
  <si>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</si>
  <si>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</si>
  <si>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</si>
  <si>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</si>
  <si>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</si>
  <si>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</si>
  <si>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</si>
  <si>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</si>
  <si>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</si>
  <si>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</si>
  <si>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</si>
  <si>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</si>
  <si>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</si>
  <si>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</si>
  <si>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</si>
  <si>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</si>
  <si>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</si>
  <si>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</si>
  <si>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</si>
  <si>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</si>
  <si>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</si>
  <si>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</si>
  <si>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</si>
  <si>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</si>
  <si>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</si>
  <si>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</si>
  <si>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</si>
  <si>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</si>
  <si>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</si>
  <si>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</si>
  <si>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</si>
  <si>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</si>
  <si>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</si>
  <si>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</si>
  <si>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</si>
  <si>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</si>
  <si>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</si>
  <si>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</si>
  <si>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</si>
  <si>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</si>
  <si>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</si>
  <si>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</si>
  <si>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</si>
  <si>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</si>
  <si>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</si>
  <si>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</si>
  <si>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</si>
  <si>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</si>
  <si>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</si>
  <si>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</si>
  <si>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</si>
  <si>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</si>
  <si>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</si>
  <si>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</si>
  <si>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</si>
  <si>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</si>
  <si>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</si>
  <si>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</si>
  <si>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</si>
  <si>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</si>
  <si>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</si>
  <si>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</si>
  <si>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</si>
  <si>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</si>
  <si>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</si>
  <si>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</si>
  <si>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</si>
  <si>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</si>
  <si>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</si>
  <si>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</si>
  <si>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</si>
  <si>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</si>
  <si>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</si>
  <si>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</si>
  <si>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</si>
  <si>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</si>
  <si>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</si>
  <si>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</si>
  <si>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</si>
  <si>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</si>
  <si>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</si>
  <si>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</si>
  <si>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</si>
  <si>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</si>
  <si>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</si>
  <si>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</si>
  <si>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</si>
  <si>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</si>
  <si>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</si>
  <si>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</si>
  <si>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</si>
  <si>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</si>
  <si>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</si>
  <si>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</si>
  <si>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</si>
  <si>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</si>
  <si>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</si>
  <si>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</si>
  <si>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</si>
  <si>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</si>
  <si>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</si>
  <si>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</si>
  <si>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</si>
  <si>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</si>
  <si>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</si>
  <si>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</si>
  <si>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</si>
  <si>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</si>
  <si>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</si>
  <si>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</si>
  <si>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</si>
  <si>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</si>
  <si>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</si>
  <si>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</si>
  <si>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</si>
  <si>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</si>
  <si>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</si>
  <si>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</si>
  <si>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</si>
  <si>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</si>
  <si>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</si>
  <si>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</si>
  <si>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</si>
  <si>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</si>
  <si>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</si>
  <si>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</si>
  <si>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</si>
  <si>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</si>
  <si>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</si>
  <si>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</si>
  <si>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</si>
  <si>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</si>
  <si>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</si>
  <si>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</si>
  <si>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</si>
  <si>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</si>
  <si>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</si>
  <si>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</si>
  <si>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</si>
  <si>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</si>
  <si>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</si>
  <si>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</si>
  <si>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</si>
  <si>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</si>
  <si>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</si>
  <si>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</si>
  <si>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</si>
  <si>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</si>
  <si>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</si>
  <si>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</si>
  <si>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</si>
  <si>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</si>
  <si>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</si>
  <si>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</si>
  <si>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</si>
  <si>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</si>
  <si>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</si>
  <si>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</si>
  <si>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</si>
  <si>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</si>
  <si>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</si>
  <si>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</si>
  <si>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</si>
  <si>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</si>
  <si>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</si>
  <si>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</si>
  <si>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</si>
  <si>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</si>
  <si>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</si>
  <si>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</si>
  <si>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</si>
  <si>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</si>
  <si>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</si>
  <si>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</si>
  <si>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</si>
  <si>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</si>
  <si>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</si>
  <si>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</si>
  <si>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</si>
  <si>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</si>
  <si>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</si>
  <si>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</si>
  <si>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</si>
  <si>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</si>
  <si>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</si>
  <si>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</si>
  <si>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</si>
  <si>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</si>
  <si>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</si>
  <si>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</si>
  <si>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</si>
  <si>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</si>
  <si>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</si>
  <si>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</si>
  <si>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</si>
  <si>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</si>
  <si>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</si>
  <si>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</si>
  <si>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</si>
  <si>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</si>
  <si>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</si>
  <si>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</si>
  <si>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</si>
  <si>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</si>
  <si>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</si>
  <si>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</si>
  <si>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</si>
  <si>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</si>
  <si>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</si>
  <si>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</si>
  <si>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</si>
  <si>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</si>
  <si>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</si>
  <si>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</si>
  <si>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</si>
  <si>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</si>
  <si>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</si>
  <si>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</si>
  <si>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</si>
  <si>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</si>
  <si>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</si>
  <si>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</si>
  <si>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</si>
  <si>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</si>
  <si>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</si>
  <si>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</si>
  <si>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</si>
  <si>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</si>
  <si>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</si>
  <si>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</si>
  <si>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</si>
  <si>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</si>
  <si>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</si>
  <si>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</si>
  <si>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</si>
  <si>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</si>
  <si>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</si>
  <si>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</si>
  <si>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</si>
  <si>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</si>
  <si>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</si>
  <si>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</si>
  <si>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</si>
  <si>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</si>
  <si>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</si>
  <si>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</si>
  <si>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</si>
  <si>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</si>
  <si>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</si>
  <si>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</si>
  <si>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</si>
  <si>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</si>
  <si>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</si>
  <si>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</si>
  <si>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</si>
  <si>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</si>
  <si>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</si>
  <si>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</si>
  <si>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</si>
  <si>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</si>
  <si>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</si>
  <si>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</si>
  <si>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</si>
  <si>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</si>
  <si>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</si>
  <si>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</si>
  <si>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</si>
  <si>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</si>
  <si>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</si>
  <si>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</si>
  <si>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</si>
  <si>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</si>
  <si>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</si>
  <si>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</si>
  <si>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</si>
  <si>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</si>
  <si>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</si>
  <si>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</si>
  <si>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</si>
  <si>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</si>
  <si>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</si>
  <si>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</si>
  <si>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</si>
  <si>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</si>
  <si>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</si>
  <si>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</si>
  <si>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</si>
  <si>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</si>
  <si>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</si>
  <si>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</si>
  <si>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</si>
  <si>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</si>
  <si>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</si>
  <si>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</si>
  <si>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</si>
  <si>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</si>
  <si>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</si>
  <si>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</si>
  <si>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</si>
  <si>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</si>
  <si>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</si>
  <si>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</si>
  <si>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</si>
  <si>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</si>
  <si>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</si>
  <si>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</si>
  <si>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</si>
  <si>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</si>
  <si>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</si>
  <si>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</si>
  <si>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</si>
  <si>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</si>
  <si>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</si>
  <si>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</si>
  <si>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</si>
  <si>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</si>
  <si>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</si>
  <si>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</si>
  <si>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</si>
  <si>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</si>
  <si>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</si>
  <si>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</si>
  <si>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</si>
  <si>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</si>
  <si>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</si>
  <si>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</si>
  <si>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</si>
  <si>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</si>
  <si>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</si>
  <si>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</si>
  <si>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</si>
  <si>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</si>
  <si>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</si>
  <si>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</si>
  <si>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</si>
  <si>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</si>
  <si>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</si>
  <si>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</si>
  <si>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</si>
  <si>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</si>
  <si>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</si>
  <si>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</si>
  <si>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</si>
  <si>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</si>
  <si>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</si>
  <si>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</si>
  <si>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</si>
  <si>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</si>
  <si>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</si>
  <si>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</si>
  <si>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</si>
  <si>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</si>
  <si>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</si>
  <si>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</si>
  <si>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</si>
  <si>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</si>
  <si>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</si>
  <si>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</si>
  <si>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</si>
  <si>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</si>
  <si>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</si>
  <si>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</si>
  <si>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</si>
  <si>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</si>
  <si>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</si>
  <si>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</si>
  <si>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</si>
  <si>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</si>
  <si>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</si>
  <si>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</si>
  <si>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</si>
  <si>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</si>
  <si>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</si>
  <si>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</si>
  <si>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</si>
  <si>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</si>
  <si>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</si>
  <si>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</si>
  <si>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</si>
  <si>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</si>
  <si>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</si>
  <si>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</si>
  <si>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</si>
  <si>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</si>
  <si>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</si>
  <si>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</si>
  <si>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</si>
  <si>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</si>
  <si>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</si>
  <si>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</si>
  <si>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</si>
  <si>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</si>
  <si>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</si>
  <si>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</si>
  <si>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</si>
  <si>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</si>
  <si>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</si>
  <si>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</si>
  <si>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</si>
  <si>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</si>
  <si>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</si>
  <si>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</si>
  <si>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</si>
  <si>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</si>
  <si>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</si>
  <si>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</si>
  <si>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</si>
  <si>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</si>
  <si>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</si>
  <si>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</si>
  <si>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</si>
  <si>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</si>
  <si>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</si>
  <si>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</si>
  <si>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</si>
  <si>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</si>
  <si>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</si>
  <si>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</si>
  <si>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</si>
  <si>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</si>
  <si>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</si>
  <si>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</si>
  <si>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</si>
  <si>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</si>
  <si>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</si>
  <si>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</si>
  <si>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</si>
  <si>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</si>
  <si>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</si>
  <si>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</si>
  <si>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</si>
  <si>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</si>
  <si>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</si>
  <si>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</si>
  <si>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</si>
  <si>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</si>
  <si>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</si>
  <si>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</si>
  <si>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</si>
  <si>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</si>
  <si>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</si>
  <si>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</si>
  <si>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</si>
  <si>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</si>
  <si>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</si>
  <si>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</si>
  <si>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</si>
  <si>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</si>
  <si>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</si>
  <si>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</si>
  <si>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</si>
  <si>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</si>
  <si>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</si>
  <si>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</si>
  <si>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</si>
  <si>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</si>
  <si>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</si>
  <si>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</si>
  <si>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</si>
  <si>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</si>
  <si>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</si>
  <si>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</si>
  <si>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</si>
  <si>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</si>
  <si>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</si>
  <si>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</si>
  <si>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</si>
  <si>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</si>
  <si>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</si>
  <si>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</si>
  <si>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</si>
  <si>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</si>
  <si>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</si>
  <si>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</si>
  <si>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</si>
  <si>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</si>
  <si>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</si>
  <si>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</si>
  <si>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</si>
  <si>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</si>
  <si>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</si>
  <si>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</si>
  <si>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</si>
  <si>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</si>
  <si>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</si>
  <si>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</si>
  <si>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</si>
  <si>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</si>
  <si>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</si>
  <si>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</si>
  <si>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</si>
  <si>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</si>
  <si>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</si>
  <si>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</si>
  <si>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</si>
  <si>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</si>
  <si>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</si>
  <si>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</si>
  <si>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</si>
  <si>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</si>
  <si>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</si>
  <si>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</si>
  <si>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</si>
  <si>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</si>
  <si>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</si>
  <si>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</si>
  <si>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</si>
  <si>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</si>
  <si>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</si>
  <si>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</si>
  <si>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</si>
  <si>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</si>
  <si>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</si>
  <si>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</si>
  <si>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</si>
  <si>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</si>
  <si>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</si>
  <si>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</si>
  <si>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</si>
  <si>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</si>
  <si>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</si>
  <si>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</si>
  <si>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</si>
  <si>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</si>
  <si>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</si>
  <si>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</si>
  <si>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</si>
  <si>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</si>
  <si>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</si>
  <si>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</si>
  <si>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</si>
  <si>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</si>
  <si>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</si>
  <si>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</si>
  <si>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</si>
  <si>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</si>
  <si>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</si>
  <si>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</si>
  <si>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</si>
  <si>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</si>
  <si>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</si>
  <si>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</si>
  <si>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</si>
  <si>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</si>
  <si>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</si>
  <si>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</si>
  <si>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</si>
  <si>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</si>
  <si>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</si>
  <si>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</si>
  <si>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</si>
  <si>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</si>
  <si>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</si>
  <si>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</si>
  <si>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</si>
  <si>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</si>
  <si>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</si>
  <si>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</si>
  <si>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</si>
  <si>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</si>
  <si>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</si>
  <si>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</si>
  <si>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</si>
  <si>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</si>
  <si>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</si>
  <si>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</si>
  <si>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</si>
  <si>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</si>
  <si>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</si>
  <si>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</si>
  <si>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</si>
  <si>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</si>
  <si>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</si>
  <si>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</si>
  <si>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</si>
  <si>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</si>
  <si>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</si>
  <si>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</si>
  <si>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</si>
  <si>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</si>
  <si>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</si>
  <si>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</si>
  <si>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</si>
  <si>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</si>
  <si>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</si>
  <si>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</si>
  <si>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</si>
  <si>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</si>
  <si>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</si>
  <si>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</si>
  <si>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</si>
  <si>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</si>
  <si>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</si>
  <si>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</si>
  <si>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</si>
  <si>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</si>
  <si>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</si>
  <si>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</si>
  <si>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</si>
  <si>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</si>
  <si>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</si>
  <si>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</si>
  <si>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</si>
  <si>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</si>
  <si>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</si>
  <si>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</si>
  <si>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</si>
  <si>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</si>
  <si>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</si>
  <si>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</si>
  <si>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</si>
  <si>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</si>
  <si>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</si>
  <si>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</si>
  <si>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</si>
  <si>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</si>
  <si>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</si>
  <si>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</si>
  <si>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</si>
  <si>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</si>
  <si>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</si>
  <si>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</si>
  <si>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</si>
  <si>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</si>
  <si>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</si>
  <si>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</si>
  <si>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</si>
  <si>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</si>
  <si>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</si>
  <si>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</si>
  <si>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</si>
  <si>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</si>
  <si>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</si>
  <si>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</si>
  <si>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</si>
  <si>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</si>
  <si>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</si>
  <si>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</si>
  <si>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</si>
  <si>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</si>
  <si>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</si>
  <si>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</si>
  <si>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</si>
  <si>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</si>
  <si>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</si>
  <si>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</si>
  <si>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</si>
  <si>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</si>
  <si>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</si>
  <si>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</si>
  <si>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</si>
  <si>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</si>
  <si>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</si>
  <si>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</si>
  <si>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</si>
  <si>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</si>
  <si>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</si>
  <si>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</si>
  <si>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</si>
  <si>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</si>
  <si>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</si>
  <si>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</si>
  <si>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</si>
  <si>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</si>
  <si>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</si>
  <si>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</si>
  <si>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</si>
  <si>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</si>
  <si>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</si>
  <si>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</si>
  <si>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</si>
  <si>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</si>
  <si>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</si>
  <si>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</si>
  <si>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</si>
  <si>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</si>
  <si>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</si>
  <si>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</si>
  <si>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</si>
  <si>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</si>
  <si>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</si>
  <si>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</si>
  <si>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</si>
  <si>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</si>
  <si>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</si>
  <si>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</si>
  <si>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</si>
  <si>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</si>
  <si>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</si>
  <si>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</si>
  <si>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</si>
  <si>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</si>
  <si>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</si>
  <si>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</si>
  <si>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</si>
  <si>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</si>
  <si>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</si>
  <si>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</si>
  <si>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</si>
  <si>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</si>
  <si>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</si>
  <si>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</si>
  <si>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</si>
  <si>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</si>
  <si>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</si>
  <si>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</si>
  <si>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</si>
  <si>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</si>
  <si>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</si>
  <si>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</si>
  <si>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</si>
  <si>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</si>
  <si>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</si>
  <si>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</si>
  <si>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</si>
  <si>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</si>
  <si>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</si>
  <si>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</si>
  <si>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</si>
  <si>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</si>
  <si>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</si>
  <si>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</si>
  <si>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</si>
  <si>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</si>
  <si>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</si>
  <si>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</si>
  <si>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</si>
  <si>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</si>
  <si>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</si>
  <si>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</si>
  <si>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</si>
  <si>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</si>
  <si>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</si>
  <si>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</si>
  <si>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</si>
  <si>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</si>
  <si>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</si>
  <si>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</si>
  <si>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</si>
  <si>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</si>
  <si>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</si>
  <si>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</si>
  <si>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</si>
  <si>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</si>
  <si>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</si>
  <si>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</si>
  <si>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</si>
  <si>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</si>
  <si>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</si>
  <si>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</si>
  <si>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</si>
  <si>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</si>
  <si>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</si>
  <si>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</si>
  <si>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</si>
  <si>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</si>
  <si>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</si>
  <si>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</si>
  <si>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</si>
  <si>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</si>
  <si>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</si>
  <si>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</si>
  <si>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</si>
  <si>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</si>
  <si>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</si>
  <si>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</si>
  <si>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</si>
  <si>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</si>
  <si>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</si>
  <si>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</si>
  <si>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</si>
  <si>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</si>
  <si>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</si>
  <si>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</si>
  <si>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</si>
  <si>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</si>
  <si>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</si>
  <si>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</si>
  <si>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</si>
  <si>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</si>
  <si>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</si>
  <si>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</si>
  <si>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</si>
  <si>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</si>
  <si>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</si>
  <si>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</si>
  <si>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</si>
  <si>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</si>
  <si>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</si>
  <si>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</si>
  <si>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</si>
  <si>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</si>
  <si>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</si>
  <si>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</si>
  <si>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</si>
  <si>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</si>
  <si>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</si>
  <si>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</si>
  <si>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</si>
  <si>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</si>
  <si>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</si>
  <si>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</si>
  <si>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</si>
  <si>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</si>
  <si>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</si>
  <si>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</si>
  <si>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</si>
  <si>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</si>
  <si>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</si>
  <si>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</si>
  <si>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</si>
  <si>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</si>
  <si>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</si>
  <si>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</si>
  <si>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</si>
  <si>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</si>
  <si>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</si>
  <si>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</si>
  <si>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</si>
  <si>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</si>
  <si>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</si>
  <si>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</si>
  <si>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</si>
  <si>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</si>
  <si>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</si>
  <si>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</si>
  <si>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</si>
  <si>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</si>
  <si>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</si>
  <si>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</si>
  <si>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</si>
  <si>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</si>
  <si>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</si>
  <si>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</si>
  <si>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</si>
  <si>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 за 26,09,26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</si>
</sst>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1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91" t="s">
        <v>26</v>
      </c>
      <c r="E1" s="991"/>
      <c r="F1" s="991"/>
      <c r="G1" s="14" t="s">
        <v>66</v>
      </c>
      <c r="H1" s="991" t="s">
        <v>47</v>
      </c>
      <c r="I1" s="991"/>
      <c r="J1" s="991"/>
      <c r="K1" s="991"/>
      <c r="L1" s="991"/>
      <c r="M1" s="991"/>
      <c r="N1" s="991"/>
      <c r="O1" s="991"/>
      <c r="P1" s="991"/>
      <c r="Q1" s="991"/>
      <c r="R1" s="992" t="s">
        <v>67</v>
      </c>
      <c r="S1" s="993"/>
      <c r="T1" s="99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4"/>
      <c r="R2" s="994"/>
      <c r="S2" s="994"/>
      <c r="T2" s="994"/>
      <c r="U2" s="994"/>
      <c r="V2" s="994"/>
      <c r="W2" s="99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4"/>
      <c r="Q3" s="994"/>
      <c r="R3" s="994"/>
      <c r="S3" s="994"/>
      <c r="T3" s="994"/>
      <c r="U3" s="994"/>
      <c r="V3" s="994"/>
      <c r="W3" s="99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5" t="s">
        <v>8</v>
      </c>
      <c r="B5" s="995"/>
      <c r="C5" s="995"/>
      <c r="D5" s="996"/>
      <c r="E5" s="996"/>
      <c r="F5" s="997" t="s">
        <v>14</v>
      </c>
      <c r="G5" s="997"/>
      <c r="H5" s="996" t="s">
        <v>899</v>
      </c>
      <c r="I5" s="996"/>
      <c r="J5" s="996"/>
      <c r="K5" s="996"/>
      <c r="L5" s="996"/>
      <c r="M5" s="996"/>
      <c r="N5" s="69"/>
      <c r="P5" s="26" t="s">
        <v>4</v>
      </c>
      <c r="Q5" s="998">
        <v>46291</v>
      </c>
      <c r="R5" s="998"/>
      <c r="T5" s="999" t="s">
        <v>3</v>
      </c>
      <c r="U5" s="1000"/>
      <c r="V5" s="1001" t="s">
        <v>879</v>
      </c>
      <c r="W5" s="1002"/>
      <c r="AB5" s="57"/>
      <c r="AC5" s="57"/>
      <c r="AD5" s="57"/>
      <c r="AE5" s="57"/>
    </row>
    <row r="6" spans="1:32" s="17" customFormat="1" ht="24" customHeight="1" x14ac:dyDescent="0.2">
      <c r="A6" s="995" t="s">
        <v>1</v>
      </c>
      <c r="B6" s="995"/>
      <c r="C6" s="995"/>
      <c r="D6" s="1003" t="s">
        <v>880</v>
      </c>
      <c r="E6" s="1003"/>
      <c r="F6" s="1003"/>
      <c r="G6" s="1003"/>
      <c r="H6" s="1003"/>
      <c r="I6" s="1003"/>
      <c r="J6" s="1003"/>
      <c r="K6" s="1003"/>
      <c r="L6" s="1003"/>
      <c r="M6" s="1003"/>
      <c r="N6" s="70"/>
      <c r="P6" s="26" t="s">
        <v>27</v>
      </c>
      <c r="Q6" s="1004" t="str">
        <f>IF(Q5=0," ",CHOOSE(WEEKDAY(Q5,2),"Понедельник","Вторник","Среда","Четверг","Пятница","Суббота","Воскресенье"))</f>
        <v>Суббота</v>
      </c>
      <c r="R6" s="1004"/>
      <c r="T6" s="1005" t="s">
        <v>5</v>
      </c>
      <c r="U6" s="1006"/>
      <c r="V6" s="1007" t="s">
        <v>69</v>
      </c>
      <c r="W6" s="100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3" t="str">
        <f>IFERROR(VLOOKUP(DeliveryAddress,Table,3,0),1)</f>
        <v>1</v>
      </c>
      <c r="E7" s="1014"/>
      <c r="F7" s="1014"/>
      <c r="G7" s="1014"/>
      <c r="H7" s="1014"/>
      <c r="I7" s="1014"/>
      <c r="J7" s="1014"/>
      <c r="K7" s="1014"/>
      <c r="L7" s="1014"/>
      <c r="M7" s="1015"/>
      <c r="N7" s="71"/>
      <c r="P7" s="26"/>
      <c r="Q7" s="46"/>
      <c r="R7" s="46"/>
      <c r="T7" s="1005"/>
      <c r="U7" s="1006"/>
      <c r="V7" s="1009"/>
      <c r="W7" s="1010"/>
      <c r="AB7" s="57"/>
      <c r="AC7" s="57"/>
      <c r="AD7" s="57"/>
      <c r="AE7" s="57"/>
    </row>
    <row r="8" spans="1:32" s="17" customFormat="1" ht="25.5" customHeight="1" x14ac:dyDescent="0.2">
      <c r="A8" s="1016" t="s">
        <v>57</v>
      </c>
      <c r="B8" s="1016"/>
      <c r="C8" s="1016"/>
      <c r="D8" s="1017"/>
      <c r="E8" s="1017"/>
      <c r="F8" s="1017"/>
      <c r="G8" s="1017"/>
      <c r="H8" s="1017"/>
      <c r="I8" s="1017"/>
      <c r="J8" s="1017"/>
      <c r="K8" s="1017"/>
      <c r="L8" s="1017"/>
      <c r="M8" s="1017"/>
      <c r="N8" s="72"/>
      <c r="P8" s="26" t="s">
        <v>11</v>
      </c>
      <c r="Q8" s="976">
        <v>0.41666666666666669</v>
      </c>
      <c r="R8" s="976"/>
      <c r="T8" s="1005"/>
      <c r="U8" s="1006"/>
      <c r="V8" s="1009"/>
      <c r="W8" s="1010"/>
      <c r="AB8" s="57"/>
      <c r="AC8" s="57"/>
      <c r="AD8" s="57"/>
      <c r="AE8" s="57"/>
    </row>
    <row r="9" spans="1:32" s="17" customFormat="1" ht="39.950000000000003" customHeight="1" x14ac:dyDescent="0.2">
      <c r="A9" s="9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6"/>
      <c r="C9" s="966"/>
      <c r="D9" s="967" t="s">
        <v>46</v>
      </c>
      <c r="E9" s="968"/>
      <c r="F9" s="9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6"/>
      <c r="H9" s="1018" t="str">
        <f>IF(AND($A$9="Тип доверенности/получателя при получении в адресе перегруза:",$D$9="Разовая доверенность"),"Введите ФИО","")</f>
        <v/>
      </c>
      <c r="I9" s="1018"/>
      <c r="J9" s="10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8"/>
      <c r="L9" s="1018"/>
      <c r="M9" s="1018"/>
      <c r="N9" s="67"/>
      <c r="P9" s="29" t="s">
        <v>15</v>
      </c>
      <c r="Q9" s="1019"/>
      <c r="R9" s="1019"/>
      <c r="T9" s="1005"/>
      <c r="U9" s="1006"/>
      <c r="V9" s="1011"/>
      <c r="W9" s="101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6"/>
      <c r="C10" s="966"/>
      <c r="D10" s="967"/>
      <c r="E10" s="968"/>
      <c r="F10" s="9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6"/>
      <c r="H10" s="969" t="str">
        <f>IFERROR(VLOOKUP($D$10,Proxy,2,FALSE),"")</f>
        <v/>
      </c>
      <c r="I10" s="969"/>
      <c r="J10" s="969"/>
      <c r="K10" s="969"/>
      <c r="L10" s="969"/>
      <c r="M10" s="969"/>
      <c r="N10" s="68"/>
      <c r="P10" s="29" t="s">
        <v>32</v>
      </c>
      <c r="Q10" s="970"/>
      <c r="R10" s="970"/>
      <c r="U10" s="26" t="s">
        <v>12</v>
      </c>
      <c r="V10" s="971" t="s">
        <v>70</v>
      </c>
      <c r="W10" s="97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3"/>
      <c r="R11" s="973"/>
      <c r="U11" s="26" t="s">
        <v>28</v>
      </c>
      <c r="V11" s="974" t="s">
        <v>898</v>
      </c>
      <c r="W11" s="97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5" t="s">
        <v>71</v>
      </c>
      <c r="B12" s="975"/>
      <c r="C12" s="975"/>
      <c r="D12" s="975"/>
      <c r="E12" s="975"/>
      <c r="F12" s="975"/>
      <c r="G12" s="975"/>
      <c r="H12" s="975"/>
      <c r="I12" s="975"/>
      <c r="J12" s="975"/>
      <c r="K12" s="975"/>
      <c r="L12" s="975"/>
      <c r="M12" s="975"/>
      <c r="N12" s="73"/>
      <c r="P12" s="26" t="s">
        <v>30</v>
      </c>
      <c r="Q12" s="976"/>
      <c r="R12" s="976"/>
      <c r="S12" s="27"/>
      <c r="T12"/>
      <c r="U12" s="26" t="s">
        <v>46</v>
      </c>
      <c r="V12" s="977"/>
      <c r="W12" s="977"/>
      <c r="X12"/>
      <c r="AB12" s="57"/>
      <c r="AC12" s="57"/>
      <c r="AD12" s="57"/>
      <c r="AE12" s="57"/>
    </row>
    <row r="13" spans="1:32" s="17" customFormat="1" ht="23.25" customHeight="1" x14ac:dyDescent="0.2">
      <c r="A13" s="975" t="s">
        <v>72</v>
      </c>
      <c r="B13" s="975"/>
      <c r="C13" s="975"/>
      <c r="D13" s="975"/>
      <c r="E13" s="975"/>
      <c r="F13" s="975"/>
      <c r="G13" s="975"/>
      <c r="H13" s="975"/>
      <c r="I13" s="975"/>
      <c r="J13" s="975"/>
      <c r="K13" s="975"/>
      <c r="L13" s="975"/>
      <c r="M13" s="975"/>
      <c r="N13" s="73"/>
      <c r="O13" s="29"/>
      <c r="P13" s="29" t="s">
        <v>31</v>
      </c>
      <c r="Q13" s="974"/>
      <c r="R13" s="97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5" t="s">
        <v>73</v>
      </c>
      <c r="B14" s="975"/>
      <c r="C14" s="975"/>
      <c r="D14" s="975"/>
      <c r="E14" s="975"/>
      <c r="F14" s="975"/>
      <c r="G14" s="975"/>
      <c r="H14" s="975"/>
      <c r="I14" s="975"/>
      <c r="J14" s="975"/>
      <c r="K14" s="975"/>
      <c r="L14" s="975"/>
      <c r="M14" s="97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8" t="s">
        <v>74</v>
      </c>
      <c r="B15" s="978"/>
      <c r="C15" s="978"/>
      <c r="D15" s="978"/>
      <c r="E15" s="978"/>
      <c r="F15" s="978"/>
      <c r="G15" s="978"/>
      <c r="H15" s="978"/>
      <c r="I15" s="978"/>
      <c r="J15" s="978"/>
      <c r="K15" s="978"/>
      <c r="L15" s="978"/>
      <c r="M15" s="978"/>
      <c r="N15" s="74"/>
      <c r="O15"/>
      <c r="P15" s="979" t="s">
        <v>60</v>
      </c>
      <c r="Q15" s="979"/>
      <c r="R15" s="979"/>
      <c r="S15" s="979"/>
      <c r="T15" s="97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0"/>
      <c r="Q16" s="980"/>
      <c r="R16" s="980"/>
      <c r="S16" s="980"/>
      <c r="T16" s="98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0" t="s">
        <v>58</v>
      </c>
      <c r="B17" s="950" t="s">
        <v>49</v>
      </c>
      <c r="C17" s="983" t="s">
        <v>48</v>
      </c>
      <c r="D17" s="985" t="s">
        <v>50</v>
      </c>
      <c r="E17" s="986"/>
      <c r="F17" s="950" t="s">
        <v>21</v>
      </c>
      <c r="G17" s="950" t="s">
        <v>24</v>
      </c>
      <c r="H17" s="950" t="s">
        <v>22</v>
      </c>
      <c r="I17" s="950" t="s">
        <v>23</v>
      </c>
      <c r="J17" s="950" t="s">
        <v>16</v>
      </c>
      <c r="K17" s="950" t="s">
        <v>65</v>
      </c>
      <c r="L17" s="950" t="s">
        <v>63</v>
      </c>
      <c r="M17" s="950" t="s">
        <v>2</v>
      </c>
      <c r="N17" s="950" t="s">
        <v>62</v>
      </c>
      <c r="O17" s="950" t="s">
        <v>25</v>
      </c>
      <c r="P17" s="985" t="s">
        <v>17</v>
      </c>
      <c r="Q17" s="989"/>
      <c r="R17" s="989"/>
      <c r="S17" s="989"/>
      <c r="T17" s="986"/>
      <c r="U17" s="981" t="s">
        <v>55</v>
      </c>
      <c r="V17" s="982"/>
      <c r="W17" s="950" t="s">
        <v>6</v>
      </c>
      <c r="X17" s="950" t="s">
        <v>41</v>
      </c>
      <c r="Y17" s="952" t="s">
        <v>54</v>
      </c>
      <c r="Z17" s="954" t="s">
        <v>18</v>
      </c>
      <c r="AA17" s="956" t="s">
        <v>59</v>
      </c>
      <c r="AB17" s="956" t="s">
        <v>19</v>
      </c>
      <c r="AC17" s="956" t="s">
        <v>64</v>
      </c>
      <c r="AD17" s="958" t="s">
        <v>56</v>
      </c>
      <c r="AE17" s="959"/>
      <c r="AF17" s="960"/>
      <c r="AG17" s="77"/>
      <c r="BD17" s="76" t="s">
        <v>61</v>
      </c>
    </row>
    <row r="18" spans="1:68" ht="14.25" customHeight="1" x14ac:dyDescent="0.2">
      <c r="A18" s="951"/>
      <c r="B18" s="951"/>
      <c r="C18" s="984"/>
      <c r="D18" s="987"/>
      <c r="E18" s="988"/>
      <c r="F18" s="951"/>
      <c r="G18" s="951"/>
      <c r="H18" s="951"/>
      <c r="I18" s="951"/>
      <c r="J18" s="951"/>
      <c r="K18" s="951"/>
      <c r="L18" s="951"/>
      <c r="M18" s="951"/>
      <c r="N18" s="951"/>
      <c r="O18" s="951"/>
      <c r="P18" s="987"/>
      <c r="Q18" s="990"/>
      <c r="R18" s="990"/>
      <c r="S18" s="990"/>
      <c r="T18" s="988"/>
      <c r="U18" s="78" t="s">
        <v>44</v>
      </c>
      <c r="V18" s="78" t="s">
        <v>43</v>
      </c>
      <c r="W18" s="951"/>
      <c r="X18" s="951"/>
      <c r="Y18" s="953"/>
      <c r="Z18" s="955"/>
      <c r="AA18" s="957"/>
      <c r="AB18" s="957"/>
      <c r="AC18" s="957"/>
      <c r="AD18" s="961"/>
      <c r="AE18" s="962"/>
      <c r="AF18" s="963"/>
      <c r="AG18" s="77"/>
      <c r="BD18" s="76"/>
    </row>
    <row r="19" spans="1:68" ht="27.75" hidden="1" customHeight="1" x14ac:dyDescent="0.2">
      <c r="A19" s="673" t="s">
        <v>75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2"/>
      <c r="AB19" s="52"/>
      <c r="AC19" s="52"/>
    </row>
    <row r="20" spans="1:68" ht="16.5" hidden="1" customHeight="1" x14ac:dyDescent="0.25">
      <c r="A20" s="658" t="s">
        <v>75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2"/>
      <c r="AB20" s="62"/>
      <c r="AC20" s="62"/>
    </row>
    <row r="21" spans="1:68" ht="14.25" hidden="1" customHeight="1" x14ac:dyDescent="0.25">
      <c r="A21" s="659" t="s">
        <v>76</v>
      </c>
      <c r="B21" s="659"/>
      <c r="C21" s="659"/>
      <c r="D21" s="659"/>
      <c r="E21" s="659"/>
      <c r="F21" s="659"/>
      <c r="G21" s="65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0">
        <v>4680115886643</v>
      </c>
      <c r="E22" s="66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2"/>
      <c r="R22" s="662"/>
      <c r="S22" s="662"/>
      <c r="T22" s="66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0">
        <v>4680115889071</v>
      </c>
      <c r="E23" s="66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2"/>
      <c r="R23" s="662"/>
      <c r="S23" s="662"/>
      <c r="T23" s="66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9" t="s">
        <v>85</v>
      </c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0">
        <v>4680115885912</v>
      </c>
      <c r="E27" s="66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2"/>
      <c r="R27" s="662"/>
      <c r="S27" s="662"/>
      <c r="T27" s="66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0">
        <v>4607091388237</v>
      </c>
      <c r="E28" s="66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2"/>
      <c r="R28" s="662"/>
      <c r="S28" s="662"/>
      <c r="T28" s="66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0">
        <v>4680115887350</v>
      </c>
      <c r="E29" s="66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2"/>
      <c r="R29" s="662"/>
      <c r="S29" s="662"/>
      <c r="T29" s="66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0">
        <v>4680115885905</v>
      </c>
      <c r="E30" s="66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2"/>
      <c r="R30" s="662"/>
      <c r="S30" s="662"/>
      <c r="T30" s="66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0">
        <v>4680115887619</v>
      </c>
      <c r="E31" s="66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2"/>
      <c r="R31" s="662"/>
      <c r="S31" s="662"/>
      <c r="T31" s="66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2"/>
      <c r="AB34" s="52"/>
      <c r="AC34" s="52"/>
    </row>
    <row r="35" spans="1:68" ht="16.5" hidden="1" customHeight="1" x14ac:dyDescent="0.25">
      <c r="A35" s="658" t="s">
        <v>103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2"/>
      <c r="AB35" s="62"/>
      <c r="AC35" s="62"/>
    </row>
    <row r="36" spans="1:68" ht="14.25" hidden="1" customHeight="1" x14ac:dyDescent="0.25">
      <c r="A36" s="659" t="s">
        <v>85</v>
      </c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0">
        <v>4680115889354</v>
      </c>
      <c r="E37" s="66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2"/>
      <c r="R37" s="662"/>
      <c r="S37" s="662"/>
      <c r="T37" s="66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0">
        <v>4680115888463</v>
      </c>
      <c r="E38" s="66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4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2"/>
      <c r="R38" s="662"/>
      <c r="S38" s="662"/>
      <c r="T38" s="66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0">
        <v>4680115889590</v>
      </c>
      <c r="E39" s="66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4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2"/>
      <c r="R39" s="662"/>
      <c r="S39" s="662"/>
      <c r="T39" s="66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0">
        <v>4680115888272</v>
      </c>
      <c r="E40" s="66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4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2"/>
      <c r="R40" s="662"/>
      <c r="S40" s="662"/>
      <c r="T40" s="66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0">
        <v>4680115888364</v>
      </c>
      <c r="E41" s="66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2"/>
      <c r="R41" s="662"/>
      <c r="S41" s="662"/>
      <c r="T41" s="66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3" t="s">
        <v>119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2"/>
      <c r="AB44" s="52"/>
      <c r="AC44" s="52"/>
    </row>
    <row r="45" spans="1:68" ht="16.5" hidden="1" customHeight="1" x14ac:dyDescent="0.25">
      <c r="A45" s="658" t="s">
        <v>120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2"/>
      <c r="AB45" s="62"/>
      <c r="AC45" s="62"/>
    </row>
    <row r="46" spans="1:68" ht="14.25" hidden="1" customHeight="1" x14ac:dyDescent="0.25">
      <c r="A46" s="659" t="s">
        <v>121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0">
        <v>4607091385670</v>
      </c>
      <c r="E47" s="66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2"/>
      <c r="R47" s="662"/>
      <c r="S47" s="662"/>
      <c r="T47" s="66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0">
        <v>4680115887725</v>
      </c>
      <c r="E48" s="66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2"/>
      <c r="R48" s="662"/>
      <c r="S48" s="662"/>
      <c r="T48" s="66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0">
        <v>4607091385687</v>
      </c>
      <c r="E49" s="66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2"/>
      <c r="R49" s="662"/>
      <c r="S49" s="662"/>
      <c r="T49" s="66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0">
        <v>4680115882539</v>
      </c>
      <c r="E50" s="66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2"/>
      <c r="R50" s="662"/>
      <c r="S50" s="662"/>
      <c r="T50" s="66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58" t="s">
        <v>136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2"/>
      <c r="AB53" s="62"/>
      <c r="AC53" s="62"/>
    </row>
    <row r="54" spans="1:68" ht="14.25" hidden="1" customHeight="1" x14ac:dyDescent="0.25">
      <c r="A54" s="659" t="s">
        <v>121</v>
      </c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0">
        <v>4680115885882</v>
      </c>
      <c r="E55" s="66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2"/>
      <c r="R55" s="662"/>
      <c r="S55" s="662"/>
      <c r="T55" s="66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0">
        <v>4680115881426</v>
      </c>
      <c r="E56" s="66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2"/>
      <c r="R56" s="662"/>
      <c r="S56" s="662"/>
      <c r="T56" s="66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0">
        <v>4680115880283</v>
      </c>
      <c r="E57" s="66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2"/>
      <c r="R57" s="662"/>
      <c r="S57" s="662"/>
      <c r="T57" s="66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0">
        <v>4680115881525</v>
      </c>
      <c r="E58" s="66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2"/>
      <c r="R58" s="662"/>
      <c r="S58" s="662"/>
      <c r="T58" s="66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0">
        <v>4680115885899</v>
      </c>
      <c r="E59" s="66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2"/>
      <c r="R59" s="662"/>
      <c r="S59" s="662"/>
      <c r="T59" s="66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0">
        <v>4680115881419</v>
      </c>
      <c r="E60" s="66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2"/>
      <c r="R60" s="662"/>
      <c r="S60" s="662"/>
      <c r="T60" s="66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59" t="s">
        <v>154</v>
      </c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0">
        <v>4680115881440</v>
      </c>
      <c r="E64" s="66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2"/>
      <c r="R64" s="662"/>
      <c r="S64" s="662"/>
      <c r="T64" s="663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0">
        <v>4680115885950</v>
      </c>
      <c r="E65" s="66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2"/>
      <c r="R65" s="662"/>
      <c r="S65" s="662"/>
      <c r="T65" s="66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0">
        <v>4680115887688</v>
      </c>
      <c r="E66" s="66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2"/>
      <c r="R66" s="662"/>
      <c r="S66" s="662"/>
      <c r="T66" s="66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0">
        <v>4680115881433</v>
      </c>
      <c r="E67" s="66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3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2"/>
      <c r="R67" s="662"/>
      <c r="S67" s="662"/>
      <c r="T67" s="66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59" t="s">
        <v>85</v>
      </c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0">
        <v>4680115884311</v>
      </c>
      <c r="E71" s="66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2"/>
      <c r="R71" s="662"/>
      <c r="S71" s="662"/>
      <c r="T71" s="66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0">
        <v>4680115884403</v>
      </c>
      <c r="E72" s="66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2"/>
      <c r="R72" s="662"/>
      <c r="S72" s="662"/>
      <c r="T72" s="66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0">
        <v>4680115884403</v>
      </c>
      <c r="E73" s="66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2"/>
      <c r="R73" s="662"/>
      <c r="S73" s="662"/>
      <c r="T73" s="66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59" t="s">
        <v>172</v>
      </c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0">
        <v>4680115881532</v>
      </c>
      <c r="E77" s="66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2"/>
      <c r="R77" s="662"/>
      <c r="S77" s="662"/>
      <c r="T77" s="66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0">
        <v>4680115881532</v>
      </c>
      <c r="E78" s="66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2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2"/>
      <c r="R78" s="662"/>
      <c r="S78" s="662"/>
      <c r="T78" s="66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0">
        <v>4680115881464</v>
      </c>
      <c r="E79" s="66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1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2"/>
      <c r="R79" s="662"/>
      <c r="S79" s="662"/>
      <c r="T79" s="66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0">
        <v>4680115881464</v>
      </c>
      <c r="E80" s="66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2"/>
      <c r="R80" s="662"/>
      <c r="S80" s="662"/>
      <c r="T80" s="66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58" t="s">
        <v>181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2"/>
      <c r="AB83" s="62"/>
      <c r="AC83" s="62"/>
    </row>
    <row r="84" spans="1:68" ht="14.25" hidden="1" customHeight="1" x14ac:dyDescent="0.25">
      <c r="A84" s="659" t="s">
        <v>121</v>
      </c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0">
        <v>4680115881327</v>
      </c>
      <c r="E85" s="66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2"/>
      <c r="R85" s="662"/>
      <c r="S85" s="662"/>
      <c r="T85" s="66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0">
        <v>4680115887732</v>
      </c>
      <c r="E86" s="66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2"/>
      <c r="R86" s="662"/>
      <c r="S86" s="662"/>
      <c r="T86" s="66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0">
        <v>4680115887732</v>
      </c>
      <c r="E87" s="66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9" t="s">
        <v>189</v>
      </c>
      <c r="Q87" s="662"/>
      <c r="R87" s="662"/>
      <c r="S87" s="662"/>
      <c r="T87" s="66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0">
        <v>4680115881518</v>
      </c>
      <c r="E88" s="66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2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2"/>
      <c r="R88" s="662"/>
      <c r="S88" s="662"/>
      <c r="T88" s="66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0">
        <v>4680115881303</v>
      </c>
      <c r="E89" s="66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2"/>
      <c r="R89" s="662"/>
      <c r="S89" s="662"/>
      <c r="T89" s="66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59" t="s">
        <v>85</v>
      </c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0">
        <v>4607091386967</v>
      </c>
      <c r="E93" s="66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2"/>
      <c r="R93" s="662"/>
      <c r="S93" s="662"/>
      <c r="T93" s="66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0">
        <v>4607091386967</v>
      </c>
      <c r="E94" s="66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10" t="s">
        <v>198</v>
      </c>
      <c r="Q94" s="662"/>
      <c r="R94" s="662"/>
      <c r="S94" s="662"/>
      <c r="T94" s="66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0">
        <v>4680115884953</v>
      </c>
      <c r="E95" s="66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2"/>
      <c r="R95" s="662"/>
      <c r="S95" s="662"/>
      <c r="T95" s="66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660">
        <v>4607091385731</v>
      </c>
      <c r="E96" s="66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2"/>
      <c r="R96" s="662"/>
      <c r="S96" s="662"/>
      <c r="T96" s="663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660">
        <v>4607091385731</v>
      </c>
      <c r="E97" s="66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13" t="s">
        <v>204</v>
      </c>
      <c r="Q97" s="662"/>
      <c r="R97" s="662"/>
      <c r="S97" s="662"/>
      <c r="T97" s="66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0">
        <v>4680115880894</v>
      </c>
      <c r="E98" s="66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2"/>
      <c r="R98" s="662"/>
      <c r="S98" s="662"/>
      <c r="T98" s="66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8" t="s">
        <v>208</v>
      </c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8"/>
      <c r="P101" s="658"/>
      <c r="Q101" s="658"/>
      <c r="R101" s="658"/>
      <c r="S101" s="658"/>
      <c r="T101" s="658"/>
      <c r="U101" s="658"/>
      <c r="V101" s="658"/>
      <c r="W101" s="658"/>
      <c r="X101" s="658"/>
      <c r="Y101" s="658"/>
      <c r="Z101" s="658"/>
      <c r="AA101" s="62"/>
      <c r="AB101" s="62"/>
      <c r="AC101" s="62"/>
    </row>
    <row r="102" spans="1:68" ht="14.25" hidden="1" customHeight="1" x14ac:dyDescent="0.25">
      <c r="A102" s="659" t="s">
        <v>121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0">
        <v>4680115882133</v>
      </c>
      <c r="E103" s="66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2"/>
      <c r="R103" s="662"/>
      <c r="S103" s="662"/>
      <c r="T103" s="66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60">
        <v>4680115887718</v>
      </c>
      <c r="E104" s="66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9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2"/>
      <c r="R104" s="662"/>
      <c r="S104" s="662"/>
      <c r="T104" s="66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60">
        <v>4680115887718</v>
      </c>
      <c r="E105" s="66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0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2"/>
      <c r="R105" s="662"/>
      <c r="S105" s="662"/>
      <c r="T105" s="66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660">
        <v>4680115887718</v>
      </c>
      <c r="E106" s="66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0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2"/>
      <c r="R106" s="662"/>
      <c r="S106" s="662"/>
      <c r="T106" s="66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660">
        <v>4680115880269</v>
      </c>
      <c r="E107" s="66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9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2"/>
      <c r="R107" s="662"/>
      <c r="S107" s="662"/>
      <c r="T107" s="66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660">
        <v>4680115880429</v>
      </c>
      <c r="E108" s="66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0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2"/>
      <c r="R108" s="662"/>
      <c r="S108" s="662"/>
      <c r="T108" s="66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660">
        <v>4680115880429</v>
      </c>
      <c r="E109" s="66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895" t="s">
        <v>222</v>
      </c>
      <c r="Q109" s="662"/>
      <c r="R109" s="662"/>
      <c r="S109" s="662"/>
      <c r="T109" s="66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0">
        <v>4680115881457</v>
      </c>
      <c r="E110" s="66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2"/>
      <c r="R110" s="662"/>
      <c r="S110" s="662"/>
      <c r="T110" s="66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59" t="s">
        <v>154</v>
      </c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660">
        <v>4680115881488</v>
      </c>
      <c r="E114" s="66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89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2"/>
      <c r="R114" s="662"/>
      <c r="S114" s="662"/>
      <c r="T114" s="66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660">
        <v>4680115887664</v>
      </c>
      <c r="E115" s="66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8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2"/>
      <c r="R115" s="662"/>
      <c r="S115" s="662"/>
      <c r="T115" s="66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660">
        <v>4680115887664</v>
      </c>
      <c r="E116" s="66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89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2"/>
      <c r="R116" s="662"/>
      <c r="S116" s="662"/>
      <c r="T116" s="66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660">
        <v>4680115882775</v>
      </c>
      <c r="E117" s="66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9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2"/>
      <c r="R117" s="662"/>
      <c r="S117" s="662"/>
      <c r="T117" s="66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660">
        <v>4680115880658</v>
      </c>
      <c r="E118" s="66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90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2"/>
      <c r="R118" s="662"/>
      <c r="S118" s="662"/>
      <c r="T118" s="66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59" t="s">
        <v>85</v>
      </c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660">
        <v>4607091385168</v>
      </c>
      <c r="E122" s="66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2"/>
      <c r="R122" s="662"/>
      <c r="S122" s="662"/>
      <c r="T122" s="663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660">
        <v>4607091385168</v>
      </c>
      <c r="E123" s="66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889" t="s">
        <v>242</v>
      </c>
      <c r="Q123" s="662"/>
      <c r="R123" s="662"/>
      <c r="S123" s="662"/>
      <c r="T123" s="66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660">
        <v>4607091383256</v>
      </c>
      <c r="E124" s="66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8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2"/>
      <c r="R124" s="662"/>
      <c r="S124" s="662"/>
      <c r="T124" s="66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660">
        <v>4607091385748</v>
      </c>
      <c r="E125" s="66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2"/>
      <c r="R125" s="662"/>
      <c r="S125" s="662"/>
      <c r="T125" s="663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660">
        <v>4607091385748</v>
      </c>
      <c r="E126" s="66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892" t="s">
        <v>248</v>
      </c>
      <c r="Q126" s="662"/>
      <c r="R126" s="662"/>
      <c r="S126" s="662"/>
      <c r="T126" s="66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660">
        <v>4680115884533</v>
      </c>
      <c r="E127" s="66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8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2"/>
      <c r="R127" s="662"/>
      <c r="S127" s="662"/>
      <c r="T127" s="663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660">
        <v>4680115884533</v>
      </c>
      <c r="E128" s="66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894" t="s">
        <v>253</v>
      </c>
      <c r="Q128" s="662"/>
      <c r="R128" s="662"/>
      <c r="S128" s="662"/>
      <c r="T128" s="66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59" t="s">
        <v>172</v>
      </c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660">
        <v>4680115880238</v>
      </c>
      <c r="E132" s="66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2"/>
      <c r="R132" s="662"/>
      <c r="S132" s="662"/>
      <c r="T132" s="66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660">
        <v>4680115880238</v>
      </c>
      <c r="E133" s="66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885" t="s">
        <v>258</v>
      </c>
      <c r="Q133" s="662"/>
      <c r="R133" s="662"/>
      <c r="S133" s="662"/>
      <c r="T133" s="66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58" t="s">
        <v>259</v>
      </c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8"/>
      <c r="P136" s="658"/>
      <c r="Q136" s="658"/>
      <c r="R136" s="658"/>
      <c r="S136" s="658"/>
      <c r="T136" s="658"/>
      <c r="U136" s="658"/>
      <c r="V136" s="658"/>
      <c r="W136" s="658"/>
      <c r="X136" s="658"/>
      <c r="Y136" s="658"/>
      <c r="Z136" s="658"/>
      <c r="AA136" s="62"/>
      <c r="AB136" s="62"/>
      <c r="AC136" s="62"/>
    </row>
    <row r="137" spans="1:68" ht="14.25" hidden="1" customHeight="1" x14ac:dyDescent="0.25">
      <c r="A137" s="659" t="s">
        <v>121</v>
      </c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660">
        <v>4680115882577</v>
      </c>
      <c r="E138" s="66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2"/>
      <c r="R138" s="662"/>
      <c r="S138" s="662"/>
      <c r="T138" s="66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660">
        <v>4680115882577</v>
      </c>
      <c r="E139" s="66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2"/>
      <c r="R139" s="662"/>
      <c r="S139" s="662"/>
      <c r="T139" s="66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59" t="s">
        <v>76</v>
      </c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660">
        <v>4680115883444</v>
      </c>
      <c r="E143" s="66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8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2"/>
      <c r="R143" s="662"/>
      <c r="S143" s="662"/>
      <c r="T143" s="66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660">
        <v>4680115883444</v>
      </c>
      <c r="E144" s="66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8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2"/>
      <c r="R144" s="662"/>
      <c r="S144" s="662"/>
      <c r="T144" s="66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59" t="s">
        <v>85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660">
        <v>4680115882584</v>
      </c>
      <c r="E148" s="66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2"/>
      <c r="R148" s="662"/>
      <c r="S148" s="662"/>
      <c r="T148" s="663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660">
        <v>4680115882584</v>
      </c>
      <c r="E149" s="66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2"/>
      <c r="R149" s="662"/>
      <c r="S149" s="662"/>
      <c r="T149" s="66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8" t="s">
        <v>272</v>
      </c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58"/>
      <c r="P152" s="658"/>
      <c r="Q152" s="658"/>
      <c r="R152" s="658"/>
      <c r="S152" s="658"/>
      <c r="T152" s="658"/>
      <c r="U152" s="658"/>
      <c r="V152" s="658"/>
      <c r="W152" s="658"/>
      <c r="X152" s="658"/>
      <c r="Y152" s="658"/>
      <c r="Z152" s="658"/>
      <c r="AA152" s="62"/>
      <c r="AB152" s="62"/>
      <c r="AC152" s="62"/>
    </row>
    <row r="153" spans="1:68" ht="14.25" hidden="1" customHeight="1" x14ac:dyDescent="0.25">
      <c r="A153" s="659" t="s">
        <v>85</v>
      </c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660">
        <v>4680115888203</v>
      </c>
      <c r="E154" s="66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2"/>
      <c r="R154" s="662"/>
      <c r="S154" s="662"/>
      <c r="T154" s="66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660">
        <v>4680115888180</v>
      </c>
      <c r="E155" s="66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7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2"/>
      <c r="R155" s="662"/>
      <c r="S155" s="662"/>
      <c r="T155" s="66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660">
        <v>4680115888180</v>
      </c>
      <c r="E156" s="66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2"/>
      <c r="R156" s="662"/>
      <c r="S156" s="662"/>
      <c r="T156" s="66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660">
        <v>4680115888197</v>
      </c>
      <c r="E157" s="66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2"/>
      <c r="R157" s="662"/>
      <c r="S157" s="662"/>
      <c r="T157" s="66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660">
        <v>4680115888197</v>
      </c>
      <c r="E158" s="66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2"/>
      <c r="R158" s="662"/>
      <c r="S158" s="662"/>
      <c r="T158" s="66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660">
        <v>4680115888210</v>
      </c>
      <c r="E159" s="66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2"/>
      <c r="R159" s="662"/>
      <c r="S159" s="662"/>
      <c r="T159" s="66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660">
        <v>4680115888210</v>
      </c>
      <c r="E160" s="66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7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2"/>
      <c r="R160" s="662"/>
      <c r="S160" s="662"/>
      <c r="T160" s="66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59" t="s">
        <v>288</v>
      </c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660">
        <v>4680115889132</v>
      </c>
      <c r="E164" s="66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2"/>
      <c r="R164" s="662"/>
      <c r="S164" s="662"/>
      <c r="T164" s="66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58" t="s">
        <v>119</v>
      </c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58"/>
      <c r="P167" s="658"/>
      <c r="Q167" s="658"/>
      <c r="R167" s="658"/>
      <c r="S167" s="658"/>
      <c r="T167" s="658"/>
      <c r="U167" s="658"/>
      <c r="V167" s="658"/>
      <c r="W167" s="658"/>
      <c r="X167" s="658"/>
      <c r="Y167" s="658"/>
      <c r="Z167" s="658"/>
      <c r="AA167" s="62"/>
      <c r="AB167" s="62"/>
      <c r="AC167" s="62"/>
    </row>
    <row r="168" spans="1:68" ht="14.25" hidden="1" customHeight="1" x14ac:dyDescent="0.25">
      <c r="A168" s="659" t="s">
        <v>121</v>
      </c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660">
        <v>4680115887374</v>
      </c>
      <c r="E169" s="66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2"/>
      <c r="R169" s="662"/>
      <c r="S169" s="662"/>
      <c r="T169" s="66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660">
        <v>4607091384604</v>
      </c>
      <c r="E170" s="66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2"/>
      <c r="R170" s="662"/>
      <c r="S170" s="662"/>
      <c r="T170" s="66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660">
        <v>4680115888876</v>
      </c>
      <c r="E171" s="66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2"/>
      <c r="R171" s="662"/>
      <c r="S171" s="662"/>
      <c r="T171" s="66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9" t="s">
        <v>154</v>
      </c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660">
        <v>4680115887695</v>
      </c>
      <c r="E175" s="66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2"/>
      <c r="R175" s="662"/>
      <c r="S175" s="662"/>
      <c r="T175" s="663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660">
        <v>4680115889491</v>
      </c>
      <c r="E176" s="66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2"/>
      <c r="R176" s="662"/>
      <c r="S176" s="662"/>
      <c r="T176" s="66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59" t="s">
        <v>76</v>
      </c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660">
        <v>4680115887428</v>
      </c>
      <c r="E180" s="66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2"/>
      <c r="R180" s="662"/>
      <c r="S180" s="662"/>
      <c r="T180" s="66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660">
        <v>4680115889170</v>
      </c>
      <c r="E181" s="66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2"/>
      <c r="R181" s="662"/>
      <c r="S181" s="662"/>
      <c r="T181" s="66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660">
        <v>4680115887398</v>
      </c>
      <c r="E182" s="66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2"/>
      <c r="R182" s="662"/>
      <c r="S182" s="662"/>
      <c r="T182" s="66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660">
        <v>4680115887336</v>
      </c>
      <c r="E183" s="66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6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2"/>
      <c r="R183" s="662"/>
      <c r="S183" s="662"/>
      <c r="T183" s="66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660">
        <v>4680115887336</v>
      </c>
      <c r="E184" s="66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55" t="s">
        <v>323</v>
      </c>
      <c r="Q184" s="662"/>
      <c r="R184" s="662"/>
      <c r="S184" s="662"/>
      <c r="T184" s="66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660">
        <v>4680115887787</v>
      </c>
      <c r="E185" s="66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5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2"/>
      <c r="R185" s="662"/>
      <c r="S185" s="662"/>
      <c r="T185" s="66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660">
        <v>4680115887787</v>
      </c>
      <c r="E186" s="66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57" t="s">
        <v>329</v>
      </c>
      <c r="Q186" s="662"/>
      <c r="R186" s="662"/>
      <c r="S186" s="662"/>
      <c r="T186" s="66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660">
        <v>4680115887503</v>
      </c>
      <c r="E187" s="66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2"/>
      <c r="R187" s="662"/>
      <c r="S187" s="662"/>
      <c r="T187" s="66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660">
        <v>4680115887763</v>
      </c>
      <c r="E188" s="66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2"/>
      <c r="R188" s="662"/>
      <c r="S188" s="662"/>
      <c r="T188" s="66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660">
        <v>4680115887480</v>
      </c>
      <c r="E189" s="66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6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2"/>
      <c r="R189" s="662"/>
      <c r="S189" s="662"/>
      <c r="T189" s="663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660">
        <v>4680115888067</v>
      </c>
      <c r="E190" s="66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2"/>
      <c r="R190" s="662"/>
      <c r="S190" s="662"/>
      <c r="T190" s="66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660">
        <v>4680115887435</v>
      </c>
      <c r="E191" s="66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2"/>
      <c r="R191" s="662"/>
      <c r="S191" s="662"/>
      <c r="T191" s="663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9" t="s">
        <v>85</v>
      </c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660">
        <v>4680115888395</v>
      </c>
      <c r="E195" s="66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2"/>
      <c r="R195" s="662"/>
      <c r="S195" s="662"/>
      <c r="T195" s="66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660">
        <v>4680115888371</v>
      </c>
      <c r="E196" s="66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2"/>
      <c r="R196" s="662"/>
      <c r="S196" s="662"/>
      <c r="T196" s="66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660">
        <v>4680115887459</v>
      </c>
      <c r="E197" s="66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5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2"/>
      <c r="R197" s="662"/>
      <c r="S197" s="662"/>
      <c r="T197" s="66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59" t="s">
        <v>288</v>
      </c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660">
        <v>4680115889026</v>
      </c>
      <c r="E201" s="66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2"/>
      <c r="R201" s="662"/>
      <c r="S201" s="662"/>
      <c r="T201" s="66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59" t="s">
        <v>355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660">
        <v>4680115889033</v>
      </c>
      <c r="E205" s="66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2"/>
      <c r="R205" s="662"/>
      <c r="S205" s="662"/>
      <c r="T205" s="66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3" t="s">
        <v>359</v>
      </c>
      <c r="B208" s="673"/>
      <c r="C208" s="673"/>
      <c r="D208" s="673"/>
      <c r="E208" s="673"/>
      <c r="F208" s="673"/>
      <c r="G208" s="673"/>
      <c r="H208" s="673"/>
      <c r="I208" s="673"/>
      <c r="J208" s="673"/>
      <c r="K208" s="673"/>
      <c r="L208" s="673"/>
      <c r="M208" s="673"/>
      <c r="N208" s="673"/>
      <c r="O208" s="673"/>
      <c r="P208" s="673"/>
      <c r="Q208" s="673"/>
      <c r="R208" s="673"/>
      <c r="S208" s="673"/>
      <c r="T208" s="673"/>
      <c r="U208" s="673"/>
      <c r="V208" s="673"/>
      <c r="W208" s="673"/>
      <c r="X208" s="673"/>
      <c r="Y208" s="673"/>
      <c r="Z208" s="673"/>
      <c r="AA208" s="52"/>
      <c r="AB208" s="52"/>
      <c r="AC208" s="52"/>
    </row>
    <row r="209" spans="1:68" ht="16.5" hidden="1" customHeight="1" x14ac:dyDescent="0.25">
      <c r="A209" s="658" t="s">
        <v>360</v>
      </c>
      <c r="B209" s="658"/>
      <c r="C209" s="658"/>
      <c r="D209" s="658"/>
      <c r="E209" s="658"/>
      <c r="F209" s="658"/>
      <c r="G209" s="658"/>
      <c r="H209" s="658"/>
      <c r="I209" s="658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58"/>
      <c r="U209" s="658"/>
      <c r="V209" s="658"/>
      <c r="W209" s="658"/>
      <c r="X209" s="658"/>
      <c r="Y209" s="658"/>
      <c r="Z209" s="658"/>
      <c r="AA209" s="62"/>
      <c r="AB209" s="62"/>
      <c r="AC209" s="62"/>
    </row>
    <row r="210" spans="1:68" ht="14.25" hidden="1" customHeight="1" x14ac:dyDescent="0.25">
      <c r="A210" s="659" t="s">
        <v>121</v>
      </c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660">
        <v>4607091383423</v>
      </c>
      <c r="E211" s="66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2"/>
      <c r="R211" s="662"/>
      <c r="S211" s="662"/>
      <c r="T211" s="66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660">
        <v>4680115888760</v>
      </c>
      <c r="E212" s="66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2"/>
      <c r="R212" s="662"/>
      <c r="S212" s="662"/>
      <c r="T212" s="66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660">
        <v>4680115888807</v>
      </c>
      <c r="E213" s="66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2"/>
      <c r="R213" s="662"/>
      <c r="S213" s="662"/>
      <c r="T213" s="66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660">
        <v>4680115888852</v>
      </c>
      <c r="E214" s="66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2"/>
      <c r="R214" s="662"/>
      <c r="S214" s="662"/>
      <c r="T214" s="66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660">
        <v>4680115886957</v>
      </c>
      <c r="E215" s="66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2"/>
      <c r="R215" s="662"/>
      <c r="S215" s="662"/>
      <c r="T215" s="66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660">
        <v>4680115885660</v>
      </c>
      <c r="E216" s="66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4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2"/>
      <c r="R216" s="662"/>
      <c r="S216" s="662"/>
      <c r="T216" s="66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660">
        <v>4680115886773</v>
      </c>
      <c r="E217" s="66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2"/>
      <c r="R217" s="662"/>
      <c r="S217" s="662"/>
      <c r="T217" s="66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58" t="s">
        <v>381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2"/>
      <c r="AB220" s="62"/>
      <c r="AC220" s="62"/>
    </row>
    <row r="221" spans="1:68" ht="14.25" hidden="1" customHeight="1" x14ac:dyDescent="0.25">
      <c r="A221" s="659" t="s">
        <v>154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660">
        <v>4680115886223</v>
      </c>
      <c r="E222" s="66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2"/>
      <c r="R222" s="662"/>
      <c r="S222" s="662"/>
      <c r="T222" s="66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59" t="s">
        <v>76</v>
      </c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660">
        <v>4680115880993</v>
      </c>
      <c r="E226" s="66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2"/>
      <c r="R226" s="662"/>
      <c r="S226" s="662"/>
      <c r="T226" s="66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660">
        <v>4680115881761</v>
      </c>
      <c r="E227" s="66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2"/>
      <c r="R227" s="662"/>
      <c r="S227" s="662"/>
      <c r="T227" s="66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660">
        <v>4680115881563</v>
      </c>
      <c r="E228" s="66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2"/>
      <c r="R228" s="662"/>
      <c r="S228" s="662"/>
      <c r="T228" s="66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660">
        <v>4680115887565</v>
      </c>
      <c r="E229" s="66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2"/>
      <c r="R229" s="662"/>
      <c r="S229" s="662"/>
      <c r="T229" s="66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660">
        <v>4680115880986</v>
      </c>
      <c r="E230" s="66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2"/>
      <c r="R230" s="662"/>
      <c r="S230" s="662"/>
      <c r="T230" s="66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660">
        <v>4680115887213</v>
      </c>
      <c r="E231" s="66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2"/>
      <c r="R231" s="662"/>
      <c r="S231" s="662"/>
      <c r="T231" s="66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660">
        <v>4680115881785</v>
      </c>
      <c r="E232" s="66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2"/>
      <c r="R232" s="662"/>
      <c r="S232" s="662"/>
      <c r="T232" s="66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660">
        <v>4680115888432</v>
      </c>
      <c r="E233" s="66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2"/>
      <c r="R233" s="662"/>
      <c r="S233" s="662"/>
      <c r="T233" s="66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660">
        <v>4680115888104</v>
      </c>
      <c r="E234" s="66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2"/>
      <c r="R234" s="662"/>
      <c r="S234" s="662"/>
      <c r="T234" s="66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660">
        <v>4680115886537</v>
      </c>
      <c r="E235" s="66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2"/>
      <c r="R235" s="662"/>
      <c r="S235" s="662"/>
      <c r="T235" s="66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660">
        <v>4680115887596</v>
      </c>
      <c r="E236" s="66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2"/>
      <c r="R236" s="662"/>
      <c r="S236" s="662"/>
      <c r="T236" s="66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660">
        <v>4680115881679</v>
      </c>
      <c r="E237" s="66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2"/>
      <c r="R237" s="662"/>
      <c r="S237" s="662"/>
      <c r="T237" s="66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660">
        <v>4680115880191</v>
      </c>
      <c r="E238" s="66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2"/>
      <c r="R238" s="662"/>
      <c r="S238" s="662"/>
      <c r="T238" s="66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660">
        <v>4680115883963</v>
      </c>
      <c r="E239" s="66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2"/>
      <c r="R239" s="662"/>
      <c r="S239" s="662"/>
      <c r="T239" s="66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59" t="s">
        <v>85</v>
      </c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660">
        <v>4680115888692</v>
      </c>
      <c r="E243" s="66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2"/>
      <c r="R243" s="662"/>
      <c r="S243" s="662"/>
      <c r="T243" s="66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660">
        <v>4680115888722</v>
      </c>
      <c r="E244" s="66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2"/>
      <c r="R244" s="662"/>
      <c r="S244" s="662"/>
      <c r="T244" s="66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660">
        <v>4680115888951</v>
      </c>
      <c r="E245" s="66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2"/>
      <c r="R245" s="662"/>
      <c r="S245" s="662"/>
      <c r="T245" s="66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660">
        <v>4680115888975</v>
      </c>
      <c r="E246" s="66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2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2"/>
      <c r="R246" s="662"/>
      <c r="S246" s="662"/>
      <c r="T246" s="66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660">
        <v>4680115888982</v>
      </c>
      <c r="E247" s="66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2"/>
      <c r="R247" s="662"/>
      <c r="S247" s="662"/>
      <c r="T247" s="66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59" t="s">
        <v>288</v>
      </c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660">
        <v>4680115886780</v>
      </c>
      <c r="E251" s="66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2"/>
      <c r="R251" s="662"/>
      <c r="S251" s="662"/>
      <c r="T251" s="66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660">
        <v>4680115886742</v>
      </c>
      <c r="E252" s="66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2"/>
      <c r="R252" s="662"/>
      <c r="S252" s="662"/>
      <c r="T252" s="66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660">
        <v>4680115886766</v>
      </c>
      <c r="E253" s="66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2"/>
      <c r="R253" s="662"/>
      <c r="S253" s="662"/>
      <c r="T253" s="66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59" t="s">
        <v>445</v>
      </c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660">
        <v>4680115886797</v>
      </c>
      <c r="E257" s="66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2"/>
      <c r="R257" s="662"/>
      <c r="S257" s="662"/>
      <c r="T257" s="66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58" t="s">
        <v>448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2"/>
      <c r="AB260" s="62"/>
      <c r="AC260" s="62"/>
    </row>
    <row r="261" spans="1:68" ht="14.25" hidden="1" customHeight="1" x14ac:dyDescent="0.25">
      <c r="A261" s="659" t="s">
        <v>121</v>
      </c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660">
        <v>4680115881402</v>
      </c>
      <c r="E262" s="66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2"/>
      <c r="R262" s="662"/>
      <c r="S262" s="662"/>
      <c r="T262" s="66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660">
        <v>4680115881396</v>
      </c>
      <c r="E263" s="66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2"/>
      <c r="R263" s="662"/>
      <c r="S263" s="662"/>
      <c r="T263" s="66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9" t="s">
        <v>154</v>
      </c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660">
        <v>4680115882935</v>
      </c>
      <c r="E267" s="66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2"/>
      <c r="R267" s="662"/>
      <c r="S267" s="662"/>
      <c r="T267" s="66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660">
        <v>4680115880764</v>
      </c>
      <c r="E268" s="66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2"/>
      <c r="R268" s="662"/>
      <c r="S268" s="662"/>
      <c r="T268" s="66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59" t="s">
        <v>76</v>
      </c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660">
        <v>4680115882683</v>
      </c>
      <c r="E272" s="66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2"/>
      <c r="R272" s="662"/>
      <c r="S272" s="662"/>
      <c r="T272" s="66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660">
        <v>4680115882690</v>
      </c>
      <c r="E273" s="66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2"/>
      <c r="R273" s="662"/>
      <c r="S273" s="662"/>
      <c r="T273" s="66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660">
        <v>4680115882669</v>
      </c>
      <c r="E274" s="66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2"/>
      <c r="R274" s="662"/>
      <c r="S274" s="662"/>
      <c r="T274" s="66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660">
        <v>4680115882676</v>
      </c>
      <c r="E275" s="66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2"/>
      <c r="R275" s="662"/>
      <c r="S275" s="662"/>
      <c r="T275" s="66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660">
        <v>4680115884014</v>
      </c>
      <c r="E276" s="66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2"/>
      <c r="R276" s="662"/>
      <c r="S276" s="662"/>
      <c r="T276" s="66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660">
        <v>4680115884007</v>
      </c>
      <c r="E277" s="66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2"/>
      <c r="R277" s="662"/>
      <c r="S277" s="662"/>
      <c r="T277" s="66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660">
        <v>4680115884038</v>
      </c>
      <c r="E278" s="66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2"/>
      <c r="R278" s="662"/>
      <c r="S278" s="662"/>
      <c r="T278" s="66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660">
        <v>4680115884021</v>
      </c>
      <c r="E279" s="66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2"/>
      <c r="R279" s="662"/>
      <c r="S279" s="662"/>
      <c r="T279" s="66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59" t="s">
        <v>85</v>
      </c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660">
        <v>4680115881594</v>
      </c>
      <c r="E283" s="66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2"/>
      <c r="R283" s="662"/>
      <c r="S283" s="662"/>
      <c r="T283" s="66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660">
        <v>4680115881617</v>
      </c>
      <c r="E284" s="66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2"/>
      <c r="R284" s="662"/>
      <c r="S284" s="662"/>
      <c r="T284" s="66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660">
        <v>4680115880573</v>
      </c>
      <c r="E285" s="66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2"/>
      <c r="R285" s="662"/>
      <c r="S285" s="662"/>
      <c r="T285" s="66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660">
        <v>4680115882195</v>
      </c>
      <c r="E286" s="66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2"/>
      <c r="R286" s="662"/>
      <c r="S286" s="662"/>
      <c r="T286" s="66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660">
        <v>4680115882607</v>
      </c>
      <c r="E287" s="66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2"/>
      <c r="R287" s="662"/>
      <c r="S287" s="662"/>
      <c r="T287" s="66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660">
        <v>4680115882607</v>
      </c>
      <c r="E288" s="66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7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2"/>
      <c r="R288" s="662"/>
      <c r="S288" s="662"/>
      <c r="T288" s="66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660">
        <v>4680115880092</v>
      </c>
      <c r="E289" s="66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2"/>
      <c r="R289" s="662"/>
      <c r="S289" s="662"/>
      <c r="T289" s="66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660">
        <v>4680115889064</v>
      </c>
      <c r="E290" s="66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2"/>
      <c r="R290" s="662"/>
      <c r="S290" s="662"/>
      <c r="T290" s="66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660">
        <v>4680115880221</v>
      </c>
      <c r="E291" s="66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2"/>
      <c r="R291" s="662"/>
      <c r="S291" s="662"/>
      <c r="T291" s="66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660">
        <v>4680115880504</v>
      </c>
      <c r="E292" s="66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2"/>
      <c r="R292" s="662"/>
      <c r="S292" s="662"/>
      <c r="T292" s="66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660">
        <v>4680115882164</v>
      </c>
      <c r="E293" s="66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2"/>
      <c r="R293" s="662"/>
      <c r="S293" s="662"/>
      <c r="T293" s="66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660">
        <v>4680115888340</v>
      </c>
      <c r="E294" s="66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2"/>
      <c r="R294" s="662"/>
      <c r="S294" s="662"/>
      <c r="T294" s="66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59" t="s">
        <v>172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660">
        <v>4680115880818</v>
      </c>
      <c r="E298" s="66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2"/>
      <c r="R298" s="662"/>
      <c r="S298" s="662"/>
      <c r="T298" s="66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660">
        <v>4680115880801</v>
      </c>
      <c r="E299" s="66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2"/>
      <c r="R299" s="662"/>
      <c r="S299" s="662"/>
      <c r="T299" s="66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58" t="s">
        <v>516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2"/>
      <c r="AB302" s="62"/>
      <c r="AC302" s="62"/>
    </row>
    <row r="303" spans="1:68" ht="14.25" hidden="1" customHeight="1" x14ac:dyDescent="0.25">
      <c r="A303" s="659" t="s">
        <v>121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660">
        <v>4680115884137</v>
      </c>
      <c r="E304" s="66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2"/>
      <c r="R304" s="662"/>
      <c r="S304" s="662"/>
      <c r="T304" s="66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660">
        <v>4680115884236</v>
      </c>
      <c r="E305" s="66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2"/>
      <c r="R305" s="662"/>
      <c r="S305" s="662"/>
      <c r="T305" s="66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660">
        <v>4680115884175</v>
      </c>
      <c r="E306" s="66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2"/>
      <c r="R306" s="662"/>
      <c r="S306" s="662"/>
      <c r="T306" s="66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660">
        <v>4680115884144</v>
      </c>
      <c r="E307" s="66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2"/>
      <c r="R307" s="662"/>
      <c r="S307" s="662"/>
      <c r="T307" s="66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660">
        <v>4680115886551</v>
      </c>
      <c r="E308" s="66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7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2"/>
      <c r="R308" s="662"/>
      <c r="S308" s="662"/>
      <c r="T308" s="66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660">
        <v>4680115887282</v>
      </c>
      <c r="E309" s="66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7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2"/>
      <c r="R309" s="662"/>
      <c r="S309" s="662"/>
      <c r="T309" s="66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660">
        <v>4680115884205</v>
      </c>
      <c r="E310" s="66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2"/>
      <c r="R310" s="662"/>
      <c r="S310" s="662"/>
      <c r="T310" s="66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59" t="s">
        <v>154</v>
      </c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660">
        <v>4680115885981</v>
      </c>
      <c r="E314" s="66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2"/>
      <c r="R314" s="662"/>
      <c r="S314" s="662"/>
      <c r="T314" s="66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59" t="s">
        <v>538</v>
      </c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660">
        <v>4680115886803</v>
      </c>
      <c r="E318" s="66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2"/>
      <c r="R318" s="662"/>
      <c r="S318" s="662"/>
      <c r="T318" s="66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59" t="s">
        <v>355</v>
      </c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660">
        <v>4680115886704</v>
      </c>
      <c r="E322" s="66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2"/>
      <c r="R322" s="662"/>
      <c r="S322" s="662"/>
      <c r="T322" s="66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660">
        <v>4680115886681</v>
      </c>
      <c r="E323" s="66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2"/>
      <c r="R323" s="662"/>
      <c r="S323" s="662"/>
      <c r="T323" s="66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660">
        <v>4680115886735</v>
      </c>
      <c r="E324" s="66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2"/>
      <c r="R324" s="662"/>
      <c r="S324" s="662"/>
      <c r="T324" s="66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58" t="s">
        <v>549</v>
      </c>
      <c r="B327" s="658"/>
      <c r="C327" s="658"/>
      <c r="D327" s="658"/>
      <c r="E327" s="658"/>
      <c r="F327" s="658"/>
      <c r="G327" s="658"/>
      <c r="H327" s="658"/>
      <c r="I327" s="658"/>
      <c r="J327" s="658"/>
      <c r="K327" s="658"/>
      <c r="L327" s="658"/>
      <c r="M327" s="658"/>
      <c r="N327" s="658"/>
      <c r="O327" s="658"/>
      <c r="P327" s="658"/>
      <c r="Q327" s="658"/>
      <c r="R327" s="658"/>
      <c r="S327" s="658"/>
      <c r="T327" s="658"/>
      <c r="U327" s="658"/>
      <c r="V327" s="658"/>
      <c r="W327" s="658"/>
      <c r="X327" s="658"/>
      <c r="Y327" s="658"/>
      <c r="Z327" s="658"/>
      <c r="AA327" s="62"/>
      <c r="AB327" s="62"/>
      <c r="AC327" s="62"/>
    </row>
    <row r="328" spans="1:68" ht="14.25" hidden="1" customHeight="1" x14ac:dyDescent="0.25">
      <c r="A328" s="659" t="s">
        <v>121</v>
      </c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660">
        <v>4680115885837</v>
      </c>
      <c r="E329" s="66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2"/>
      <c r="R329" s="662"/>
      <c r="S329" s="662"/>
      <c r="T329" s="66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660">
        <v>4680115887237</v>
      </c>
      <c r="E330" s="66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7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2"/>
      <c r="R330" s="662"/>
      <c r="S330" s="662"/>
      <c r="T330" s="66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660">
        <v>4680115885806</v>
      </c>
      <c r="E331" s="66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2"/>
      <c r="R331" s="662"/>
      <c r="S331" s="662"/>
      <c r="T331" s="66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660">
        <v>4680115885844</v>
      </c>
      <c r="E332" s="66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2"/>
      <c r="R332" s="662"/>
      <c r="S332" s="662"/>
      <c r="T332" s="66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660">
        <v>4680115885820</v>
      </c>
      <c r="E333" s="66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2"/>
      <c r="R333" s="662"/>
      <c r="S333" s="662"/>
      <c r="T333" s="66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58" t="s">
        <v>565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2"/>
      <c r="AB336" s="62"/>
      <c r="AC336" s="62"/>
    </row>
    <row r="337" spans="1:68" ht="14.25" hidden="1" customHeight="1" x14ac:dyDescent="0.25">
      <c r="A337" s="659" t="s">
        <v>85</v>
      </c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660">
        <v>4680115886186</v>
      </c>
      <c r="E338" s="66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2"/>
      <c r="R338" s="662"/>
      <c r="S338" s="662"/>
      <c r="T338" s="66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660">
        <v>4680115881228</v>
      </c>
      <c r="E339" s="66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2"/>
      <c r="R339" s="662"/>
      <c r="S339" s="662"/>
      <c r="T339" s="66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660">
        <v>4680115881211</v>
      </c>
      <c r="E340" s="66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2"/>
      <c r="R340" s="662"/>
      <c r="S340" s="662"/>
      <c r="T340" s="66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58" t="s">
        <v>574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2"/>
      <c r="AB343" s="62"/>
      <c r="AC343" s="62"/>
    </row>
    <row r="344" spans="1:68" ht="14.25" hidden="1" customHeight="1" x14ac:dyDescent="0.25">
      <c r="A344" s="659" t="s">
        <v>76</v>
      </c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660">
        <v>4680115888319</v>
      </c>
      <c r="E345" s="66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2"/>
      <c r="R345" s="662"/>
      <c r="S345" s="662"/>
      <c r="T345" s="66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660">
        <v>4680115884700</v>
      </c>
      <c r="E346" s="66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2"/>
      <c r="R346" s="662"/>
      <c r="S346" s="662"/>
      <c r="T346" s="66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660">
        <v>4680115880344</v>
      </c>
      <c r="E347" s="66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2"/>
      <c r="R347" s="662"/>
      <c r="S347" s="662"/>
      <c r="T347" s="66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660">
        <v>4680115886919</v>
      </c>
      <c r="E348" s="66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2"/>
      <c r="R348" s="662"/>
      <c r="S348" s="662"/>
      <c r="T348" s="66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660">
        <v>4680115883970</v>
      </c>
      <c r="E349" s="66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2"/>
      <c r="R349" s="662"/>
      <c r="S349" s="662"/>
      <c r="T349" s="66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59" t="s">
        <v>85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660">
        <v>4680115884618</v>
      </c>
      <c r="E353" s="66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2"/>
      <c r="R353" s="662"/>
      <c r="S353" s="662"/>
      <c r="T353" s="66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660">
        <v>4680115887114</v>
      </c>
      <c r="E354" s="66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2"/>
      <c r="R354" s="662"/>
      <c r="S354" s="662"/>
      <c r="T354" s="66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58" t="s">
        <v>595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2"/>
      <c r="AB357" s="62"/>
      <c r="AC357" s="62"/>
    </row>
    <row r="358" spans="1:68" ht="14.25" hidden="1" customHeight="1" x14ac:dyDescent="0.25">
      <c r="A358" s="659" t="s">
        <v>121</v>
      </c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660">
        <v>4680115887947</v>
      </c>
      <c r="E359" s="66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2"/>
      <c r="R359" s="662"/>
      <c r="S359" s="662"/>
      <c r="T359" s="66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660">
        <v>4680115887978</v>
      </c>
      <c r="E360" s="66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2"/>
      <c r="R360" s="662"/>
      <c r="S360" s="662"/>
      <c r="T360" s="66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660">
        <v>4680115887992</v>
      </c>
      <c r="E361" s="66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7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2"/>
      <c r="R361" s="662"/>
      <c r="S361" s="662"/>
      <c r="T361" s="66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58" t="s">
        <v>604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2"/>
      <c r="AB364" s="62"/>
      <c r="AC364" s="62"/>
    </row>
    <row r="365" spans="1:68" ht="14.25" hidden="1" customHeight="1" x14ac:dyDescent="0.25">
      <c r="A365" s="659" t="s">
        <v>121</v>
      </c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4301012126</v>
      </c>
      <c r="D366" s="660">
        <v>4607091386004</v>
      </c>
      <c r="E366" s="66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2"/>
      <c r="R366" s="662"/>
      <c r="S366" s="662"/>
      <c r="T366" s="66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4301012235</v>
      </c>
      <c r="D367" s="660">
        <v>4680115887190</v>
      </c>
      <c r="E367" s="66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2"/>
      <c r="R367" s="662"/>
      <c r="S367" s="662"/>
      <c r="T367" s="66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611</v>
      </c>
      <c r="B368" s="60" t="s">
        <v>612</v>
      </c>
      <c r="C368" s="34">
        <v>4301012233</v>
      </c>
      <c r="D368" s="660">
        <v>4680115887138</v>
      </c>
      <c r="E368" s="66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125</v>
      </c>
      <c r="N368" s="36"/>
      <c r="O368" s="35">
        <v>55</v>
      </c>
      <c r="P368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2"/>
      <c r="R368" s="662"/>
      <c r="S368" s="662"/>
      <c r="T368" s="66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4301012016</v>
      </c>
      <c r="D369" s="660">
        <v>4680115885554</v>
      </c>
      <c r="E369" s="66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126</v>
      </c>
      <c r="L369" s="35" t="s">
        <v>46</v>
      </c>
      <c r="M369" s="36" t="s">
        <v>89</v>
      </c>
      <c r="N369" s="36"/>
      <c r="O369" s="35">
        <v>55</v>
      </c>
      <c r="P369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2"/>
      <c r="R369" s="662"/>
      <c r="S369" s="662"/>
      <c r="T369" s="66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616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4301012236</v>
      </c>
      <c r="D370" s="660">
        <v>4680115887220</v>
      </c>
      <c r="E370" s="66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2"/>
      <c r="R370" s="662"/>
      <c r="S370" s="662"/>
      <c r="T370" s="66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610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4301011859</v>
      </c>
      <c r="D371" s="660">
        <v>4680115885608</v>
      </c>
      <c r="E371" s="66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133</v>
      </c>
      <c r="L371" s="35" t="s">
        <v>46</v>
      </c>
      <c r="M371" s="36" t="s">
        <v>125</v>
      </c>
      <c r="N371" s="36"/>
      <c r="O371" s="35">
        <v>55</v>
      </c>
      <c r="P371" s="75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2"/>
      <c r="R371" s="662"/>
      <c r="S371" s="662"/>
      <c r="T371" s="66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66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56"/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7"/>
      <c r="P373" s="653" t="s">
        <v>40</v>
      </c>
      <c r="Q373" s="654"/>
      <c r="R373" s="654"/>
      <c r="S373" s="654"/>
      <c r="T373" s="654"/>
      <c r="U373" s="654"/>
      <c r="V373" s="655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59" t="s">
        <v>76</v>
      </c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  <c r="AA374" s="63"/>
      <c r="AB374" s="63"/>
      <c r="AC374" s="63"/>
    </row>
    <row r="375" spans="1:68" ht="27" hidden="1" customHeight="1" x14ac:dyDescent="0.25">
      <c r="A375" s="60" t="s">
        <v>622</v>
      </c>
      <c r="B375" s="60" t="s">
        <v>623</v>
      </c>
      <c r="C375" s="34">
        <v>4301030878</v>
      </c>
      <c r="D375" s="660">
        <v>4607091387193</v>
      </c>
      <c r="E375" s="66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35</v>
      </c>
      <c r="P375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2"/>
      <c r="R375" s="662"/>
      <c r="S375" s="662"/>
      <c r="T375" s="66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4301031153</v>
      </c>
      <c r="D376" s="660">
        <v>4607091387230</v>
      </c>
      <c r="E376" s="66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40</v>
      </c>
      <c r="P376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2"/>
      <c r="R376" s="662"/>
      <c r="S376" s="662"/>
      <c r="T376" s="66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4301031154</v>
      </c>
      <c r="D377" s="660">
        <v>4607091387292</v>
      </c>
      <c r="E377" s="66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2"/>
      <c r="R377" s="662"/>
      <c r="S377" s="662"/>
      <c r="T377" s="66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630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4301031152</v>
      </c>
      <c r="D378" s="660">
        <v>4607091387285</v>
      </c>
      <c r="E378" s="66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2"/>
      <c r="R378" s="662"/>
      <c r="S378" s="662"/>
      <c r="T378" s="66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627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4301031305</v>
      </c>
      <c r="D379" s="660">
        <v>4607091389845</v>
      </c>
      <c r="E379" s="66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81</v>
      </c>
      <c r="L379" s="35" t="s">
        <v>46</v>
      </c>
      <c r="M379" s="36" t="s">
        <v>80</v>
      </c>
      <c r="N379" s="36"/>
      <c r="O379" s="35">
        <v>40</v>
      </c>
      <c r="P379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2"/>
      <c r="R379" s="662"/>
      <c r="S379" s="662"/>
      <c r="T379" s="66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4301031460</v>
      </c>
      <c r="D380" s="660">
        <v>4680115887442</v>
      </c>
      <c r="E380" s="66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133</v>
      </c>
      <c r="L380" s="35" t="s">
        <v>46</v>
      </c>
      <c r="M380" s="36" t="s">
        <v>80</v>
      </c>
      <c r="N380" s="36"/>
      <c r="O380" s="35">
        <v>45</v>
      </c>
      <c r="P380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2"/>
      <c r="R380" s="662"/>
      <c r="S380" s="662"/>
      <c r="T380" s="66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630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4301031066</v>
      </c>
      <c r="D381" s="660">
        <v>4607091383836</v>
      </c>
      <c r="E381" s="66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90</v>
      </c>
      <c r="L381" s="35" t="s">
        <v>46</v>
      </c>
      <c r="M381" s="36" t="s">
        <v>80</v>
      </c>
      <c r="N381" s="36"/>
      <c r="O381" s="35">
        <v>40</v>
      </c>
      <c r="P381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2"/>
      <c r="R381" s="662"/>
      <c r="S381" s="662"/>
      <c r="T381" s="66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640</v>
      </c>
      <c r="AG381" s="75"/>
      <c r="AJ381" s="79" t="s">
        <v>46</v>
      </c>
      <c r="AK381" s="79">
        <v>0</v>
      </c>
      <c r="BB381" s="484" t="s">
        <v>66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59" t="s">
        <v>85</v>
      </c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  <c r="AA384" s="63"/>
      <c r="AB384" s="63"/>
      <c r="AC384" s="63"/>
    </row>
    <row r="385" spans="1:68" ht="27" hidden="1" customHeight="1" x14ac:dyDescent="0.25">
      <c r="A385" s="60" t="s">
        <v>641</v>
      </c>
      <c r="B385" s="60" t="s">
        <v>642</v>
      </c>
      <c r="C385" s="34">
        <v>4301051100</v>
      </c>
      <c r="D385" s="660">
        <v>4607091387766</v>
      </c>
      <c r="E385" s="66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2"/>
      <c r="R385" s="662"/>
      <c r="S385" s="662"/>
      <c r="T385" s="66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4301051818</v>
      </c>
      <c r="D386" s="660">
        <v>4607091387957</v>
      </c>
      <c r="E386" s="66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2"/>
      <c r="R386" s="662"/>
      <c r="S386" s="662"/>
      <c r="T386" s="66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4301051819</v>
      </c>
      <c r="D387" s="660">
        <v>4607091387964</v>
      </c>
      <c r="E387" s="66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40</v>
      </c>
      <c r="P387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2"/>
      <c r="R387" s="662"/>
      <c r="S387" s="662"/>
      <c r="T387" s="66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649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650</v>
      </c>
      <c r="B388" s="60" t="s">
        <v>651</v>
      </c>
      <c r="C388" s="34">
        <v>4301051734</v>
      </c>
      <c r="D388" s="660">
        <v>4680115884588</v>
      </c>
      <c r="E388" s="66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90</v>
      </c>
      <c r="L388" s="35" t="s">
        <v>46</v>
      </c>
      <c r="M388" s="36" t="s">
        <v>89</v>
      </c>
      <c r="N388" s="36"/>
      <c r="O388" s="35">
        <v>40</v>
      </c>
      <c r="P388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2"/>
      <c r="R388" s="662"/>
      <c r="S388" s="662"/>
      <c r="T388" s="66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643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59" t="s">
        <v>172</v>
      </c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  <c r="AA391" s="63"/>
      <c r="AB391" s="63"/>
      <c r="AC391" s="63"/>
    </row>
    <row r="392" spans="1:68" ht="27" hidden="1" customHeight="1" x14ac:dyDescent="0.25">
      <c r="A392" s="60" t="s">
        <v>652</v>
      </c>
      <c r="B392" s="60" t="s">
        <v>653</v>
      </c>
      <c r="C392" s="34">
        <v>4301060387</v>
      </c>
      <c r="D392" s="660">
        <v>4607091380880</v>
      </c>
      <c r="E392" s="66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4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2"/>
      <c r="R392" s="662"/>
      <c r="S392" s="662"/>
      <c r="T392" s="66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4301060406</v>
      </c>
      <c r="D393" s="660">
        <v>4607091384482</v>
      </c>
      <c r="E393" s="66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126</v>
      </c>
      <c r="L393" s="35" t="s">
        <v>46</v>
      </c>
      <c r="M393" s="36" t="s">
        <v>89</v>
      </c>
      <c r="N393" s="36"/>
      <c r="O393" s="35">
        <v>30</v>
      </c>
      <c r="P393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2"/>
      <c r="R393" s="662"/>
      <c r="S393" s="662"/>
      <c r="T393" s="66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4301060484</v>
      </c>
      <c r="D394" s="660">
        <v>4607091380897</v>
      </c>
      <c r="E394" s="66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126</v>
      </c>
      <c r="L394" s="35" t="s">
        <v>46</v>
      </c>
      <c r="M394" s="36" t="s">
        <v>96</v>
      </c>
      <c r="N394" s="36"/>
      <c r="O394" s="35">
        <v>30</v>
      </c>
      <c r="P39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2"/>
      <c r="R394" s="662"/>
      <c r="S394" s="662"/>
      <c r="T394" s="66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660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59" t="s">
        <v>288</v>
      </c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  <c r="AA397" s="63"/>
      <c r="AB397" s="63"/>
      <c r="AC397" s="63"/>
    </row>
    <row r="398" spans="1:68" ht="27" hidden="1" customHeight="1" x14ac:dyDescent="0.25">
      <c r="A398" s="60" t="s">
        <v>661</v>
      </c>
      <c r="B398" s="60" t="s">
        <v>662</v>
      </c>
      <c r="C398" s="34">
        <v>4301030235</v>
      </c>
      <c r="D398" s="660">
        <v>4607091388381</v>
      </c>
      <c r="E398" s="66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2"/>
      <c r="R398" s="662"/>
      <c r="S398" s="662"/>
      <c r="T398" s="66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663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4301030232</v>
      </c>
      <c r="D399" s="660">
        <v>4607091388374</v>
      </c>
      <c r="E399" s="66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133</v>
      </c>
      <c r="L399" s="35" t="s">
        <v>46</v>
      </c>
      <c r="M399" s="36" t="s">
        <v>263</v>
      </c>
      <c r="N399" s="36"/>
      <c r="O399" s="35">
        <v>180</v>
      </c>
      <c r="P399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2"/>
      <c r="R399" s="662"/>
      <c r="S399" s="662"/>
      <c r="T399" s="66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663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4301032015</v>
      </c>
      <c r="D400" s="660">
        <v>4607091383102</v>
      </c>
      <c r="E400" s="66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2"/>
      <c r="R400" s="662"/>
      <c r="S400" s="662"/>
      <c r="T400" s="66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663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668</v>
      </c>
      <c r="B401" s="60" t="s">
        <v>669</v>
      </c>
      <c r="C401" s="34">
        <v>4301030233</v>
      </c>
      <c r="D401" s="660">
        <v>4607091388404</v>
      </c>
      <c r="E401" s="66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90</v>
      </c>
      <c r="L401" s="35" t="s">
        <v>46</v>
      </c>
      <c r="M401" s="36" t="s">
        <v>263</v>
      </c>
      <c r="N401" s="36"/>
      <c r="O401" s="35">
        <v>180</v>
      </c>
      <c r="P401" s="7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2"/>
      <c r="R401" s="662"/>
      <c r="S401" s="662"/>
      <c r="T401" s="66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663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59" t="s">
        <v>670</v>
      </c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  <c r="AA404" s="63"/>
      <c r="AB404" s="63"/>
      <c r="AC404" s="63"/>
    </row>
    <row r="405" spans="1:68" ht="16.5" hidden="1" customHeight="1" x14ac:dyDescent="0.25">
      <c r="A405" s="60" t="s">
        <v>671</v>
      </c>
      <c r="B405" s="60" t="s">
        <v>672</v>
      </c>
      <c r="C405" s="34">
        <v>4301180007</v>
      </c>
      <c r="D405" s="660">
        <v>4680115881808</v>
      </c>
      <c r="E405" s="66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674</v>
      </c>
      <c r="N405" s="36"/>
      <c r="O405" s="35">
        <v>731</v>
      </c>
      <c r="P405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2"/>
      <c r="R405" s="662"/>
      <c r="S405" s="662"/>
      <c r="T405" s="66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673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4301180006</v>
      </c>
      <c r="D406" s="660">
        <v>4680115881822</v>
      </c>
      <c r="E406" s="66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674</v>
      </c>
      <c r="N406" s="36"/>
      <c r="O406" s="35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2"/>
      <c r="R406" s="662"/>
      <c r="S406" s="662"/>
      <c r="T406" s="66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673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4301180001</v>
      </c>
      <c r="D407" s="660">
        <v>4680115880016</v>
      </c>
      <c r="E407" s="66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90</v>
      </c>
      <c r="L407" s="35" t="s">
        <v>46</v>
      </c>
      <c r="M407" s="36" t="s">
        <v>674</v>
      </c>
      <c r="N407" s="36"/>
      <c r="O407" s="35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2"/>
      <c r="R407" s="662"/>
      <c r="S407" s="662"/>
      <c r="T407" s="66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673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3"/>
      <c r="AB410" s="63"/>
      <c r="AC410" s="63"/>
    </row>
    <row r="411" spans="1:68" ht="27" hidden="1" customHeight="1" x14ac:dyDescent="0.25">
      <c r="A411" s="60" t="s">
        <v>680</v>
      </c>
      <c r="B411" s="60" t="s">
        <v>681</v>
      </c>
      <c r="C411" s="34">
        <v>4301220003</v>
      </c>
      <c r="D411" s="660">
        <v>4680115888678</v>
      </c>
      <c r="E411" s="66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90</v>
      </c>
      <c r="L411" s="35" t="s">
        <v>46</v>
      </c>
      <c r="M411" s="36" t="s">
        <v>674</v>
      </c>
      <c r="N411" s="36"/>
      <c r="O411" s="35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2"/>
      <c r="R411" s="662"/>
      <c r="S411" s="662"/>
      <c r="T411" s="66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4301220001</v>
      </c>
      <c r="D412" s="660">
        <v>4680115888654</v>
      </c>
      <c r="E412" s="66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133</v>
      </c>
      <c r="L412" s="35" t="s">
        <v>46</v>
      </c>
      <c r="M412" s="36" t="s">
        <v>674</v>
      </c>
      <c r="N412" s="36"/>
      <c r="O412" s="35">
        <v>1096</v>
      </c>
      <c r="P412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2"/>
      <c r="R412" s="662"/>
      <c r="S412" s="662"/>
      <c r="T412" s="66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685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4301220002</v>
      </c>
      <c r="D413" s="660">
        <v>4680115888753</v>
      </c>
      <c r="E413" s="66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90</v>
      </c>
      <c r="L413" s="35" t="s">
        <v>46</v>
      </c>
      <c r="M413" s="36" t="s">
        <v>674</v>
      </c>
      <c r="N413" s="36"/>
      <c r="O413" s="35">
        <v>1096</v>
      </c>
      <c r="P413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2"/>
      <c r="R413" s="662"/>
      <c r="S413" s="662"/>
      <c r="T413" s="66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682</v>
      </c>
      <c r="AG413" s="75"/>
      <c r="AJ413" s="79" t="s">
        <v>46</v>
      </c>
      <c r="AK413" s="79">
        <v>0</v>
      </c>
      <c r="BB413" s="518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58" t="s">
        <v>688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2"/>
      <c r="AB416" s="62"/>
      <c r="AC416" s="62"/>
    </row>
    <row r="417" spans="1:68" ht="14.25" hidden="1" customHeight="1" x14ac:dyDescent="0.25">
      <c r="A417" s="659" t="s">
        <v>85</v>
      </c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3"/>
      <c r="AB417" s="63"/>
      <c r="AC417" s="63"/>
    </row>
    <row r="418" spans="1:68" ht="16.5" hidden="1" customHeight="1" x14ac:dyDescent="0.25">
      <c r="A418" s="60" t="s">
        <v>689</v>
      </c>
      <c r="B418" s="60" t="s">
        <v>690</v>
      </c>
      <c r="C418" s="34">
        <v>4301052235</v>
      </c>
      <c r="D418" s="660">
        <v>4680115889415</v>
      </c>
      <c r="E418" s="66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2"/>
      <c r="R418" s="662"/>
      <c r="S418" s="662"/>
      <c r="T418" s="66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692</v>
      </c>
      <c r="B419" s="60" t="s">
        <v>693</v>
      </c>
      <c r="C419" s="34">
        <v>4301052236</v>
      </c>
      <c r="D419" s="660">
        <v>4680115889422</v>
      </c>
      <c r="E419" s="66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126</v>
      </c>
      <c r="L419" s="35" t="s">
        <v>46</v>
      </c>
      <c r="M419" s="36" t="s">
        <v>89</v>
      </c>
      <c r="N419" s="36"/>
      <c r="O419" s="35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2"/>
      <c r="R419" s="662"/>
      <c r="S419" s="662"/>
      <c r="T419" s="66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694</v>
      </c>
      <c r="AG419" s="75"/>
      <c r="AJ419" s="79" t="s">
        <v>46</v>
      </c>
      <c r="AK419" s="79">
        <v>0</v>
      </c>
      <c r="BB419" s="522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658" t="s">
        <v>695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2"/>
      <c r="AB422" s="62"/>
      <c r="AC422" s="62"/>
    </row>
    <row r="423" spans="1:68" ht="14.25" hidden="1" customHeight="1" x14ac:dyDescent="0.25">
      <c r="A423" s="659" t="s">
        <v>85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3"/>
      <c r="AB423" s="63"/>
      <c r="AC423" s="63"/>
    </row>
    <row r="424" spans="1:68" ht="27" hidden="1" customHeight="1" x14ac:dyDescent="0.25">
      <c r="A424" s="60" t="s">
        <v>696</v>
      </c>
      <c r="B424" s="60" t="s">
        <v>697</v>
      </c>
      <c r="C424" s="34">
        <v>4301051489</v>
      </c>
      <c r="D424" s="660">
        <v>4607091387919</v>
      </c>
      <c r="E424" s="66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126</v>
      </c>
      <c r="L424" s="35" t="s">
        <v>46</v>
      </c>
      <c r="M424" s="36" t="s">
        <v>96</v>
      </c>
      <c r="N424" s="36"/>
      <c r="O424" s="35">
        <v>45</v>
      </c>
      <c r="P42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2"/>
      <c r="R424" s="662"/>
      <c r="S424" s="662"/>
      <c r="T424" s="66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4301051461</v>
      </c>
      <c r="D425" s="660">
        <v>4680115883604</v>
      </c>
      <c r="E425" s="66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90</v>
      </c>
      <c r="L425" s="35" t="s">
        <v>46</v>
      </c>
      <c r="M425" s="36" t="s">
        <v>89</v>
      </c>
      <c r="N425" s="36"/>
      <c r="O425" s="35">
        <v>45</v>
      </c>
      <c r="P425" s="7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2"/>
      <c r="R425" s="662"/>
      <c r="S425" s="662"/>
      <c r="T425" s="66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702</v>
      </c>
      <c r="B426" s="60" t="s">
        <v>703</v>
      </c>
      <c r="C426" s="34">
        <v>4301051864</v>
      </c>
      <c r="D426" s="660">
        <v>4680115883567</v>
      </c>
      <c r="E426" s="66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90</v>
      </c>
      <c r="L426" s="35" t="s">
        <v>46</v>
      </c>
      <c r="M426" s="36" t="s">
        <v>96</v>
      </c>
      <c r="N426" s="36"/>
      <c r="O426" s="35">
        <v>40</v>
      </c>
      <c r="P426" s="7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2"/>
      <c r="R426" s="662"/>
      <c r="S426" s="662"/>
      <c r="T426" s="66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704</v>
      </c>
      <c r="AG426" s="75"/>
      <c r="AJ426" s="79" t="s">
        <v>46</v>
      </c>
      <c r="AK426" s="79">
        <v>0</v>
      </c>
      <c r="BB426" s="52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656"/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7"/>
      <c r="P428" s="653" t="s">
        <v>40</v>
      </c>
      <c r="Q428" s="654"/>
      <c r="R428" s="654"/>
      <c r="S428" s="654"/>
      <c r="T428" s="654"/>
      <c r="U428" s="654"/>
      <c r="V428" s="655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673" t="s">
        <v>705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52"/>
      <c r="AB429" s="52"/>
      <c r="AC429" s="52"/>
    </row>
    <row r="430" spans="1:68" ht="16.5" hidden="1" customHeight="1" x14ac:dyDescent="0.25">
      <c r="A430" s="658" t="s">
        <v>706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2"/>
      <c r="AB430" s="62"/>
      <c r="AC430" s="62"/>
    </row>
    <row r="431" spans="1:68" ht="14.25" hidden="1" customHeight="1" x14ac:dyDescent="0.25">
      <c r="A431" s="659" t="s">
        <v>121</v>
      </c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3"/>
      <c r="AB431" s="63"/>
      <c r="AC431" s="63"/>
    </row>
    <row r="432" spans="1:68" ht="27" hidden="1" customHeight="1" x14ac:dyDescent="0.25">
      <c r="A432" s="60" t="s">
        <v>707</v>
      </c>
      <c r="B432" s="60" t="s">
        <v>708</v>
      </c>
      <c r="C432" s="34">
        <v>4301012332</v>
      </c>
      <c r="D432" s="660">
        <v>4680115888401</v>
      </c>
      <c r="E432" s="66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96</v>
      </c>
      <c r="N432" s="36"/>
      <c r="O432" s="35">
        <v>60</v>
      </c>
      <c r="P432" s="72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2"/>
      <c r="R432" s="662"/>
      <c r="S432" s="662"/>
      <c r="T432" s="66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customHeight="1" x14ac:dyDescent="0.25">
      <c r="A433" s="60" t="s">
        <v>710</v>
      </c>
      <c r="B433" s="60" t="s">
        <v>711</v>
      </c>
      <c r="C433" s="34">
        <v>4301011869</v>
      </c>
      <c r="D433" s="660">
        <v>4680115884847</v>
      </c>
      <c r="E433" s="66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80</v>
      </c>
      <c r="N433" s="36"/>
      <c r="O433" s="35">
        <v>60</v>
      </c>
      <c r="P433" s="7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2"/>
      <c r="R433" s="662"/>
      <c r="S433" s="662"/>
      <c r="T433" s="663"/>
      <c r="U433" s="37" t="s">
        <v>46</v>
      </c>
      <c r="V433" s="37" t="s">
        <v>46</v>
      </c>
      <c r="W433" s="38" t="s">
        <v>0</v>
      </c>
      <c r="X433" s="56">
        <v>100</v>
      </c>
      <c r="Y433" s="53">
        <f t="shared" si="68"/>
        <v>105</v>
      </c>
      <c r="Z433" s="39">
        <f>IFERROR(IF(Y433=0,"",ROUNDUP(Y433/H433,0)*0.02175),"")</f>
        <v>0.15225</v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103.13333333333334</v>
      </c>
      <c r="BN433" s="75">
        <f t="shared" si="70"/>
        <v>108.29</v>
      </c>
      <c r="BO433" s="75">
        <f t="shared" si="71"/>
        <v>0.1388888888888889</v>
      </c>
      <c r="BP433" s="75">
        <f t="shared" si="72"/>
        <v>0.14583333333333331</v>
      </c>
    </row>
    <row r="434" spans="1:68" ht="27" customHeight="1" x14ac:dyDescent="0.25">
      <c r="A434" s="60" t="s">
        <v>713</v>
      </c>
      <c r="B434" s="60" t="s">
        <v>714</v>
      </c>
      <c r="C434" s="34">
        <v>4301012083</v>
      </c>
      <c r="D434" s="660">
        <v>4680115884854</v>
      </c>
      <c r="E434" s="66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125</v>
      </c>
      <c r="N434" s="36"/>
      <c r="O434" s="35">
        <v>60</v>
      </c>
      <c r="P434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2"/>
      <c r="R434" s="662"/>
      <c r="S434" s="662"/>
      <c r="T434" s="663"/>
      <c r="U434" s="37" t="s">
        <v>46</v>
      </c>
      <c r="V434" s="37" t="s">
        <v>46</v>
      </c>
      <c r="W434" s="38" t="s">
        <v>0</v>
      </c>
      <c r="X434" s="56">
        <v>100</v>
      </c>
      <c r="Y434" s="53">
        <f t="shared" si="68"/>
        <v>105</v>
      </c>
      <c r="Z434" s="39">
        <f>IFERROR(IF(Y434=0,"",ROUNDUP(Y434/H434,0)*0.02175),"")</f>
        <v>0.15225</v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103.13333333333334</v>
      </c>
      <c r="BN434" s="75">
        <f t="shared" si="70"/>
        <v>108.29</v>
      </c>
      <c r="BO434" s="75">
        <f t="shared" si="71"/>
        <v>0.1388888888888889</v>
      </c>
      <c r="BP434" s="75">
        <f t="shared" si="72"/>
        <v>0.14583333333333331</v>
      </c>
    </row>
    <row r="435" spans="1:68" ht="27" customHeight="1" x14ac:dyDescent="0.25">
      <c r="A435" s="60" t="s">
        <v>716</v>
      </c>
      <c r="B435" s="60" t="s">
        <v>717</v>
      </c>
      <c r="C435" s="34">
        <v>4301011867</v>
      </c>
      <c r="D435" s="660">
        <v>4680115884830</v>
      </c>
      <c r="E435" s="66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80</v>
      </c>
      <c r="N435" s="36"/>
      <c r="O435" s="35">
        <v>60</v>
      </c>
      <c r="P435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2"/>
      <c r="R435" s="662"/>
      <c r="S435" s="662"/>
      <c r="T435" s="663"/>
      <c r="U435" s="37" t="s">
        <v>46</v>
      </c>
      <c r="V435" s="37" t="s">
        <v>46</v>
      </c>
      <c r="W435" s="38" t="s">
        <v>0</v>
      </c>
      <c r="X435" s="56">
        <v>100</v>
      </c>
      <c r="Y435" s="53">
        <f t="shared" si="68"/>
        <v>105</v>
      </c>
      <c r="Z435" s="39">
        <f>IFERROR(IF(Y435=0,"",ROUNDUP(Y435/H435,0)*0.02175),"")</f>
        <v>0.15225</v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103.13333333333334</v>
      </c>
      <c r="BN435" s="75">
        <f t="shared" si="70"/>
        <v>108.29</v>
      </c>
      <c r="BO435" s="75">
        <f t="shared" si="71"/>
        <v>0.1388888888888889</v>
      </c>
      <c r="BP435" s="75">
        <f t="shared" si="72"/>
        <v>0.14583333333333331</v>
      </c>
    </row>
    <row r="436" spans="1:68" ht="27" customHeight="1" x14ac:dyDescent="0.25">
      <c r="A436" s="60" t="s">
        <v>719</v>
      </c>
      <c r="B436" s="60" t="s">
        <v>720</v>
      </c>
      <c r="C436" s="34">
        <v>4301012356</v>
      </c>
      <c r="D436" s="660">
        <v>4680115889231</v>
      </c>
      <c r="E436" s="66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126</v>
      </c>
      <c r="L436" s="35" t="s">
        <v>46</v>
      </c>
      <c r="M436" s="36" t="s">
        <v>96</v>
      </c>
      <c r="N436" s="36"/>
      <c r="O436" s="35">
        <v>60</v>
      </c>
      <c r="P436" s="7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2"/>
      <c r="R436" s="662"/>
      <c r="S436" s="662"/>
      <c r="T436" s="663"/>
      <c r="U436" s="37" t="s">
        <v>46</v>
      </c>
      <c r="V436" s="37" t="s">
        <v>46</v>
      </c>
      <c r="W436" s="38" t="s">
        <v>0</v>
      </c>
      <c r="X436" s="56">
        <v>100</v>
      </c>
      <c r="Y436" s="53">
        <f t="shared" si="68"/>
        <v>105</v>
      </c>
      <c r="Z436" s="39">
        <f>IFERROR(IF(Y436=0,"",ROUNDUP(Y436/H436,0)*0.02175),"")</f>
        <v>0.15225</v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103.13333333333334</v>
      </c>
      <c r="BN436" s="75">
        <f t="shared" si="70"/>
        <v>108.29</v>
      </c>
      <c r="BO436" s="75">
        <f t="shared" si="71"/>
        <v>0.1388888888888889</v>
      </c>
      <c r="BP436" s="75">
        <f t="shared" si="72"/>
        <v>0.14583333333333331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4301011433</v>
      </c>
      <c r="D437" s="660">
        <v>4680115882638</v>
      </c>
      <c r="E437" s="66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133</v>
      </c>
      <c r="L437" s="35" t="s">
        <v>46</v>
      </c>
      <c r="M437" s="36" t="s">
        <v>125</v>
      </c>
      <c r="N437" s="36"/>
      <c r="O437" s="35">
        <v>90</v>
      </c>
      <c r="P437" s="7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2"/>
      <c r="R437" s="662"/>
      <c r="S437" s="662"/>
      <c r="T437" s="66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725</v>
      </c>
      <c r="B438" s="60" t="s">
        <v>726</v>
      </c>
      <c r="C438" s="34">
        <v>4301011952</v>
      </c>
      <c r="D438" s="660">
        <v>4680115884922</v>
      </c>
      <c r="E438" s="66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2"/>
      <c r="R438" s="662"/>
      <c r="S438" s="662"/>
      <c r="T438" s="66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hidden="1" customHeight="1" x14ac:dyDescent="0.25">
      <c r="A439" s="60" t="s">
        <v>728</v>
      </c>
      <c r="B439" s="60" t="s">
        <v>729</v>
      </c>
      <c r="C439" s="34">
        <v>4301011868</v>
      </c>
      <c r="D439" s="660">
        <v>4680115884861</v>
      </c>
      <c r="E439" s="66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133</v>
      </c>
      <c r="L439" s="35" t="s">
        <v>46</v>
      </c>
      <c r="M439" s="36" t="s">
        <v>80</v>
      </c>
      <c r="N439" s="36"/>
      <c r="O439" s="35">
        <v>60</v>
      </c>
      <c r="P439" s="7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2"/>
      <c r="R439" s="662"/>
      <c r="S439" s="662"/>
      <c r="T439" s="66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8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730</v>
      </c>
      <c r="AG439" s="75"/>
      <c r="AJ439" s="79" t="s">
        <v>46</v>
      </c>
      <c r="AK439" s="79">
        <v>0</v>
      </c>
      <c r="BB439" s="544" t="s">
        <v>66</v>
      </c>
      <c r="BM439" s="75">
        <f t="shared" si="69"/>
        <v>0</v>
      </c>
      <c r="BN439" s="75">
        <f t="shared" si="70"/>
        <v>0</v>
      </c>
      <c r="BO439" s="75">
        <f t="shared" si="71"/>
        <v>0</v>
      </c>
      <c r="BP439" s="75">
        <f t="shared" si="72"/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26.666666666666668</v>
      </c>
      <c r="Y440" s="41">
        <f>IFERROR(Y432/H432,"0")+IFERROR(Y433/H433,"0")+IFERROR(Y434/H434,"0")+IFERROR(Y435/H435,"0")+IFERROR(Y436/H436,"0")+IFERROR(Y437/H437,"0")+IFERROR(Y438/H438,"0")+IFERROR(Y439/H439,"0")</f>
        <v>28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0.60899999999999999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IFERROR(SUM(X432:X439),"0")</f>
        <v>400</v>
      </c>
      <c r="Y441" s="41">
        <f>IFERROR(SUM(Y432:Y439),"0")</f>
        <v>420</v>
      </c>
      <c r="Z441" s="40"/>
      <c r="AA441" s="64"/>
      <c r="AB441" s="64"/>
      <c r="AC441" s="64"/>
    </row>
    <row r="442" spans="1:68" ht="14.25" hidden="1" customHeight="1" x14ac:dyDescent="0.25">
      <c r="A442" s="659" t="s">
        <v>154</v>
      </c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  <c r="AA442" s="63"/>
      <c r="AB442" s="63"/>
      <c r="AC442" s="63"/>
    </row>
    <row r="443" spans="1:68" ht="27" customHeight="1" x14ac:dyDescent="0.25">
      <c r="A443" s="60" t="s">
        <v>731</v>
      </c>
      <c r="B443" s="60" t="s">
        <v>732</v>
      </c>
      <c r="C443" s="34">
        <v>4301020178</v>
      </c>
      <c r="D443" s="660">
        <v>4607091383980</v>
      </c>
      <c r="E443" s="66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2"/>
      <c r="R443" s="662"/>
      <c r="S443" s="662"/>
      <c r="T443" s="663"/>
      <c r="U443" s="37" t="s">
        <v>46</v>
      </c>
      <c r="V443" s="37" t="s">
        <v>46</v>
      </c>
      <c r="W443" s="38" t="s">
        <v>0</v>
      </c>
      <c r="X443" s="56">
        <v>100</v>
      </c>
      <c r="Y443" s="53">
        <f>IFERROR(IF(X443="",0,CEILING((X443/$H443),1)*$H443),"")</f>
        <v>105</v>
      </c>
      <c r="Z443" s="39">
        <f>IFERROR(IF(Y443=0,"",ROUNDUP(Y443/H443,0)*0.02175),"")</f>
        <v>0.15225</v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103.13333333333334</v>
      </c>
      <c r="BN443" s="75">
        <f>IFERROR(Y443*I443/H443,"0")</f>
        <v>108.29</v>
      </c>
      <c r="BO443" s="75">
        <f>IFERROR(1/J443*(X443/H443),"0")</f>
        <v>0.1388888888888889</v>
      </c>
      <c r="BP443" s="75">
        <f>IFERROR(1/J443*(Y443/H443),"0")</f>
        <v>0.14583333333333331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4301020355</v>
      </c>
      <c r="D444" s="660">
        <v>4680115888425</v>
      </c>
      <c r="E444" s="66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126</v>
      </c>
      <c r="L444" s="35" t="s">
        <v>46</v>
      </c>
      <c r="M444" s="36" t="s">
        <v>125</v>
      </c>
      <c r="N444" s="36"/>
      <c r="O444" s="35">
        <v>50</v>
      </c>
      <c r="P444" s="71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2"/>
      <c r="R444" s="662"/>
      <c r="S444" s="662"/>
      <c r="T444" s="66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737</v>
      </c>
      <c r="B445" s="60" t="s">
        <v>738</v>
      </c>
      <c r="C445" s="34">
        <v>4301020179</v>
      </c>
      <c r="D445" s="660">
        <v>4607091384178</v>
      </c>
      <c r="E445" s="66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133</v>
      </c>
      <c r="L445" s="35" t="s">
        <v>46</v>
      </c>
      <c r="M445" s="36" t="s">
        <v>125</v>
      </c>
      <c r="N445" s="36"/>
      <c r="O445" s="35">
        <v>50</v>
      </c>
      <c r="P445" s="71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2"/>
      <c r="R445" s="662"/>
      <c r="S445" s="662"/>
      <c r="T445" s="66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739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6.666666666666667</v>
      </c>
      <c r="Y446" s="41">
        <f>IFERROR(Y443/H443,"0")+IFERROR(Y444/H444,"0")+IFERROR(Y445/H445,"0")</f>
        <v>7</v>
      </c>
      <c r="Z446" s="41">
        <f>IFERROR(IF(Z443="",0,Z443),"0")+IFERROR(IF(Z444="",0,Z444),"0")+IFERROR(IF(Z445="",0,Z445),"0")</f>
        <v>0.15225</v>
      </c>
      <c r="AA446" s="64"/>
      <c r="AB446" s="64"/>
      <c r="AC446" s="64"/>
    </row>
    <row r="447" spans="1:68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100</v>
      </c>
      <c r="Y447" s="41">
        <f>IFERROR(SUM(Y443:Y445),"0")</f>
        <v>105</v>
      </c>
      <c r="Z447" s="40"/>
      <c r="AA447" s="64"/>
      <c r="AB447" s="64"/>
      <c r="AC447" s="64"/>
    </row>
    <row r="448" spans="1:68" ht="14.25" hidden="1" customHeight="1" x14ac:dyDescent="0.25">
      <c r="A448" s="659" t="s">
        <v>85</v>
      </c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  <c r="AA448" s="63"/>
      <c r="AB448" s="63"/>
      <c r="AC448" s="63"/>
    </row>
    <row r="449" spans="1:68" ht="27" hidden="1" customHeight="1" x14ac:dyDescent="0.25">
      <c r="A449" s="60" t="s">
        <v>740</v>
      </c>
      <c r="B449" s="60" t="s">
        <v>741</v>
      </c>
      <c r="C449" s="34">
        <v>4301051903</v>
      </c>
      <c r="D449" s="660">
        <v>4607091383928</v>
      </c>
      <c r="E449" s="66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2"/>
      <c r="R449" s="662"/>
      <c r="S449" s="662"/>
      <c r="T449" s="66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4301051897</v>
      </c>
      <c r="D450" s="660">
        <v>4607091384260</v>
      </c>
      <c r="E450" s="66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2"/>
      <c r="R450" s="662"/>
      <c r="S450" s="662"/>
      <c r="T450" s="66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746</v>
      </c>
      <c r="B451" s="60" t="s">
        <v>747</v>
      </c>
      <c r="C451" s="34">
        <v>4301052220</v>
      </c>
      <c r="D451" s="660">
        <v>4680115889538</v>
      </c>
      <c r="E451" s="66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126</v>
      </c>
      <c r="L451" s="35" t="s">
        <v>46</v>
      </c>
      <c r="M451" s="36" t="s">
        <v>89</v>
      </c>
      <c r="N451" s="36"/>
      <c r="O451" s="35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2"/>
      <c r="R451" s="662"/>
      <c r="S451" s="662"/>
      <c r="T451" s="66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748</v>
      </c>
      <c r="AG451" s="75"/>
      <c r="AJ451" s="79" t="s">
        <v>46</v>
      </c>
      <c r="AK451" s="79">
        <v>0</v>
      </c>
      <c r="BB451" s="55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656"/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7"/>
      <c r="P453" s="653" t="s">
        <v>40</v>
      </c>
      <c r="Q453" s="654"/>
      <c r="R453" s="654"/>
      <c r="S453" s="654"/>
      <c r="T453" s="654"/>
      <c r="U453" s="654"/>
      <c r="V453" s="655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659" t="s">
        <v>172</v>
      </c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  <c r="AA454" s="63"/>
      <c r="AB454" s="63"/>
      <c r="AC454" s="63"/>
    </row>
    <row r="455" spans="1:68" ht="27" hidden="1" customHeight="1" x14ac:dyDescent="0.25">
      <c r="A455" s="60" t="s">
        <v>749</v>
      </c>
      <c r="B455" s="60" t="s">
        <v>750</v>
      </c>
      <c r="C455" s="34">
        <v>4301060537</v>
      </c>
      <c r="D455" s="660">
        <v>4680115889545</v>
      </c>
      <c r="E455" s="66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126</v>
      </c>
      <c r="L455" s="35" t="s">
        <v>46</v>
      </c>
      <c r="M455" s="36" t="s">
        <v>89</v>
      </c>
      <c r="N455" s="36"/>
      <c r="O455" s="35">
        <v>30</v>
      </c>
      <c r="P455" s="71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2"/>
      <c r="R455" s="662"/>
      <c r="S455" s="662"/>
      <c r="T455" s="66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752</v>
      </c>
      <c r="B456" s="60" t="s">
        <v>753</v>
      </c>
      <c r="C456" s="34">
        <v>4301060524</v>
      </c>
      <c r="D456" s="660">
        <v>4607091384673</v>
      </c>
      <c r="E456" s="66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126</v>
      </c>
      <c r="L456" s="35" t="s">
        <v>46</v>
      </c>
      <c r="M456" s="36" t="s">
        <v>89</v>
      </c>
      <c r="N456" s="36"/>
      <c r="O456" s="35">
        <v>40</v>
      </c>
      <c r="P456" s="7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2"/>
      <c r="R456" s="662"/>
      <c r="S456" s="662"/>
      <c r="T456" s="66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754</v>
      </c>
      <c r="AG456" s="75"/>
      <c r="AJ456" s="79" t="s">
        <v>46</v>
      </c>
      <c r="AK456" s="79">
        <v>0</v>
      </c>
      <c r="BB456" s="560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658" t="s">
        <v>755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2"/>
      <c r="AB459" s="62"/>
      <c r="AC459" s="62"/>
    </row>
    <row r="460" spans="1:68" ht="14.25" hidden="1" customHeight="1" x14ac:dyDescent="0.25">
      <c r="A460" s="659" t="s">
        <v>121</v>
      </c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4301011875</v>
      </c>
      <c r="D461" s="660">
        <v>4680115884885</v>
      </c>
      <c r="E461" s="66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126</v>
      </c>
      <c r="L461" s="35" t="s">
        <v>46</v>
      </c>
      <c r="M461" s="36" t="s">
        <v>80</v>
      </c>
      <c r="N461" s="36"/>
      <c r="O461" s="35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2"/>
      <c r="R461" s="662"/>
      <c r="S461" s="662"/>
      <c r="T461" s="66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758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759</v>
      </c>
      <c r="B462" s="60" t="s">
        <v>760</v>
      </c>
      <c r="C462" s="34">
        <v>4301011871</v>
      </c>
      <c r="D462" s="660">
        <v>4680115884908</v>
      </c>
      <c r="E462" s="66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133</v>
      </c>
      <c r="L462" s="35" t="s">
        <v>46</v>
      </c>
      <c r="M462" s="36" t="s">
        <v>80</v>
      </c>
      <c r="N462" s="36"/>
      <c r="O462" s="35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2"/>
      <c r="R462" s="662"/>
      <c r="S462" s="662"/>
      <c r="T462" s="66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758</v>
      </c>
      <c r="AG462" s="75"/>
      <c r="AJ462" s="79" t="s">
        <v>46</v>
      </c>
      <c r="AK462" s="79">
        <v>0</v>
      </c>
      <c r="BB462" s="56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656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53" t="s">
        <v>40</v>
      </c>
      <c r="Q464" s="654"/>
      <c r="R464" s="654"/>
      <c r="S464" s="654"/>
      <c r="T464" s="654"/>
      <c r="U464" s="654"/>
      <c r="V464" s="655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59" t="s">
        <v>76</v>
      </c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  <c r="AA465" s="63"/>
      <c r="AB465" s="63"/>
      <c r="AC465" s="63"/>
    </row>
    <row r="466" spans="1:68" ht="27" hidden="1" customHeight="1" x14ac:dyDescent="0.25">
      <c r="A466" s="60" t="s">
        <v>761</v>
      </c>
      <c r="B466" s="60" t="s">
        <v>762</v>
      </c>
      <c r="C466" s="34">
        <v>4301031457</v>
      </c>
      <c r="D466" s="660">
        <v>4607091384802</v>
      </c>
      <c r="E466" s="66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133</v>
      </c>
      <c r="L466" s="35" t="s">
        <v>46</v>
      </c>
      <c r="M466" s="36" t="s">
        <v>80</v>
      </c>
      <c r="N466" s="36"/>
      <c r="O466" s="35">
        <v>50</v>
      </c>
      <c r="P466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2"/>
      <c r="R466" s="662"/>
      <c r="S466" s="662"/>
      <c r="T466" s="66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763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59" t="s">
        <v>85</v>
      </c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63"/>
      <c r="AB469" s="63"/>
      <c r="AC469" s="63"/>
    </row>
    <row r="470" spans="1:68" ht="27" hidden="1" customHeight="1" x14ac:dyDescent="0.25">
      <c r="A470" s="60" t="s">
        <v>764</v>
      </c>
      <c r="B470" s="60" t="s">
        <v>765</v>
      </c>
      <c r="C470" s="34">
        <v>4301051899</v>
      </c>
      <c r="D470" s="660">
        <v>4607091384246</v>
      </c>
      <c r="E470" s="66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126</v>
      </c>
      <c r="L470" s="35" t="s">
        <v>46</v>
      </c>
      <c r="M470" s="36" t="s">
        <v>89</v>
      </c>
      <c r="N470" s="36"/>
      <c r="O470" s="35">
        <v>40</v>
      </c>
      <c r="P470" s="7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2"/>
      <c r="R470" s="662"/>
      <c r="S470" s="662"/>
      <c r="T470" s="66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766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767</v>
      </c>
      <c r="B471" s="60" t="s">
        <v>768</v>
      </c>
      <c r="C471" s="34">
        <v>4301051660</v>
      </c>
      <c r="D471" s="660">
        <v>4607091384253</v>
      </c>
      <c r="E471" s="66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2"/>
      <c r="R471" s="662"/>
      <c r="S471" s="662"/>
      <c r="T471" s="66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766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767</v>
      </c>
      <c r="B472" s="60" t="s">
        <v>769</v>
      </c>
      <c r="C472" s="34">
        <v>4301052069</v>
      </c>
      <c r="D472" s="660">
        <v>4607091384253</v>
      </c>
      <c r="E472" s="66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90</v>
      </c>
      <c r="L472" s="35" t="s">
        <v>46</v>
      </c>
      <c r="M472" s="36" t="s">
        <v>89</v>
      </c>
      <c r="N472" s="36"/>
      <c r="O472" s="35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2"/>
      <c r="R472" s="662"/>
      <c r="S472" s="662"/>
      <c r="T472" s="66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770</v>
      </c>
      <c r="AG472" s="75"/>
      <c r="AJ472" s="79" t="s">
        <v>46</v>
      </c>
      <c r="AK472" s="79">
        <v>0</v>
      </c>
      <c r="BB472" s="572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56"/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7"/>
      <c r="P474" s="653" t="s">
        <v>40</v>
      </c>
      <c r="Q474" s="654"/>
      <c r="R474" s="654"/>
      <c r="S474" s="654"/>
      <c r="T474" s="654"/>
      <c r="U474" s="654"/>
      <c r="V474" s="655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673" t="s">
        <v>771</v>
      </c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3"/>
      <c r="P475" s="673"/>
      <c r="Q475" s="673"/>
      <c r="R475" s="673"/>
      <c r="S475" s="673"/>
      <c r="T475" s="673"/>
      <c r="U475" s="673"/>
      <c r="V475" s="673"/>
      <c r="W475" s="673"/>
      <c r="X475" s="673"/>
      <c r="Y475" s="673"/>
      <c r="Z475" s="673"/>
      <c r="AA475" s="52"/>
      <c r="AB475" s="52"/>
      <c r="AC475" s="52"/>
    </row>
    <row r="476" spans="1:68" ht="16.5" hidden="1" customHeight="1" x14ac:dyDescent="0.25">
      <c r="A476" s="658" t="s">
        <v>772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2"/>
      <c r="AB476" s="62"/>
      <c r="AC476" s="62"/>
    </row>
    <row r="477" spans="1:68" ht="14.25" hidden="1" customHeight="1" x14ac:dyDescent="0.25">
      <c r="A477" s="659" t="s">
        <v>76</v>
      </c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3"/>
      <c r="AB477" s="63"/>
      <c r="AC477" s="63"/>
    </row>
    <row r="478" spans="1:68" ht="27" hidden="1" customHeight="1" x14ac:dyDescent="0.25">
      <c r="A478" s="60" t="s">
        <v>773</v>
      </c>
      <c r="B478" s="60" t="s">
        <v>774</v>
      </c>
      <c r="C478" s="34">
        <v>4301031405</v>
      </c>
      <c r="D478" s="660">
        <v>4680115886100</v>
      </c>
      <c r="E478" s="66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2"/>
      <c r="R478" s="662"/>
      <c r="S478" s="662"/>
      <c r="T478" s="66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4301031402</v>
      </c>
      <c r="D479" s="660">
        <v>4680115886124</v>
      </c>
      <c r="E479" s="66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133</v>
      </c>
      <c r="L479" s="35" t="s">
        <v>46</v>
      </c>
      <c r="M479" s="36" t="s">
        <v>80</v>
      </c>
      <c r="N479" s="36"/>
      <c r="O479" s="35">
        <v>50</v>
      </c>
      <c r="P479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2"/>
      <c r="R479" s="662"/>
      <c r="S479" s="662"/>
      <c r="T479" s="66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4301031362</v>
      </c>
      <c r="D480" s="660">
        <v>4607091384338</v>
      </c>
      <c r="E480" s="66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2"/>
      <c r="R480" s="662"/>
      <c r="S480" s="662"/>
      <c r="T480" s="66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4301031364</v>
      </c>
      <c r="D481" s="660">
        <v>4680115883161</v>
      </c>
      <c r="E481" s="66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7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2"/>
      <c r="R481" s="662"/>
      <c r="S481" s="662"/>
      <c r="T481" s="66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784</v>
      </c>
      <c r="B482" s="60" t="s">
        <v>785</v>
      </c>
      <c r="C482" s="34">
        <v>4301031358</v>
      </c>
      <c r="D482" s="660">
        <v>4607091389531</v>
      </c>
      <c r="E482" s="66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70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2"/>
      <c r="R482" s="662"/>
      <c r="S482" s="662"/>
      <c r="T482" s="66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787</v>
      </c>
      <c r="B483" s="60" t="s">
        <v>788</v>
      </c>
      <c r="C483" s="34">
        <v>4301031360</v>
      </c>
      <c r="D483" s="660">
        <v>4607091384345</v>
      </c>
      <c r="E483" s="66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81</v>
      </c>
      <c r="L483" s="35" t="s">
        <v>46</v>
      </c>
      <c r="M483" s="36" t="s">
        <v>80</v>
      </c>
      <c r="N483" s="36"/>
      <c r="O483" s="35">
        <v>50</v>
      </c>
      <c r="P483" s="7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2"/>
      <c r="R483" s="662"/>
      <c r="S483" s="662"/>
      <c r="T483" s="66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783</v>
      </c>
      <c r="AG483" s="75"/>
      <c r="AJ483" s="79" t="s">
        <v>46</v>
      </c>
      <c r="AK483" s="79">
        <v>0</v>
      </c>
      <c r="BB483" s="584" t="s">
        <v>66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656"/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7"/>
      <c r="P485" s="653" t="s">
        <v>40</v>
      </c>
      <c r="Q485" s="654"/>
      <c r="R485" s="654"/>
      <c r="S485" s="654"/>
      <c r="T485" s="654"/>
      <c r="U485" s="654"/>
      <c r="V485" s="655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59" t="s">
        <v>85</v>
      </c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  <c r="AA486" s="63"/>
      <c r="AB486" s="63"/>
      <c r="AC486" s="63"/>
    </row>
    <row r="487" spans="1:68" ht="27" hidden="1" customHeight="1" x14ac:dyDescent="0.25">
      <c r="A487" s="60" t="s">
        <v>789</v>
      </c>
      <c r="B487" s="60" t="s">
        <v>790</v>
      </c>
      <c r="C487" s="34">
        <v>4301051284</v>
      </c>
      <c r="D487" s="660">
        <v>4607091384352</v>
      </c>
      <c r="E487" s="66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133</v>
      </c>
      <c r="L487" s="35" t="s">
        <v>46</v>
      </c>
      <c r="M487" s="36" t="s">
        <v>89</v>
      </c>
      <c r="N487" s="36"/>
      <c r="O487" s="35">
        <v>45</v>
      </c>
      <c r="P487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2"/>
      <c r="R487" s="662"/>
      <c r="S487" s="662"/>
      <c r="T487" s="66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792</v>
      </c>
      <c r="B488" s="60" t="s">
        <v>793</v>
      </c>
      <c r="C488" s="34">
        <v>4301051431</v>
      </c>
      <c r="D488" s="660">
        <v>4607091389654</v>
      </c>
      <c r="E488" s="66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90</v>
      </c>
      <c r="L488" s="35" t="s">
        <v>46</v>
      </c>
      <c r="M488" s="36" t="s">
        <v>89</v>
      </c>
      <c r="N488" s="36"/>
      <c r="O488" s="35">
        <v>45</v>
      </c>
      <c r="P488" s="6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2"/>
      <c r="R488" s="662"/>
      <c r="S488" s="662"/>
      <c r="T488" s="66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794</v>
      </c>
      <c r="AG488" s="75"/>
      <c r="AJ488" s="79" t="s">
        <v>46</v>
      </c>
      <c r="AK488" s="79">
        <v>0</v>
      </c>
      <c r="BB488" s="588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656"/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7"/>
      <c r="P490" s="653" t="s">
        <v>40</v>
      </c>
      <c r="Q490" s="654"/>
      <c r="R490" s="654"/>
      <c r="S490" s="654"/>
      <c r="T490" s="654"/>
      <c r="U490" s="654"/>
      <c r="V490" s="655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658" t="s">
        <v>795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2"/>
      <c r="AB491" s="62"/>
      <c r="AC491" s="62"/>
    </row>
    <row r="492" spans="1:68" ht="14.25" hidden="1" customHeight="1" x14ac:dyDescent="0.25">
      <c r="A492" s="659" t="s">
        <v>154</v>
      </c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3"/>
      <c r="AB492" s="63"/>
      <c r="AC492" s="63"/>
    </row>
    <row r="493" spans="1:68" ht="27" hidden="1" customHeight="1" x14ac:dyDescent="0.25">
      <c r="A493" s="60" t="s">
        <v>796</v>
      </c>
      <c r="B493" s="60" t="s">
        <v>797</v>
      </c>
      <c r="C493" s="34">
        <v>4301020416</v>
      </c>
      <c r="D493" s="660">
        <v>4680115885240</v>
      </c>
      <c r="E493" s="66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90</v>
      </c>
      <c r="L493" s="35" t="s">
        <v>46</v>
      </c>
      <c r="M493" s="36" t="s">
        <v>80</v>
      </c>
      <c r="N493" s="36"/>
      <c r="O493" s="35">
        <v>40</v>
      </c>
      <c r="P493" s="6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2"/>
      <c r="R493" s="662"/>
      <c r="S493" s="662"/>
      <c r="T493" s="66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798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59" t="s">
        <v>76</v>
      </c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63"/>
      <c r="AB496" s="63"/>
      <c r="AC496" s="63"/>
    </row>
    <row r="497" spans="1:68" ht="27" hidden="1" customHeight="1" x14ac:dyDescent="0.25">
      <c r="A497" s="60" t="s">
        <v>799</v>
      </c>
      <c r="B497" s="60" t="s">
        <v>800</v>
      </c>
      <c r="C497" s="34">
        <v>4301031407</v>
      </c>
      <c r="D497" s="660">
        <v>4680115886094</v>
      </c>
      <c r="E497" s="66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133</v>
      </c>
      <c r="L497" s="35" t="s">
        <v>46</v>
      </c>
      <c r="M497" s="36" t="s">
        <v>80</v>
      </c>
      <c r="N497" s="36"/>
      <c r="O497" s="35">
        <v>50</v>
      </c>
      <c r="P497" s="6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2"/>
      <c r="R497" s="662"/>
      <c r="S497" s="662"/>
      <c r="T497" s="66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4301031373</v>
      </c>
      <c r="D498" s="660">
        <v>4680115880771</v>
      </c>
      <c r="E498" s="66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2"/>
      <c r="R498" s="662"/>
      <c r="S498" s="662"/>
      <c r="T498" s="66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804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805</v>
      </c>
      <c r="B499" s="60" t="s">
        <v>806</v>
      </c>
      <c r="C499" s="34">
        <v>4301031359</v>
      </c>
      <c r="D499" s="660">
        <v>4607091389500</v>
      </c>
      <c r="E499" s="66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81</v>
      </c>
      <c r="L499" s="35" t="s">
        <v>46</v>
      </c>
      <c r="M499" s="36" t="s">
        <v>80</v>
      </c>
      <c r="N499" s="36"/>
      <c r="O499" s="35">
        <v>50</v>
      </c>
      <c r="P499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2"/>
      <c r="R499" s="662"/>
      <c r="S499" s="662"/>
      <c r="T499" s="66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804</v>
      </c>
      <c r="AG499" s="75"/>
      <c r="AJ499" s="79" t="s">
        <v>46</v>
      </c>
      <c r="AK499" s="79">
        <v>0</v>
      </c>
      <c r="BB499" s="59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56"/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7"/>
      <c r="P501" s="653" t="s">
        <v>40</v>
      </c>
      <c r="Q501" s="654"/>
      <c r="R501" s="654"/>
      <c r="S501" s="654"/>
      <c r="T501" s="654"/>
      <c r="U501" s="654"/>
      <c r="V501" s="655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673" t="s">
        <v>807</v>
      </c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3"/>
      <c r="P502" s="673"/>
      <c r="Q502" s="673"/>
      <c r="R502" s="673"/>
      <c r="S502" s="673"/>
      <c r="T502" s="673"/>
      <c r="U502" s="673"/>
      <c r="V502" s="673"/>
      <c r="W502" s="673"/>
      <c r="X502" s="673"/>
      <c r="Y502" s="673"/>
      <c r="Z502" s="673"/>
      <c r="AA502" s="52"/>
      <c r="AB502" s="52"/>
      <c r="AC502" s="52"/>
    </row>
    <row r="503" spans="1:68" ht="16.5" hidden="1" customHeight="1" x14ac:dyDescent="0.25">
      <c r="A503" s="658" t="s">
        <v>807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2"/>
      <c r="AB503" s="62"/>
      <c r="AC503" s="62"/>
    </row>
    <row r="504" spans="1:68" ht="14.25" hidden="1" customHeight="1" x14ac:dyDescent="0.25">
      <c r="A504" s="659" t="s">
        <v>121</v>
      </c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3"/>
      <c r="AB504" s="63"/>
      <c r="AC504" s="63"/>
    </row>
    <row r="505" spans="1:68" ht="27" hidden="1" customHeight="1" x14ac:dyDescent="0.25">
      <c r="A505" s="60" t="s">
        <v>808</v>
      </c>
      <c r="B505" s="60" t="s">
        <v>809</v>
      </c>
      <c r="C505" s="34">
        <v>4301011769</v>
      </c>
      <c r="D505" s="660">
        <v>4607091389067</v>
      </c>
      <c r="E505" s="66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89</v>
      </c>
      <c r="N505" s="36"/>
      <c r="O505" s="35">
        <v>60</v>
      </c>
      <c r="P505" s="69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2"/>
      <c r="R505" s="662"/>
      <c r="S505" s="662"/>
      <c r="T505" s="66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78">IFERROR(IF(X505="",0,CEILING((X505/$H505),1)*$H505),"")</f>
        <v>0</v>
      </c>
      <c r="Z505" s="39" t="str">
        <f t="shared" ref="Z505:Z510" si="79">IFERROR(IF(Y505=0,"",ROUNDUP(Y505/H505,0)*0.01196),"")</f>
        <v/>
      </c>
      <c r="AA505" s="65" t="s">
        <v>46</v>
      </c>
      <c r="AB505" s="66" t="s">
        <v>46</v>
      </c>
      <c r="AC505" s="597" t="s">
        <v>124</v>
      </c>
      <c r="AG505" s="75"/>
      <c r="AJ505" s="79" t="s">
        <v>46</v>
      </c>
      <c r="AK505" s="79">
        <v>0</v>
      </c>
      <c r="BB505" s="598" t="s">
        <v>66</v>
      </c>
      <c r="BM505" s="75">
        <f t="shared" ref="BM505:BM513" si="80">IFERROR(X505*I505/H505,"0")</f>
        <v>0</v>
      </c>
      <c r="BN505" s="75">
        <f t="shared" ref="BN505:BN513" si="81">IFERROR(Y505*I505/H505,"0")</f>
        <v>0</v>
      </c>
      <c r="BO505" s="75">
        <f t="shared" ref="BO505:BO513" si="82">IFERROR(1/J505*(X505/H505),"0")</f>
        <v>0</v>
      </c>
      <c r="BP505" s="75">
        <f t="shared" ref="BP505:BP513" si="83">IFERROR(1/J505*(Y505/H505),"0")</f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4301012380</v>
      </c>
      <c r="D506" s="660">
        <v>4680115889576</v>
      </c>
      <c r="E506" s="66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9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2"/>
      <c r="R506" s="662"/>
      <c r="S506" s="662"/>
      <c r="T506" s="66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4301011961</v>
      </c>
      <c r="D507" s="660">
        <v>4680115885271</v>
      </c>
      <c r="E507" s="66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2"/>
      <c r="R507" s="662"/>
      <c r="S507" s="662"/>
      <c r="T507" s="66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4301011369</v>
      </c>
      <c r="D508" s="660">
        <v>4680115885226</v>
      </c>
      <c r="E508" s="66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125</v>
      </c>
      <c r="N508" s="36"/>
      <c r="O508" s="35">
        <v>60</v>
      </c>
      <c r="P508" s="69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2"/>
      <c r="R508" s="662"/>
      <c r="S508" s="662"/>
      <c r="T508" s="66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819</v>
      </c>
      <c r="B509" s="60" t="s">
        <v>820</v>
      </c>
      <c r="C509" s="34">
        <v>4301011797</v>
      </c>
      <c r="D509" s="660">
        <v>4680115884502</v>
      </c>
      <c r="E509" s="66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89</v>
      </c>
      <c r="N509" s="36"/>
      <c r="O509" s="35">
        <v>60</v>
      </c>
      <c r="P509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2"/>
      <c r="R509" s="662"/>
      <c r="S509" s="662"/>
      <c r="T509" s="66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4301011771</v>
      </c>
      <c r="D510" s="660">
        <v>4607091389104</v>
      </c>
      <c r="E510" s="66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126</v>
      </c>
      <c r="L510" s="35" t="s">
        <v>46</v>
      </c>
      <c r="M510" s="36" t="s">
        <v>125</v>
      </c>
      <c r="N510" s="36"/>
      <c r="O510" s="35">
        <v>60</v>
      </c>
      <c r="P510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2"/>
      <c r="R510" s="662"/>
      <c r="S510" s="662"/>
      <c r="T510" s="66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 t="shared" si="79"/>
        <v/>
      </c>
      <c r="AA510" s="65" t="s">
        <v>46</v>
      </c>
      <c r="AB510" s="66" t="s">
        <v>46</v>
      </c>
      <c r="AC510" s="607" t="s">
        <v>824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4301012125</v>
      </c>
      <c r="D511" s="660">
        <v>4680115886391</v>
      </c>
      <c r="E511" s="66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90</v>
      </c>
      <c r="L511" s="35" t="s">
        <v>46</v>
      </c>
      <c r="M511" s="36" t="s">
        <v>89</v>
      </c>
      <c r="N511" s="36"/>
      <c r="O511" s="35">
        <v>60</v>
      </c>
      <c r="P511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2"/>
      <c r="R511" s="662"/>
      <c r="S511" s="662"/>
      <c r="T511" s="66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4301012048</v>
      </c>
      <c r="D512" s="660">
        <v>4680115880603</v>
      </c>
      <c r="E512" s="66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89</v>
      </c>
      <c r="N512" s="36"/>
      <c r="O512" s="35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2"/>
      <c r="R512" s="662"/>
      <c r="S512" s="662"/>
      <c r="T512" s="66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124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t="27" hidden="1" customHeight="1" x14ac:dyDescent="0.25">
      <c r="A513" s="60" t="s">
        <v>829</v>
      </c>
      <c r="B513" s="60" t="s">
        <v>830</v>
      </c>
      <c r="C513" s="34">
        <v>4301012034</v>
      </c>
      <c r="D513" s="660">
        <v>4607091389982</v>
      </c>
      <c r="E513" s="66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2"/>
      <c r="R513" s="662"/>
      <c r="S513" s="662"/>
      <c r="T513" s="66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8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824</v>
      </c>
      <c r="AG513" s="75"/>
      <c r="AJ513" s="79" t="s">
        <v>46</v>
      </c>
      <c r="AK513" s="79">
        <v>0</v>
      </c>
      <c r="BB513" s="614" t="s">
        <v>66</v>
      </c>
      <c r="BM513" s="75">
        <f t="shared" si="80"/>
        <v>0</v>
      </c>
      <c r="BN513" s="75">
        <f t="shared" si="81"/>
        <v>0</v>
      </c>
      <c r="BO513" s="75">
        <f t="shared" si="82"/>
        <v>0</v>
      </c>
      <c r="BP513" s="75">
        <f t="shared" si="83"/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59" t="s">
        <v>154</v>
      </c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  <c r="AA516" s="63"/>
      <c r="AB516" s="63"/>
      <c r="AC516" s="63"/>
    </row>
    <row r="517" spans="1:68" ht="16.5" hidden="1" customHeight="1" x14ac:dyDescent="0.25">
      <c r="A517" s="60" t="s">
        <v>831</v>
      </c>
      <c r="B517" s="60" t="s">
        <v>832</v>
      </c>
      <c r="C517" s="34">
        <v>4301020334</v>
      </c>
      <c r="D517" s="660">
        <v>4607091388930</v>
      </c>
      <c r="E517" s="66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89</v>
      </c>
      <c r="N517" s="36"/>
      <c r="O517" s="35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2"/>
      <c r="R517" s="662"/>
      <c r="S517" s="662"/>
      <c r="T517" s="66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833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4301020374</v>
      </c>
      <c r="D518" s="660">
        <v>4680115886407</v>
      </c>
      <c r="E518" s="66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90</v>
      </c>
      <c r="L518" s="35" t="s">
        <v>46</v>
      </c>
      <c r="M518" s="36" t="s">
        <v>125</v>
      </c>
      <c r="N518" s="36"/>
      <c r="O518" s="35">
        <v>70</v>
      </c>
      <c r="P518" s="6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2"/>
      <c r="R518" s="662"/>
      <c r="S518" s="662"/>
      <c r="T518" s="66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833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836</v>
      </c>
      <c r="B519" s="60" t="s">
        <v>837</v>
      </c>
      <c r="C519" s="34">
        <v>4301020385</v>
      </c>
      <c r="D519" s="660">
        <v>4680115880054</v>
      </c>
      <c r="E519" s="66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133</v>
      </c>
      <c r="L519" s="35" t="s">
        <v>46</v>
      </c>
      <c r="M519" s="36" t="s">
        <v>125</v>
      </c>
      <c r="N519" s="36"/>
      <c r="O519" s="35">
        <v>70</v>
      </c>
      <c r="P519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2"/>
      <c r="R519" s="662"/>
      <c r="S519" s="662"/>
      <c r="T519" s="66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833</v>
      </c>
      <c r="AG519" s="75"/>
      <c r="AJ519" s="79" t="s">
        <v>46</v>
      </c>
      <c r="AK519" s="79">
        <v>0</v>
      </c>
      <c r="BB519" s="620" t="s">
        <v>66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656"/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7"/>
      <c r="P521" s="653" t="s">
        <v>40</v>
      </c>
      <c r="Q521" s="654"/>
      <c r="R521" s="654"/>
      <c r="S521" s="654"/>
      <c r="T521" s="654"/>
      <c r="U521" s="654"/>
      <c r="V521" s="655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659" t="s">
        <v>76</v>
      </c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  <c r="AA522" s="63"/>
      <c r="AB522" s="63"/>
      <c r="AC522" s="63"/>
    </row>
    <row r="523" spans="1:68" ht="27" hidden="1" customHeight="1" x14ac:dyDescent="0.25">
      <c r="A523" s="60" t="s">
        <v>838</v>
      </c>
      <c r="B523" s="60" t="s">
        <v>839</v>
      </c>
      <c r="C523" s="34">
        <v>4301031349</v>
      </c>
      <c r="D523" s="660">
        <v>4680115883116</v>
      </c>
      <c r="E523" s="66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125</v>
      </c>
      <c r="N523" s="36"/>
      <c r="O523" s="35">
        <v>70</v>
      </c>
      <c r="P523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2"/>
      <c r="R523" s="662"/>
      <c r="S523" s="662"/>
      <c r="T523" s="66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4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ref="BM523:BM529" si="85">IFERROR(X523*I523/H523,"0")</f>
        <v>0</v>
      </c>
      <c r="BN523" s="75">
        <f t="shared" ref="BN523:BN529" si="86">IFERROR(Y523*I523/H523,"0")</f>
        <v>0</v>
      </c>
      <c r="BO523" s="75">
        <f t="shared" ref="BO523:BO529" si="87">IFERROR(1/J523*(X523/H523),"0")</f>
        <v>0</v>
      </c>
      <c r="BP523" s="75">
        <f t="shared" ref="BP523:BP529" si="88">IFERROR(1/J523*(Y523/H523),"0")</f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4301031350</v>
      </c>
      <c r="D524" s="660">
        <v>4680115883093</v>
      </c>
      <c r="E524" s="66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2"/>
      <c r="R524" s="662"/>
      <c r="S524" s="662"/>
      <c r="T524" s="66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4301031353</v>
      </c>
      <c r="D525" s="660">
        <v>4680115883109</v>
      </c>
      <c r="E525" s="66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126</v>
      </c>
      <c r="L525" s="35" t="s">
        <v>46</v>
      </c>
      <c r="M525" s="36" t="s">
        <v>80</v>
      </c>
      <c r="N525" s="36"/>
      <c r="O525" s="35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2"/>
      <c r="R525" s="662"/>
      <c r="S525" s="662"/>
      <c r="T525" s="66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846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4301031419</v>
      </c>
      <c r="D526" s="660">
        <v>4680115882072</v>
      </c>
      <c r="E526" s="66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133</v>
      </c>
      <c r="L526" s="35" t="s">
        <v>46</v>
      </c>
      <c r="M526" s="36" t="s">
        <v>125</v>
      </c>
      <c r="N526" s="36"/>
      <c r="O526" s="35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2"/>
      <c r="R526" s="662"/>
      <c r="S526" s="662"/>
      <c r="T526" s="66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849</v>
      </c>
      <c r="B527" s="60" t="s">
        <v>850</v>
      </c>
      <c r="C527" s="34">
        <v>4301031352</v>
      </c>
      <c r="D527" s="660">
        <v>4680115882102</v>
      </c>
      <c r="E527" s="66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2"/>
      <c r="R527" s="662"/>
      <c r="S527" s="662"/>
      <c r="T527" s="66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843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849</v>
      </c>
      <c r="B528" s="60" t="s">
        <v>851</v>
      </c>
      <c r="C528" s="34">
        <v>4301031418</v>
      </c>
      <c r="D528" s="660">
        <v>4680115882102</v>
      </c>
      <c r="E528" s="66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2"/>
      <c r="R528" s="662"/>
      <c r="S528" s="662"/>
      <c r="T528" s="66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hidden="1" customHeight="1" x14ac:dyDescent="0.25">
      <c r="A529" s="60" t="s">
        <v>852</v>
      </c>
      <c r="B529" s="60" t="s">
        <v>853</v>
      </c>
      <c r="C529" s="34">
        <v>4301031417</v>
      </c>
      <c r="D529" s="660">
        <v>4680115882096</v>
      </c>
      <c r="E529" s="66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133</v>
      </c>
      <c r="L529" s="35" t="s">
        <v>46</v>
      </c>
      <c r="M529" s="36" t="s">
        <v>80</v>
      </c>
      <c r="N529" s="36"/>
      <c r="O529" s="35">
        <v>70</v>
      </c>
      <c r="P529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2"/>
      <c r="R529" s="662"/>
      <c r="S529" s="662"/>
      <c r="T529" s="66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4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846</v>
      </c>
      <c r="AG529" s="75"/>
      <c r="AJ529" s="79" t="s">
        <v>46</v>
      </c>
      <c r="AK529" s="79">
        <v>0</v>
      </c>
      <c r="BB529" s="634" t="s">
        <v>66</v>
      </c>
      <c r="BM529" s="75">
        <f t="shared" si="85"/>
        <v>0</v>
      </c>
      <c r="BN529" s="75">
        <f t="shared" si="86"/>
        <v>0</v>
      </c>
      <c r="BO529" s="75">
        <f t="shared" si="87"/>
        <v>0</v>
      </c>
      <c r="BP529" s="75">
        <f t="shared" si="88"/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673" t="s">
        <v>854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52"/>
      <c r="AB532" s="52"/>
      <c r="AC532" s="52"/>
    </row>
    <row r="533" spans="1:68" ht="16.5" hidden="1" customHeight="1" x14ac:dyDescent="0.25">
      <c r="A533" s="658" t="s">
        <v>854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2"/>
      <c r="AB533" s="62"/>
      <c r="AC533" s="62"/>
    </row>
    <row r="534" spans="1:68" ht="14.25" hidden="1" customHeight="1" x14ac:dyDescent="0.25">
      <c r="A534" s="659" t="s">
        <v>121</v>
      </c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3"/>
      <c r="AB534" s="63"/>
      <c r="AC534" s="63"/>
    </row>
    <row r="535" spans="1:68" ht="27" hidden="1" customHeight="1" x14ac:dyDescent="0.25">
      <c r="A535" s="60" t="s">
        <v>855</v>
      </c>
      <c r="B535" s="60" t="s">
        <v>856</v>
      </c>
      <c r="C535" s="34">
        <v>4301011584</v>
      </c>
      <c r="D535" s="660">
        <v>4640242180564</v>
      </c>
      <c r="E535" s="66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126</v>
      </c>
      <c r="L535" s="35" t="s">
        <v>46</v>
      </c>
      <c r="M535" s="36" t="s">
        <v>125</v>
      </c>
      <c r="N535" s="36"/>
      <c r="O535" s="35">
        <v>50</v>
      </c>
      <c r="P535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2"/>
      <c r="R535" s="662"/>
      <c r="S535" s="662"/>
      <c r="T535" s="66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857</v>
      </c>
      <c r="AG535" s="75"/>
      <c r="AJ535" s="79" t="s">
        <v>46</v>
      </c>
      <c r="AK535" s="79">
        <v>0</v>
      </c>
      <c r="BB535" s="636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656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53" t="s">
        <v>40</v>
      </c>
      <c r="Q537" s="654"/>
      <c r="R537" s="654"/>
      <c r="S537" s="654"/>
      <c r="T537" s="654"/>
      <c r="U537" s="654"/>
      <c r="V537" s="655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659" t="s">
        <v>154</v>
      </c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  <c r="AA538" s="63"/>
      <c r="AB538" s="63"/>
      <c r="AC538" s="63"/>
    </row>
    <row r="539" spans="1:68" ht="27" hidden="1" customHeight="1" x14ac:dyDescent="0.25">
      <c r="A539" s="60" t="s">
        <v>858</v>
      </c>
      <c r="B539" s="60" t="s">
        <v>859</v>
      </c>
      <c r="C539" s="34">
        <v>4301020400</v>
      </c>
      <c r="D539" s="660">
        <v>4640242180519</v>
      </c>
      <c r="E539" s="66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126</v>
      </c>
      <c r="L539" s="35" t="s">
        <v>46</v>
      </c>
      <c r="M539" s="36" t="s">
        <v>125</v>
      </c>
      <c r="N539" s="36"/>
      <c r="O539" s="35">
        <v>50</v>
      </c>
      <c r="P539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2"/>
      <c r="R539" s="662"/>
      <c r="S539" s="662"/>
      <c r="T539" s="66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860</v>
      </c>
      <c r="AG539" s="75"/>
      <c r="AJ539" s="79" t="s">
        <v>46</v>
      </c>
      <c r="AK539" s="79">
        <v>0</v>
      </c>
      <c r="BB539" s="638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56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53" t="s">
        <v>40</v>
      </c>
      <c r="Q541" s="654"/>
      <c r="R541" s="654"/>
      <c r="S541" s="654"/>
      <c r="T541" s="654"/>
      <c r="U541" s="654"/>
      <c r="V541" s="655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59" t="s">
        <v>76</v>
      </c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  <c r="AA542" s="63"/>
      <c r="AB542" s="63"/>
      <c r="AC542" s="63"/>
    </row>
    <row r="543" spans="1:68" ht="27" hidden="1" customHeight="1" x14ac:dyDescent="0.25">
      <c r="A543" s="60" t="s">
        <v>861</v>
      </c>
      <c r="B543" s="60" t="s">
        <v>862</v>
      </c>
      <c r="C543" s="34">
        <v>4301031500</v>
      </c>
      <c r="D543" s="660">
        <v>4640242180595</v>
      </c>
      <c r="E543" s="66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133</v>
      </c>
      <c r="L543" s="35" t="s">
        <v>46</v>
      </c>
      <c r="M543" s="36" t="s">
        <v>80</v>
      </c>
      <c r="N543" s="36"/>
      <c r="O543" s="35">
        <v>40</v>
      </c>
      <c r="P543" s="66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2"/>
      <c r="R543" s="662"/>
      <c r="S543" s="662"/>
      <c r="T543" s="66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863</v>
      </c>
      <c r="AG543" s="75"/>
      <c r="AJ543" s="79" t="s">
        <v>46</v>
      </c>
      <c r="AK543" s="79">
        <v>0</v>
      </c>
      <c r="BB543" s="64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56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53" t="s">
        <v>40</v>
      </c>
      <c r="Q545" s="654"/>
      <c r="R545" s="654"/>
      <c r="S545" s="654"/>
      <c r="T545" s="654"/>
      <c r="U545" s="654"/>
      <c r="V545" s="655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59" t="s">
        <v>85</v>
      </c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  <c r="AA546" s="63"/>
      <c r="AB546" s="63"/>
      <c r="AC546" s="63"/>
    </row>
    <row r="547" spans="1:68" ht="27" hidden="1" customHeight="1" x14ac:dyDescent="0.25">
      <c r="A547" s="60" t="s">
        <v>864</v>
      </c>
      <c r="B547" s="60" t="s">
        <v>865</v>
      </c>
      <c r="C547" s="34">
        <v>4301052043</v>
      </c>
      <c r="D547" s="660">
        <v>4640242180533</v>
      </c>
      <c r="E547" s="66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126</v>
      </c>
      <c r="L547" s="35" t="s">
        <v>46</v>
      </c>
      <c r="M547" s="36" t="s">
        <v>89</v>
      </c>
      <c r="N547" s="36"/>
      <c r="O547" s="35">
        <v>45</v>
      </c>
      <c r="P547" s="6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2"/>
      <c r="R547" s="662"/>
      <c r="S547" s="662"/>
      <c r="T547" s="66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866</v>
      </c>
      <c r="AG547" s="75"/>
      <c r="AJ547" s="79" t="s">
        <v>46</v>
      </c>
      <c r="AK547" s="79">
        <v>0</v>
      </c>
      <c r="BB547" s="64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56"/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7"/>
      <c r="P549" s="653" t="s">
        <v>40</v>
      </c>
      <c r="Q549" s="654"/>
      <c r="R549" s="654"/>
      <c r="S549" s="654"/>
      <c r="T549" s="654"/>
      <c r="U549" s="654"/>
      <c r="V549" s="655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659" t="s">
        <v>172</v>
      </c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  <c r="AA550" s="63"/>
      <c r="AB550" s="63"/>
      <c r="AC550" s="63"/>
    </row>
    <row r="551" spans="1:68" ht="27" hidden="1" customHeight="1" x14ac:dyDescent="0.25">
      <c r="A551" s="60" t="s">
        <v>867</v>
      </c>
      <c r="B551" s="60" t="s">
        <v>868</v>
      </c>
      <c r="C551" s="34">
        <v>4301060535</v>
      </c>
      <c r="D551" s="660">
        <v>4640242180120</v>
      </c>
      <c r="E551" s="66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2"/>
      <c r="R551" s="662"/>
      <c r="S551" s="662"/>
      <c r="T551" s="66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870</v>
      </c>
      <c r="B552" s="60" t="s">
        <v>871</v>
      </c>
      <c r="C552" s="34">
        <v>4301060536</v>
      </c>
      <c r="D552" s="660">
        <v>4640242180137</v>
      </c>
      <c r="E552" s="66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126</v>
      </c>
      <c r="L552" s="35" t="s">
        <v>46</v>
      </c>
      <c r="M552" s="36" t="s">
        <v>89</v>
      </c>
      <c r="N552" s="36"/>
      <c r="O552" s="35">
        <v>40</v>
      </c>
      <c r="P552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2"/>
      <c r="R552" s="662"/>
      <c r="S552" s="662"/>
      <c r="T552" s="66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872</v>
      </c>
      <c r="AG552" s="75"/>
      <c r="AJ552" s="79" t="s">
        <v>46</v>
      </c>
      <c r="AK552" s="79">
        <v>0</v>
      </c>
      <c r="BB552" s="646" t="s">
        <v>66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7"/>
      <c r="P554" s="653" t="s">
        <v>40</v>
      </c>
      <c r="Q554" s="654"/>
      <c r="R554" s="654"/>
      <c r="S554" s="654"/>
      <c r="T554" s="654"/>
      <c r="U554" s="654"/>
      <c r="V554" s="655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658" t="s">
        <v>873</v>
      </c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8"/>
      <c r="P555" s="658"/>
      <c r="Q555" s="658"/>
      <c r="R555" s="658"/>
      <c r="S555" s="658"/>
      <c r="T555" s="658"/>
      <c r="U555" s="658"/>
      <c r="V555" s="658"/>
      <c r="W555" s="658"/>
      <c r="X555" s="658"/>
      <c r="Y555" s="658"/>
      <c r="Z555" s="658"/>
      <c r="AA555" s="62"/>
      <c r="AB555" s="62"/>
      <c r="AC555" s="62"/>
    </row>
    <row r="556" spans="1:68" ht="14.25" hidden="1" customHeight="1" x14ac:dyDescent="0.25">
      <c r="A556" s="659" t="s">
        <v>154</v>
      </c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3"/>
      <c r="AB556" s="63"/>
      <c r="AC556" s="63"/>
    </row>
    <row r="557" spans="1:68" ht="27" hidden="1" customHeight="1" x14ac:dyDescent="0.25">
      <c r="A557" s="60" t="s">
        <v>874</v>
      </c>
      <c r="B557" s="60" t="s">
        <v>875</v>
      </c>
      <c r="C557" s="34">
        <v>4301020428</v>
      </c>
      <c r="D557" s="660">
        <v>4640242180090</v>
      </c>
      <c r="E557" s="66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126</v>
      </c>
      <c r="L557" s="35" t="s">
        <v>46</v>
      </c>
      <c r="M557" s="36" t="s">
        <v>125</v>
      </c>
      <c r="N557" s="36"/>
      <c r="O557" s="35">
        <v>50</v>
      </c>
      <c r="P557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2"/>
      <c r="R557" s="662"/>
      <c r="S557" s="662"/>
      <c r="T557" s="66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876</v>
      </c>
      <c r="AG557" s="75"/>
      <c r="AJ557" s="79" t="s">
        <v>46</v>
      </c>
      <c r="AK557" s="79">
        <v>0</v>
      </c>
      <c r="BB557" s="648" t="s">
        <v>66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57"/>
      <c r="P559" s="653" t="s">
        <v>40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7"/>
      <c r="P560" s="664" t="s">
        <v>33</v>
      </c>
      <c r="Q560" s="665"/>
      <c r="R560" s="665"/>
      <c r="S560" s="665"/>
      <c r="T560" s="665"/>
      <c r="U560" s="665"/>
      <c r="V560" s="666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500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525</v>
      </c>
      <c r="Z560" s="40"/>
      <c r="AA560" s="64"/>
      <c r="AB560" s="64"/>
      <c r="AC560" s="6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7"/>
      <c r="P561" s="664" t="s">
        <v>34</v>
      </c>
      <c r="Q561" s="665"/>
      <c r="R561" s="665"/>
      <c r="S561" s="665"/>
      <c r="T561" s="665"/>
      <c r="U561" s="665"/>
      <c r="V561" s="666"/>
      <c r="W561" s="40" t="s">
        <v>0</v>
      </c>
      <c r="X561" s="41">
        <f>IFERROR(SUM(BM22:BM557),"0")</f>
        <v>515.66666666666674</v>
      </c>
      <c r="Y561" s="41">
        <f>IFERROR(SUM(BN22:BN557),"0")</f>
        <v>541.45000000000005</v>
      </c>
      <c r="Z561" s="40"/>
      <c r="AA561" s="64"/>
      <c r="AB561" s="64"/>
      <c r="AC561" s="6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7"/>
      <c r="P562" s="664" t="s">
        <v>35</v>
      </c>
      <c r="Q562" s="665"/>
      <c r="R562" s="665"/>
      <c r="S562" s="665"/>
      <c r="T562" s="665"/>
      <c r="U562" s="665"/>
      <c r="V562" s="666"/>
      <c r="W562" s="40" t="s">
        <v>20</v>
      </c>
      <c r="X562" s="42">
        <f>ROUNDUP(SUM(BO22:BO557),0)</f>
        <v>1</v>
      </c>
      <c r="Y562" s="42">
        <f>ROUNDUP(SUM(BP22:BP557),0)</f>
        <v>1</v>
      </c>
      <c r="Z562" s="40"/>
      <c r="AA562" s="64"/>
      <c r="AB562" s="64"/>
      <c r="AC562" s="64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7"/>
      <c r="P563" s="664" t="s">
        <v>36</v>
      </c>
      <c r="Q563" s="665"/>
      <c r="R563" s="665"/>
      <c r="S563" s="665"/>
      <c r="T563" s="665"/>
      <c r="U563" s="665"/>
      <c r="V563" s="666"/>
      <c r="W563" s="40" t="s">
        <v>0</v>
      </c>
      <c r="X563" s="41">
        <f>GrossWeightTotal+PalletQtyTotal*25</f>
        <v>540.66666666666674</v>
      </c>
      <c r="Y563" s="41">
        <f>GrossWeightTotalR+PalletQtyTotalR*25</f>
        <v>566.45000000000005</v>
      </c>
      <c r="Z563" s="40"/>
      <c r="AA563" s="64"/>
      <c r="AB563" s="64"/>
      <c r="AC563" s="64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7"/>
      <c r="P564" s="664" t="s">
        <v>37</v>
      </c>
      <c r="Q564" s="665"/>
      <c r="R564" s="665"/>
      <c r="S564" s="665"/>
      <c r="T564" s="665"/>
      <c r="U564" s="665"/>
      <c r="V564" s="666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33.333333333333336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35</v>
      </c>
      <c r="Z564" s="40"/>
      <c r="AA564" s="64"/>
      <c r="AB564" s="64"/>
      <c r="AC564" s="64"/>
    </row>
    <row r="565" spans="1:32" ht="14.25" hidden="1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7"/>
      <c r="P565" s="664" t="s">
        <v>38</v>
      </c>
      <c r="Q565" s="665"/>
      <c r="R565" s="665"/>
      <c r="S565" s="665"/>
      <c r="T565" s="665"/>
      <c r="U565" s="665"/>
      <c r="V565" s="666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0.76124999999999998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75</v>
      </c>
      <c r="C567" s="80" t="s">
        <v>45</v>
      </c>
      <c r="D567" s="649" t="s">
        <v>119</v>
      </c>
      <c r="E567" s="649" t="s">
        <v>119</v>
      </c>
      <c r="F567" s="649" t="s">
        <v>119</v>
      </c>
      <c r="G567" s="649" t="s">
        <v>119</v>
      </c>
      <c r="H567" s="649" t="s">
        <v>119</v>
      </c>
      <c r="I567" s="649" t="s">
        <v>119</v>
      </c>
      <c r="J567" s="649" t="s">
        <v>119</v>
      </c>
      <c r="K567" s="649" t="s">
        <v>359</v>
      </c>
      <c r="L567" s="649" t="s">
        <v>359</v>
      </c>
      <c r="M567" s="649" t="s">
        <v>359</v>
      </c>
      <c r="N567" s="650"/>
      <c r="O567" s="649" t="s">
        <v>359</v>
      </c>
      <c r="P567" s="649" t="s">
        <v>359</v>
      </c>
      <c r="Q567" s="649" t="s">
        <v>359</v>
      </c>
      <c r="R567" s="649" t="s">
        <v>359</v>
      </c>
      <c r="S567" s="649" t="s">
        <v>359</v>
      </c>
      <c r="T567" s="649" t="s">
        <v>359</v>
      </c>
      <c r="U567" s="649" t="s">
        <v>359</v>
      </c>
      <c r="V567" s="649" t="s">
        <v>359</v>
      </c>
      <c r="W567" s="649" t="s">
        <v>705</v>
      </c>
      <c r="X567" s="649" t="s">
        <v>705</v>
      </c>
      <c r="Y567" s="649" t="s">
        <v>771</v>
      </c>
      <c r="Z567" s="649" t="s">
        <v>771</v>
      </c>
      <c r="AA567" s="80" t="s">
        <v>807</v>
      </c>
      <c r="AB567" s="649" t="s">
        <v>854</v>
      </c>
      <c r="AC567" s="649" t="s">
        <v>854</v>
      </c>
      <c r="AF567" s="1"/>
    </row>
    <row r="568" spans="1:32" ht="14.25" customHeight="1" thickTop="1" x14ac:dyDescent="0.2">
      <c r="A568" s="651" t="s">
        <v>10</v>
      </c>
      <c r="B568" s="649" t="s">
        <v>75</v>
      </c>
      <c r="C568" s="649" t="s">
        <v>103</v>
      </c>
      <c r="D568" s="649" t="s">
        <v>120</v>
      </c>
      <c r="E568" s="649" t="s">
        <v>136</v>
      </c>
      <c r="F568" s="649" t="s">
        <v>181</v>
      </c>
      <c r="G568" s="649" t="s">
        <v>208</v>
      </c>
      <c r="H568" s="649" t="s">
        <v>259</v>
      </c>
      <c r="I568" s="649" t="s">
        <v>272</v>
      </c>
      <c r="J568" s="649" t="s">
        <v>119</v>
      </c>
      <c r="K568" s="649" t="s">
        <v>360</v>
      </c>
      <c r="L568" s="649" t="s">
        <v>381</v>
      </c>
      <c r="M568" s="649" t="s">
        <v>448</v>
      </c>
      <c r="N568" s="1"/>
      <c r="O568" s="649" t="s">
        <v>516</v>
      </c>
      <c r="P568" s="649" t="s">
        <v>549</v>
      </c>
      <c r="Q568" s="649" t="s">
        <v>565</v>
      </c>
      <c r="R568" s="649" t="s">
        <v>574</v>
      </c>
      <c r="S568" s="649" t="s">
        <v>595</v>
      </c>
      <c r="T568" s="649" t="s">
        <v>604</v>
      </c>
      <c r="U568" s="649" t="s">
        <v>688</v>
      </c>
      <c r="V568" s="649" t="s">
        <v>695</v>
      </c>
      <c r="W568" s="649" t="s">
        <v>706</v>
      </c>
      <c r="X568" s="649" t="s">
        <v>755</v>
      </c>
      <c r="Y568" s="649" t="s">
        <v>772</v>
      </c>
      <c r="Z568" s="649" t="s">
        <v>795</v>
      </c>
      <c r="AA568" s="649" t="s">
        <v>807</v>
      </c>
      <c r="AB568" s="649" t="s">
        <v>854</v>
      </c>
      <c r="AC568" s="649" t="s">
        <v>873</v>
      </c>
      <c r="AF568" s="1"/>
    </row>
    <row r="569" spans="1:32" ht="13.5" thickBot="1" x14ac:dyDescent="0.25">
      <c r="A569" s="652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1"/>
      <c r="O569" s="649"/>
      <c r="P569" s="649"/>
      <c r="Q569" s="649"/>
      <c r="R569" s="649"/>
      <c r="S569" s="649"/>
      <c r="T569" s="649"/>
      <c r="U569" s="649"/>
      <c r="V569" s="649"/>
      <c r="W569" s="649"/>
      <c r="X569" s="649"/>
      <c r="Y569" s="649"/>
      <c r="Z569" s="649"/>
      <c r="AA569" s="649"/>
      <c r="AB569" s="649"/>
      <c r="AC569" s="649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0</v>
      </c>
      <c r="D570" s="50">
        <f>IFERROR(Y47*1,"0")+IFERROR(Y48*1,"0")+IFERROR(Y49*1,"0")+IFERROR(Y50*1,"0")</f>
        <v>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0">
        <f>IFERROR(Y85*1,"0")+IFERROR(Y86*1,"0")+IFERROR(Y87*1,"0")+IFERROR(Y88*1,"0")+IFERROR(Y89*1,"0")+IFERROR(Y93*1,"0")+IFERROR(Y94*1,"0")+IFERROR(Y95*1,"0")+IFERROR(Y96*1,"0")+IFERROR(Y97*1,"0")+IFERROR(Y98*1,"0")</f>
        <v>0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0">
        <f>IFERROR(Y138*1,"0")+IFERROR(Y139*1,"0")+IFERROR(Y143*1,"0")+IFERROR(Y144*1,"0")+IFERROR(Y148*1,"0")+IFERROR(Y149*1,"0")</f>
        <v>0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0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0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0">
        <f>IFERROR(Y418*1,"0")+IFERROR(Y419*1,"0")</f>
        <v>0</v>
      </c>
      <c r="V570" s="50">
        <f>IFERROR(Y424*1,"0")+IFERROR(Y425*1,"0")+IFERROR(Y426*1,"0")</f>
        <v>0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525</v>
      </c>
      <c r="X570" s="50">
        <f>IFERROR(Y461*1,"0")+IFERROR(Y462*1,"0")+IFERROR(Y466*1,"0")+IFERROR(Y470*1,"0")+IFERROR(Y471*1,"0")+IFERROR(Y472*1,"0")</f>
        <v>0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0">
        <f>IFERROR(Y535*1,"0")+IFERROR(Y539*1,"0")+IFERROR(Y543*1,"0")+IFERROR(Y547*1,"0")+IFERROR(Y551*1,"0")+IFERROR(Y552*1,"0")</f>
        <v>0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26,67"/>
        <filter val="33,33"/>
        <filter val="400,00"/>
        <filter val="500,00"/>
        <filter val="515,67"/>
        <filter val="540,67"/>
        <filter val="6,67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1" t="s">
        <v>878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880</v>
      </c>
      <c r="C6" s="51" t="s">
        <v>881</v>
      </c>
      <c r="D6" s="51" t="s">
        <v>882</v>
      </c>
      <c r="E6" s="51" t="s">
        <v>46</v>
      </c>
    </row>
    <row r="7" spans="2:8" x14ac:dyDescent="0.2">
      <c r="B7" s="51" t="s">
        <v>883</v>
      </c>
      <c r="C7" s="51" t="s">
        <v>884</v>
      </c>
      <c r="D7" s="51" t="s">
        <v>885</v>
      </c>
      <c r="E7" s="51" t="s">
        <v>46</v>
      </c>
    </row>
    <row r="9" spans="2:8" x14ac:dyDescent="0.2">
      <c r="B9" s="51" t="s">
        <v>886</v>
      </c>
      <c r="C9" s="51" t="s">
        <v>881</v>
      </c>
      <c r="D9" s="51" t="s">
        <v>46</v>
      </c>
      <c r="E9" s="51" t="s">
        <v>46</v>
      </c>
    </row>
    <row r="11" spans="2:8" x14ac:dyDescent="0.2">
      <c r="B11" s="51" t="s">
        <v>886</v>
      </c>
      <c r="C11" s="51" t="s">
        <v>884</v>
      </c>
      <c r="D11" s="51" t="s">
        <v>46</v>
      </c>
      <c r="E11" s="51" t="s">
        <v>46</v>
      </c>
    </row>
    <row r="13" spans="2:8" x14ac:dyDescent="0.2">
      <c r="B13" s="51" t="s">
        <v>887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897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2026-09-26T05:48:48Z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