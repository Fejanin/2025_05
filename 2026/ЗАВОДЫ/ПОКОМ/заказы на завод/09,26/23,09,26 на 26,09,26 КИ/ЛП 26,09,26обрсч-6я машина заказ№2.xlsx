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12C4BA0-9E17-48D0-B787-4A408D2A944E}" xr6:coauthVersionLast="47" xr6:coauthVersionMax="47" xr10:uidLastSave="{00000000-0000-0000-0000-000000000000}"/>
  <bookViews>
    <workbookView xWindow="60" yWindow="30" windowWidth="26655" windowHeight="15405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заказа'!$A$18:$AF$561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5" i="2" l="1"/>
  <c r="X554" i="2"/>
  <c r="BO553" i="2"/>
  <c r="BM553" i="2"/>
  <c r="Y553" i="2"/>
  <c r="AC566" i="2" s="1"/>
  <c r="P553" i="2"/>
  <c r="X550" i="2"/>
  <c r="X549" i="2"/>
  <c r="BO548" i="2"/>
  <c r="BM548" i="2"/>
  <c r="Y548" i="2"/>
  <c r="BP548" i="2" s="1"/>
  <c r="P548" i="2"/>
  <c r="BO547" i="2"/>
  <c r="BM547" i="2"/>
  <c r="Y547" i="2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P539" i="2"/>
  <c r="X537" i="2"/>
  <c r="X536" i="2"/>
  <c r="BO535" i="2"/>
  <c r="BM535" i="2"/>
  <c r="Y535" i="2"/>
  <c r="P535" i="2"/>
  <c r="X531" i="2"/>
  <c r="X530" i="2"/>
  <c r="BO529" i="2"/>
  <c r="BM529" i="2"/>
  <c r="Y529" i="2"/>
  <c r="BN529" i="2" s="1"/>
  <c r="P529" i="2"/>
  <c r="BO528" i="2"/>
  <c r="BM528" i="2"/>
  <c r="Y528" i="2"/>
  <c r="BP528" i="2" s="1"/>
  <c r="P528" i="2"/>
  <c r="BO527" i="2"/>
  <c r="BM527" i="2"/>
  <c r="Y527" i="2"/>
  <c r="Z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BP524" i="2" s="1"/>
  <c r="P524" i="2"/>
  <c r="BO523" i="2"/>
  <c r="BM523" i="2"/>
  <c r="Y523" i="2"/>
  <c r="BP523" i="2" s="1"/>
  <c r="P523" i="2"/>
  <c r="X521" i="2"/>
  <c r="X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Z517" i="2" s="1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BO510" i="2"/>
  <c r="BM510" i="2"/>
  <c r="Y510" i="2"/>
  <c r="BP510" i="2" s="1"/>
  <c r="P510" i="2"/>
  <c r="BO509" i="2"/>
  <c r="BM509" i="2"/>
  <c r="Y509" i="2"/>
  <c r="BN509" i="2" s="1"/>
  <c r="P509" i="2"/>
  <c r="BO508" i="2"/>
  <c r="BM508" i="2"/>
  <c r="Y508" i="2"/>
  <c r="BP508" i="2" s="1"/>
  <c r="P508" i="2"/>
  <c r="BO507" i="2"/>
  <c r="BM507" i="2"/>
  <c r="Y507" i="2"/>
  <c r="Z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X501" i="2"/>
  <c r="X500" i="2"/>
  <c r="BO499" i="2"/>
  <c r="BM499" i="2"/>
  <c r="Y499" i="2"/>
  <c r="BN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N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Z482" i="2" s="1"/>
  <c r="P482" i="2"/>
  <c r="BO481" i="2"/>
  <c r="BM481" i="2"/>
  <c r="Y481" i="2"/>
  <c r="BP481" i="2" s="1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P478" i="2"/>
  <c r="X474" i="2"/>
  <c r="X473" i="2"/>
  <c r="BO472" i="2"/>
  <c r="BM472" i="2"/>
  <c r="Y472" i="2"/>
  <c r="BN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Y468" i="2" s="1"/>
  <c r="P466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8" i="2"/>
  <c r="X457" i="2"/>
  <c r="BO456" i="2"/>
  <c r="BM456" i="2"/>
  <c r="Y456" i="2"/>
  <c r="P456" i="2"/>
  <c r="BO455" i="2"/>
  <c r="BM455" i="2"/>
  <c r="Y455" i="2"/>
  <c r="Z455" i="2" s="1"/>
  <c r="P455" i="2"/>
  <c r="X453" i="2"/>
  <c r="X452" i="2"/>
  <c r="BO451" i="2"/>
  <c r="BM451" i="2"/>
  <c r="Y451" i="2"/>
  <c r="BN451" i="2" s="1"/>
  <c r="P451" i="2"/>
  <c r="BO450" i="2"/>
  <c r="BM450" i="2"/>
  <c r="Y450" i="2"/>
  <c r="P450" i="2"/>
  <c r="BO449" i="2"/>
  <c r="BM449" i="2"/>
  <c r="Y449" i="2"/>
  <c r="Z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N443" i="2"/>
  <c r="BM443" i="2"/>
  <c r="Y443" i="2"/>
  <c r="BP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BP432" i="2" s="1"/>
  <c r="P432" i="2"/>
  <c r="X428" i="2"/>
  <c r="X427" i="2"/>
  <c r="BO426" i="2"/>
  <c r="BM426" i="2"/>
  <c r="Y426" i="2"/>
  <c r="P426" i="2"/>
  <c r="BO425" i="2"/>
  <c r="BM425" i="2"/>
  <c r="Y425" i="2"/>
  <c r="BN425" i="2" s="1"/>
  <c r="P425" i="2"/>
  <c r="BO424" i="2"/>
  <c r="BM424" i="2"/>
  <c r="Y424" i="2"/>
  <c r="P424" i="2"/>
  <c r="X421" i="2"/>
  <c r="X420" i="2"/>
  <c r="BO419" i="2"/>
  <c r="BM419" i="2"/>
  <c r="Y419" i="2"/>
  <c r="BP419" i="2" s="1"/>
  <c r="P419" i="2"/>
  <c r="BO418" i="2"/>
  <c r="BM418" i="2"/>
  <c r="Y418" i="2"/>
  <c r="U566" i="2" s="1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Z411" i="2" s="1"/>
  <c r="P411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Z405" i="2" s="1"/>
  <c r="P405" i="2"/>
  <c r="X403" i="2"/>
  <c r="X402" i="2"/>
  <c r="BO401" i="2"/>
  <c r="BM401" i="2"/>
  <c r="Y401" i="2"/>
  <c r="P401" i="2"/>
  <c r="BO400" i="2"/>
  <c r="BM400" i="2"/>
  <c r="Y400" i="2"/>
  <c r="BP400" i="2" s="1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Z379" i="2" s="1"/>
  <c r="P379" i="2"/>
  <c r="BO378" i="2"/>
  <c r="BM378" i="2"/>
  <c r="Y378" i="2"/>
  <c r="BP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BP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Z369" i="2" s="1"/>
  <c r="P369" i="2"/>
  <c r="BO368" i="2"/>
  <c r="BM368" i="2"/>
  <c r="Y368" i="2"/>
  <c r="BP368" i="2" s="1"/>
  <c r="P368" i="2"/>
  <c r="BO367" i="2"/>
  <c r="BM367" i="2"/>
  <c r="Y367" i="2"/>
  <c r="Z367" i="2" s="1"/>
  <c r="P367" i="2"/>
  <c r="BO366" i="2"/>
  <c r="BM366" i="2"/>
  <c r="Y366" i="2"/>
  <c r="BP366" i="2" s="1"/>
  <c r="P366" i="2"/>
  <c r="BO365" i="2"/>
  <c r="BM365" i="2"/>
  <c r="Y365" i="2"/>
  <c r="P365" i="2"/>
  <c r="X362" i="2"/>
  <c r="X361" i="2"/>
  <c r="BO360" i="2"/>
  <c r="BM360" i="2"/>
  <c r="Y360" i="2"/>
  <c r="P360" i="2"/>
  <c r="BO359" i="2"/>
  <c r="BM359" i="2"/>
  <c r="Y359" i="2"/>
  <c r="BP359" i="2" s="1"/>
  <c r="P359" i="2"/>
  <c r="BO358" i="2"/>
  <c r="BM358" i="2"/>
  <c r="Y358" i="2"/>
  <c r="Z358" i="2" s="1"/>
  <c r="P358" i="2"/>
  <c r="X355" i="2"/>
  <c r="X354" i="2"/>
  <c r="BO353" i="2"/>
  <c r="BM353" i="2"/>
  <c r="Y353" i="2"/>
  <c r="BP353" i="2" s="1"/>
  <c r="P353" i="2"/>
  <c r="BO352" i="2"/>
  <c r="BM352" i="2"/>
  <c r="Y352" i="2"/>
  <c r="P352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P344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N337" i="2"/>
  <c r="BM337" i="2"/>
  <c r="Y337" i="2"/>
  <c r="BP337" i="2" s="1"/>
  <c r="P337" i="2"/>
  <c r="X334" i="2"/>
  <c r="X333" i="2"/>
  <c r="BO332" i="2"/>
  <c r="BM332" i="2"/>
  <c r="Y332" i="2"/>
  <c r="BP332" i="2" s="1"/>
  <c r="P332" i="2"/>
  <c r="BO331" i="2"/>
  <c r="BM331" i="2"/>
  <c r="Y331" i="2"/>
  <c r="Z331" i="2" s="1"/>
  <c r="P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P566" i="2" s="1"/>
  <c r="P327" i="2"/>
  <c r="X324" i="2"/>
  <c r="X323" i="2"/>
  <c r="BO322" i="2"/>
  <c r="BM322" i="2"/>
  <c r="Y322" i="2"/>
  <c r="Z322" i="2" s="1"/>
  <c r="Z323" i="2" s="1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X301" i="2"/>
  <c r="X300" i="2"/>
  <c r="BO299" i="2"/>
  <c r="BM299" i="2"/>
  <c r="Y299" i="2"/>
  <c r="Z299" i="2" s="1"/>
  <c r="P299" i="2"/>
  <c r="BO298" i="2"/>
  <c r="BM298" i="2"/>
  <c r="Y298" i="2"/>
  <c r="BP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BP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X281" i="2"/>
  <c r="X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N272" i="2"/>
  <c r="BM272" i="2"/>
  <c r="Y272" i="2"/>
  <c r="BP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Z267" i="2" s="1"/>
  <c r="P267" i="2"/>
  <c r="X265" i="2"/>
  <c r="X264" i="2"/>
  <c r="BO263" i="2"/>
  <c r="BM263" i="2"/>
  <c r="Y263" i="2"/>
  <c r="BN263" i="2" s="1"/>
  <c r="P263" i="2"/>
  <c r="BO262" i="2"/>
  <c r="BM262" i="2"/>
  <c r="Y262" i="2"/>
  <c r="Y265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P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P239" i="2" s="1"/>
  <c r="P239" i="2"/>
  <c r="X237" i="2"/>
  <c r="X236" i="2"/>
  <c r="BO235" i="2"/>
  <c r="BM235" i="2"/>
  <c r="Y235" i="2"/>
  <c r="BP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N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BN222" i="2" s="1"/>
  <c r="P222" i="2"/>
  <c r="BO221" i="2"/>
  <c r="BM221" i="2"/>
  <c r="Y221" i="2"/>
  <c r="BP221" i="2" s="1"/>
  <c r="P221" i="2"/>
  <c r="X219" i="2"/>
  <c r="X218" i="2"/>
  <c r="BO217" i="2"/>
  <c r="BM217" i="2"/>
  <c r="Y217" i="2"/>
  <c r="Y219" i="2" s="1"/>
  <c r="P217" i="2"/>
  <c r="X214" i="2"/>
  <c r="X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BP206" i="2" s="1"/>
  <c r="P206" i="2"/>
  <c r="X202" i="2"/>
  <c r="X201" i="2"/>
  <c r="BO200" i="2"/>
  <c r="BM200" i="2"/>
  <c r="Y200" i="2"/>
  <c r="BP200" i="2" s="1"/>
  <c r="P200" i="2"/>
  <c r="X198" i="2"/>
  <c r="X197" i="2"/>
  <c r="BO196" i="2"/>
  <c r="BM196" i="2"/>
  <c r="Y196" i="2"/>
  <c r="Y198" i="2" s="1"/>
  <c r="P196" i="2"/>
  <c r="X194" i="2"/>
  <c r="X193" i="2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BP190" i="2" s="1"/>
  <c r="P190" i="2"/>
  <c r="X188" i="2"/>
  <c r="X187" i="2"/>
  <c r="BO186" i="2"/>
  <c r="BM186" i="2"/>
  <c r="Y186" i="2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X174" i="2"/>
  <c r="X173" i="2"/>
  <c r="BO172" i="2"/>
  <c r="BM172" i="2"/>
  <c r="Y172" i="2"/>
  <c r="P172" i="2"/>
  <c r="BO171" i="2"/>
  <c r="BM171" i="2"/>
  <c r="Y171" i="2"/>
  <c r="Z171" i="2" s="1"/>
  <c r="P171" i="2"/>
  <c r="X169" i="2"/>
  <c r="X168" i="2"/>
  <c r="BO167" i="2"/>
  <c r="BM167" i="2"/>
  <c r="Y167" i="2"/>
  <c r="P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P164" i="2"/>
  <c r="X161" i="2"/>
  <c r="X160" i="2"/>
  <c r="BO159" i="2"/>
  <c r="BM159" i="2"/>
  <c r="Y159" i="2"/>
  <c r="BP159" i="2" s="1"/>
  <c r="P159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P150" i="2"/>
  <c r="X147" i="2"/>
  <c r="X146" i="2"/>
  <c r="BO145" i="2"/>
  <c r="BM145" i="2"/>
  <c r="Y145" i="2"/>
  <c r="P145" i="2"/>
  <c r="BO144" i="2"/>
  <c r="BM144" i="2"/>
  <c r="Y144" i="2"/>
  <c r="Y146" i="2" s="1"/>
  <c r="P144" i="2"/>
  <c r="X142" i="2"/>
  <c r="X141" i="2"/>
  <c r="BO140" i="2"/>
  <c r="BM140" i="2"/>
  <c r="Y140" i="2"/>
  <c r="P140" i="2"/>
  <c r="BO139" i="2"/>
  <c r="BM139" i="2"/>
  <c r="Y139" i="2"/>
  <c r="P139" i="2"/>
  <c r="X137" i="2"/>
  <c r="X136" i="2"/>
  <c r="BO135" i="2"/>
  <c r="BM135" i="2"/>
  <c r="Y135" i="2"/>
  <c r="Z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Y131" i="2" s="1"/>
  <c r="P129" i="2"/>
  <c r="X127" i="2"/>
  <c r="X126" i="2"/>
  <c r="BO125" i="2"/>
  <c r="BM125" i="2"/>
  <c r="Y125" i="2"/>
  <c r="BP125" i="2" s="1"/>
  <c r="P125" i="2"/>
  <c r="BO124" i="2"/>
  <c r="BM124" i="2"/>
  <c r="Y124" i="2"/>
  <c r="BN124" i="2" s="1"/>
  <c r="P124" i="2"/>
  <c r="BO123" i="2"/>
  <c r="BM123" i="2"/>
  <c r="Y123" i="2"/>
  <c r="P123" i="2"/>
  <c r="BO122" i="2"/>
  <c r="BM122" i="2"/>
  <c r="Y122" i="2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Z116" i="2" s="1"/>
  <c r="P116" i="2"/>
  <c r="X114" i="2"/>
  <c r="X113" i="2"/>
  <c r="BO112" i="2"/>
  <c r="BM112" i="2"/>
  <c r="Y112" i="2"/>
  <c r="Z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X101" i="2"/>
  <c r="X100" i="2"/>
  <c r="BO99" i="2"/>
  <c r="BM99" i="2"/>
  <c r="Y99" i="2"/>
  <c r="P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BP96" i="2" s="1"/>
  <c r="P96" i="2"/>
  <c r="X94" i="2"/>
  <c r="X93" i="2"/>
  <c r="BO92" i="2"/>
  <c r="BM92" i="2"/>
  <c r="Y92" i="2"/>
  <c r="BP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BP88" i="2" s="1"/>
  <c r="P88" i="2"/>
  <c r="X85" i="2"/>
  <c r="X84" i="2"/>
  <c r="BO83" i="2"/>
  <c r="BM83" i="2"/>
  <c r="Y83" i="2"/>
  <c r="P83" i="2"/>
  <c r="BO82" i="2"/>
  <c r="BM82" i="2"/>
  <c r="Y82" i="2"/>
  <c r="Z82" i="2" s="1"/>
  <c r="P82" i="2"/>
  <c r="BO81" i="2"/>
  <c r="BM81" i="2"/>
  <c r="Y81" i="2"/>
  <c r="Y85" i="2" s="1"/>
  <c r="P81" i="2"/>
  <c r="X79" i="2"/>
  <c r="X78" i="2"/>
  <c r="BO77" i="2"/>
  <c r="BM77" i="2"/>
  <c r="Y77" i="2"/>
  <c r="P77" i="2"/>
  <c r="BO76" i="2"/>
  <c r="BM76" i="2"/>
  <c r="Y76" i="2"/>
  <c r="Y79" i="2" s="1"/>
  <c r="P76" i="2"/>
  <c r="X74" i="2"/>
  <c r="X73" i="2"/>
  <c r="BO72" i="2"/>
  <c r="BM72" i="2"/>
  <c r="Y72" i="2"/>
  <c r="Z72" i="2" s="1"/>
  <c r="P72" i="2"/>
  <c r="BO71" i="2"/>
  <c r="BM71" i="2"/>
  <c r="Y71" i="2"/>
  <c r="BP71" i="2" s="1"/>
  <c r="P71" i="2"/>
  <c r="BO70" i="2"/>
  <c r="BM70" i="2"/>
  <c r="Y70" i="2"/>
  <c r="BN70" i="2" s="1"/>
  <c r="P70" i="2"/>
  <c r="BO69" i="2"/>
  <c r="BM69" i="2"/>
  <c r="Y69" i="2"/>
  <c r="P69" i="2"/>
  <c r="BO68" i="2"/>
  <c r="BM68" i="2"/>
  <c r="Y68" i="2"/>
  <c r="BN68" i="2" s="1"/>
  <c r="P68" i="2"/>
  <c r="BO67" i="2"/>
  <c r="BM67" i="2"/>
  <c r="Y67" i="2"/>
  <c r="P67" i="2"/>
  <c r="X65" i="2"/>
  <c r="X64" i="2"/>
  <c r="BP63" i="2"/>
  <c r="BO63" i="2"/>
  <c r="BM63" i="2"/>
  <c r="Z63" i="2"/>
  <c r="Y63" i="2"/>
  <c r="BN63" i="2" s="1"/>
  <c r="P63" i="2"/>
  <c r="BO62" i="2"/>
  <c r="BM62" i="2"/>
  <c r="Y62" i="2"/>
  <c r="P62" i="2"/>
  <c r="BO61" i="2"/>
  <c r="BM61" i="2"/>
  <c r="Y61" i="2"/>
  <c r="BP61" i="2" s="1"/>
  <c r="P61" i="2"/>
  <c r="BO60" i="2"/>
  <c r="BM60" i="2"/>
  <c r="Y60" i="2"/>
  <c r="BN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Y51" i="2" s="1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Z39" i="2" s="1"/>
  <c r="P39" i="2"/>
  <c r="BO38" i="2"/>
  <c r="BM38" i="2"/>
  <c r="Y38" i="2"/>
  <c r="BP38" i="2" s="1"/>
  <c r="P38" i="2"/>
  <c r="BO37" i="2"/>
  <c r="BM37" i="2"/>
  <c r="Y37" i="2"/>
  <c r="C566" i="2" s="1"/>
  <c r="P37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Z211" i="2" l="1"/>
  <c r="Z337" i="2"/>
  <c r="Z443" i="2"/>
  <c r="Z272" i="2"/>
  <c r="Z488" i="2"/>
  <c r="Z493" i="2"/>
  <c r="Z494" i="2" s="1"/>
  <c r="BP30" i="2"/>
  <c r="BP98" i="2"/>
  <c r="Z185" i="2"/>
  <c r="BN185" i="2"/>
  <c r="Z240" i="2"/>
  <c r="BN240" i="2"/>
  <c r="Z304" i="2"/>
  <c r="BN304" i="2"/>
  <c r="Y312" i="2"/>
  <c r="Z353" i="2"/>
  <c r="BN353" i="2"/>
  <c r="Z418" i="2"/>
  <c r="BN418" i="2"/>
  <c r="BP425" i="2"/>
  <c r="Y458" i="2"/>
  <c r="Z511" i="2"/>
  <c r="Z56" i="2"/>
  <c r="Z144" i="2"/>
  <c r="BN144" i="2"/>
  <c r="Z178" i="2"/>
  <c r="BN178" i="2"/>
  <c r="Z181" i="2"/>
  <c r="BP207" i="2"/>
  <c r="Z229" i="2"/>
  <c r="BN229" i="2"/>
  <c r="Z251" i="2"/>
  <c r="BN251" i="2"/>
  <c r="Z284" i="2"/>
  <c r="BN284" i="2"/>
  <c r="Z314" i="2"/>
  <c r="Z315" i="2" s="1"/>
  <c r="BN314" i="2"/>
  <c r="BP314" i="2"/>
  <c r="Y315" i="2"/>
  <c r="Z318" i="2"/>
  <c r="Z319" i="2" s="1"/>
  <c r="BN318" i="2"/>
  <c r="BP318" i="2"/>
  <c r="Z345" i="2"/>
  <c r="Y350" i="2"/>
  <c r="Z375" i="2"/>
  <c r="BN375" i="2"/>
  <c r="Z392" i="2"/>
  <c r="BN392" i="2"/>
  <c r="Z406" i="2"/>
  <c r="BN406" i="2"/>
  <c r="Z434" i="2"/>
  <c r="BN434" i="2"/>
  <c r="Z472" i="2"/>
  <c r="Z523" i="2"/>
  <c r="BN523" i="2"/>
  <c r="BP525" i="2"/>
  <c r="X560" i="2"/>
  <c r="Z28" i="2"/>
  <c r="BN28" i="2"/>
  <c r="Z49" i="2"/>
  <c r="Z57" i="2"/>
  <c r="BN57" i="2"/>
  <c r="Z59" i="2"/>
  <c r="BN59" i="2"/>
  <c r="Z70" i="2"/>
  <c r="Z96" i="2"/>
  <c r="BN96" i="2"/>
  <c r="Z124" i="2"/>
  <c r="Y173" i="2"/>
  <c r="Z177" i="2"/>
  <c r="BP183" i="2"/>
  <c r="Z190" i="2"/>
  <c r="BN190" i="2"/>
  <c r="Z209" i="2"/>
  <c r="BN209" i="2"/>
  <c r="Z225" i="2"/>
  <c r="BN225" i="2"/>
  <c r="Z231" i="2"/>
  <c r="BN231" i="2"/>
  <c r="Z242" i="2"/>
  <c r="BN242" i="2"/>
  <c r="Z263" i="2"/>
  <c r="Z274" i="2"/>
  <c r="BN274" i="2"/>
  <c r="Z293" i="2"/>
  <c r="BN293" i="2"/>
  <c r="Z306" i="2"/>
  <c r="BN306" i="2"/>
  <c r="Z328" i="2"/>
  <c r="BN328" i="2"/>
  <c r="Z339" i="2"/>
  <c r="BN339" i="2"/>
  <c r="Z348" i="2"/>
  <c r="BN348" i="2"/>
  <c r="Z371" i="2"/>
  <c r="Z394" i="2"/>
  <c r="Z413" i="2"/>
  <c r="Z432" i="2"/>
  <c r="BN432" i="2"/>
  <c r="Z438" i="2"/>
  <c r="BN438" i="2"/>
  <c r="Z445" i="2"/>
  <c r="Y452" i="2"/>
  <c r="Z451" i="2"/>
  <c r="Z462" i="2"/>
  <c r="BN462" i="2"/>
  <c r="Z466" i="2"/>
  <c r="Z467" i="2" s="1"/>
  <c r="BN466" i="2"/>
  <c r="BP466" i="2"/>
  <c r="Z487" i="2"/>
  <c r="Z489" i="2" s="1"/>
  <c r="Z566" i="2"/>
  <c r="Y500" i="2"/>
  <c r="Z499" i="2"/>
  <c r="Z509" i="2"/>
  <c r="Z512" i="2"/>
  <c r="BN512" i="2"/>
  <c r="Z529" i="2"/>
  <c r="F9" i="2"/>
  <c r="X557" i="2"/>
  <c r="X558" i="2"/>
  <c r="BN23" i="2"/>
  <c r="BP23" i="2"/>
  <c r="X556" i="2"/>
  <c r="BN27" i="2"/>
  <c r="BP27" i="2"/>
  <c r="Z37" i="2"/>
  <c r="Z40" i="2"/>
  <c r="BN40" i="2"/>
  <c r="BN41" i="2"/>
  <c r="Z48" i="2"/>
  <c r="BN48" i="2"/>
  <c r="BP49" i="2"/>
  <c r="E566" i="2"/>
  <c r="BN55" i="2"/>
  <c r="BP55" i="2"/>
  <c r="BP56" i="2"/>
  <c r="Y65" i="2"/>
  <c r="Z60" i="2"/>
  <c r="BP76" i="2"/>
  <c r="BP77" i="2"/>
  <c r="BN77" i="2"/>
  <c r="Z77" i="2"/>
  <c r="Y78" i="2"/>
  <c r="BP83" i="2"/>
  <c r="Z83" i="2"/>
  <c r="BN106" i="2"/>
  <c r="BP106" i="2"/>
  <c r="BP107" i="2"/>
  <c r="BN107" i="2"/>
  <c r="Z107" i="2"/>
  <c r="Z109" i="2"/>
  <c r="BP109" i="2"/>
  <c r="BN112" i="2"/>
  <c r="BP112" i="2"/>
  <c r="BN116" i="2"/>
  <c r="BP116" i="2"/>
  <c r="BP117" i="2"/>
  <c r="BN117" i="2"/>
  <c r="Z117" i="2"/>
  <c r="Y119" i="2"/>
  <c r="BN135" i="2"/>
  <c r="BP135" i="2"/>
  <c r="Z139" i="2"/>
  <c r="Y142" i="2"/>
  <c r="Y141" i="2"/>
  <c r="BN139" i="2"/>
  <c r="BP139" i="2"/>
  <c r="BP140" i="2"/>
  <c r="BN140" i="2"/>
  <c r="Z140" i="2"/>
  <c r="I566" i="2"/>
  <c r="Y157" i="2"/>
  <c r="BN151" i="2"/>
  <c r="Z151" i="2"/>
  <c r="BN153" i="2"/>
  <c r="BP153" i="2"/>
  <c r="BN154" i="2"/>
  <c r="Z154" i="2"/>
  <c r="BP186" i="2"/>
  <c r="BN186" i="2"/>
  <c r="Z186" i="2"/>
  <c r="BN196" i="2"/>
  <c r="BP196" i="2"/>
  <c r="BN200" i="2"/>
  <c r="BN22" i="2"/>
  <c r="BN29" i="2"/>
  <c r="BP37" i="2"/>
  <c r="BN39" i="2"/>
  <c r="BP39" i="2"/>
  <c r="BP60" i="2"/>
  <c r="Z62" i="2"/>
  <c r="BP62" i="2"/>
  <c r="BN62" i="2"/>
  <c r="Y73" i="2"/>
  <c r="BN67" i="2"/>
  <c r="Z67" i="2"/>
  <c r="BP69" i="2"/>
  <c r="BN69" i="2"/>
  <c r="Z69" i="2"/>
  <c r="Y74" i="2"/>
  <c r="BN76" i="2"/>
  <c r="Z76" i="2"/>
  <c r="BN90" i="2"/>
  <c r="BN97" i="2"/>
  <c r="Y100" i="2"/>
  <c r="G566" i="2"/>
  <c r="Z104" i="2"/>
  <c r="BP123" i="2"/>
  <c r="BN123" i="2"/>
  <c r="Z123" i="2"/>
  <c r="BN152" i="2"/>
  <c r="Z152" i="2"/>
  <c r="BP155" i="2"/>
  <c r="BN155" i="2"/>
  <c r="Z155" i="2"/>
  <c r="J566" i="2"/>
  <c r="BP164" i="2"/>
  <c r="BN164" i="2"/>
  <c r="Z164" i="2"/>
  <c r="Z166" i="2"/>
  <c r="BP166" i="2"/>
  <c r="BP180" i="2"/>
  <c r="BN180" i="2"/>
  <c r="Z180" i="2"/>
  <c r="BP184" i="2"/>
  <c r="BN184" i="2"/>
  <c r="Z184" i="2"/>
  <c r="Y193" i="2"/>
  <c r="Z191" i="2"/>
  <c r="BN212" i="2"/>
  <c r="BP222" i="2"/>
  <c r="BN224" i="2"/>
  <c r="BP226" i="2"/>
  <c r="Y236" i="2"/>
  <c r="BN234" i="2"/>
  <c r="BP234" i="2"/>
  <c r="Y249" i="2"/>
  <c r="BN244" i="2"/>
  <c r="BP244" i="2"/>
  <c r="BN246" i="2"/>
  <c r="Y296" i="2"/>
  <c r="BN299" i="2"/>
  <c r="BN308" i="2"/>
  <c r="BP308" i="2"/>
  <c r="BN310" i="2"/>
  <c r="BN347" i="2"/>
  <c r="BP347" i="2"/>
  <c r="BP360" i="2"/>
  <c r="Z360" i="2"/>
  <c r="BP365" i="2"/>
  <c r="BN365" i="2"/>
  <c r="Z365" i="2"/>
  <c r="BN367" i="2"/>
  <c r="BP367" i="2"/>
  <c r="BN369" i="2"/>
  <c r="Y372" i="2"/>
  <c r="BN393" i="2"/>
  <c r="BN401" i="2"/>
  <c r="BP401" i="2"/>
  <c r="BP407" i="2"/>
  <c r="BN407" i="2"/>
  <c r="Z407" i="2"/>
  <c r="Y440" i="2"/>
  <c r="BP433" i="2"/>
  <c r="BN433" i="2"/>
  <c r="Z433" i="2"/>
  <c r="BN439" i="2"/>
  <c r="BP444" i="2"/>
  <c r="BN444" i="2"/>
  <c r="Z444" i="2"/>
  <c r="Z446" i="2" s="1"/>
  <c r="Z470" i="2"/>
  <c r="Y473" i="2"/>
  <c r="BN470" i="2"/>
  <c r="Y566" i="2"/>
  <c r="BN478" i="2"/>
  <c r="Z478" i="2"/>
  <c r="BN480" i="2"/>
  <c r="BP480" i="2"/>
  <c r="BN482" i="2"/>
  <c r="BN519" i="2"/>
  <c r="Z519" i="2"/>
  <c r="BP70" i="2"/>
  <c r="BN72" i="2"/>
  <c r="BP72" i="2"/>
  <c r="Y94" i="2"/>
  <c r="BN91" i="2"/>
  <c r="BP91" i="2"/>
  <c r="BN108" i="2"/>
  <c r="BN111" i="2"/>
  <c r="BN118" i="2"/>
  <c r="Y127" i="2"/>
  <c r="BN122" i="2"/>
  <c r="BP124" i="2"/>
  <c r="BN129" i="2"/>
  <c r="BP129" i="2"/>
  <c r="BN134" i="2"/>
  <c r="Y147" i="2"/>
  <c r="BN145" i="2"/>
  <c r="Y160" i="2"/>
  <c r="BN165" i="2"/>
  <c r="Y169" i="2"/>
  <c r="BP171" i="2"/>
  <c r="Y174" i="2"/>
  <c r="BN176" i="2"/>
  <c r="BP176" i="2"/>
  <c r="BP177" i="2"/>
  <c r="Y188" i="2"/>
  <c r="BN179" i="2"/>
  <c r="BP181" i="2"/>
  <c r="Y194" i="2"/>
  <c r="Z208" i="2"/>
  <c r="BN208" i="2"/>
  <c r="Z210" i="2"/>
  <c r="BN210" i="2"/>
  <c r="BN221" i="2"/>
  <c r="Z222" i="2"/>
  <c r="Z223" i="2"/>
  <c r="BN223" i="2"/>
  <c r="Z226" i="2"/>
  <c r="BP228" i="2"/>
  <c r="Z230" i="2"/>
  <c r="BN230" i="2"/>
  <c r="Z232" i="2"/>
  <c r="BN232" i="2"/>
  <c r="BN233" i="2"/>
  <c r="Z239" i="2"/>
  <c r="BN239" i="2"/>
  <c r="Z241" i="2"/>
  <c r="BN241" i="2"/>
  <c r="BP241" i="2"/>
  <c r="Z252" i="2"/>
  <c r="BN252" i="2"/>
  <c r="BP263" i="2"/>
  <c r="BN267" i="2"/>
  <c r="BP267" i="2"/>
  <c r="Y269" i="2"/>
  <c r="Y270" i="2"/>
  <c r="Z273" i="2"/>
  <c r="BN273" i="2"/>
  <c r="Y281" i="2"/>
  <c r="Z275" i="2"/>
  <c r="BN275" i="2"/>
  <c r="BN277" i="2"/>
  <c r="BP277" i="2"/>
  <c r="BN279" i="2"/>
  <c r="Z283" i="2"/>
  <c r="BN283" i="2"/>
  <c r="Z285" i="2"/>
  <c r="BN285" i="2"/>
  <c r="BN287" i="2"/>
  <c r="BP287" i="2"/>
  <c r="BN289" i="2"/>
  <c r="Z291" i="2"/>
  <c r="Z294" i="2"/>
  <c r="BN294" i="2"/>
  <c r="O566" i="2"/>
  <c r="Z305" i="2"/>
  <c r="BN305" i="2"/>
  <c r="BP305" i="2"/>
  <c r="Y320" i="2"/>
  <c r="BN322" i="2"/>
  <c r="Z327" i="2"/>
  <c r="BN327" i="2"/>
  <c r="BP327" i="2"/>
  <c r="Z329" i="2"/>
  <c r="BN329" i="2"/>
  <c r="Y334" i="2"/>
  <c r="BN331" i="2"/>
  <c r="BP331" i="2"/>
  <c r="Q566" i="2"/>
  <c r="Z338" i="2"/>
  <c r="Z340" i="2" s="1"/>
  <c r="BN338" i="2"/>
  <c r="Y341" i="2"/>
  <c r="Y349" i="2"/>
  <c r="BP344" i="2"/>
  <c r="BN344" i="2"/>
  <c r="Z344" i="2"/>
  <c r="Y355" i="2"/>
  <c r="BP352" i="2"/>
  <c r="BN352" i="2"/>
  <c r="Z352" i="2"/>
  <c r="BP381" i="2"/>
  <c r="Z381" i="2"/>
  <c r="BP385" i="2"/>
  <c r="Y390" i="2"/>
  <c r="BN385" i="2"/>
  <c r="Z385" i="2"/>
  <c r="BN387" i="2"/>
  <c r="BP387" i="2"/>
  <c r="Y396" i="2"/>
  <c r="Y402" i="2"/>
  <c r="BP398" i="2"/>
  <c r="BN398" i="2"/>
  <c r="Z398" i="2"/>
  <c r="Y409" i="2"/>
  <c r="BN411" i="2"/>
  <c r="Y414" i="2"/>
  <c r="BP426" i="2"/>
  <c r="BN426" i="2"/>
  <c r="Z426" i="2"/>
  <c r="BP435" i="2"/>
  <c r="Z435" i="2"/>
  <c r="Y446" i="2"/>
  <c r="X566" i="2"/>
  <c r="Y464" i="2"/>
  <c r="BP461" i="2"/>
  <c r="BN461" i="2"/>
  <c r="Z461" i="2"/>
  <c r="BN507" i="2"/>
  <c r="BN513" i="2"/>
  <c r="BP519" i="2"/>
  <c r="Y520" i="2"/>
  <c r="BN527" i="2"/>
  <c r="AB566" i="2"/>
  <c r="Y536" i="2"/>
  <c r="Z535" i="2"/>
  <c r="Z536" i="2" s="1"/>
  <c r="Y541" i="2"/>
  <c r="Y540" i="2"/>
  <c r="Z539" i="2"/>
  <c r="Z540" i="2" s="1"/>
  <c r="BP543" i="2"/>
  <c r="Y544" i="2"/>
  <c r="Z543" i="2"/>
  <c r="Z544" i="2" s="1"/>
  <c r="BP547" i="2"/>
  <c r="Z547" i="2"/>
  <c r="Y340" i="2"/>
  <c r="Y354" i="2"/>
  <c r="BN358" i="2"/>
  <c r="Y361" i="2"/>
  <c r="BN377" i="2"/>
  <c r="BP377" i="2"/>
  <c r="BN379" i="2"/>
  <c r="Y382" i="2"/>
  <c r="BP394" i="2"/>
  <c r="Y403" i="2"/>
  <c r="Y408" i="2"/>
  <c r="BP405" i="2"/>
  <c r="Y428" i="2"/>
  <c r="W566" i="2"/>
  <c r="BN437" i="2"/>
  <c r="BP437" i="2"/>
  <c r="Y447" i="2"/>
  <c r="BP449" i="2"/>
  <c r="Y453" i="2"/>
  <c r="BP451" i="2"/>
  <c r="BN455" i="2"/>
  <c r="BP455" i="2"/>
  <c r="Y457" i="2"/>
  <c r="BP472" i="2"/>
  <c r="BP487" i="2"/>
  <c r="Y489" i="2"/>
  <c r="Y490" i="2"/>
  <c r="BP497" i="2"/>
  <c r="Y501" i="2"/>
  <c r="BP499" i="2"/>
  <c r="AA566" i="2"/>
  <c r="BP509" i="2"/>
  <c r="BP511" i="2"/>
  <c r="BN517" i="2"/>
  <c r="BP529" i="2"/>
  <c r="Y530" i="2"/>
  <c r="Y93" i="2"/>
  <c r="Y101" i="2"/>
  <c r="Y52" i="2"/>
  <c r="BN82" i="2"/>
  <c r="BN150" i="2"/>
  <c r="Y161" i="2"/>
  <c r="Y237" i="2"/>
  <c r="Y120" i="2"/>
  <c r="BN166" i="2"/>
  <c r="Y254" i="2"/>
  <c r="Z262" i="2"/>
  <c r="Z292" i="2"/>
  <c r="Y420" i="2"/>
  <c r="Y441" i="2"/>
  <c r="Z450" i="2"/>
  <c r="Z498" i="2"/>
  <c r="Z510" i="2"/>
  <c r="Y549" i="2"/>
  <c r="K566" i="2"/>
  <c r="Y42" i="2"/>
  <c r="BN30" i="2"/>
  <c r="Y43" i="2"/>
  <c r="Z55" i="2"/>
  <c r="BP67" i="2"/>
  <c r="BN88" i="2"/>
  <c r="BN98" i="2"/>
  <c r="BN109" i="2"/>
  <c r="Z129" i="2"/>
  <c r="Z130" i="2" s="1"/>
  <c r="BP144" i="2"/>
  <c r="Z196" i="2"/>
  <c r="Z197" i="2" s="1"/>
  <c r="Y201" i="2"/>
  <c r="Y213" i="2"/>
  <c r="Z221" i="2"/>
  <c r="BN37" i="2"/>
  <c r="BP82" i="2"/>
  <c r="BN104" i="2"/>
  <c r="BP150" i="2"/>
  <c r="BN171" i="2"/>
  <c r="BN191" i="2"/>
  <c r="BP246" i="2"/>
  <c r="BP279" i="2"/>
  <c r="BP289" i="2"/>
  <c r="BP299" i="2"/>
  <c r="BP310" i="2"/>
  <c r="BP322" i="2"/>
  <c r="BN345" i="2"/>
  <c r="BP358" i="2"/>
  <c r="BP369" i="2"/>
  <c r="BP379" i="2"/>
  <c r="BN399" i="2"/>
  <c r="BP411" i="2"/>
  <c r="BN435" i="2"/>
  <c r="BN445" i="2"/>
  <c r="BP470" i="2"/>
  <c r="BP482" i="2"/>
  <c r="BN493" i="2"/>
  <c r="Z505" i="2"/>
  <c r="BP507" i="2"/>
  <c r="BP517" i="2"/>
  <c r="Z525" i="2"/>
  <c r="BP527" i="2"/>
  <c r="BN539" i="2"/>
  <c r="L566" i="2"/>
  <c r="Y156" i="2"/>
  <c r="BN262" i="2"/>
  <c r="BN292" i="2"/>
  <c r="Y295" i="2"/>
  <c r="Y362" i="2"/>
  <c r="Y373" i="2"/>
  <c r="Y383" i="2"/>
  <c r="Y415" i="2"/>
  <c r="BN450" i="2"/>
  <c r="Y474" i="2"/>
  <c r="BN498" i="2"/>
  <c r="BN510" i="2"/>
  <c r="Y521" i="2"/>
  <c r="Y531" i="2"/>
  <c r="Y545" i="2"/>
  <c r="M566" i="2"/>
  <c r="Z47" i="2"/>
  <c r="Z58" i="2"/>
  <c r="Z68" i="2"/>
  <c r="Z122" i="2"/>
  <c r="Z145" i="2"/>
  <c r="Z146" i="2" s="1"/>
  <c r="Z179" i="2"/>
  <c r="Y202" i="2"/>
  <c r="Y214" i="2"/>
  <c r="Z224" i="2"/>
  <c r="Y255" i="2"/>
  <c r="Y280" i="2"/>
  <c r="Y300" i="2"/>
  <c r="Y311" i="2"/>
  <c r="Y323" i="2"/>
  <c r="BP399" i="2"/>
  <c r="Y421" i="2"/>
  <c r="BP493" i="2"/>
  <c r="BN505" i="2"/>
  <c r="Z513" i="2"/>
  <c r="BP539" i="2"/>
  <c r="Y550" i="2"/>
  <c r="Y187" i="2"/>
  <c r="Z247" i="2"/>
  <c r="BP262" i="2"/>
  <c r="Z290" i="2"/>
  <c r="Z359" i="2"/>
  <c r="Z361" i="2" s="1"/>
  <c r="Z370" i="2"/>
  <c r="Z380" i="2"/>
  <c r="Y395" i="2"/>
  <c r="Z412" i="2"/>
  <c r="Z414" i="2" s="1"/>
  <c r="BP450" i="2"/>
  <c r="Z471" i="2"/>
  <c r="Z473" i="2" s="1"/>
  <c r="Z483" i="2"/>
  <c r="BP498" i="2"/>
  <c r="Z508" i="2"/>
  <c r="Z518" i="2"/>
  <c r="Z520" i="2" s="1"/>
  <c r="Z528" i="2"/>
  <c r="Z99" i="2"/>
  <c r="Z167" i="2"/>
  <c r="Z89" i="2"/>
  <c r="J9" i="2"/>
  <c r="Z38" i="2"/>
  <c r="Z50" i="2"/>
  <c r="Z61" i="2"/>
  <c r="Z71" i="2"/>
  <c r="BN83" i="2"/>
  <c r="Z105" i="2"/>
  <c r="Z125" i="2"/>
  <c r="Y130" i="2"/>
  <c r="Z172" i="2"/>
  <c r="Z173" i="2" s="1"/>
  <c r="Z182" i="2"/>
  <c r="Z192" i="2"/>
  <c r="Y197" i="2"/>
  <c r="Z206" i="2"/>
  <c r="Z217" i="2"/>
  <c r="Z218" i="2" s="1"/>
  <c r="Z227" i="2"/>
  <c r="BN247" i="2"/>
  <c r="Z257" i="2"/>
  <c r="Z258" i="2" s="1"/>
  <c r="BN290" i="2"/>
  <c r="Y301" i="2"/>
  <c r="Y324" i="2"/>
  <c r="Z346" i="2"/>
  <c r="BN359" i="2"/>
  <c r="BN370" i="2"/>
  <c r="BN380" i="2"/>
  <c r="Z400" i="2"/>
  <c r="BN412" i="2"/>
  <c r="Z424" i="2"/>
  <c r="Z436" i="2"/>
  <c r="BN471" i="2"/>
  <c r="BN483" i="2"/>
  <c r="BN508" i="2"/>
  <c r="BN518" i="2"/>
  <c r="BN528" i="2"/>
  <c r="Z553" i="2"/>
  <c r="Z554" i="2" s="1"/>
  <c r="R566" i="2"/>
  <c r="BN47" i="2"/>
  <c r="BN31" i="2"/>
  <c r="BP68" i="2"/>
  <c r="BN110" i="2"/>
  <c r="Y113" i="2"/>
  <c r="Y136" i="2"/>
  <c r="BP145" i="2"/>
  <c r="BN167" i="2"/>
  <c r="BP179" i="2"/>
  <c r="BN211" i="2"/>
  <c r="BN535" i="2"/>
  <c r="BN547" i="2"/>
  <c r="S566" i="2"/>
  <c r="Z110" i="2"/>
  <c r="Y24" i="2"/>
  <c r="BN38" i="2"/>
  <c r="BN50" i="2"/>
  <c r="Y64" i="2"/>
  <c r="BN105" i="2"/>
  <c r="BN182" i="2"/>
  <c r="BN192" i="2"/>
  <c r="BN206" i="2"/>
  <c r="BN217" i="2"/>
  <c r="BN227" i="2"/>
  <c r="Z235" i="2"/>
  <c r="Z245" i="2"/>
  <c r="BN257" i="2"/>
  <c r="Z268" i="2"/>
  <c r="Z269" i="2" s="1"/>
  <c r="Z278" i="2"/>
  <c r="Z288" i="2"/>
  <c r="Z298" i="2"/>
  <c r="Z300" i="2" s="1"/>
  <c r="Z309" i="2"/>
  <c r="Z332" i="2"/>
  <c r="BN346" i="2"/>
  <c r="Z368" i="2"/>
  <c r="Z378" i="2"/>
  <c r="Z388" i="2"/>
  <c r="BN400" i="2"/>
  <c r="BN424" i="2"/>
  <c r="Y427" i="2"/>
  <c r="BN436" i="2"/>
  <c r="Z456" i="2"/>
  <c r="Z457" i="2" s="1"/>
  <c r="Z481" i="2"/>
  <c r="Y495" i="2"/>
  <c r="Z506" i="2"/>
  <c r="Z526" i="2"/>
  <c r="BN553" i="2"/>
  <c r="T566" i="2"/>
  <c r="BN58" i="2"/>
  <c r="F10" i="2"/>
  <c r="BN61" i="2"/>
  <c r="Z92" i="2"/>
  <c r="BN125" i="2"/>
  <c r="Z159" i="2"/>
  <c r="Z160" i="2" s="1"/>
  <c r="Z29" i="2"/>
  <c r="Z32" i="2" s="1"/>
  <c r="BP31" i="2"/>
  <c r="Z41" i="2"/>
  <c r="BP89" i="2"/>
  <c r="Z97" i="2"/>
  <c r="BP99" i="2"/>
  <c r="Z108" i="2"/>
  <c r="Z118" i="2"/>
  <c r="Z119" i="2" s="1"/>
  <c r="Z165" i="2"/>
  <c r="BP167" i="2"/>
  <c r="Z393" i="2"/>
  <c r="BN405" i="2"/>
  <c r="BP418" i="2"/>
  <c r="Z439" i="2"/>
  <c r="Y467" i="2"/>
  <c r="BP478" i="2"/>
  <c r="Y514" i="2"/>
  <c r="BP535" i="2"/>
  <c r="B566" i="2"/>
  <c r="A10" i="2"/>
  <c r="BP47" i="2"/>
  <c r="BP58" i="2"/>
  <c r="BN99" i="2"/>
  <c r="BP122" i="2"/>
  <c r="BN71" i="2"/>
  <c r="Z81" i="2"/>
  <c r="Z84" i="2" s="1"/>
  <c r="BN172" i="2"/>
  <c r="Y25" i="2"/>
  <c r="BN81" i="2"/>
  <c r="Y84" i="2"/>
  <c r="BN92" i="2"/>
  <c r="Y114" i="2"/>
  <c r="Y137" i="2"/>
  <c r="BN159" i="2"/>
  <c r="BP172" i="2"/>
  <c r="BP217" i="2"/>
  <c r="BP227" i="2"/>
  <c r="BN235" i="2"/>
  <c r="BN245" i="2"/>
  <c r="Y248" i="2"/>
  <c r="BP257" i="2"/>
  <c r="BN268" i="2"/>
  <c r="BN278" i="2"/>
  <c r="BN288" i="2"/>
  <c r="BN298" i="2"/>
  <c r="BN309" i="2"/>
  <c r="BN332" i="2"/>
  <c r="BP346" i="2"/>
  <c r="BN368" i="2"/>
  <c r="BN378" i="2"/>
  <c r="BN388" i="2"/>
  <c r="BP424" i="2"/>
  <c r="BN456" i="2"/>
  <c r="BN481" i="2"/>
  <c r="Y484" i="2"/>
  <c r="BN506" i="2"/>
  <c r="BN526" i="2"/>
  <c r="BP553" i="2"/>
  <c r="V566" i="2"/>
  <c r="D566" i="2"/>
  <c r="Y32" i="2"/>
  <c r="BP81" i="2"/>
  <c r="Z90" i="2"/>
  <c r="Z111" i="2"/>
  <c r="Y126" i="2"/>
  <c r="Z134" i="2"/>
  <c r="Z136" i="2" s="1"/>
  <c r="Z200" i="2"/>
  <c r="Z201" i="2" s="1"/>
  <c r="Z212" i="2"/>
  <c r="Y218" i="2"/>
  <c r="Z233" i="2"/>
  <c r="Z243" i="2"/>
  <c r="Z253" i="2"/>
  <c r="Y258" i="2"/>
  <c r="Z276" i="2"/>
  <c r="Z286" i="2"/>
  <c r="Z307" i="2"/>
  <c r="Z330" i="2"/>
  <c r="Z366" i="2"/>
  <c r="Z376" i="2"/>
  <c r="Z386" i="2"/>
  <c r="Z419" i="2"/>
  <c r="Z420" i="2" s="1"/>
  <c r="BP456" i="2"/>
  <c r="Z479" i="2"/>
  <c r="Z484" i="2" s="1"/>
  <c r="Y515" i="2"/>
  <c r="Z524" i="2"/>
  <c r="Z548" i="2"/>
  <c r="Y554" i="2"/>
  <c r="Y168" i="2"/>
  <c r="Z22" i="2"/>
  <c r="Z24" i="2" s="1"/>
  <c r="Z183" i="2"/>
  <c r="Z207" i="2"/>
  <c r="Z228" i="2"/>
  <c r="Y264" i="2"/>
  <c r="BN291" i="2"/>
  <c r="Z347" i="2"/>
  <c r="BN360" i="2"/>
  <c r="BN371" i="2"/>
  <c r="BN381" i="2"/>
  <c r="Z401" i="2"/>
  <c r="BN413" i="2"/>
  <c r="Z425" i="2"/>
  <c r="BN449" i="2"/>
  <c r="Y485" i="2"/>
  <c r="BN497" i="2"/>
  <c r="BN543" i="2"/>
  <c r="F566" i="2"/>
  <c r="Y33" i="2"/>
  <c r="BN243" i="2"/>
  <c r="BN253" i="2"/>
  <c r="BN276" i="2"/>
  <c r="BN286" i="2"/>
  <c r="BN307" i="2"/>
  <c r="BN330" i="2"/>
  <c r="Y333" i="2"/>
  <c r="BN366" i="2"/>
  <c r="BN376" i="2"/>
  <c r="BN386" i="2"/>
  <c r="Y389" i="2"/>
  <c r="BN419" i="2"/>
  <c r="BN479" i="2"/>
  <c r="BN524" i="2"/>
  <c r="Y537" i="2"/>
  <c r="BN548" i="2"/>
  <c r="Y555" i="2"/>
  <c r="H566" i="2"/>
  <c r="Z150" i="2"/>
  <c r="Z88" i="2"/>
  <c r="BP330" i="2"/>
  <c r="Z311" i="2" l="1"/>
  <c r="Z354" i="2"/>
  <c r="Z93" i="2"/>
  <c r="Z530" i="2"/>
  <c r="Z333" i="2"/>
  <c r="Z295" i="2"/>
  <c r="Z248" i="2"/>
  <c r="Z395" i="2"/>
  <c r="Z100" i="2"/>
  <c r="Z500" i="2"/>
  <c r="Z463" i="2"/>
  <c r="Z408" i="2"/>
  <c r="X559" i="2"/>
  <c r="Z549" i="2"/>
  <c r="Z254" i="2"/>
  <c r="Z113" i="2"/>
  <c r="Z156" i="2"/>
  <c r="Z372" i="2"/>
  <c r="Z280" i="2"/>
  <c r="Z402" i="2"/>
  <c r="Z349" i="2"/>
  <c r="Z193" i="2"/>
  <c r="Z452" i="2"/>
  <c r="Z264" i="2"/>
  <c r="Z141" i="2"/>
  <c r="Z389" i="2"/>
  <c r="Z440" i="2"/>
  <c r="Z168" i="2"/>
  <c r="Y558" i="2"/>
  <c r="Z382" i="2"/>
  <c r="Z42" i="2"/>
  <c r="Z187" i="2"/>
  <c r="Z126" i="2"/>
  <c r="Z236" i="2"/>
  <c r="Y557" i="2"/>
  <c r="Z78" i="2"/>
  <c r="Z73" i="2"/>
  <c r="Y560" i="2"/>
  <c r="Z51" i="2"/>
  <c r="Z213" i="2"/>
  <c r="Z64" i="2"/>
  <c r="Z427" i="2"/>
  <c r="Z514" i="2"/>
  <c r="Y556" i="2"/>
  <c r="Y559" i="2" l="1"/>
  <c r="Z561" i="2"/>
</calcChain>
</file>

<file path=xl/sharedStrings.xml><?xml version="1.0" encoding="utf-8"?>
<sst xmlns="http://schemas.openxmlformats.org/spreadsheetml/2006/main" count="4290" uniqueCount="897">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</sst>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 t="s">
        <v>896</v>
      </c>
      <c r="I5" s="657"/>
      <c r="J5" s="657"/>
      <c r="K5" s="657"/>
      <c r="L5" s="657"/>
      <c r="M5" s="657"/>
      <c r="N5" s="72"/>
      <c r="P5" s="27" t="s">
        <v>4</v>
      </c>
      <c r="Q5" s="659">
        <v>46291</v>
      </c>
      <c r="R5" s="659"/>
      <c r="T5" s="660" t="s">
        <v>3</v>
      </c>
      <c r="U5" s="661"/>
      <c r="V5" s="662" t="s">
        <v>872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 t="s">
        <v>879</v>
      </c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Суббота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 t="str">
        <f>IFERROR(VLOOKUP(DeliveryAddress,Table,3,0),1)</f>
        <v>3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0.54166666666666663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hidden="1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hidden="1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hidden="1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hidden="1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hidden="1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hidden="1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hidden="1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hidden="1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3">
        <v>4680115881426</v>
      </c>
      <c r="E57" s="72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3">
        <v>4680115880283</v>
      </c>
      <c r="E58" s="72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723">
        <v>4680115881525</v>
      </c>
      <c r="E59" s="72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3">
        <v>4680115881525</v>
      </c>
      <c r="E60" s="72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3">
        <v>4680115885899</v>
      </c>
      <c r="E61" s="72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5"/>
      <c r="R61" s="725"/>
      <c r="S61" s="725"/>
      <c r="T61" s="72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23">
        <v>4680115881419</v>
      </c>
      <c r="E62" s="72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5"/>
      <c r="R62" s="725"/>
      <c r="S62" s="725"/>
      <c r="T62" s="72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3">
        <v>4680115881419</v>
      </c>
      <c r="E63" s="723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5"/>
      <c r="R63" s="725"/>
      <c r="S63" s="725"/>
      <c r="T63" s="72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731"/>
      <c r="B64" s="731"/>
      <c r="C64" s="731"/>
      <c r="D64" s="731"/>
      <c r="E64" s="731"/>
      <c r="F64" s="731"/>
      <c r="G64" s="731"/>
      <c r="H64" s="731"/>
      <c r="I64" s="731"/>
      <c r="J64" s="731"/>
      <c r="K64" s="731"/>
      <c r="L64" s="731"/>
      <c r="M64" s="731"/>
      <c r="N64" s="731"/>
      <c r="O64" s="732"/>
      <c r="P64" s="728" t="s">
        <v>40</v>
      </c>
      <c r="Q64" s="729"/>
      <c r="R64" s="729"/>
      <c r="S64" s="729"/>
      <c r="T64" s="729"/>
      <c r="U64" s="729"/>
      <c r="V64" s="730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731"/>
      <c r="B65" s="731"/>
      <c r="C65" s="731"/>
      <c r="D65" s="731"/>
      <c r="E65" s="731"/>
      <c r="F65" s="731"/>
      <c r="G65" s="731"/>
      <c r="H65" s="731"/>
      <c r="I65" s="731"/>
      <c r="J65" s="731"/>
      <c r="K65" s="731"/>
      <c r="L65" s="731"/>
      <c r="M65" s="731"/>
      <c r="N65" s="731"/>
      <c r="O65" s="732"/>
      <c r="P65" s="728" t="s">
        <v>40</v>
      </c>
      <c r="Q65" s="729"/>
      <c r="R65" s="729"/>
      <c r="S65" s="729"/>
      <c r="T65" s="729"/>
      <c r="U65" s="729"/>
      <c r="V65" s="730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722" t="s">
        <v>159</v>
      </c>
      <c r="B66" s="722"/>
      <c r="C66" s="722"/>
      <c r="D66" s="722"/>
      <c r="E66" s="722"/>
      <c r="F66" s="722"/>
      <c r="G66" s="722"/>
      <c r="H66" s="722"/>
      <c r="I66" s="722"/>
      <c r="J66" s="722"/>
      <c r="K66" s="722"/>
      <c r="L66" s="722"/>
      <c r="M66" s="722"/>
      <c r="N66" s="722"/>
      <c r="O66" s="722"/>
      <c r="P66" s="722"/>
      <c r="Q66" s="722"/>
      <c r="R66" s="722"/>
      <c r="S66" s="722"/>
      <c r="T66" s="722"/>
      <c r="U66" s="722"/>
      <c r="V66" s="722"/>
      <c r="W66" s="722"/>
      <c r="X66" s="722"/>
      <c r="Y66" s="722"/>
      <c r="Z66" s="722"/>
      <c r="AA66" s="66"/>
      <c r="AB66" s="66"/>
      <c r="AC66" s="80"/>
    </row>
    <row r="67" spans="1:68" ht="16.5" hidden="1" customHeight="1" x14ac:dyDescent="0.25">
      <c r="A67" s="63" t="s">
        <v>160</v>
      </c>
      <c r="B67" s="63" t="s">
        <v>161</v>
      </c>
      <c r="C67" s="36">
        <v>4301020298</v>
      </c>
      <c r="D67" s="723">
        <v>4680115881440</v>
      </c>
      <c r="E67" s="723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0</v>
      </c>
      <c r="Y67" s="55">
        <f t="shared" ref="Y67:Y72" si="5">IFERROR(IF(X67="",0,CEILING((X67/$H67),1)*$H67),"")</f>
        <v>0</v>
      </c>
      <c r="Z67" s="41" t="str">
        <f>IFERROR(IF(Y67=0,"",ROUNDUP(Y67/H67,0)*0.01898),"")</f>
        <v/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 t="shared" ref="BM67:BM72" si="6">IFERROR(X67*I67/H67,"0")</f>
        <v>0</v>
      </c>
      <c r="BN67" s="78">
        <f t="shared" ref="BN67:BN72" si="7">IFERROR(Y67*I67/H67,"0")</f>
        <v>0</v>
      </c>
      <c r="BO67" s="78">
        <f t="shared" ref="BO67:BO72" si="8">IFERROR(1/J67*(X67/H67),"0")</f>
        <v>0</v>
      </c>
      <c r="BP67" s="78">
        <f t="shared" ref="BP67:BP72" si="9">IFERROR(1/J67*(Y67/H67),"0")</f>
        <v>0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3">
        <v>4680115881440</v>
      </c>
      <c r="E68" s="723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5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5"/>
      <c r="R68" s="725"/>
      <c r="S68" s="725"/>
      <c r="T68" s="726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5"/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 t="shared" si="6"/>
        <v>0</v>
      </c>
      <c r="BN68" s="78">
        <f t="shared" si="7"/>
        <v>0</v>
      </c>
      <c r="BO68" s="78">
        <f t="shared" si="8"/>
        <v>0</v>
      </c>
      <c r="BP68" s="78">
        <f t="shared" si="9"/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3">
        <v>4680115885950</v>
      </c>
      <c r="E69" s="723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5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5"/>
      <c r="R69" s="725"/>
      <c r="S69" s="725"/>
      <c r="T69" s="726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5"/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 t="shared" si="6"/>
        <v>0</v>
      </c>
      <c r="BN69" s="78">
        <f t="shared" si="7"/>
        <v>0</v>
      </c>
      <c r="BO69" s="78">
        <f t="shared" si="8"/>
        <v>0</v>
      </c>
      <c r="BP69" s="78">
        <f t="shared" si="9"/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3">
        <v>4680115887688</v>
      </c>
      <c r="E70" s="723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5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5"/>
      <c r="R70" s="725"/>
      <c r="S70" s="725"/>
      <c r="T70" s="726"/>
      <c r="U70" s="39" t="s">
        <v>46</v>
      </c>
      <c r="V70" s="39" t="s">
        <v>46</v>
      </c>
      <c r="W70" s="40" t="s">
        <v>0</v>
      </c>
      <c r="X70" s="58">
        <v>0</v>
      </c>
      <c r="Y70" s="55">
        <f t="shared" si="5"/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 t="shared" si="6"/>
        <v>0</v>
      </c>
      <c r="BN70" s="78">
        <f t="shared" si="7"/>
        <v>0</v>
      </c>
      <c r="BO70" s="78">
        <f t="shared" si="8"/>
        <v>0</v>
      </c>
      <c r="BP70" s="78">
        <f t="shared" si="9"/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4301020296</v>
      </c>
      <c r="D71" s="723">
        <v>4680115881433</v>
      </c>
      <c r="E71" s="723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0</v>
      </c>
      <c r="Y71" s="55">
        <f t="shared" si="5"/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162</v>
      </c>
      <c r="AG71" s="78"/>
      <c r="AJ71" s="84" t="s">
        <v>46</v>
      </c>
      <c r="AK71" s="84">
        <v>0</v>
      </c>
      <c r="BB71" s="145" t="s">
        <v>67</v>
      </c>
      <c r="BM71" s="78">
        <f t="shared" si="6"/>
        <v>0</v>
      </c>
      <c r="BN71" s="78">
        <f t="shared" si="7"/>
        <v>0</v>
      </c>
      <c r="BO71" s="78">
        <f t="shared" si="8"/>
        <v>0</v>
      </c>
      <c r="BP71" s="78">
        <f t="shared" si="9"/>
        <v>0</v>
      </c>
    </row>
    <row r="72" spans="1:68" ht="27" hidden="1" customHeight="1" x14ac:dyDescent="0.25">
      <c r="A72" s="63" t="s">
        <v>170</v>
      </c>
      <c r="B72" s="63" t="s">
        <v>172</v>
      </c>
      <c r="C72" s="36">
        <v>4301020389</v>
      </c>
      <c r="D72" s="723">
        <v>4680115881433</v>
      </c>
      <c r="E72" s="723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126</v>
      </c>
      <c r="N72" s="38"/>
      <c r="O72" s="37">
        <v>50</v>
      </c>
      <c r="P72" s="76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725"/>
      <c r="R72" s="725"/>
      <c r="S72" s="725"/>
      <c r="T72" s="726"/>
      <c r="U72" s="39" t="s">
        <v>46</v>
      </c>
      <c r="V72" s="39" t="s">
        <v>46</v>
      </c>
      <c r="W72" s="40" t="s">
        <v>0</v>
      </c>
      <c r="X72" s="58">
        <v>0</v>
      </c>
      <c r="Y72" s="55">
        <f t="shared" si="5"/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6" t="s">
        <v>164</v>
      </c>
      <c r="AG72" s="78"/>
      <c r="AJ72" s="84" t="s">
        <v>46</v>
      </c>
      <c r="AK72" s="84">
        <v>0</v>
      </c>
      <c r="BB72" s="147" t="s">
        <v>67</v>
      </c>
      <c r="BM72" s="78">
        <f t="shared" si="6"/>
        <v>0</v>
      </c>
      <c r="BN72" s="78">
        <f t="shared" si="7"/>
        <v>0</v>
      </c>
      <c r="BO72" s="78">
        <f t="shared" si="8"/>
        <v>0</v>
      </c>
      <c r="BP72" s="78">
        <f t="shared" si="9"/>
        <v>0</v>
      </c>
    </row>
    <row r="73" spans="1:68" hidden="1" x14ac:dyDescent="0.2">
      <c r="A73" s="731"/>
      <c r="B73" s="731"/>
      <c r="C73" s="731"/>
      <c r="D73" s="731"/>
      <c r="E73" s="731"/>
      <c r="F73" s="731"/>
      <c r="G73" s="731"/>
      <c r="H73" s="731"/>
      <c r="I73" s="731"/>
      <c r="J73" s="731"/>
      <c r="K73" s="731"/>
      <c r="L73" s="731"/>
      <c r="M73" s="731"/>
      <c r="N73" s="731"/>
      <c r="O73" s="732"/>
      <c r="P73" s="728" t="s">
        <v>40</v>
      </c>
      <c r="Q73" s="729"/>
      <c r="R73" s="729"/>
      <c r="S73" s="729"/>
      <c r="T73" s="729"/>
      <c r="U73" s="729"/>
      <c r="V73" s="730"/>
      <c r="W73" s="42" t="s">
        <v>39</v>
      </c>
      <c r="X73" s="43">
        <f>IFERROR(X67/H67,"0")+IFERROR(X68/H68,"0")+IFERROR(X69/H69,"0")+IFERROR(X70/H70,"0")+IFERROR(X71/H71,"0")+IFERROR(X72/H72,"0")</f>
        <v>0</v>
      </c>
      <c r="Y73" s="43">
        <f>IFERROR(Y67/H67,"0")+IFERROR(Y68/H68,"0")+IFERROR(Y69/H69,"0")+IFERROR(Y70/H70,"0")+IFERROR(Y71/H71,"0")+IFERROR(Y72/H72,"0")</f>
        <v>0</v>
      </c>
      <c r="Z73" s="43">
        <f>IFERROR(IF(Z67="",0,Z67),"0")+IFERROR(IF(Z68="",0,Z68),"0")+IFERROR(IF(Z69="",0,Z69),"0")+IFERROR(IF(Z70="",0,Z70),"0")+IFERROR(IF(Z71="",0,Z71),"0")+IFERROR(IF(Z72="",0,Z72),"0")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731"/>
      <c r="B74" s="731"/>
      <c r="C74" s="731"/>
      <c r="D74" s="731"/>
      <c r="E74" s="731"/>
      <c r="F74" s="731"/>
      <c r="G74" s="731"/>
      <c r="H74" s="731"/>
      <c r="I74" s="731"/>
      <c r="J74" s="731"/>
      <c r="K74" s="731"/>
      <c r="L74" s="731"/>
      <c r="M74" s="731"/>
      <c r="N74" s="731"/>
      <c r="O74" s="732"/>
      <c r="P74" s="728" t="s">
        <v>40</v>
      </c>
      <c r="Q74" s="729"/>
      <c r="R74" s="729"/>
      <c r="S74" s="729"/>
      <c r="T74" s="729"/>
      <c r="U74" s="729"/>
      <c r="V74" s="730"/>
      <c r="W74" s="42" t="s">
        <v>0</v>
      </c>
      <c r="X74" s="43">
        <f>IFERROR(SUM(X67:X72),"0")</f>
        <v>0</v>
      </c>
      <c r="Y74" s="43">
        <f>IFERROR(SUM(Y67:Y72),"0")</f>
        <v>0</v>
      </c>
      <c r="Z74" s="42"/>
      <c r="AA74" s="67"/>
      <c r="AB74" s="67"/>
      <c r="AC74" s="67"/>
    </row>
    <row r="75" spans="1:68" ht="14.25" hidden="1" customHeight="1" x14ac:dyDescent="0.25">
      <c r="A75" s="722" t="s">
        <v>86</v>
      </c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2"/>
      <c r="Q75" s="722"/>
      <c r="R75" s="722"/>
      <c r="S75" s="722"/>
      <c r="T75" s="722"/>
      <c r="U75" s="722"/>
      <c r="V75" s="722"/>
      <c r="W75" s="722"/>
      <c r="X75" s="722"/>
      <c r="Y75" s="722"/>
      <c r="Z75" s="722"/>
      <c r="AA75" s="66"/>
      <c r="AB75" s="66"/>
      <c r="AC75" s="80"/>
    </row>
    <row r="76" spans="1:68" ht="16.5" hidden="1" customHeight="1" x14ac:dyDescent="0.25">
      <c r="A76" s="63" t="s">
        <v>173</v>
      </c>
      <c r="B76" s="63" t="s">
        <v>174</v>
      </c>
      <c r="C76" s="36">
        <v>4301051837</v>
      </c>
      <c r="D76" s="723">
        <v>4680115884311</v>
      </c>
      <c r="E76" s="723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725"/>
      <c r="R76" s="725"/>
      <c r="S76" s="725"/>
      <c r="T76" s="72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175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hidden="1" customHeight="1" x14ac:dyDescent="0.25">
      <c r="A77" s="63" t="s">
        <v>176</v>
      </c>
      <c r="B77" s="63" t="s">
        <v>177</v>
      </c>
      <c r="C77" s="36">
        <v>4301052083</v>
      </c>
      <c r="D77" s="723">
        <v>4680115884403</v>
      </c>
      <c r="E77" s="723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6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725"/>
      <c r="R77" s="725"/>
      <c r="S77" s="725"/>
      <c r="T77" s="72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50" t="s">
        <v>178</v>
      </c>
      <c r="AG77" s="78"/>
      <c r="AJ77" s="84" t="s">
        <v>46</v>
      </c>
      <c r="AK77" s="84">
        <v>0</v>
      </c>
      <c r="BB77" s="151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idden="1" x14ac:dyDescent="0.2">
      <c r="A78" s="731"/>
      <c r="B78" s="731"/>
      <c r="C78" s="731"/>
      <c r="D78" s="731"/>
      <c r="E78" s="731"/>
      <c r="F78" s="731"/>
      <c r="G78" s="731"/>
      <c r="H78" s="731"/>
      <c r="I78" s="731"/>
      <c r="J78" s="731"/>
      <c r="K78" s="731"/>
      <c r="L78" s="731"/>
      <c r="M78" s="731"/>
      <c r="N78" s="731"/>
      <c r="O78" s="732"/>
      <c r="P78" s="728" t="s">
        <v>40</v>
      </c>
      <c r="Q78" s="729"/>
      <c r="R78" s="729"/>
      <c r="S78" s="729"/>
      <c r="T78" s="729"/>
      <c r="U78" s="729"/>
      <c r="V78" s="730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731"/>
      <c r="B79" s="731"/>
      <c r="C79" s="731"/>
      <c r="D79" s="731"/>
      <c r="E79" s="731"/>
      <c r="F79" s="731"/>
      <c r="G79" s="731"/>
      <c r="H79" s="731"/>
      <c r="I79" s="731"/>
      <c r="J79" s="731"/>
      <c r="K79" s="731"/>
      <c r="L79" s="731"/>
      <c r="M79" s="731"/>
      <c r="N79" s="731"/>
      <c r="O79" s="732"/>
      <c r="P79" s="728" t="s">
        <v>40</v>
      </c>
      <c r="Q79" s="729"/>
      <c r="R79" s="729"/>
      <c r="S79" s="729"/>
      <c r="T79" s="729"/>
      <c r="U79" s="729"/>
      <c r="V79" s="730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hidden="1" customHeight="1" x14ac:dyDescent="0.25">
      <c r="A80" s="722" t="s">
        <v>179</v>
      </c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2"/>
      <c r="P80" s="722"/>
      <c r="Q80" s="722"/>
      <c r="R80" s="722"/>
      <c r="S80" s="722"/>
      <c r="T80" s="722"/>
      <c r="U80" s="722"/>
      <c r="V80" s="722"/>
      <c r="W80" s="722"/>
      <c r="X80" s="722"/>
      <c r="Y80" s="722"/>
      <c r="Z80" s="722"/>
      <c r="AA80" s="66"/>
      <c r="AB80" s="66"/>
      <c r="AC80" s="80"/>
    </row>
    <row r="81" spans="1:68" ht="27" hidden="1" customHeight="1" x14ac:dyDescent="0.25">
      <c r="A81" s="63" t="s">
        <v>180</v>
      </c>
      <c r="B81" s="63" t="s">
        <v>181</v>
      </c>
      <c r="C81" s="36">
        <v>4301060455</v>
      </c>
      <c r="D81" s="723">
        <v>4680115881532</v>
      </c>
      <c r="E81" s="72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725"/>
      <c r="R81" s="725"/>
      <c r="S81" s="725"/>
      <c r="T81" s="72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182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180</v>
      </c>
      <c r="B82" s="63" t="s">
        <v>183</v>
      </c>
      <c r="C82" s="36">
        <v>4301060526</v>
      </c>
      <c r="D82" s="723">
        <v>4680115881532</v>
      </c>
      <c r="E82" s="72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76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725"/>
      <c r="R82" s="725"/>
      <c r="S82" s="725"/>
      <c r="T82" s="72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54" t="s">
        <v>182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4301060527</v>
      </c>
      <c r="D83" s="723">
        <v>4680115881464</v>
      </c>
      <c r="E83" s="723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90</v>
      </c>
      <c r="N83" s="38"/>
      <c r="O83" s="37">
        <v>30</v>
      </c>
      <c r="P83" s="76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725"/>
      <c r="R83" s="725"/>
      <c r="S83" s="725"/>
      <c r="T83" s="72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6" t="s">
        <v>186</v>
      </c>
      <c r="AG83" s="78"/>
      <c r="AJ83" s="84" t="s">
        <v>46</v>
      </c>
      <c r="AK83" s="84">
        <v>0</v>
      </c>
      <c r="BB83" s="157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31"/>
      <c r="B84" s="731"/>
      <c r="C84" s="731"/>
      <c r="D84" s="731"/>
      <c r="E84" s="731"/>
      <c r="F84" s="731"/>
      <c r="G84" s="731"/>
      <c r="H84" s="731"/>
      <c r="I84" s="731"/>
      <c r="J84" s="731"/>
      <c r="K84" s="731"/>
      <c r="L84" s="731"/>
      <c r="M84" s="731"/>
      <c r="N84" s="731"/>
      <c r="O84" s="732"/>
      <c r="P84" s="728" t="s">
        <v>40</v>
      </c>
      <c r="Q84" s="729"/>
      <c r="R84" s="729"/>
      <c r="S84" s="729"/>
      <c r="T84" s="729"/>
      <c r="U84" s="729"/>
      <c r="V84" s="730"/>
      <c r="W84" s="42" t="s">
        <v>39</v>
      </c>
      <c r="X84" s="43">
        <f>IFERROR(X81/H81,"0")+IFERROR(X82/H82,"0")+IFERROR(X83/H83,"0")</f>
        <v>0</v>
      </c>
      <c r="Y84" s="43">
        <f>IFERROR(Y81/H81,"0")+IFERROR(Y82/H82,"0")+IFERROR(Y83/H83,"0")</f>
        <v>0</v>
      </c>
      <c r="Z84" s="43">
        <f>IFERROR(IF(Z81="",0,Z81),"0")+IFERROR(IF(Z82="",0,Z82),"0")+IFERROR(IF(Z83="",0,Z83),"0")</f>
        <v>0</v>
      </c>
      <c r="AA84" s="67"/>
      <c r="AB84" s="67"/>
      <c r="AC84" s="67"/>
    </row>
    <row r="85" spans="1:68" hidden="1" x14ac:dyDescent="0.2">
      <c r="A85" s="731"/>
      <c r="B85" s="731"/>
      <c r="C85" s="731"/>
      <c r="D85" s="731"/>
      <c r="E85" s="731"/>
      <c r="F85" s="731"/>
      <c r="G85" s="731"/>
      <c r="H85" s="731"/>
      <c r="I85" s="731"/>
      <c r="J85" s="731"/>
      <c r="K85" s="731"/>
      <c r="L85" s="731"/>
      <c r="M85" s="731"/>
      <c r="N85" s="731"/>
      <c r="O85" s="732"/>
      <c r="P85" s="728" t="s">
        <v>40</v>
      </c>
      <c r="Q85" s="729"/>
      <c r="R85" s="729"/>
      <c r="S85" s="729"/>
      <c r="T85" s="729"/>
      <c r="U85" s="729"/>
      <c r="V85" s="730"/>
      <c r="W85" s="42" t="s">
        <v>0</v>
      </c>
      <c r="X85" s="43">
        <f>IFERROR(SUM(X81:X83),"0")</f>
        <v>0</v>
      </c>
      <c r="Y85" s="43">
        <f>IFERROR(SUM(Y81:Y83),"0")</f>
        <v>0</v>
      </c>
      <c r="Z85" s="42"/>
      <c r="AA85" s="67"/>
      <c r="AB85" s="67"/>
      <c r="AC85" s="67"/>
    </row>
    <row r="86" spans="1:68" ht="16.5" hidden="1" customHeight="1" x14ac:dyDescent="0.25">
      <c r="A86" s="721" t="s">
        <v>187</v>
      </c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1"/>
      <c r="P86" s="721"/>
      <c r="Q86" s="721"/>
      <c r="R86" s="721"/>
      <c r="S86" s="721"/>
      <c r="T86" s="721"/>
      <c r="U86" s="721"/>
      <c r="V86" s="721"/>
      <c r="W86" s="721"/>
      <c r="X86" s="721"/>
      <c r="Y86" s="721"/>
      <c r="Z86" s="721"/>
      <c r="AA86" s="65"/>
      <c r="AB86" s="65"/>
      <c r="AC86" s="79"/>
    </row>
    <row r="87" spans="1:68" ht="14.25" hidden="1" customHeight="1" x14ac:dyDescent="0.25">
      <c r="A87" s="722" t="s">
        <v>122</v>
      </c>
      <c r="B87" s="722"/>
      <c r="C87" s="722"/>
      <c r="D87" s="722"/>
      <c r="E87" s="722"/>
      <c r="F87" s="722"/>
      <c r="G87" s="722"/>
      <c r="H87" s="722"/>
      <c r="I87" s="722"/>
      <c r="J87" s="722"/>
      <c r="K87" s="722"/>
      <c r="L87" s="722"/>
      <c r="M87" s="722"/>
      <c r="N87" s="722"/>
      <c r="O87" s="722"/>
      <c r="P87" s="722"/>
      <c r="Q87" s="722"/>
      <c r="R87" s="722"/>
      <c r="S87" s="722"/>
      <c r="T87" s="722"/>
      <c r="U87" s="722"/>
      <c r="V87" s="722"/>
      <c r="W87" s="722"/>
      <c r="X87" s="722"/>
      <c r="Y87" s="722"/>
      <c r="Z87" s="722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23">
        <v>4680115881327</v>
      </c>
      <c r="E88" s="723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723">
        <v>4680115887732</v>
      </c>
      <c r="E89" s="723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76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23">
        <v>4680115881518</v>
      </c>
      <c r="E90" s="72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5"/>
      <c r="R90" s="725"/>
      <c r="S90" s="725"/>
      <c r="T90" s="72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723">
        <v>4680115881518</v>
      </c>
      <c r="E91" s="723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5"/>
      <c r="R91" s="725"/>
      <c r="S91" s="725"/>
      <c r="T91" s="72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190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hidden="1" customHeight="1" x14ac:dyDescent="0.25">
      <c r="A92" s="63" t="s">
        <v>197</v>
      </c>
      <c r="B92" s="63" t="s">
        <v>198</v>
      </c>
      <c r="C92" s="36">
        <v>4301012250</v>
      </c>
      <c r="D92" s="723">
        <v>4680115881303</v>
      </c>
      <c r="E92" s="723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77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5"/>
      <c r="R92" s="725"/>
      <c r="S92" s="725"/>
      <c r="T92" s="726"/>
      <c r="U92" s="39" t="s">
        <v>46</v>
      </c>
      <c r="V92" s="39" t="s">
        <v>46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190</v>
      </c>
      <c r="AG92" s="78"/>
      <c r="AJ92" s="84" t="s">
        <v>46</v>
      </c>
      <c r="AK92" s="84">
        <v>0</v>
      </c>
      <c r="BB92" s="167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idden="1" x14ac:dyDescent="0.2">
      <c r="A93" s="731"/>
      <c r="B93" s="731"/>
      <c r="C93" s="731"/>
      <c r="D93" s="731"/>
      <c r="E93" s="731"/>
      <c r="F93" s="731"/>
      <c r="G93" s="731"/>
      <c r="H93" s="731"/>
      <c r="I93" s="731"/>
      <c r="J93" s="731"/>
      <c r="K93" s="731"/>
      <c r="L93" s="731"/>
      <c r="M93" s="731"/>
      <c r="N93" s="731"/>
      <c r="O93" s="732"/>
      <c r="P93" s="728" t="s">
        <v>40</v>
      </c>
      <c r="Q93" s="729"/>
      <c r="R93" s="729"/>
      <c r="S93" s="729"/>
      <c r="T93" s="729"/>
      <c r="U93" s="729"/>
      <c r="V93" s="730"/>
      <c r="W93" s="42" t="s">
        <v>39</v>
      </c>
      <c r="X93" s="43">
        <f>IFERROR(X88/H88,"0")+IFERROR(X89/H89,"0")+IFERROR(X90/H90,"0")+IFERROR(X91/H91,"0")+IFERROR(X92/H92,"0")</f>
        <v>0</v>
      </c>
      <c r="Y93" s="43">
        <f>IFERROR(Y88/H88,"0")+IFERROR(Y89/H89,"0")+IFERROR(Y90/H90,"0")+IFERROR(Y91/H91,"0")+IFERROR(Y92/H92,"0")</f>
        <v>0</v>
      </c>
      <c r="Z93" s="43">
        <f>IFERROR(IF(Z88="",0,Z88),"0")+IFERROR(IF(Z89="",0,Z89),"0")+IFERROR(IF(Z90="",0,Z90),"0")+IFERROR(IF(Z91="",0,Z91),"0")+IFERROR(IF(Z92="",0,Z92),"0")</f>
        <v>0</v>
      </c>
      <c r="AA93" s="67"/>
      <c r="AB93" s="67"/>
      <c r="AC93" s="67"/>
    </row>
    <row r="94" spans="1:68" hidden="1" x14ac:dyDescent="0.2">
      <c r="A94" s="731"/>
      <c r="B94" s="731"/>
      <c r="C94" s="731"/>
      <c r="D94" s="731"/>
      <c r="E94" s="731"/>
      <c r="F94" s="731"/>
      <c r="G94" s="731"/>
      <c r="H94" s="731"/>
      <c r="I94" s="731"/>
      <c r="J94" s="731"/>
      <c r="K94" s="731"/>
      <c r="L94" s="731"/>
      <c r="M94" s="731"/>
      <c r="N94" s="731"/>
      <c r="O94" s="732"/>
      <c r="P94" s="728" t="s">
        <v>40</v>
      </c>
      <c r="Q94" s="729"/>
      <c r="R94" s="729"/>
      <c r="S94" s="729"/>
      <c r="T94" s="729"/>
      <c r="U94" s="729"/>
      <c r="V94" s="730"/>
      <c r="W94" s="42" t="s">
        <v>0</v>
      </c>
      <c r="X94" s="43">
        <f>IFERROR(SUM(X88:X92),"0")</f>
        <v>0</v>
      </c>
      <c r="Y94" s="43">
        <f>IFERROR(SUM(Y88:Y92),"0")</f>
        <v>0</v>
      </c>
      <c r="Z94" s="42"/>
      <c r="AA94" s="67"/>
      <c r="AB94" s="67"/>
      <c r="AC94" s="67"/>
    </row>
    <row r="95" spans="1:68" ht="14.25" hidden="1" customHeight="1" x14ac:dyDescent="0.25">
      <c r="A95" s="722" t="s">
        <v>86</v>
      </c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2"/>
      <c r="P95" s="722"/>
      <c r="Q95" s="722"/>
      <c r="R95" s="722"/>
      <c r="S95" s="722"/>
      <c r="T95" s="722"/>
      <c r="U95" s="722"/>
      <c r="V95" s="722"/>
      <c r="W95" s="722"/>
      <c r="X95" s="722"/>
      <c r="Y95" s="722"/>
      <c r="Z95" s="722"/>
      <c r="AA95" s="66"/>
      <c r="AB95" s="66"/>
      <c r="AC95" s="80"/>
    </row>
    <row r="96" spans="1:68" ht="27" hidden="1" customHeight="1" x14ac:dyDescent="0.25">
      <c r="A96" s="63" t="s">
        <v>199</v>
      </c>
      <c r="B96" s="63" t="s">
        <v>200</v>
      </c>
      <c r="C96" s="36">
        <v>4301052101</v>
      </c>
      <c r="D96" s="723">
        <v>4607091386967</v>
      </c>
      <c r="E96" s="723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77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723">
        <v>4680115884953</v>
      </c>
      <c r="E97" s="723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205</v>
      </c>
      <c r="B98" s="63" t="s">
        <v>206</v>
      </c>
      <c r="C98" s="36">
        <v>4301052094</v>
      </c>
      <c r="D98" s="723">
        <v>4607091385731</v>
      </c>
      <c r="E98" s="72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7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723">
        <v>4680115880894</v>
      </c>
      <c r="E99" s="72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7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5"/>
      <c r="R99" s="725"/>
      <c r="S99" s="725"/>
      <c r="T99" s="72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idden="1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31"/>
      <c r="B101" s="731"/>
      <c r="C101" s="731"/>
      <c r="D101" s="731"/>
      <c r="E101" s="731"/>
      <c r="F101" s="731"/>
      <c r="G101" s="731"/>
      <c r="H101" s="731"/>
      <c r="I101" s="731"/>
      <c r="J101" s="731"/>
      <c r="K101" s="731"/>
      <c r="L101" s="731"/>
      <c r="M101" s="731"/>
      <c r="N101" s="731"/>
      <c r="O101" s="732"/>
      <c r="P101" s="728" t="s">
        <v>40</v>
      </c>
      <c r="Q101" s="729"/>
      <c r="R101" s="729"/>
      <c r="S101" s="729"/>
      <c r="T101" s="729"/>
      <c r="U101" s="729"/>
      <c r="V101" s="730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hidden="1" customHeight="1" x14ac:dyDescent="0.25">
      <c r="A102" s="721" t="s">
        <v>210</v>
      </c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1"/>
      <c r="P102" s="721"/>
      <c r="Q102" s="721"/>
      <c r="R102" s="721"/>
      <c r="S102" s="721"/>
      <c r="T102" s="721"/>
      <c r="U102" s="721"/>
      <c r="V102" s="721"/>
      <c r="W102" s="721"/>
      <c r="X102" s="721"/>
      <c r="Y102" s="721"/>
      <c r="Z102" s="721"/>
      <c r="AA102" s="65"/>
      <c r="AB102" s="65"/>
      <c r="AC102" s="79"/>
    </row>
    <row r="103" spans="1:68" ht="14.25" hidden="1" customHeight="1" x14ac:dyDescent="0.25">
      <c r="A103" s="722" t="s">
        <v>122</v>
      </c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2"/>
      <c r="P103" s="722"/>
      <c r="Q103" s="722"/>
      <c r="R103" s="722"/>
      <c r="S103" s="722"/>
      <c r="T103" s="722"/>
      <c r="U103" s="722"/>
      <c r="V103" s="722"/>
      <c r="W103" s="722"/>
      <c r="X103" s="722"/>
      <c r="Y103" s="722"/>
      <c r="Z103" s="722"/>
      <c r="AA103" s="66"/>
      <c r="AB103" s="66"/>
      <c r="AC103" s="80"/>
    </row>
    <row r="104" spans="1:68" ht="37.5" hidden="1" customHeight="1" x14ac:dyDescent="0.25">
      <c r="A104" s="63" t="s">
        <v>211</v>
      </c>
      <c r="B104" s="63" t="s">
        <v>212</v>
      </c>
      <c r="C104" s="36">
        <v>4301011514</v>
      </c>
      <c r="D104" s="723">
        <v>4680115882133</v>
      </c>
      <c r="E104" s="72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7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2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0</v>
      </c>
      <c r="BN104" s="78">
        <f t="shared" ref="BN104:BN112" si="12">IFERROR(Y104*I104/H104,"0")</f>
        <v>0</v>
      </c>
      <c r="BO104" s="78">
        <f t="shared" ref="BO104:BO112" si="13">IFERROR(1/J104*(X104/H104),"0")</f>
        <v>0</v>
      </c>
      <c r="BP104" s="78">
        <f t="shared" ref="BP104:BP112" si="14">IFERROR(1/J104*(Y104/H104),"0")</f>
        <v>0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723">
        <v>4680115882133</v>
      </c>
      <c r="E105" s="723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77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723">
        <v>4680115887718</v>
      </c>
      <c r="E106" s="723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7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723">
        <v>4680115880269</v>
      </c>
      <c r="E108" s="72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723">
        <v>4680115880429</v>
      </c>
      <c r="E109" s="72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723">
        <v>4680115881457</v>
      </c>
      <c r="E111" s="72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78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5"/>
      <c r="R111" s="725"/>
      <c r="S111" s="725"/>
      <c r="T111" s="72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723">
        <v>4680115889477</v>
      </c>
      <c r="E112" s="72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78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5"/>
      <c r="R112" s="725"/>
      <c r="S112" s="725"/>
      <c r="T112" s="72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731"/>
      <c r="B113" s="731"/>
      <c r="C113" s="731"/>
      <c r="D113" s="731"/>
      <c r="E113" s="731"/>
      <c r="F113" s="731"/>
      <c r="G113" s="731"/>
      <c r="H113" s="731"/>
      <c r="I113" s="731"/>
      <c r="J113" s="731"/>
      <c r="K113" s="731"/>
      <c r="L113" s="731"/>
      <c r="M113" s="731"/>
      <c r="N113" s="731"/>
      <c r="O113" s="732"/>
      <c r="P113" s="728" t="s">
        <v>40</v>
      </c>
      <c r="Q113" s="729"/>
      <c r="R113" s="729"/>
      <c r="S113" s="729"/>
      <c r="T113" s="729"/>
      <c r="U113" s="729"/>
      <c r="V113" s="730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0</v>
      </c>
      <c r="Y113" s="43">
        <f>IFERROR(Y104/H104,"0")+IFERROR(Y105/H105,"0")+IFERROR(Y106/H106,"0")+IFERROR(Y107/H107,"0")+IFERROR(Y108/H108,"0")+IFERROR(Y109/H109,"0")+IFERROR(Y110/H110,"0")+IFERROR(Y111/H111,"0")+IFERROR(Y112/H112,"0")</f>
        <v>0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31"/>
      <c r="B114" s="731"/>
      <c r="C114" s="731"/>
      <c r="D114" s="731"/>
      <c r="E114" s="731"/>
      <c r="F114" s="731"/>
      <c r="G114" s="731"/>
      <c r="H114" s="731"/>
      <c r="I114" s="731"/>
      <c r="J114" s="731"/>
      <c r="K114" s="731"/>
      <c r="L114" s="731"/>
      <c r="M114" s="731"/>
      <c r="N114" s="731"/>
      <c r="O114" s="732"/>
      <c r="P114" s="728" t="s">
        <v>40</v>
      </c>
      <c r="Q114" s="729"/>
      <c r="R114" s="729"/>
      <c r="S114" s="729"/>
      <c r="T114" s="729"/>
      <c r="U114" s="729"/>
      <c r="V114" s="730"/>
      <c r="W114" s="42" t="s">
        <v>0</v>
      </c>
      <c r="X114" s="43">
        <f>IFERROR(SUM(X104:X112),"0")</f>
        <v>0</v>
      </c>
      <c r="Y114" s="43">
        <f>IFERROR(SUM(Y104:Y112),"0")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22" t="s">
        <v>159</v>
      </c>
      <c r="B115" s="722"/>
      <c r="C115" s="722"/>
      <c r="D115" s="722"/>
      <c r="E115" s="722"/>
      <c r="F115" s="722"/>
      <c r="G115" s="722"/>
      <c r="H115" s="722"/>
      <c r="I115" s="722"/>
      <c r="J115" s="722"/>
      <c r="K115" s="722"/>
      <c r="L115" s="722"/>
      <c r="M115" s="722"/>
      <c r="N115" s="722"/>
      <c r="O115" s="722"/>
      <c r="P115" s="722"/>
      <c r="Q115" s="722"/>
      <c r="R115" s="722"/>
      <c r="S115" s="722"/>
      <c r="T115" s="722"/>
      <c r="U115" s="722"/>
      <c r="V115" s="722"/>
      <c r="W115" s="722"/>
      <c r="X115" s="722"/>
      <c r="Y115" s="722"/>
      <c r="Z115" s="722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723">
        <v>4680115881488</v>
      </c>
      <c r="E116" s="72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723">
        <v>4680115882775</v>
      </c>
      <c r="E117" s="723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723">
        <v>4680115880658</v>
      </c>
      <c r="E118" s="723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5"/>
      <c r="R118" s="725"/>
      <c r="S118" s="725"/>
      <c r="T118" s="72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1"/>
      <c r="B120" s="731"/>
      <c r="C120" s="731"/>
      <c r="D120" s="731"/>
      <c r="E120" s="731"/>
      <c r="F120" s="731"/>
      <c r="G120" s="731"/>
      <c r="H120" s="731"/>
      <c r="I120" s="731"/>
      <c r="J120" s="731"/>
      <c r="K120" s="731"/>
      <c r="L120" s="731"/>
      <c r="M120" s="731"/>
      <c r="N120" s="731"/>
      <c r="O120" s="732"/>
      <c r="P120" s="728" t="s">
        <v>40</v>
      </c>
      <c r="Q120" s="729"/>
      <c r="R120" s="729"/>
      <c r="S120" s="729"/>
      <c r="T120" s="729"/>
      <c r="U120" s="729"/>
      <c r="V120" s="730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2" t="s">
        <v>86</v>
      </c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2"/>
      <c r="P121" s="722"/>
      <c r="Q121" s="722"/>
      <c r="R121" s="722"/>
      <c r="S121" s="722"/>
      <c r="T121" s="722"/>
      <c r="U121" s="722"/>
      <c r="V121" s="722"/>
      <c r="W121" s="722"/>
      <c r="X121" s="722"/>
      <c r="Y121" s="722"/>
      <c r="Z121" s="722"/>
      <c r="AA121" s="66"/>
      <c r="AB121" s="66"/>
      <c r="AC121" s="80"/>
    </row>
    <row r="122" spans="1:68" ht="27" hidden="1" customHeight="1" x14ac:dyDescent="0.25">
      <c r="A122" s="63" t="s">
        <v>237</v>
      </c>
      <c r="B122" s="63" t="s">
        <v>238</v>
      </c>
      <c r="C122" s="36">
        <v>4301052088</v>
      </c>
      <c r="D122" s="723">
        <v>4607091385168</v>
      </c>
      <c r="E122" s="723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78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723">
        <v>4607091383256</v>
      </c>
      <c r="E123" s="723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242</v>
      </c>
      <c r="B124" s="63" t="s">
        <v>243</v>
      </c>
      <c r="C124" s="36">
        <v>4301052086</v>
      </c>
      <c r="D124" s="723">
        <v>4607091385748</v>
      </c>
      <c r="E124" s="723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723">
        <v>4680115884533</v>
      </c>
      <c r="E125" s="723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9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5"/>
      <c r="R125" s="725"/>
      <c r="S125" s="725"/>
      <c r="T125" s="72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731"/>
      <c r="B126" s="731"/>
      <c r="C126" s="731"/>
      <c r="D126" s="731"/>
      <c r="E126" s="731"/>
      <c r="F126" s="731"/>
      <c r="G126" s="731"/>
      <c r="H126" s="731"/>
      <c r="I126" s="731"/>
      <c r="J126" s="731"/>
      <c r="K126" s="731"/>
      <c r="L126" s="731"/>
      <c r="M126" s="731"/>
      <c r="N126" s="731"/>
      <c r="O126" s="732"/>
      <c r="P126" s="728" t="s">
        <v>40</v>
      </c>
      <c r="Q126" s="729"/>
      <c r="R126" s="729"/>
      <c r="S126" s="729"/>
      <c r="T126" s="729"/>
      <c r="U126" s="729"/>
      <c r="V126" s="730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731"/>
      <c r="B127" s="731"/>
      <c r="C127" s="731"/>
      <c r="D127" s="731"/>
      <c r="E127" s="731"/>
      <c r="F127" s="731"/>
      <c r="G127" s="731"/>
      <c r="H127" s="731"/>
      <c r="I127" s="731"/>
      <c r="J127" s="731"/>
      <c r="K127" s="731"/>
      <c r="L127" s="731"/>
      <c r="M127" s="731"/>
      <c r="N127" s="731"/>
      <c r="O127" s="732"/>
      <c r="P127" s="728" t="s">
        <v>40</v>
      </c>
      <c r="Q127" s="729"/>
      <c r="R127" s="729"/>
      <c r="S127" s="729"/>
      <c r="T127" s="729"/>
      <c r="U127" s="729"/>
      <c r="V127" s="730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722" t="s">
        <v>179</v>
      </c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2"/>
      <c r="P128" s="722"/>
      <c r="Q128" s="722"/>
      <c r="R128" s="722"/>
      <c r="S128" s="722"/>
      <c r="T128" s="722"/>
      <c r="U128" s="722"/>
      <c r="V128" s="722"/>
      <c r="W128" s="722"/>
      <c r="X128" s="722"/>
      <c r="Y128" s="722"/>
      <c r="Z128" s="722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723">
        <v>4680115880238</v>
      </c>
      <c r="E129" s="723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9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5"/>
      <c r="R129" s="725"/>
      <c r="S129" s="725"/>
      <c r="T129" s="72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731"/>
      <c r="B131" s="731"/>
      <c r="C131" s="731"/>
      <c r="D131" s="731"/>
      <c r="E131" s="731"/>
      <c r="F131" s="731"/>
      <c r="G131" s="731"/>
      <c r="H131" s="731"/>
      <c r="I131" s="731"/>
      <c r="J131" s="731"/>
      <c r="K131" s="731"/>
      <c r="L131" s="731"/>
      <c r="M131" s="731"/>
      <c r="N131" s="731"/>
      <c r="O131" s="732"/>
      <c r="P131" s="728" t="s">
        <v>40</v>
      </c>
      <c r="Q131" s="729"/>
      <c r="R131" s="729"/>
      <c r="S131" s="729"/>
      <c r="T131" s="729"/>
      <c r="U131" s="729"/>
      <c r="V131" s="730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721" t="s">
        <v>250</v>
      </c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1"/>
      <c r="P132" s="721"/>
      <c r="Q132" s="721"/>
      <c r="R132" s="721"/>
      <c r="S132" s="721"/>
      <c r="T132" s="721"/>
      <c r="U132" s="721"/>
      <c r="V132" s="721"/>
      <c r="W132" s="721"/>
      <c r="X132" s="721"/>
      <c r="Y132" s="721"/>
      <c r="Z132" s="721"/>
      <c r="AA132" s="65"/>
      <c r="AB132" s="65"/>
      <c r="AC132" s="79"/>
    </row>
    <row r="133" spans="1:68" ht="14.25" hidden="1" customHeight="1" x14ac:dyDescent="0.25">
      <c r="A133" s="722" t="s">
        <v>122</v>
      </c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2"/>
      <c r="P133" s="722"/>
      <c r="Q133" s="722"/>
      <c r="R133" s="722"/>
      <c r="S133" s="722"/>
      <c r="T133" s="722"/>
      <c r="U133" s="722"/>
      <c r="V133" s="722"/>
      <c r="W133" s="722"/>
      <c r="X133" s="722"/>
      <c r="Y133" s="722"/>
      <c r="Z133" s="722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723">
        <v>4680115882577</v>
      </c>
      <c r="E134" s="72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7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5"/>
      <c r="R134" s="725"/>
      <c r="S134" s="725"/>
      <c r="T134" s="72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723">
        <v>4680115882577</v>
      </c>
      <c r="E135" s="72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7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5"/>
      <c r="R135" s="725"/>
      <c r="S135" s="725"/>
      <c r="T135" s="72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31"/>
      <c r="B136" s="731"/>
      <c r="C136" s="731"/>
      <c r="D136" s="731"/>
      <c r="E136" s="731"/>
      <c r="F136" s="731"/>
      <c r="G136" s="731"/>
      <c r="H136" s="731"/>
      <c r="I136" s="731"/>
      <c r="J136" s="731"/>
      <c r="K136" s="731"/>
      <c r="L136" s="731"/>
      <c r="M136" s="731"/>
      <c r="N136" s="731"/>
      <c r="O136" s="732"/>
      <c r="P136" s="728" t="s">
        <v>40</v>
      </c>
      <c r="Q136" s="729"/>
      <c r="R136" s="729"/>
      <c r="S136" s="729"/>
      <c r="T136" s="729"/>
      <c r="U136" s="729"/>
      <c r="V136" s="730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31"/>
      <c r="B137" s="731"/>
      <c r="C137" s="731"/>
      <c r="D137" s="731"/>
      <c r="E137" s="731"/>
      <c r="F137" s="731"/>
      <c r="G137" s="731"/>
      <c r="H137" s="731"/>
      <c r="I137" s="731"/>
      <c r="J137" s="731"/>
      <c r="K137" s="731"/>
      <c r="L137" s="731"/>
      <c r="M137" s="731"/>
      <c r="N137" s="731"/>
      <c r="O137" s="732"/>
      <c r="P137" s="728" t="s">
        <v>40</v>
      </c>
      <c r="Q137" s="729"/>
      <c r="R137" s="729"/>
      <c r="S137" s="729"/>
      <c r="T137" s="729"/>
      <c r="U137" s="729"/>
      <c r="V137" s="730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22" t="s">
        <v>77</v>
      </c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2"/>
      <c r="P138" s="722"/>
      <c r="Q138" s="722"/>
      <c r="R138" s="722"/>
      <c r="S138" s="722"/>
      <c r="T138" s="722"/>
      <c r="U138" s="722"/>
      <c r="V138" s="722"/>
      <c r="W138" s="722"/>
      <c r="X138" s="722"/>
      <c r="Y138" s="722"/>
      <c r="Z138" s="722"/>
      <c r="AA138" s="66"/>
      <c r="AB138" s="66"/>
      <c r="AC138" s="80"/>
    </row>
    <row r="139" spans="1:68" ht="27" hidden="1" customHeight="1" x14ac:dyDescent="0.25">
      <c r="A139" s="63" t="s">
        <v>256</v>
      </c>
      <c r="B139" s="63" t="s">
        <v>257</v>
      </c>
      <c r="C139" s="36">
        <v>4301031234</v>
      </c>
      <c r="D139" s="723">
        <v>4680115883444</v>
      </c>
      <c r="E139" s="72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7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723">
        <v>4680115883444</v>
      </c>
      <c r="E140" s="72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7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5"/>
      <c r="R140" s="725"/>
      <c r="S140" s="725"/>
      <c r="T140" s="72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731"/>
      <c r="B142" s="731"/>
      <c r="C142" s="731"/>
      <c r="D142" s="731"/>
      <c r="E142" s="731"/>
      <c r="F142" s="731"/>
      <c r="G142" s="731"/>
      <c r="H142" s="731"/>
      <c r="I142" s="731"/>
      <c r="J142" s="731"/>
      <c r="K142" s="731"/>
      <c r="L142" s="731"/>
      <c r="M142" s="731"/>
      <c r="N142" s="731"/>
      <c r="O142" s="732"/>
      <c r="P142" s="728" t="s">
        <v>40</v>
      </c>
      <c r="Q142" s="729"/>
      <c r="R142" s="729"/>
      <c r="S142" s="729"/>
      <c r="T142" s="729"/>
      <c r="U142" s="729"/>
      <c r="V142" s="730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722" t="s">
        <v>86</v>
      </c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2"/>
      <c r="P143" s="722"/>
      <c r="Q143" s="722"/>
      <c r="R143" s="722"/>
      <c r="S143" s="722"/>
      <c r="T143" s="722"/>
      <c r="U143" s="722"/>
      <c r="V143" s="722"/>
      <c r="W143" s="722"/>
      <c r="X143" s="722"/>
      <c r="Y143" s="722"/>
      <c r="Z143" s="722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723">
        <v>4680115882584</v>
      </c>
      <c r="E144" s="72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7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723">
        <v>4680115882584</v>
      </c>
      <c r="E145" s="72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7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5"/>
      <c r="R145" s="725"/>
      <c r="S145" s="725"/>
      <c r="T145" s="72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731"/>
      <c r="B147" s="731"/>
      <c r="C147" s="731"/>
      <c r="D147" s="731"/>
      <c r="E147" s="731"/>
      <c r="F147" s="731"/>
      <c r="G147" s="731"/>
      <c r="H147" s="731"/>
      <c r="I147" s="731"/>
      <c r="J147" s="731"/>
      <c r="K147" s="731"/>
      <c r="L147" s="731"/>
      <c r="M147" s="731"/>
      <c r="N147" s="731"/>
      <c r="O147" s="732"/>
      <c r="P147" s="728" t="s">
        <v>40</v>
      </c>
      <c r="Q147" s="729"/>
      <c r="R147" s="729"/>
      <c r="S147" s="729"/>
      <c r="T147" s="729"/>
      <c r="U147" s="729"/>
      <c r="V147" s="730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721" t="s">
        <v>263</v>
      </c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1"/>
      <c r="P148" s="721"/>
      <c r="Q148" s="721"/>
      <c r="R148" s="721"/>
      <c r="S148" s="721"/>
      <c r="T148" s="721"/>
      <c r="U148" s="721"/>
      <c r="V148" s="721"/>
      <c r="W148" s="721"/>
      <c r="X148" s="721"/>
      <c r="Y148" s="721"/>
      <c r="Z148" s="721"/>
      <c r="AA148" s="65"/>
      <c r="AB148" s="65"/>
      <c r="AC148" s="79"/>
    </row>
    <row r="149" spans="1:68" ht="14.25" hidden="1" customHeight="1" x14ac:dyDescent="0.25">
      <c r="A149" s="722" t="s">
        <v>86</v>
      </c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2"/>
      <c r="P149" s="722"/>
      <c r="Q149" s="722"/>
      <c r="R149" s="722"/>
      <c r="S149" s="722"/>
      <c r="T149" s="722"/>
      <c r="U149" s="722"/>
      <c r="V149" s="722"/>
      <c r="W149" s="722"/>
      <c r="X149" s="722"/>
      <c r="Y149" s="722"/>
      <c r="Z149" s="722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723">
        <v>4680115888203</v>
      </c>
      <c r="E150" s="72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5"/>
      <c r="R150" s="725"/>
      <c r="S150" s="725"/>
      <c r="T150" s="72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723">
        <v>4680115888180</v>
      </c>
      <c r="E151" s="72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5"/>
      <c r="R151" s="725"/>
      <c r="S151" s="725"/>
      <c r="T151" s="72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723">
        <v>4680115888180</v>
      </c>
      <c r="E152" s="72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5"/>
      <c r="R152" s="725"/>
      <c r="S152" s="725"/>
      <c r="T152" s="72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723">
        <v>4680115888197</v>
      </c>
      <c r="E153" s="72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5"/>
      <c r="R153" s="725"/>
      <c r="S153" s="725"/>
      <c r="T153" s="72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723">
        <v>4680115888210</v>
      </c>
      <c r="E154" s="723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723">
        <v>4680115888210</v>
      </c>
      <c r="E155" s="723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5"/>
      <c r="R155" s="725"/>
      <c r="S155" s="725"/>
      <c r="T155" s="726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731"/>
      <c r="B156" s="731"/>
      <c r="C156" s="731"/>
      <c r="D156" s="731"/>
      <c r="E156" s="731"/>
      <c r="F156" s="731"/>
      <c r="G156" s="731"/>
      <c r="H156" s="731"/>
      <c r="I156" s="731"/>
      <c r="J156" s="731"/>
      <c r="K156" s="731"/>
      <c r="L156" s="731"/>
      <c r="M156" s="731"/>
      <c r="N156" s="731"/>
      <c r="O156" s="732"/>
      <c r="P156" s="728" t="s">
        <v>40</v>
      </c>
      <c r="Q156" s="729"/>
      <c r="R156" s="729"/>
      <c r="S156" s="729"/>
      <c r="T156" s="729"/>
      <c r="U156" s="729"/>
      <c r="V156" s="730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31"/>
      <c r="B157" s="731"/>
      <c r="C157" s="731"/>
      <c r="D157" s="731"/>
      <c r="E157" s="731"/>
      <c r="F157" s="731"/>
      <c r="G157" s="731"/>
      <c r="H157" s="731"/>
      <c r="I157" s="731"/>
      <c r="J157" s="731"/>
      <c r="K157" s="731"/>
      <c r="L157" s="731"/>
      <c r="M157" s="731"/>
      <c r="N157" s="731"/>
      <c r="O157" s="732"/>
      <c r="P157" s="728" t="s">
        <v>40</v>
      </c>
      <c r="Q157" s="729"/>
      <c r="R157" s="729"/>
      <c r="S157" s="729"/>
      <c r="T157" s="729"/>
      <c r="U157" s="729"/>
      <c r="V157" s="730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22" t="s">
        <v>278</v>
      </c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2"/>
      <c r="P158" s="722"/>
      <c r="Q158" s="722"/>
      <c r="R158" s="722"/>
      <c r="S158" s="722"/>
      <c r="T158" s="722"/>
      <c r="U158" s="722"/>
      <c r="V158" s="722"/>
      <c r="W158" s="722"/>
      <c r="X158" s="722"/>
      <c r="Y158" s="722"/>
      <c r="Z158" s="722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723">
        <v>4680115889132</v>
      </c>
      <c r="E159" s="723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0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5"/>
      <c r="R159" s="725"/>
      <c r="S159" s="725"/>
      <c r="T159" s="726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31"/>
      <c r="B160" s="731"/>
      <c r="C160" s="731"/>
      <c r="D160" s="731"/>
      <c r="E160" s="731"/>
      <c r="F160" s="731"/>
      <c r="G160" s="731"/>
      <c r="H160" s="731"/>
      <c r="I160" s="731"/>
      <c r="J160" s="731"/>
      <c r="K160" s="731"/>
      <c r="L160" s="731"/>
      <c r="M160" s="731"/>
      <c r="N160" s="731"/>
      <c r="O160" s="732"/>
      <c r="P160" s="728" t="s">
        <v>40</v>
      </c>
      <c r="Q160" s="729"/>
      <c r="R160" s="729"/>
      <c r="S160" s="729"/>
      <c r="T160" s="729"/>
      <c r="U160" s="729"/>
      <c r="V160" s="73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31"/>
      <c r="B161" s="731"/>
      <c r="C161" s="731"/>
      <c r="D161" s="731"/>
      <c r="E161" s="731"/>
      <c r="F161" s="731"/>
      <c r="G161" s="731"/>
      <c r="H161" s="731"/>
      <c r="I161" s="731"/>
      <c r="J161" s="731"/>
      <c r="K161" s="731"/>
      <c r="L161" s="731"/>
      <c r="M161" s="731"/>
      <c r="N161" s="731"/>
      <c r="O161" s="732"/>
      <c r="P161" s="728" t="s">
        <v>40</v>
      </c>
      <c r="Q161" s="729"/>
      <c r="R161" s="729"/>
      <c r="S161" s="729"/>
      <c r="T161" s="729"/>
      <c r="U161" s="729"/>
      <c r="V161" s="73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21" t="s">
        <v>120</v>
      </c>
      <c r="B162" s="721"/>
      <c r="C162" s="721"/>
      <c r="D162" s="721"/>
      <c r="E162" s="721"/>
      <c r="F162" s="721"/>
      <c r="G162" s="721"/>
      <c r="H162" s="721"/>
      <c r="I162" s="721"/>
      <c r="J162" s="721"/>
      <c r="K162" s="721"/>
      <c r="L162" s="721"/>
      <c r="M162" s="721"/>
      <c r="N162" s="721"/>
      <c r="O162" s="721"/>
      <c r="P162" s="721"/>
      <c r="Q162" s="721"/>
      <c r="R162" s="721"/>
      <c r="S162" s="721"/>
      <c r="T162" s="721"/>
      <c r="U162" s="721"/>
      <c r="V162" s="721"/>
      <c r="W162" s="721"/>
      <c r="X162" s="721"/>
      <c r="Y162" s="721"/>
      <c r="Z162" s="721"/>
      <c r="AA162" s="65"/>
      <c r="AB162" s="65"/>
      <c r="AC162" s="79"/>
    </row>
    <row r="163" spans="1:68" ht="14.25" hidden="1" customHeight="1" x14ac:dyDescent="0.25">
      <c r="A163" s="722" t="s">
        <v>122</v>
      </c>
      <c r="B163" s="722"/>
      <c r="C163" s="722"/>
      <c r="D163" s="722"/>
      <c r="E163" s="722"/>
      <c r="F163" s="722"/>
      <c r="G163" s="722"/>
      <c r="H163" s="722"/>
      <c r="I163" s="722"/>
      <c r="J163" s="722"/>
      <c r="K163" s="722"/>
      <c r="L163" s="722"/>
      <c r="M163" s="722"/>
      <c r="N163" s="722"/>
      <c r="O163" s="722"/>
      <c r="P163" s="722"/>
      <c r="Q163" s="722"/>
      <c r="R163" s="722"/>
      <c r="S163" s="722"/>
      <c r="T163" s="722"/>
      <c r="U163" s="722"/>
      <c r="V163" s="722"/>
      <c r="W163" s="722"/>
      <c r="X163" s="722"/>
      <c r="Y163" s="722"/>
      <c r="Z163" s="722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723">
        <v>4680115887374</v>
      </c>
      <c r="E164" s="723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0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723">
        <v>4607091384604</v>
      </c>
      <c r="E165" s="72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0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5"/>
      <c r="R165" s="725"/>
      <c r="S165" s="725"/>
      <c r="T165" s="72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723">
        <v>4607091384604</v>
      </c>
      <c r="E166" s="723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0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5"/>
      <c r="R166" s="725"/>
      <c r="S166" s="725"/>
      <c r="T166" s="72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723">
        <v>4680115888876</v>
      </c>
      <c r="E167" s="723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0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5"/>
      <c r="R167" s="725"/>
      <c r="S167" s="725"/>
      <c r="T167" s="726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31"/>
      <c r="B168" s="731"/>
      <c r="C168" s="731"/>
      <c r="D168" s="731"/>
      <c r="E168" s="731"/>
      <c r="F168" s="731"/>
      <c r="G168" s="731"/>
      <c r="H168" s="731"/>
      <c r="I168" s="731"/>
      <c r="J168" s="731"/>
      <c r="K168" s="731"/>
      <c r="L168" s="731"/>
      <c r="M168" s="731"/>
      <c r="N168" s="731"/>
      <c r="O168" s="732"/>
      <c r="P168" s="728" t="s">
        <v>40</v>
      </c>
      <c r="Q168" s="729"/>
      <c r="R168" s="729"/>
      <c r="S168" s="729"/>
      <c r="T168" s="729"/>
      <c r="U168" s="729"/>
      <c r="V168" s="730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31"/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2"/>
      <c r="P169" s="728" t="s">
        <v>40</v>
      </c>
      <c r="Q169" s="729"/>
      <c r="R169" s="729"/>
      <c r="S169" s="729"/>
      <c r="T169" s="729"/>
      <c r="U169" s="729"/>
      <c r="V169" s="730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22" t="s">
        <v>159</v>
      </c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2"/>
      <c r="P170" s="722"/>
      <c r="Q170" s="722"/>
      <c r="R170" s="722"/>
      <c r="S170" s="722"/>
      <c r="T170" s="722"/>
      <c r="U170" s="722"/>
      <c r="V170" s="722"/>
      <c r="W170" s="722"/>
      <c r="X170" s="722"/>
      <c r="Y170" s="722"/>
      <c r="Z170" s="722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723">
        <v>4680115887695</v>
      </c>
      <c r="E171" s="723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1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723">
        <v>4680115889491</v>
      </c>
      <c r="E172" s="723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1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5"/>
      <c r="R172" s="725"/>
      <c r="S172" s="725"/>
      <c r="T172" s="72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31"/>
      <c r="B174" s="731"/>
      <c r="C174" s="731"/>
      <c r="D174" s="731"/>
      <c r="E174" s="731"/>
      <c r="F174" s="731"/>
      <c r="G174" s="731"/>
      <c r="H174" s="731"/>
      <c r="I174" s="731"/>
      <c r="J174" s="731"/>
      <c r="K174" s="731"/>
      <c r="L174" s="731"/>
      <c r="M174" s="731"/>
      <c r="N174" s="731"/>
      <c r="O174" s="732"/>
      <c r="P174" s="728" t="s">
        <v>40</v>
      </c>
      <c r="Q174" s="729"/>
      <c r="R174" s="729"/>
      <c r="S174" s="729"/>
      <c r="T174" s="729"/>
      <c r="U174" s="729"/>
      <c r="V174" s="730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22" t="s">
        <v>77</v>
      </c>
      <c r="B175" s="722"/>
      <c r="C175" s="722"/>
      <c r="D175" s="722"/>
      <c r="E175" s="722"/>
      <c r="F175" s="722"/>
      <c r="G175" s="722"/>
      <c r="H175" s="722"/>
      <c r="I175" s="722"/>
      <c r="J175" s="722"/>
      <c r="K175" s="722"/>
      <c r="L175" s="722"/>
      <c r="M175" s="722"/>
      <c r="N175" s="722"/>
      <c r="O175" s="722"/>
      <c r="P175" s="722"/>
      <c r="Q175" s="722"/>
      <c r="R175" s="722"/>
      <c r="S175" s="722"/>
      <c r="T175" s="722"/>
      <c r="U175" s="722"/>
      <c r="V175" s="722"/>
      <c r="W175" s="722"/>
      <c r="X175" s="722"/>
      <c r="Y175" s="722"/>
      <c r="Z175" s="722"/>
      <c r="AA175" s="66"/>
      <c r="AB175" s="66"/>
      <c r="AC175" s="80"/>
    </row>
    <row r="176" spans="1:68" ht="27" hidden="1" customHeight="1" x14ac:dyDescent="0.25">
      <c r="A176" s="63" t="s">
        <v>301</v>
      </c>
      <c r="B176" s="63" t="s">
        <v>302</v>
      </c>
      <c r="C176" s="36">
        <v>4301031496</v>
      </c>
      <c r="D176" s="723">
        <v>4680115887428</v>
      </c>
      <c r="E176" s="72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1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723">
        <v>4680115889170</v>
      </c>
      <c r="E177" s="723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5"/>
      <c r="R177" s="725"/>
      <c r="S177" s="725"/>
      <c r="T177" s="72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723">
        <v>4680115887398</v>
      </c>
      <c r="E178" s="72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5"/>
      <c r="R178" s="725"/>
      <c r="S178" s="725"/>
      <c r="T178" s="72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723">
        <v>4680115887336</v>
      </c>
      <c r="E179" s="723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1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5"/>
      <c r="R179" s="725"/>
      <c r="S179" s="725"/>
      <c r="T179" s="72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723">
        <v>4680115887787</v>
      </c>
      <c r="E180" s="72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723">
        <v>4680115887787</v>
      </c>
      <c r="E181" s="72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723">
        <v>4680115887503</v>
      </c>
      <c r="E182" s="72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1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723">
        <v>4680115887763</v>
      </c>
      <c r="E183" s="723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723">
        <v>4680115887480</v>
      </c>
      <c r="E184" s="72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2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723">
        <v>4680115888067</v>
      </c>
      <c r="E185" s="723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723">
        <v>4680115887435</v>
      </c>
      <c r="E186" s="723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2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5"/>
      <c r="R186" s="725"/>
      <c r="S186" s="725"/>
      <c r="T186" s="72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731"/>
      <c r="B187" s="731"/>
      <c r="C187" s="731"/>
      <c r="D187" s="731"/>
      <c r="E187" s="731"/>
      <c r="F187" s="731"/>
      <c r="G187" s="731"/>
      <c r="H187" s="731"/>
      <c r="I187" s="731"/>
      <c r="J187" s="731"/>
      <c r="K187" s="731"/>
      <c r="L187" s="731"/>
      <c r="M187" s="731"/>
      <c r="N187" s="731"/>
      <c r="O187" s="732"/>
      <c r="P187" s="728" t="s">
        <v>40</v>
      </c>
      <c r="Q187" s="729"/>
      <c r="R187" s="729"/>
      <c r="S187" s="729"/>
      <c r="T187" s="729"/>
      <c r="U187" s="729"/>
      <c r="V187" s="730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31"/>
      <c r="B188" s="731"/>
      <c r="C188" s="731"/>
      <c r="D188" s="731"/>
      <c r="E188" s="731"/>
      <c r="F188" s="731"/>
      <c r="G188" s="731"/>
      <c r="H188" s="731"/>
      <c r="I188" s="731"/>
      <c r="J188" s="731"/>
      <c r="K188" s="731"/>
      <c r="L188" s="731"/>
      <c r="M188" s="731"/>
      <c r="N188" s="731"/>
      <c r="O188" s="732"/>
      <c r="P188" s="728" t="s">
        <v>40</v>
      </c>
      <c r="Q188" s="729"/>
      <c r="R188" s="729"/>
      <c r="S188" s="729"/>
      <c r="T188" s="729"/>
      <c r="U188" s="729"/>
      <c r="V188" s="730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22" t="s">
        <v>86</v>
      </c>
      <c r="B189" s="722"/>
      <c r="C189" s="722"/>
      <c r="D189" s="722"/>
      <c r="E189" s="722"/>
      <c r="F189" s="722"/>
      <c r="G189" s="722"/>
      <c r="H189" s="722"/>
      <c r="I189" s="722"/>
      <c r="J189" s="722"/>
      <c r="K189" s="722"/>
      <c r="L189" s="722"/>
      <c r="M189" s="722"/>
      <c r="N189" s="722"/>
      <c r="O189" s="722"/>
      <c r="P189" s="722"/>
      <c r="Q189" s="722"/>
      <c r="R189" s="722"/>
      <c r="S189" s="722"/>
      <c r="T189" s="722"/>
      <c r="U189" s="722"/>
      <c r="V189" s="722"/>
      <c r="W189" s="722"/>
      <c r="X189" s="722"/>
      <c r="Y189" s="722"/>
      <c r="Z189" s="722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723">
        <v>4680115888395</v>
      </c>
      <c r="E190" s="72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723">
        <v>4680115888371</v>
      </c>
      <c r="E191" s="723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2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723">
        <v>4680115887459</v>
      </c>
      <c r="E192" s="723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2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5"/>
      <c r="R192" s="725"/>
      <c r="S192" s="725"/>
      <c r="T192" s="726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731"/>
      <c r="B194" s="731"/>
      <c r="C194" s="731"/>
      <c r="D194" s="731"/>
      <c r="E194" s="731"/>
      <c r="F194" s="731"/>
      <c r="G194" s="731"/>
      <c r="H194" s="731"/>
      <c r="I194" s="731"/>
      <c r="J194" s="731"/>
      <c r="K194" s="731"/>
      <c r="L194" s="731"/>
      <c r="M194" s="731"/>
      <c r="N194" s="731"/>
      <c r="O194" s="732"/>
      <c r="P194" s="728" t="s">
        <v>40</v>
      </c>
      <c r="Q194" s="729"/>
      <c r="R194" s="729"/>
      <c r="S194" s="729"/>
      <c r="T194" s="729"/>
      <c r="U194" s="729"/>
      <c r="V194" s="730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722" t="s">
        <v>278</v>
      </c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2"/>
      <c r="P195" s="722"/>
      <c r="Q195" s="722"/>
      <c r="R195" s="722"/>
      <c r="S195" s="722"/>
      <c r="T195" s="722"/>
      <c r="U195" s="722"/>
      <c r="V195" s="722"/>
      <c r="W195" s="722"/>
      <c r="X195" s="722"/>
      <c r="Y195" s="722"/>
      <c r="Z195" s="722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723">
        <v>4680115889026</v>
      </c>
      <c r="E196" s="723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5"/>
      <c r="R196" s="725"/>
      <c r="S196" s="725"/>
      <c r="T196" s="72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31"/>
      <c r="B197" s="731"/>
      <c r="C197" s="731"/>
      <c r="D197" s="731"/>
      <c r="E197" s="731"/>
      <c r="F197" s="731"/>
      <c r="G197" s="731"/>
      <c r="H197" s="731"/>
      <c r="I197" s="731"/>
      <c r="J197" s="731"/>
      <c r="K197" s="731"/>
      <c r="L197" s="731"/>
      <c r="M197" s="731"/>
      <c r="N197" s="731"/>
      <c r="O197" s="732"/>
      <c r="P197" s="728" t="s">
        <v>40</v>
      </c>
      <c r="Q197" s="729"/>
      <c r="R197" s="729"/>
      <c r="S197" s="729"/>
      <c r="T197" s="729"/>
      <c r="U197" s="729"/>
      <c r="V197" s="730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731"/>
      <c r="B198" s="731"/>
      <c r="C198" s="731"/>
      <c r="D198" s="731"/>
      <c r="E198" s="731"/>
      <c r="F198" s="731"/>
      <c r="G198" s="731"/>
      <c r="H198" s="731"/>
      <c r="I198" s="731"/>
      <c r="J198" s="731"/>
      <c r="K198" s="731"/>
      <c r="L198" s="731"/>
      <c r="M198" s="731"/>
      <c r="N198" s="731"/>
      <c r="O198" s="732"/>
      <c r="P198" s="728" t="s">
        <v>40</v>
      </c>
      <c r="Q198" s="729"/>
      <c r="R198" s="729"/>
      <c r="S198" s="729"/>
      <c r="T198" s="729"/>
      <c r="U198" s="729"/>
      <c r="V198" s="730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22" t="s">
        <v>342</v>
      </c>
      <c r="B199" s="722"/>
      <c r="C199" s="722"/>
      <c r="D199" s="722"/>
      <c r="E199" s="722"/>
      <c r="F199" s="722"/>
      <c r="G199" s="722"/>
      <c r="H199" s="722"/>
      <c r="I199" s="722"/>
      <c r="J199" s="722"/>
      <c r="K199" s="722"/>
      <c r="L199" s="722"/>
      <c r="M199" s="722"/>
      <c r="N199" s="722"/>
      <c r="O199" s="722"/>
      <c r="P199" s="722"/>
      <c r="Q199" s="722"/>
      <c r="R199" s="722"/>
      <c r="S199" s="722"/>
      <c r="T199" s="722"/>
      <c r="U199" s="722"/>
      <c r="V199" s="722"/>
      <c r="W199" s="722"/>
      <c r="X199" s="722"/>
      <c r="Y199" s="722"/>
      <c r="Z199" s="722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723">
        <v>4680115889033</v>
      </c>
      <c r="E200" s="723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2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5"/>
      <c r="R200" s="725"/>
      <c r="S200" s="725"/>
      <c r="T200" s="72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31"/>
      <c r="B201" s="731"/>
      <c r="C201" s="731"/>
      <c r="D201" s="731"/>
      <c r="E201" s="731"/>
      <c r="F201" s="731"/>
      <c r="G201" s="731"/>
      <c r="H201" s="731"/>
      <c r="I201" s="731"/>
      <c r="J201" s="731"/>
      <c r="K201" s="731"/>
      <c r="L201" s="731"/>
      <c r="M201" s="731"/>
      <c r="N201" s="731"/>
      <c r="O201" s="732"/>
      <c r="P201" s="728" t="s">
        <v>40</v>
      </c>
      <c r="Q201" s="729"/>
      <c r="R201" s="729"/>
      <c r="S201" s="729"/>
      <c r="T201" s="729"/>
      <c r="U201" s="729"/>
      <c r="V201" s="73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31"/>
      <c r="B202" s="731"/>
      <c r="C202" s="731"/>
      <c r="D202" s="731"/>
      <c r="E202" s="731"/>
      <c r="F202" s="731"/>
      <c r="G202" s="731"/>
      <c r="H202" s="731"/>
      <c r="I202" s="731"/>
      <c r="J202" s="731"/>
      <c r="K202" s="731"/>
      <c r="L202" s="731"/>
      <c r="M202" s="731"/>
      <c r="N202" s="731"/>
      <c r="O202" s="732"/>
      <c r="P202" s="728" t="s">
        <v>40</v>
      </c>
      <c r="Q202" s="729"/>
      <c r="R202" s="729"/>
      <c r="S202" s="729"/>
      <c r="T202" s="729"/>
      <c r="U202" s="729"/>
      <c r="V202" s="73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20" t="s">
        <v>346</v>
      </c>
      <c r="B203" s="720"/>
      <c r="C203" s="720"/>
      <c r="D203" s="720"/>
      <c r="E203" s="720"/>
      <c r="F203" s="720"/>
      <c r="G203" s="720"/>
      <c r="H203" s="720"/>
      <c r="I203" s="720"/>
      <c r="J203" s="720"/>
      <c r="K203" s="720"/>
      <c r="L203" s="720"/>
      <c r="M203" s="720"/>
      <c r="N203" s="720"/>
      <c r="O203" s="720"/>
      <c r="P203" s="720"/>
      <c r="Q203" s="720"/>
      <c r="R203" s="720"/>
      <c r="S203" s="720"/>
      <c r="T203" s="720"/>
      <c r="U203" s="720"/>
      <c r="V203" s="720"/>
      <c r="W203" s="720"/>
      <c r="X203" s="720"/>
      <c r="Y203" s="720"/>
      <c r="Z203" s="720"/>
      <c r="AA203" s="54"/>
      <c r="AB203" s="54"/>
      <c r="AC203" s="54"/>
    </row>
    <row r="204" spans="1:68" ht="16.5" hidden="1" customHeight="1" x14ac:dyDescent="0.25">
      <c r="A204" s="721" t="s">
        <v>347</v>
      </c>
      <c r="B204" s="721"/>
      <c r="C204" s="721"/>
      <c r="D204" s="721"/>
      <c r="E204" s="721"/>
      <c r="F204" s="721"/>
      <c r="G204" s="721"/>
      <c r="H204" s="721"/>
      <c r="I204" s="721"/>
      <c r="J204" s="721"/>
      <c r="K204" s="721"/>
      <c r="L204" s="721"/>
      <c r="M204" s="721"/>
      <c r="N204" s="721"/>
      <c r="O204" s="721"/>
      <c r="P204" s="721"/>
      <c r="Q204" s="721"/>
      <c r="R204" s="721"/>
      <c r="S204" s="721"/>
      <c r="T204" s="721"/>
      <c r="U204" s="721"/>
      <c r="V204" s="721"/>
      <c r="W204" s="721"/>
      <c r="X204" s="721"/>
      <c r="Y204" s="721"/>
      <c r="Z204" s="721"/>
      <c r="AA204" s="65"/>
      <c r="AB204" s="65"/>
      <c r="AC204" s="79"/>
    </row>
    <row r="205" spans="1:68" ht="14.25" hidden="1" customHeight="1" x14ac:dyDescent="0.25">
      <c r="A205" s="722" t="s">
        <v>122</v>
      </c>
      <c r="B205" s="722"/>
      <c r="C205" s="722"/>
      <c r="D205" s="722"/>
      <c r="E205" s="722"/>
      <c r="F205" s="722"/>
      <c r="G205" s="722"/>
      <c r="H205" s="722"/>
      <c r="I205" s="722"/>
      <c r="J205" s="722"/>
      <c r="K205" s="722"/>
      <c r="L205" s="722"/>
      <c r="M205" s="722"/>
      <c r="N205" s="722"/>
      <c r="O205" s="722"/>
      <c r="P205" s="722"/>
      <c r="Q205" s="722"/>
      <c r="R205" s="722"/>
      <c r="S205" s="722"/>
      <c r="T205" s="722"/>
      <c r="U205" s="722"/>
      <c r="V205" s="722"/>
      <c r="W205" s="722"/>
      <c r="X205" s="722"/>
      <c r="Y205" s="722"/>
      <c r="Z205" s="722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723">
        <v>4607091383423</v>
      </c>
      <c r="E206" s="723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5"/>
      <c r="R206" s="725"/>
      <c r="S206" s="725"/>
      <c r="T206" s="72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723">
        <v>4680115888760</v>
      </c>
      <c r="E207" s="72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5"/>
      <c r="R207" s="725"/>
      <c r="S207" s="725"/>
      <c r="T207" s="72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723">
        <v>4680115888807</v>
      </c>
      <c r="E208" s="723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5"/>
      <c r="R208" s="725"/>
      <c r="S208" s="725"/>
      <c r="T208" s="72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723">
        <v>4680115888852</v>
      </c>
      <c r="E209" s="723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5"/>
      <c r="R209" s="725"/>
      <c r="S209" s="725"/>
      <c r="T209" s="72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723">
        <v>4680115886957</v>
      </c>
      <c r="E210" s="723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5"/>
      <c r="R210" s="725"/>
      <c r="S210" s="725"/>
      <c r="T210" s="72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723">
        <v>4680115885660</v>
      </c>
      <c r="E211" s="72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723">
        <v>4680115886773</v>
      </c>
      <c r="E212" s="723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5"/>
      <c r="R212" s="725"/>
      <c r="S212" s="725"/>
      <c r="T212" s="72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731"/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2"/>
      <c r="P213" s="728" t="s">
        <v>40</v>
      </c>
      <c r="Q213" s="729"/>
      <c r="R213" s="729"/>
      <c r="S213" s="729"/>
      <c r="T213" s="729"/>
      <c r="U213" s="729"/>
      <c r="V213" s="730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31"/>
      <c r="B214" s="731"/>
      <c r="C214" s="731"/>
      <c r="D214" s="731"/>
      <c r="E214" s="731"/>
      <c r="F214" s="731"/>
      <c r="G214" s="731"/>
      <c r="H214" s="731"/>
      <c r="I214" s="731"/>
      <c r="J214" s="731"/>
      <c r="K214" s="731"/>
      <c r="L214" s="731"/>
      <c r="M214" s="731"/>
      <c r="N214" s="731"/>
      <c r="O214" s="732"/>
      <c r="P214" s="728" t="s">
        <v>40</v>
      </c>
      <c r="Q214" s="729"/>
      <c r="R214" s="729"/>
      <c r="S214" s="729"/>
      <c r="T214" s="729"/>
      <c r="U214" s="729"/>
      <c r="V214" s="730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21" t="s">
        <v>368</v>
      </c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1"/>
      <c r="P215" s="721"/>
      <c r="Q215" s="721"/>
      <c r="R215" s="721"/>
      <c r="S215" s="721"/>
      <c r="T215" s="721"/>
      <c r="U215" s="721"/>
      <c r="V215" s="721"/>
      <c r="W215" s="721"/>
      <c r="X215" s="721"/>
      <c r="Y215" s="721"/>
      <c r="Z215" s="721"/>
      <c r="AA215" s="65"/>
      <c r="AB215" s="65"/>
      <c r="AC215" s="79"/>
    </row>
    <row r="216" spans="1:68" ht="14.25" hidden="1" customHeight="1" x14ac:dyDescent="0.25">
      <c r="A216" s="722" t="s">
        <v>159</v>
      </c>
      <c r="B216" s="722"/>
      <c r="C216" s="722"/>
      <c r="D216" s="722"/>
      <c r="E216" s="722"/>
      <c r="F216" s="722"/>
      <c r="G216" s="722"/>
      <c r="H216" s="722"/>
      <c r="I216" s="722"/>
      <c r="J216" s="722"/>
      <c r="K216" s="722"/>
      <c r="L216" s="722"/>
      <c r="M216" s="722"/>
      <c r="N216" s="722"/>
      <c r="O216" s="722"/>
      <c r="P216" s="722"/>
      <c r="Q216" s="722"/>
      <c r="R216" s="722"/>
      <c r="S216" s="722"/>
      <c r="T216" s="722"/>
      <c r="U216" s="722"/>
      <c r="V216" s="722"/>
      <c r="W216" s="722"/>
      <c r="X216" s="722"/>
      <c r="Y216" s="722"/>
      <c r="Z216" s="722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723">
        <v>4680115886223</v>
      </c>
      <c r="E217" s="723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5"/>
      <c r="R217" s="725"/>
      <c r="S217" s="725"/>
      <c r="T217" s="726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31"/>
      <c r="B219" s="731"/>
      <c r="C219" s="731"/>
      <c r="D219" s="731"/>
      <c r="E219" s="731"/>
      <c r="F219" s="731"/>
      <c r="G219" s="731"/>
      <c r="H219" s="731"/>
      <c r="I219" s="731"/>
      <c r="J219" s="731"/>
      <c r="K219" s="731"/>
      <c r="L219" s="731"/>
      <c r="M219" s="731"/>
      <c r="N219" s="731"/>
      <c r="O219" s="732"/>
      <c r="P219" s="728" t="s">
        <v>40</v>
      </c>
      <c r="Q219" s="729"/>
      <c r="R219" s="729"/>
      <c r="S219" s="729"/>
      <c r="T219" s="729"/>
      <c r="U219" s="729"/>
      <c r="V219" s="73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22" t="s">
        <v>77</v>
      </c>
      <c r="B220" s="722"/>
      <c r="C220" s="722"/>
      <c r="D220" s="722"/>
      <c r="E220" s="722"/>
      <c r="F220" s="722"/>
      <c r="G220" s="722"/>
      <c r="H220" s="722"/>
      <c r="I220" s="722"/>
      <c r="J220" s="722"/>
      <c r="K220" s="722"/>
      <c r="L220" s="722"/>
      <c r="M220" s="722"/>
      <c r="N220" s="722"/>
      <c r="O220" s="722"/>
      <c r="P220" s="722"/>
      <c r="Q220" s="722"/>
      <c r="R220" s="722"/>
      <c r="S220" s="722"/>
      <c r="T220" s="722"/>
      <c r="U220" s="722"/>
      <c r="V220" s="722"/>
      <c r="W220" s="722"/>
      <c r="X220" s="722"/>
      <c r="Y220" s="722"/>
      <c r="Z220" s="722"/>
      <c r="AA220" s="66"/>
      <c r="AB220" s="66"/>
      <c r="AC220" s="80"/>
    </row>
    <row r="221" spans="1:68" ht="27" hidden="1" customHeight="1" x14ac:dyDescent="0.25">
      <c r="A221" s="63" t="s">
        <v>372</v>
      </c>
      <c r="B221" s="63" t="s">
        <v>373</v>
      </c>
      <c r="C221" s="36">
        <v>4301031191</v>
      </c>
      <c r="D221" s="723">
        <v>4680115880993</v>
      </c>
      <c r="E221" s="72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5"/>
      <c r="R221" s="725"/>
      <c r="S221" s="725"/>
      <c r="T221" s="72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ref="Y221:Y235" si="32">IFERROR(IF(X221="",0,CEILING((X221/$H221),1)*$H221),"")</f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0</v>
      </c>
      <c r="BN221" s="78">
        <f t="shared" ref="BN221:BN235" si="34">IFERROR(Y221*I221/H221,"0")</f>
        <v>0</v>
      </c>
      <c r="BO221" s="78">
        <f t="shared" ref="BO221:BO235" si="35">IFERROR(1/J221*(X221/H221),"0")</f>
        <v>0</v>
      </c>
      <c r="BP221" s="78">
        <f t="shared" ref="BP221:BP235" si="36">IFERROR(1/J221*(Y221/H221),"0")</f>
        <v>0</v>
      </c>
    </row>
    <row r="222" spans="1:68" ht="27" hidden="1" customHeight="1" x14ac:dyDescent="0.25">
      <c r="A222" s="63" t="s">
        <v>375</v>
      </c>
      <c r="B222" s="63" t="s">
        <v>376</v>
      </c>
      <c r="C222" s="36">
        <v>4301031204</v>
      </c>
      <c r="D222" s="723">
        <v>4680115881761</v>
      </c>
      <c r="E222" s="723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2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0</v>
      </c>
      <c r="BN222" s="78">
        <f t="shared" si="34"/>
        <v>0</v>
      </c>
      <c r="BO222" s="78">
        <f t="shared" si="35"/>
        <v>0</v>
      </c>
      <c r="BP222" s="78">
        <f t="shared" si="36"/>
        <v>0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723">
        <v>4680115881563</v>
      </c>
      <c r="E223" s="723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5"/>
      <c r="R223" s="725"/>
      <c r="S223" s="725"/>
      <c r="T223" s="72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723">
        <v>4680115887565</v>
      </c>
      <c r="E224" s="723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5"/>
      <c r="R224" s="725"/>
      <c r="S224" s="725"/>
      <c r="T224" s="72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723">
        <v>4680115880986</v>
      </c>
      <c r="E225" s="72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5"/>
      <c r="R225" s="725"/>
      <c r="S225" s="725"/>
      <c r="T225" s="72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723">
        <v>4680115887213</v>
      </c>
      <c r="E226" s="723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723">
        <v>4680115881785</v>
      </c>
      <c r="E227" s="723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723">
        <v>4680115888432</v>
      </c>
      <c r="E228" s="72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723">
        <v>4680115888104</v>
      </c>
      <c r="E229" s="72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723">
        <v>4680115886537</v>
      </c>
      <c r="E230" s="723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723">
        <v>4680115887596</v>
      </c>
      <c r="E231" s="723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723">
        <v>4680115881679</v>
      </c>
      <c r="E232" s="723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7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723">
        <v>4680115880191</v>
      </c>
      <c r="E233" s="72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723">
        <v>4680115880191</v>
      </c>
      <c r="E234" s="723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723">
        <v>4680115883963</v>
      </c>
      <c r="E235" s="723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5"/>
      <c r="R235" s="725"/>
      <c r="S235" s="725"/>
      <c r="T235" s="72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hidden="1" x14ac:dyDescent="0.2">
      <c r="A236" s="731"/>
      <c r="B236" s="731"/>
      <c r="C236" s="731"/>
      <c r="D236" s="731"/>
      <c r="E236" s="731"/>
      <c r="F236" s="731"/>
      <c r="G236" s="731"/>
      <c r="H236" s="731"/>
      <c r="I236" s="731"/>
      <c r="J236" s="731"/>
      <c r="K236" s="731"/>
      <c r="L236" s="731"/>
      <c r="M236" s="731"/>
      <c r="N236" s="731"/>
      <c r="O236" s="732"/>
      <c r="P236" s="728" t="s">
        <v>40</v>
      </c>
      <c r="Q236" s="729"/>
      <c r="R236" s="729"/>
      <c r="S236" s="729"/>
      <c r="T236" s="729"/>
      <c r="U236" s="729"/>
      <c r="V236" s="730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0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0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</v>
      </c>
      <c r="AA236" s="67"/>
      <c r="AB236" s="67"/>
      <c r="AC236" s="67"/>
    </row>
    <row r="237" spans="1:68" hidden="1" x14ac:dyDescent="0.2">
      <c r="A237" s="731"/>
      <c r="B237" s="731"/>
      <c r="C237" s="731"/>
      <c r="D237" s="731"/>
      <c r="E237" s="731"/>
      <c r="F237" s="731"/>
      <c r="G237" s="731"/>
      <c r="H237" s="731"/>
      <c r="I237" s="731"/>
      <c r="J237" s="731"/>
      <c r="K237" s="731"/>
      <c r="L237" s="731"/>
      <c r="M237" s="731"/>
      <c r="N237" s="731"/>
      <c r="O237" s="732"/>
      <c r="P237" s="728" t="s">
        <v>40</v>
      </c>
      <c r="Q237" s="729"/>
      <c r="R237" s="729"/>
      <c r="S237" s="729"/>
      <c r="T237" s="729"/>
      <c r="U237" s="729"/>
      <c r="V237" s="730"/>
      <c r="W237" s="42" t="s">
        <v>0</v>
      </c>
      <c r="X237" s="43">
        <f>IFERROR(SUM(X221:X235),"0")</f>
        <v>0</v>
      </c>
      <c r="Y237" s="43">
        <f>IFERROR(SUM(Y221:Y235),"0")</f>
        <v>0</v>
      </c>
      <c r="Z237" s="42"/>
      <c r="AA237" s="67"/>
      <c r="AB237" s="67"/>
      <c r="AC237" s="67"/>
    </row>
    <row r="238" spans="1:68" ht="14.25" hidden="1" customHeight="1" x14ac:dyDescent="0.25">
      <c r="A238" s="722" t="s">
        <v>86</v>
      </c>
      <c r="B238" s="722"/>
      <c r="C238" s="722"/>
      <c r="D238" s="722"/>
      <c r="E238" s="722"/>
      <c r="F238" s="722"/>
      <c r="G238" s="722"/>
      <c r="H238" s="722"/>
      <c r="I238" s="722"/>
      <c r="J238" s="722"/>
      <c r="K238" s="722"/>
      <c r="L238" s="722"/>
      <c r="M238" s="722"/>
      <c r="N238" s="722"/>
      <c r="O238" s="722"/>
      <c r="P238" s="722"/>
      <c r="Q238" s="722"/>
      <c r="R238" s="722"/>
      <c r="S238" s="722"/>
      <c r="T238" s="722"/>
      <c r="U238" s="722"/>
      <c r="V238" s="722"/>
      <c r="W238" s="722"/>
      <c r="X238" s="722"/>
      <c r="Y238" s="722"/>
      <c r="Z238" s="722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723">
        <v>4680115888692</v>
      </c>
      <c r="E239" s="72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5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723">
        <v>4680115888692</v>
      </c>
      <c r="E240" s="723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5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5"/>
      <c r="R240" s="725"/>
      <c r="S240" s="725"/>
      <c r="T240" s="72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723">
        <v>4680115888722</v>
      </c>
      <c r="E241" s="723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5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5"/>
      <c r="R241" s="725"/>
      <c r="S241" s="725"/>
      <c r="T241" s="72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723">
        <v>4680115888722</v>
      </c>
      <c r="E242" s="723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5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5"/>
      <c r="R242" s="725"/>
      <c r="S242" s="725"/>
      <c r="T242" s="72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723">
        <v>4680115888951</v>
      </c>
      <c r="E243" s="72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723">
        <v>4680115888951</v>
      </c>
      <c r="E244" s="72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723">
        <v>4680115888975</v>
      </c>
      <c r="E245" s="723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723">
        <v>4680115888982</v>
      </c>
      <c r="E246" s="723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5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723">
        <v>4680115888982</v>
      </c>
      <c r="E247" s="723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5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5"/>
      <c r="R247" s="725"/>
      <c r="S247" s="725"/>
      <c r="T247" s="726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1"/>
      <c r="B249" s="731"/>
      <c r="C249" s="731"/>
      <c r="D249" s="731"/>
      <c r="E249" s="731"/>
      <c r="F249" s="731"/>
      <c r="G249" s="731"/>
      <c r="H249" s="731"/>
      <c r="I249" s="731"/>
      <c r="J249" s="731"/>
      <c r="K249" s="731"/>
      <c r="L249" s="731"/>
      <c r="M249" s="731"/>
      <c r="N249" s="731"/>
      <c r="O249" s="732"/>
      <c r="P249" s="728" t="s">
        <v>40</v>
      </c>
      <c r="Q249" s="729"/>
      <c r="R249" s="729"/>
      <c r="S249" s="729"/>
      <c r="T249" s="729"/>
      <c r="U249" s="729"/>
      <c r="V249" s="730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2" t="s">
        <v>278</v>
      </c>
      <c r="B250" s="722"/>
      <c r="C250" s="722"/>
      <c r="D250" s="722"/>
      <c r="E250" s="722"/>
      <c r="F250" s="722"/>
      <c r="G250" s="722"/>
      <c r="H250" s="722"/>
      <c r="I250" s="722"/>
      <c r="J250" s="722"/>
      <c r="K250" s="722"/>
      <c r="L250" s="722"/>
      <c r="M250" s="722"/>
      <c r="N250" s="722"/>
      <c r="O250" s="722"/>
      <c r="P250" s="722"/>
      <c r="Q250" s="722"/>
      <c r="R250" s="722"/>
      <c r="S250" s="722"/>
      <c r="T250" s="722"/>
      <c r="U250" s="722"/>
      <c r="V250" s="722"/>
      <c r="W250" s="722"/>
      <c r="X250" s="722"/>
      <c r="Y250" s="722"/>
      <c r="Z250" s="722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723">
        <v>4680115886780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723">
        <v>4680115886742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723">
        <v>4680115886766</v>
      </c>
      <c r="E253" s="723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6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5"/>
      <c r="R253" s="725"/>
      <c r="S253" s="725"/>
      <c r="T253" s="726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1"/>
      <c r="B255" s="731"/>
      <c r="C255" s="731"/>
      <c r="D255" s="731"/>
      <c r="E255" s="731"/>
      <c r="F255" s="731"/>
      <c r="G255" s="731"/>
      <c r="H255" s="731"/>
      <c r="I255" s="731"/>
      <c r="J255" s="731"/>
      <c r="K255" s="731"/>
      <c r="L255" s="731"/>
      <c r="M255" s="731"/>
      <c r="N255" s="731"/>
      <c r="O255" s="732"/>
      <c r="P255" s="728" t="s">
        <v>40</v>
      </c>
      <c r="Q255" s="729"/>
      <c r="R255" s="729"/>
      <c r="S255" s="729"/>
      <c r="T255" s="729"/>
      <c r="U255" s="729"/>
      <c r="V255" s="73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2" t="s">
        <v>439</v>
      </c>
      <c r="B256" s="722"/>
      <c r="C256" s="722"/>
      <c r="D256" s="722"/>
      <c r="E256" s="722"/>
      <c r="F256" s="722"/>
      <c r="G256" s="722"/>
      <c r="H256" s="722"/>
      <c r="I256" s="722"/>
      <c r="J256" s="722"/>
      <c r="K256" s="722"/>
      <c r="L256" s="722"/>
      <c r="M256" s="722"/>
      <c r="N256" s="722"/>
      <c r="O256" s="722"/>
      <c r="P256" s="722"/>
      <c r="Q256" s="722"/>
      <c r="R256" s="722"/>
      <c r="S256" s="722"/>
      <c r="T256" s="722"/>
      <c r="U256" s="722"/>
      <c r="V256" s="722"/>
      <c r="W256" s="722"/>
      <c r="X256" s="722"/>
      <c r="Y256" s="722"/>
      <c r="Z256" s="722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723">
        <v>4680115886797</v>
      </c>
      <c r="E257" s="72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5"/>
      <c r="R257" s="725"/>
      <c r="S257" s="725"/>
      <c r="T257" s="72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1"/>
      <c r="B259" s="731"/>
      <c r="C259" s="731"/>
      <c r="D259" s="731"/>
      <c r="E259" s="731"/>
      <c r="F259" s="731"/>
      <c r="G259" s="731"/>
      <c r="H259" s="731"/>
      <c r="I259" s="731"/>
      <c r="J259" s="731"/>
      <c r="K259" s="731"/>
      <c r="L259" s="731"/>
      <c r="M259" s="731"/>
      <c r="N259" s="731"/>
      <c r="O259" s="732"/>
      <c r="P259" s="728" t="s">
        <v>40</v>
      </c>
      <c r="Q259" s="729"/>
      <c r="R259" s="729"/>
      <c r="S259" s="729"/>
      <c r="T259" s="729"/>
      <c r="U259" s="729"/>
      <c r="V259" s="73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1" t="s">
        <v>442</v>
      </c>
      <c r="B260" s="721"/>
      <c r="C260" s="721"/>
      <c r="D260" s="721"/>
      <c r="E260" s="721"/>
      <c r="F260" s="721"/>
      <c r="G260" s="721"/>
      <c r="H260" s="721"/>
      <c r="I260" s="721"/>
      <c r="J260" s="721"/>
      <c r="K260" s="721"/>
      <c r="L260" s="721"/>
      <c r="M260" s="721"/>
      <c r="N260" s="721"/>
      <c r="O260" s="721"/>
      <c r="P260" s="721"/>
      <c r="Q260" s="721"/>
      <c r="R260" s="721"/>
      <c r="S260" s="721"/>
      <c r="T260" s="721"/>
      <c r="U260" s="721"/>
      <c r="V260" s="721"/>
      <c r="W260" s="721"/>
      <c r="X260" s="721"/>
      <c r="Y260" s="721"/>
      <c r="Z260" s="721"/>
      <c r="AA260" s="65"/>
      <c r="AB260" s="65"/>
      <c r="AC260" s="79"/>
    </row>
    <row r="261" spans="1:68" ht="14.25" hidden="1" customHeight="1" x14ac:dyDescent="0.25">
      <c r="A261" s="722" t="s">
        <v>122</v>
      </c>
      <c r="B261" s="722"/>
      <c r="C261" s="722"/>
      <c r="D261" s="722"/>
      <c r="E261" s="722"/>
      <c r="F261" s="722"/>
      <c r="G261" s="722"/>
      <c r="H261" s="722"/>
      <c r="I261" s="722"/>
      <c r="J261" s="722"/>
      <c r="K261" s="722"/>
      <c r="L261" s="722"/>
      <c r="M261" s="722"/>
      <c r="N261" s="722"/>
      <c r="O261" s="722"/>
      <c r="P261" s="722"/>
      <c r="Q261" s="722"/>
      <c r="R261" s="722"/>
      <c r="S261" s="722"/>
      <c r="T261" s="722"/>
      <c r="U261" s="722"/>
      <c r="V261" s="722"/>
      <c r="W261" s="722"/>
      <c r="X261" s="722"/>
      <c r="Y261" s="722"/>
      <c r="Z261" s="722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723">
        <v>4680115881402</v>
      </c>
      <c r="E262" s="72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723">
        <v>4680115881396</v>
      </c>
      <c r="E263" s="723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5"/>
      <c r="R263" s="725"/>
      <c r="S263" s="725"/>
      <c r="T263" s="726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1"/>
      <c r="B265" s="731"/>
      <c r="C265" s="731"/>
      <c r="D265" s="731"/>
      <c r="E265" s="731"/>
      <c r="F265" s="731"/>
      <c r="G265" s="731"/>
      <c r="H265" s="731"/>
      <c r="I265" s="731"/>
      <c r="J265" s="731"/>
      <c r="K265" s="731"/>
      <c r="L265" s="731"/>
      <c r="M265" s="731"/>
      <c r="N265" s="731"/>
      <c r="O265" s="732"/>
      <c r="P265" s="728" t="s">
        <v>40</v>
      </c>
      <c r="Q265" s="729"/>
      <c r="R265" s="729"/>
      <c r="S265" s="729"/>
      <c r="T265" s="729"/>
      <c r="U265" s="729"/>
      <c r="V265" s="73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2" t="s">
        <v>159</v>
      </c>
      <c r="B266" s="722"/>
      <c r="C266" s="722"/>
      <c r="D266" s="722"/>
      <c r="E266" s="722"/>
      <c r="F266" s="722"/>
      <c r="G266" s="722"/>
      <c r="H266" s="722"/>
      <c r="I266" s="722"/>
      <c r="J266" s="722"/>
      <c r="K266" s="722"/>
      <c r="L266" s="722"/>
      <c r="M266" s="722"/>
      <c r="N266" s="722"/>
      <c r="O266" s="722"/>
      <c r="P266" s="722"/>
      <c r="Q266" s="722"/>
      <c r="R266" s="722"/>
      <c r="S266" s="722"/>
      <c r="T266" s="722"/>
      <c r="U266" s="722"/>
      <c r="V266" s="722"/>
      <c r="W266" s="722"/>
      <c r="X266" s="722"/>
      <c r="Y266" s="722"/>
      <c r="Z266" s="722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723">
        <v>4680115882935</v>
      </c>
      <c r="E267" s="723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723">
        <v>4680115880764</v>
      </c>
      <c r="E268" s="723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5"/>
      <c r="R268" s="725"/>
      <c r="S268" s="725"/>
      <c r="T268" s="72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1"/>
      <c r="B270" s="731"/>
      <c r="C270" s="731"/>
      <c r="D270" s="731"/>
      <c r="E270" s="731"/>
      <c r="F270" s="731"/>
      <c r="G270" s="731"/>
      <c r="H270" s="731"/>
      <c r="I270" s="731"/>
      <c r="J270" s="731"/>
      <c r="K270" s="731"/>
      <c r="L270" s="731"/>
      <c r="M270" s="731"/>
      <c r="N270" s="731"/>
      <c r="O270" s="732"/>
      <c r="P270" s="728" t="s">
        <v>40</v>
      </c>
      <c r="Q270" s="729"/>
      <c r="R270" s="729"/>
      <c r="S270" s="729"/>
      <c r="T270" s="729"/>
      <c r="U270" s="729"/>
      <c r="V270" s="73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2" t="s">
        <v>77</v>
      </c>
      <c r="B271" s="722"/>
      <c r="C271" s="722"/>
      <c r="D271" s="722"/>
      <c r="E271" s="722"/>
      <c r="F271" s="722"/>
      <c r="G271" s="722"/>
      <c r="H271" s="722"/>
      <c r="I271" s="722"/>
      <c r="J271" s="722"/>
      <c r="K271" s="722"/>
      <c r="L271" s="722"/>
      <c r="M271" s="722"/>
      <c r="N271" s="722"/>
      <c r="O271" s="722"/>
      <c r="P271" s="722"/>
      <c r="Q271" s="722"/>
      <c r="R271" s="722"/>
      <c r="S271" s="722"/>
      <c r="T271" s="722"/>
      <c r="U271" s="722"/>
      <c r="V271" s="722"/>
      <c r="W271" s="722"/>
      <c r="X271" s="722"/>
      <c r="Y271" s="722"/>
      <c r="Z271" s="722"/>
      <c r="AA271" s="66"/>
      <c r="AB271" s="66"/>
      <c r="AC271" s="80"/>
    </row>
    <row r="272" spans="1:68" ht="27" hidden="1" customHeight="1" x14ac:dyDescent="0.25">
      <c r="A272" s="63" t="s">
        <v>453</v>
      </c>
      <c r="B272" s="63" t="s">
        <v>454</v>
      </c>
      <c r="C272" s="36">
        <v>4301031224</v>
      </c>
      <c r="D272" s="723">
        <v>4680115882683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4301031230</v>
      </c>
      <c r="D273" s="723">
        <v>4680115882690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459</v>
      </c>
      <c r="B274" s="63" t="s">
        <v>460</v>
      </c>
      <c r="C274" s="36">
        <v>4301031220</v>
      </c>
      <c r="D274" s="723">
        <v>4680115882669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462</v>
      </c>
      <c r="B275" s="63" t="s">
        <v>463</v>
      </c>
      <c r="C275" s="36">
        <v>4301031221</v>
      </c>
      <c r="D275" s="723">
        <v>4680115882676</v>
      </c>
      <c r="E275" s="723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465</v>
      </c>
      <c r="B276" s="63" t="s">
        <v>466</v>
      </c>
      <c r="C276" s="36">
        <v>4301031223</v>
      </c>
      <c r="D276" s="723">
        <v>4680115884014</v>
      </c>
      <c r="E276" s="723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467</v>
      </c>
      <c r="B277" s="63" t="s">
        <v>468</v>
      </c>
      <c r="C277" s="36">
        <v>4301031222</v>
      </c>
      <c r="D277" s="723">
        <v>4680115884007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469</v>
      </c>
      <c r="B278" s="63" t="s">
        <v>470</v>
      </c>
      <c r="C278" s="36">
        <v>4301031229</v>
      </c>
      <c r="D278" s="723">
        <v>4680115884038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471</v>
      </c>
      <c r="B279" s="63" t="s">
        <v>472</v>
      </c>
      <c r="C279" s="36">
        <v>4301031225</v>
      </c>
      <c r="D279" s="723">
        <v>4680115884021</v>
      </c>
      <c r="E279" s="723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5"/>
      <c r="R279" s="725"/>
      <c r="S279" s="725"/>
      <c r="T279" s="72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731"/>
      <c r="B281" s="731"/>
      <c r="C281" s="731"/>
      <c r="D281" s="731"/>
      <c r="E281" s="731"/>
      <c r="F281" s="731"/>
      <c r="G281" s="731"/>
      <c r="H281" s="731"/>
      <c r="I281" s="731"/>
      <c r="J281" s="731"/>
      <c r="K281" s="731"/>
      <c r="L281" s="731"/>
      <c r="M281" s="731"/>
      <c r="N281" s="731"/>
      <c r="O281" s="732"/>
      <c r="P281" s="728" t="s">
        <v>40</v>
      </c>
      <c r="Q281" s="729"/>
      <c r="R281" s="729"/>
      <c r="S281" s="729"/>
      <c r="T281" s="729"/>
      <c r="U281" s="729"/>
      <c r="V281" s="73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722" t="s">
        <v>86</v>
      </c>
      <c r="B282" s="722"/>
      <c r="C282" s="722"/>
      <c r="D282" s="722"/>
      <c r="E282" s="722"/>
      <c r="F282" s="722"/>
      <c r="G282" s="722"/>
      <c r="H282" s="722"/>
      <c r="I282" s="722"/>
      <c r="J282" s="722"/>
      <c r="K282" s="722"/>
      <c r="L282" s="722"/>
      <c r="M282" s="722"/>
      <c r="N282" s="722"/>
      <c r="O282" s="722"/>
      <c r="P282" s="722"/>
      <c r="Q282" s="722"/>
      <c r="R282" s="722"/>
      <c r="S282" s="722"/>
      <c r="T282" s="722"/>
      <c r="U282" s="722"/>
      <c r="V282" s="722"/>
      <c r="W282" s="722"/>
      <c r="X282" s="722"/>
      <c r="Y282" s="722"/>
      <c r="Z282" s="722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723">
        <v>4680115881594</v>
      </c>
      <c r="E283" s="723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723">
        <v>4680115881617</v>
      </c>
      <c r="E284" s="723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723">
        <v>4680115880573</v>
      </c>
      <c r="E285" s="723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482</v>
      </c>
      <c r="B286" s="63" t="s">
        <v>483</v>
      </c>
      <c r="C286" s="36">
        <v>4301051407</v>
      </c>
      <c r="D286" s="723">
        <v>4680115882195</v>
      </c>
      <c r="E286" s="723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723">
        <v>4680115882607</v>
      </c>
      <c r="E288" s="723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489</v>
      </c>
      <c r="B289" s="63" t="s">
        <v>490</v>
      </c>
      <c r="C289" s="36">
        <v>4301051666</v>
      </c>
      <c r="D289" s="723">
        <v>4680115880092</v>
      </c>
      <c r="E289" s="72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723">
        <v>4680115889064</v>
      </c>
      <c r="E290" s="723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493</v>
      </c>
      <c r="B291" s="63" t="s">
        <v>494</v>
      </c>
      <c r="C291" s="36">
        <v>4301051668</v>
      </c>
      <c r="D291" s="723">
        <v>4680115880221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723">
        <v>4680115880504</v>
      </c>
      <c r="E292" s="72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4301051410</v>
      </c>
      <c r="D293" s="723">
        <v>4680115882164</v>
      </c>
      <c r="E293" s="723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723">
        <v>4680115888340</v>
      </c>
      <c r="E294" s="723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5"/>
      <c r="R294" s="725"/>
      <c r="S294" s="725"/>
      <c r="T294" s="72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731"/>
      <c r="B296" s="731"/>
      <c r="C296" s="731"/>
      <c r="D296" s="731"/>
      <c r="E296" s="731"/>
      <c r="F296" s="731"/>
      <c r="G296" s="731"/>
      <c r="H296" s="731"/>
      <c r="I296" s="731"/>
      <c r="J296" s="731"/>
      <c r="K296" s="731"/>
      <c r="L296" s="731"/>
      <c r="M296" s="731"/>
      <c r="N296" s="731"/>
      <c r="O296" s="732"/>
      <c r="P296" s="728" t="s">
        <v>40</v>
      </c>
      <c r="Q296" s="729"/>
      <c r="R296" s="729"/>
      <c r="S296" s="729"/>
      <c r="T296" s="729"/>
      <c r="U296" s="729"/>
      <c r="V296" s="73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722" t="s">
        <v>179</v>
      </c>
      <c r="B297" s="722"/>
      <c r="C297" s="722"/>
      <c r="D297" s="722"/>
      <c r="E297" s="722"/>
      <c r="F297" s="722"/>
      <c r="G297" s="722"/>
      <c r="H297" s="722"/>
      <c r="I297" s="722"/>
      <c r="J297" s="722"/>
      <c r="K297" s="722"/>
      <c r="L297" s="722"/>
      <c r="M297" s="722"/>
      <c r="N297" s="722"/>
      <c r="O297" s="722"/>
      <c r="P297" s="722"/>
      <c r="Q297" s="722"/>
      <c r="R297" s="722"/>
      <c r="S297" s="722"/>
      <c r="T297" s="722"/>
      <c r="U297" s="722"/>
      <c r="V297" s="722"/>
      <c r="W297" s="722"/>
      <c r="X297" s="722"/>
      <c r="Y297" s="722"/>
      <c r="Z297" s="722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723">
        <v>4680115880818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723">
        <v>4680115880801</v>
      </c>
      <c r="E299" s="723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5"/>
      <c r="R299" s="725"/>
      <c r="S299" s="725"/>
      <c r="T299" s="726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1"/>
      <c r="B301" s="731"/>
      <c r="C301" s="731"/>
      <c r="D301" s="731"/>
      <c r="E301" s="731"/>
      <c r="F301" s="731"/>
      <c r="G301" s="731"/>
      <c r="H301" s="731"/>
      <c r="I301" s="731"/>
      <c r="J301" s="731"/>
      <c r="K301" s="731"/>
      <c r="L301" s="731"/>
      <c r="M301" s="731"/>
      <c r="N301" s="731"/>
      <c r="O301" s="732"/>
      <c r="P301" s="728" t="s">
        <v>40</v>
      </c>
      <c r="Q301" s="729"/>
      <c r="R301" s="729"/>
      <c r="S301" s="729"/>
      <c r="T301" s="729"/>
      <c r="U301" s="729"/>
      <c r="V301" s="73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1" t="s">
        <v>510</v>
      </c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1"/>
      <c r="P302" s="721"/>
      <c r="Q302" s="721"/>
      <c r="R302" s="721"/>
      <c r="S302" s="721"/>
      <c r="T302" s="721"/>
      <c r="U302" s="721"/>
      <c r="V302" s="721"/>
      <c r="W302" s="721"/>
      <c r="X302" s="721"/>
      <c r="Y302" s="721"/>
      <c r="Z302" s="721"/>
      <c r="AA302" s="65"/>
      <c r="AB302" s="65"/>
      <c r="AC302" s="79"/>
    </row>
    <row r="303" spans="1:68" ht="14.25" hidden="1" customHeight="1" x14ac:dyDescent="0.25">
      <c r="A303" s="722" t="s">
        <v>122</v>
      </c>
      <c r="B303" s="722"/>
      <c r="C303" s="722"/>
      <c r="D303" s="722"/>
      <c r="E303" s="722"/>
      <c r="F303" s="722"/>
      <c r="G303" s="722"/>
      <c r="H303" s="722"/>
      <c r="I303" s="722"/>
      <c r="J303" s="722"/>
      <c r="K303" s="722"/>
      <c r="L303" s="722"/>
      <c r="M303" s="722"/>
      <c r="N303" s="722"/>
      <c r="O303" s="722"/>
      <c r="P303" s="722"/>
      <c r="Q303" s="722"/>
      <c r="R303" s="722"/>
      <c r="S303" s="722"/>
      <c r="T303" s="722"/>
      <c r="U303" s="722"/>
      <c r="V303" s="722"/>
      <c r="W303" s="722"/>
      <c r="X303" s="722"/>
      <c r="Y303" s="722"/>
      <c r="Z303" s="722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723">
        <v>4680115884137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723">
        <v>4680115884236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723">
        <v>4680115884175</v>
      </c>
      <c r="E306" s="723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723">
        <v>4680115884144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723">
        <v>4680115886551</v>
      </c>
      <c r="E308" s="723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723">
        <v>4680115887282</v>
      </c>
      <c r="E309" s="723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723">
        <v>4680115884205</v>
      </c>
      <c r="E310" s="723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5"/>
      <c r="R310" s="725"/>
      <c r="S310" s="725"/>
      <c r="T310" s="72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1"/>
      <c r="B312" s="731"/>
      <c r="C312" s="731"/>
      <c r="D312" s="731"/>
      <c r="E312" s="731"/>
      <c r="F312" s="731"/>
      <c r="G312" s="731"/>
      <c r="H312" s="731"/>
      <c r="I312" s="731"/>
      <c r="J312" s="731"/>
      <c r="K312" s="731"/>
      <c r="L312" s="731"/>
      <c r="M312" s="731"/>
      <c r="N312" s="731"/>
      <c r="O312" s="732"/>
      <c r="P312" s="728" t="s">
        <v>40</v>
      </c>
      <c r="Q312" s="729"/>
      <c r="R312" s="729"/>
      <c r="S312" s="729"/>
      <c r="T312" s="729"/>
      <c r="U312" s="729"/>
      <c r="V312" s="73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2" t="s">
        <v>159</v>
      </c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2"/>
      <c r="P313" s="722"/>
      <c r="Q313" s="722"/>
      <c r="R313" s="722"/>
      <c r="S313" s="722"/>
      <c r="T313" s="722"/>
      <c r="U313" s="722"/>
      <c r="V313" s="722"/>
      <c r="W313" s="722"/>
      <c r="X313" s="722"/>
      <c r="Y313" s="722"/>
      <c r="Z313" s="722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723">
        <v>4680115885981</v>
      </c>
      <c r="E314" s="723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5"/>
      <c r="R314" s="725"/>
      <c r="S314" s="725"/>
      <c r="T314" s="72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1"/>
      <c r="B316" s="731"/>
      <c r="C316" s="731"/>
      <c r="D316" s="731"/>
      <c r="E316" s="731"/>
      <c r="F316" s="731"/>
      <c r="G316" s="731"/>
      <c r="H316" s="731"/>
      <c r="I316" s="731"/>
      <c r="J316" s="731"/>
      <c r="K316" s="731"/>
      <c r="L316" s="731"/>
      <c r="M316" s="731"/>
      <c r="N316" s="731"/>
      <c r="O316" s="732"/>
      <c r="P316" s="728" t="s">
        <v>40</v>
      </c>
      <c r="Q316" s="729"/>
      <c r="R316" s="729"/>
      <c r="S316" s="729"/>
      <c r="T316" s="729"/>
      <c r="U316" s="729"/>
      <c r="V316" s="73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2" t="s">
        <v>532</v>
      </c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2"/>
      <c r="P317" s="722"/>
      <c r="Q317" s="722"/>
      <c r="R317" s="722"/>
      <c r="S317" s="722"/>
      <c r="T317" s="722"/>
      <c r="U317" s="722"/>
      <c r="V317" s="722"/>
      <c r="W317" s="722"/>
      <c r="X317" s="722"/>
      <c r="Y317" s="722"/>
      <c r="Z317" s="722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723">
        <v>4680115886803</v>
      </c>
      <c r="E318" s="723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89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5"/>
      <c r="R318" s="725"/>
      <c r="S318" s="725"/>
      <c r="T318" s="72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1"/>
      <c r="B320" s="731"/>
      <c r="C320" s="731"/>
      <c r="D320" s="731"/>
      <c r="E320" s="731"/>
      <c r="F320" s="731"/>
      <c r="G320" s="731"/>
      <c r="H320" s="731"/>
      <c r="I320" s="731"/>
      <c r="J320" s="731"/>
      <c r="K320" s="731"/>
      <c r="L320" s="731"/>
      <c r="M320" s="731"/>
      <c r="N320" s="731"/>
      <c r="O320" s="732"/>
      <c r="P320" s="728" t="s">
        <v>40</v>
      </c>
      <c r="Q320" s="729"/>
      <c r="R320" s="729"/>
      <c r="S320" s="729"/>
      <c r="T320" s="729"/>
      <c r="U320" s="729"/>
      <c r="V320" s="73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2" t="s">
        <v>342</v>
      </c>
      <c r="B321" s="722"/>
      <c r="C321" s="722"/>
      <c r="D321" s="722"/>
      <c r="E321" s="722"/>
      <c r="F321" s="722"/>
      <c r="G321" s="722"/>
      <c r="H321" s="722"/>
      <c r="I321" s="722"/>
      <c r="J321" s="722"/>
      <c r="K321" s="722"/>
      <c r="L321" s="722"/>
      <c r="M321" s="722"/>
      <c r="N321" s="722"/>
      <c r="O321" s="722"/>
      <c r="P321" s="722"/>
      <c r="Q321" s="722"/>
      <c r="R321" s="722"/>
      <c r="S321" s="722"/>
      <c r="T321" s="722"/>
      <c r="U321" s="722"/>
      <c r="V321" s="722"/>
      <c r="W321" s="722"/>
      <c r="X321" s="722"/>
      <c r="Y321" s="722"/>
      <c r="Z321" s="722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723">
        <v>4680115886681</v>
      </c>
      <c r="E322" s="72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5"/>
      <c r="R322" s="725"/>
      <c r="S322" s="725"/>
      <c r="T322" s="72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31"/>
      <c r="B323" s="731"/>
      <c r="C323" s="731"/>
      <c r="D323" s="731"/>
      <c r="E323" s="731"/>
      <c r="F323" s="731"/>
      <c r="G323" s="731"/>
      <c r="H323" s="731"/>
      <c r="I323" s="731"/>
      <c r="J323" s="731"/>
      <c r="K323" s="731"/>
      <c r="L323" s="731"/>
      <c r="M323" s="731"/>
      <c r="N323" s="731"/>
      <c r="O323" s="732"/>
      <c r="P323" s="728" t="s">
        <v>40</v>
      </c>
      <c r="Q323" s="729"/>
      <c r="R323" s="729"/>
      <c r="S323" s="729"/>
      <c r="T323" s="729"/>
      <c r="U323" s="729"/>
      <c r="V323" s="730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31"/>
      <c r="B324" s="731"/>
      <c r="C324" s="731"/>
      <c r="D324" s="731"/>
      <c r="E324" s="731"/>
      <c r="F324" s="731"/>
      <c r="G324" s="731"/>
      <c r="H324" s="731"/>
      <c r="I324" s="731"/>
      <c r="J324" s="731"/>
      <c r="K324" s="731"/>
      <c r="L324" s="731"/>
      <c r="M324" s="731"/>
      <c r="N324" s="731"/>
      <c r="O324" s="732"/>
      <c r="P324" s="728" t="s">
        <v>40</v>
      </c>
      <c r="Q324" s="729"/>
      <c r="R324" s="729"/>
      <c r="S324" s="729"/>
      <c r="T324" s="729"/>
      <c r="U324" s="729"/>
      <c r="V324" s="730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6.5" hidden="1" customHeight="1" x14ac:dyDescent="0.25">
      <c r="A325" s="721" t="s">
        <v>539</v>
      </c>
      <c r="B325" s="721"/>
      <c r="C325" s="721"/>
      <c r="D325" s="721"/>
      <c r="E325" s="721"/>
      <c r="F325" s="721"/>
      <c r="G325" s="721"/>
      <c r="H325" s="721"/>
      <c r="I325" s="721"/>
      <c r="J325" s="721"/>
      <c r="K325" s="721"/>
      <c r="L325" s="721"/>
      <c r="M325" s="721"/>
      <c r="N325" s="721"/>
      <c r="O325" s="721"/>
      <c r="P325" s="721"/>
      <c r="Q325" s="721"/>
      <c r="R325" s="721"/>
      <c r="S325" s="721"/>
      <c r="T325" s="721"/>
      <c r="U325" s="721"/>
      <c r="V325" s="721"/>
      <c r="W325" s="721"/>
      <c r="X325" s="721"/>
      <c r="Y325" s="721"/>
      <c r="Z325" s="721"/>
      <c r="AA325" s="65"/>
      <c r="AB325" s="65"/>
      <c r="AC325" s="79"/>
    </row>
    <row r="326" spans="1:68" ht="14.25" hidden="1" customHeight="1" x14ac:dyDescent="0.25">
      <c r="A326" s="722" t="s">
        <v>122</v>
      </c>
      <c r="B326" s="722"/>
      <c r="C326" s="722"/>
      <c r="D326" s="722"/>
      <c r="E326" s="722"/>
      <c r="F326" s="722"/>
      <c r="G326" s="722"/>
      <c r="H326" s="722"/>
      <c r="I326" s="722"/>
      <c r="J326" s="722"/>
      <c r="K326" s="722"/>
      <c r="L326" s="722"/>
      <c r="M326" s="722"/>
      <c r="N326" s="722"/>
      <c r="O326" s="722"/>
      <c r="P326" s="722"/>
      <c r="Q326" s="722"/>
      <c r="R326" s="722"/>
      <c r="S326" s="722"/>
      <c r="T326" s="722"/>
      <c r="U326" s="722"/>
      <c r="V326" s="722"/>
      <c r="W326" s="722"/>
      <c r="X326" s="722"/>
      <c r="Y326" s="722"/>
      <c r="Z326" s="722"/>
      <c r="AA326" s="66"/>
      <c r="AB326" s="66"/>
      <c r="AC326" s="80"/>
    </row>
    <row r="327" spans="1:68" ht="27" hidden="1" customHeight="1" x14ac:dyDescent="0.25">
      <c r="A327" s="63" t="s">
        <v>540</v>
      </c>
      <c r="B327" s="63" t="s">
        <v>541</v>
      </c>
      <c r="C327" s="36">
        <v>4301012390</v>
      </c>
      <c r="D327" s="723">
        <v>4680115889637</v>
      </c>
      <c r="E327" s="72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90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725"/>
      <c r="R327" s="725"/>
      <c r="S327" s="725"/>
      <c r="T327" s="72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ref="Y327:Y332" si="58"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543</v>
      </c>
      <c r="AC327" s="424" t="s">
        <v>542</v>
      </c>
      <c r="AG327" s="78"/>
      <c r="AJ327" s="84" t="s">
        <v>46</v>
      </c>
      <c r="AK327" s="84">
        <v>0</v>
      </c>
      <c r="BB327" s="425" t="s">
        <v>67</v>
      </c>
      <c r="BM327" s="78">
        <f t="shared" ref="BM327:BM332" si="59">IFERROR(X327*I327/H327,"0")</f>
        <v>0</v>
      </c>
      <c r="BN327" s="78">
        <f t="shared" ref="BN327:BN332" si="60">IFERROR(Y327*I327/H327,"0")</f>
        <v>0</v>
      </c>
      <c r="BO327" s="78">
        <f t="shared" ref="BO327:BO332" si="61">IFERROR(1/J327*(X327/H327),"0")</f>
        <v>0</v>
      </c>
      <c r="BP327" s="78">
        <f t="shared" ref="BP327:BP332" si="62">IFERROR(1/J327*(Y327/H327),"0")</f>
        <v>0</v>
      </c>
    </row>
    <row r="328" spans="1:68" ht="27" hidden="1" customHeight="1" x14ac:dyDescent="0.25">
      <c r="A328" s="63" t="s">
        <v>544</v>
      </c>
      <c r="B328" s="63" t="s">
        <v>545</v>
      </c>
      <c r="C328" s="36">
        <v>4301011855</v>
      </c>
      <c r="D328" s="723">
        <v>4680115885837</v>
      </c>
      <c r="E328" s="72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725"/>
      <c r="R328" s="725"/>
      <c r="S328" s="725"/>
      <c r="T328" s="726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8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546</v>
      </c>
      <c r="AG328" s="78"/>
      <c r="AJ328" s="84" t="s">
        <v>46</v>
      </c>
      <c r="AK328" s="84">
        <v>0</v>
      </c>
      <c r="BB328" s="427" t="s">
        <v>67</v>
      </c>
      <c r="BM328" s="78">
        <f t="shared" si="59"/>
        <v>0</v>
      </c>
      <c r="BN328" s="78">
        <f t="shared" si="60"/>
        <v>0</v>
      </c>
      <c r="BO328" s="78">
        <f t="shared" si="61"/>
        <v>0</v>
      </c>
      <c r="BP328" s="78">
        <f t="shared" si="62"/>
        <v>0</v>
      </c>
    </row>
    <row r="329" spans="1:68" ht="37.5" hidden="1" customHeight="1" x14ac:dyDescent="0.25">
      <c r="A329" s="63" t="s">
        <v>547</v>
      </c>
      <c r="B329" s="63" t="s">
        <v>548</v>
      </c>
      <c r="C329" s="36">
        <v>4301012234</v>
      </c>
      <c r="D329" s="723">
        <v>4680115887237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27" hidden="1" customHeight="1" x14ac:dyDescent="0.25">
      <c r="A330" s="63" t="s">
        <v>550</v>
      </c>
      <c r="B330" s="63" t="s">
        <v>551</v>
      </c>
      <c r="C330" s="36">
        <v>4301011850</v>
      </c>
      <c r="D330" s="723">
        <v>4680115885806</v>
      </c>
      <c r="E330" s="723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4301011852</v>
      </c>
      <c r="D331" s="723">
        <v>4680115885844</v>
      </c>
      <c r="E331" s="723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37.5" hidden="1" customHeight="1" x14ac:dyDescent="0.25">
      <c r="A332" s="63" t="s">
        <v>556</v>
      </c>
      <c r="B332" s="63" t="s">
        <v>557</v>
      </c>
      <c r="C332" s="36">
        <v>4301011851</v>
      </c>
      <c r="D332" s="723">
        <v>4680115885820</v>
      </c>
      <c r="E332" s="723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725"/>
      <c r="R332" s="725"/>
      <c r="S332" s="725"/>
      <c r="T332" s="726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idden="1" x14ac:dyDescent="0.2">
      <c r="A333" s="731"/>
      <c r="B333" s="731"/>
      <c r="C333" s="731"/>
      <c r="D333" s="731"/>
      <c r="E333" s="731"/>
      <c r="F333" s="731"/>
      <c r="G333" s="731"/>
      <c r="H333" s="731"/>
      <c r="I333" s="731"/>
      <c r="J333" s="731"/>
      <c r="K333" s="731"/>
      <c r="L333" s="731"/>
      <c r="M333" s="731"/>
      <c r="N333" s="731"/>
      <c r="O333" s="732"/>
      <c r="P333" s="728" t="s">
        <v>40</v>
      </c>
      <c r="Q333" s="729"/>
      <c r="R333" s="729"/>
      <c r="S333" s="729"/>
      <c r="T333" s="729"/>
      <c r="U333" s="729"/>
      <c r="V333" s="730"/>
      <c r="W333" s="42" t="s">
        <v>39</v>
      </c>
      <c r="X333" s="43">
        <f>IFERROR(X327/H327,"0")+IFERROR(X328/H328,"0")+IFERROR(X329/H329,"0")+IFERROR(X330/H330,"0")+IFERROR(X331/H331,"0")+IFERROR(X332/H332,"0")</f>
        <v>0</v>
      </c>
      <c r="Y333" s="43">
        <f>IFERROR(Y327/H327,"0")+IFERROR(Y328/H328,"0")+IFERROR(Y329/H329,"0")+IFERROR(Y330/H330,"0")+IFERROR(Y331/H331,"0")+IFERROR(Y332/H332,"0")</f>
        <v>0</v>
      </c>
      <c r="Z333" s="43">
        <f>IFERROR(IF(Z327="",0,Z327),"0")+IFERROR(IF(Z328="",0,Z328),"0")+IFERROR(IF(Z329="",0,Z329),"0")+IFERROR(IF(Z330="",0,Z330),"0")+IFERROR(IF(Z331="",0,Z331),"0")+IFERROR(IF(Z332="",0,Z332),"0")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731"/>
      <c r="B334" s="731"/>
      <c r="C334" s="731"/>
      <c r="D334" s="731"/>
      <c r="E334" s="731"/>
      <c r="F334" s="731"/>
      <c r="G334" s="731"/>
      <c r="H334" s="731"/>
      <c r="I334" s="731"/>
      <c r="J334" s="731"/>
      <c r="K334" s="731"/>
      <c r="L334" s="731"/>
      <c r="M334" s="731"/>
      <c r="N334" s="731"/>
      <c r="O334" s="732"/>
      <c r="P334" s="728" t="s">
        <v>40</v>
      </c>
      <c r="Q334" s="729"/>
      <c r="R334" s="729"/>
      <c r="S334" s="729"/>
      <c r="T334" s="729"/>
      <c r="U334" s="729"/>
      <c r="V334" s="730"/>
      <c r="W334" s="42" t="s">
        <v>0</v>
      </c>
      <c r="X334" s="43">
        <f>IFERROR(SUM(X327:X332),"0")</f>
        <v>0</v>
      </c>
      <c r="Y334" s="43">
        <f>IFERROR(SUM(Y327:Y332),"0")</f>
        <v>0</v>
      </c>
      <c r="Z334" s="42"/>
      <c r="AA334" s="67"/>
      <c r="AB334" s="67"/>
      <c r="AC334" s="67"/>
    </row>
    <row r="335" spans="1:68" ht="16.5" hidden="1" customHeight="1" x14ac:dyDescent="0.25">
      <c r="A335" s="721" t="s">
        <v>559</v>
      </c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1"/>
      <c r="P335" s="721"/>
      <c r="Q335" s="721"/>
      <c r="R335" s="721"/>
      <c r="S335" s="721"/>
      <c r="T335" s="721"/>
      <c r="U335" s="721"/>
      <c r="V335" s="721"/>
      <c r="W335" s="721"/>
      <c r="X335" s="721"/>
      <c r="Y335" s="721"/>
      <c r="Z335" s="721"/>
      <c r="AA335" s="65"/>
      <c r="AB335" s="65"/>
      <c r="AC335" s="79"/>
    </row>
    <row r="336" spans="1:68" ht="14.25" hidden="1" customHeight="1" x14ac:dyDescent="0.25">
      <c r="A336" s="722" t="s">
        <v>86</v>
      </c>
      <c r="B336" s="722"/>
      <c r="C336" s="722"/>
      <c r="D336" s="722"/>
      <c r="E336" s="722"/>
      <c r="F336" s="722"/>
      <c r="G336" s="722"/>
      <c r="H336" s="722"/>
      <c r="I336" s="722"/>
      <c r="J336" s="722"/>
      <c r="K336" s="722"/>
      <c r="L336" s="722"/>
      <c r="M336" s="722"/>
      <c r="N336" s="722"/>
      <c r="O336" s="722"/>
      <c r="P336" s="722"/>
      <c r="Q336" s="722"/>
      <c r="R336" s="722"/>
      <c r="S336" s="722"/>
      <c r="T336" s="722"/>
      <c r="U336" s="722"/>
      <c r="V336" s="722"/>
      <c r="W336" s="722"/>
      <c r="X336" s="722"/>
      <c r="Y336" s="722"/>
      <c r="Z336" s="722"/>
      <c r="AA336" s="66"/>
      <c r="AB336" s="66"/>
      <c r="AC336" s="80"/>
    </row>
    <row r="337" spans="1:68" ht="27" hidden="1" customHeight="1" x14ac:dyDescent="0.25">
      <c r="A337" s="63" t="s">
        <v>560</v>
      </c>
      <c r="B337" s="63" t="s">
        <v>561</v>
      </c>
      <c r="C337" s="36">
        <v>4301051893</v>
      </c>
      <c r="D337" s="723">
        <v>4680115886186</v>
      </c>
      <c r="E337" s="723"/>
      <c r="F337" s="62">
        <v>0.3</v>
      </c>
      <c r="G337" s="37">
        <v>6</v>
      </c>
      <c r="H337" s="62">
        <v>1.8</v>
      </c>
      <c r="I337" s="62">
        <v>1.98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725"/>
      <c r="R337" s="725"/>
      <c r="S337" s="725"/>
      <c r="T337" s="72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562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563</v>
      </c>
      <c r="B338" s="63" t="s">
        <v>564</v>
      </c>
      <c r="C338" s="36">
        <v>4301051795</v>
      </c>
      <c r="D338" s="723">
        <v>4680115881228</v>
      </c>
      <c r="E338" s="723"/>
      <c r="F338" s="62">
        <v>0.4</v>
      </c>
      <c r="G338" s="37">
        <v>6</v>
      </c>
      <c r="H338" s="62">
        <v>2.4</v>
      </c>
      <c r="I338" s="62">
        <v>2.6520000000000001</v>
      </c>
      <c r="J338" s="37">
        <v>182</v>
      </c>
      <c r="K338" s="37" t="s">
        <v>91</v>
      </c>
      <c r="L338" s="37" t="s">
        <v>46</v>
      </c>
      <c r="M338" s="38" t="s">
        <v>97</v>
      </c>
      <c r="N338" s="38"/>
      <c r="O338" s="37">
        <v>40</v>
      </c>
      <c r="P338" s="9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4301051388</v>
      </c>
      <c r="D339" s="723">
        <v>4680115881211</v>
      </c>
      <c r="E339" s="723"/>
      <c r="F339" s="62">
        <v>0.4</v>
      </c>
      <c r="G339" s="37">
        <v>6</v>
      </c>
      <c r="H339" s="62">
        <v>2.4</v>
      </c>
      <c r="I339" s="62">
        <v>2.58</v>
      </c>
      <c r="J339" s="37">
        <v>182</v>
      </c>
      <c r="K339" s="37" t="s">
        <v>91</v>
      </c>
      <c r="L339" s="37" t="s">
        <v>46</v>
      </c>
      <c r="M339" s="38" t="s">
        <v>90</v>
      </c>
      <c r="N339" s="38"/>
      <c r="O339" s="37">
        <v>45</v>
      </c>
      <c r="P339" s="90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725"/>
      <c r="R339" s="725"/>
      <c r="S339" s="725"/>
      <c r="T339" s="72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idden="1" x14ac:dyDescent="0.2">
      <c r="A340" s="731"/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2"/>
      <c r="P340" s="728" t="s">
        <v>40</v>
      </c>
      <c r="Q340" s="729"/>
      <c r="R340" s="729"/>
      <c r="S340" s="729"/>
      <c r="T340" s="729"/>
      <c r="U340" s="729"/>
      <c r="V340" s="730"/>
      <c r="W340" s="42" t="s">
        <v>39</v>
      </c>
      <c r="X340" s="43">
        <f>IFERROR(X337/H337,"0")+IFERROR(X338/H338,"0")+IFERROR(X339/H339,"0")</f>
        <v>0</v>
      </c>
      <c r="Y340" s="43">
        <f>IFERROR(Y337/H337,"0")+IFERROR(Y338/H338,"0")+IFERROR(Y339/H339,"0")</f>
        <v>0</v>
      </c>
      <c r="Z340" s="43">
        <f>IFERROR(IF(Z337="",0,Z337),"0")+IFERROR(IF(Z338="",0,Z338),"0")+IFERROR(IF(Z339="",0,Z339),"0")</f>
        <v>0</v>
      </c>
      <c r="AA340" s="67"/>
      <c r="AB340" s="67"/>
      <c r="AC340" s="67"/>
    </row>
    <row r="341" spans="1:68" hidden="1" x14ac:dyDescent="0.2">
      <c r="A341" s="731"/>
      <c r="B341" s="731"/>
      <c r="C341" s="731"/>
      <c r="D341" s="731"/>
      <c r="E341" s="731"/>
      <c r="F341" s="731"/>
      <c r="G341" s="731"/>
      <c r="H341" s="731"/>
      <c r="I341" s="731"/>
      <c r="J341" s="731"/>
      <c r="K341" s="731"/>
      <c r="L341" s="731"/>
      <c r="M341" s="731"/>
      <c r="N341" s="731"/>
      <c r="O341" s="732"/>
      <c r="P341" s="728" t="s">
        <v>40</v>
      </c>
      <c r="Q341" s="729"/>
      <c r="R341" s="729"/>
      <c r="S341" s="729"/>
      <c r="T341" s="729"/>
      <c r="U341" s="729"/>
      <c r="V341" s="730"/>
      <c r="W341" s="42" t="s">
        <v>0</v>
      </c>
      <c r="X341" s="43">
        <f>IFERROR(SUM(X337:X339),"0")</f>
        <v>0</v>
      </c>
      <c r="Y341" s="43">
        <f>IFERROR(SUM(Y337:Y339),"0")</f>
        <v>0</v>
      </c>
      <c r="Z341" s="42"/>
      <c r="AA341" s="67"/>
      <c r="AB341" s="67"/>
      <c r="AC341" s="67"/>
    </row>
    <row r="342" spans="1:68" ht="16.5" hidden="1" customHeight="1" x14ac:dyDescent="0.25">
      <c r="A342" s="721" t="s">
        <v>568</v>
      </c>
      <c r="B342" s="721"/>
      <c r="C342" s="721"/>
      <c r="D342" s="721"/>
      <c r="E342" s="721"/>
      <c r="F342" s="721"/>
      <c r="G342" s="721"/>
      <c r="H342" s="721"/>
      <c r="I342" s="721"/>
      <c r="J342" s="721"/>
      <c r="K342" s="721"/>
      <c r="L342" s="721"/>
      <c r="M342" s="721"/>
      <c r="N342" s="721"/>
      <c r="O342" s="721"/>
      <c r="P342" s="721"/>
      <c r="Q342" s="721"/>
      <c r="R342" s="721"/>
      <c r="S342" s="721"/>
      <c r="T342" s="721"/>
      <c r="U342" s="721"/>
      <c r="V342" s="721"/>
      <c r="W342" s="721"/>
      <c r="X342" s="721"/>
      <c r="Y342" s="721"/>
      <c r="Z342" s="721"/>
      <c r="AA342" s="65"/>
      <c r="AB342" s="65"/>
      <c r="AC342" s="79"/>
    </row>
    <row r="343" spans="1:68" ht="14.25" hidden="1" customHeight="1" x14ac:dyDescent="0.25">
      <c r="A343" s="722" t="s">
        <v>77</v>
      </c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2"/>
      <c r="P343" s="722"/>
      <c r="Q343" s="722"/>
      <c r="R343" s="722"/>
      <c r="S343" s="722"/>
      <c r="T343" s="722"/>
      <c r="U343" s="722"/>
      <c r="V343" s="722"/>
      <c r="W343" s="722"/>
      <c r="X343" s="722"/>
      <c r="Y343" s="722"/>
      <c r="Z343" s="722"/>
      <c r="AA343" s="66"/>
      <c r="AB343" s="66"/>
      <c r="AC343" s="80"/>
    </row>
    <row r="344" spans="1:68" ht="27" hidden="1" customHeight="1" x14ac:dyDescent="0.25">
      <c r="A344" s="63" t="s">
        <v>569</v>
      </c>
      <c r="B344" s="63" t="s">
        <v>570</v>
      </c>
      <c r="C344" s="36">
        <v>4301031445</v>
      </c>
      <c r="D344" s="723">
        <v>4680115888319</v>
      </c>
      <c r="E344" s="723"/>
      <c r="F344" s="62">
        <v>0.35</v>
      </c>
      <c r="G344" s="37">
        <v>6</v>
      </c>
      <c r="H344" s="62">
        <v>2.1</v>
      </c>
      <c r="I344" s="62">
        <v>2.23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45</v>
      </c>
      <c r="P344" s="90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725"/>
      <c r="R344" s="725"/>
      <c r="S344" s="725"/>
      <c r="T344" s="72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396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571</v>
      </c>
      <c r="B345" s="63" t="s">
        <v>572</v>
      </c>
      <c r="C345" s="36">
        <v>4301031502</v>
      </c>
      <c r="D345" s="723">
        <v>4680115884700</v>
      </c>
      <c r="E345" s="723"/>
      <c r="F345" s="62">
        <v>0.57999999999999996</v>
      </c>
      <c r="G345" s="37">
        <v>4</v>
      </c>
      <c r="H345" s="62">
        <v>2.3199999999999998</v>
      </c>
      <c r="I345" s="62">
        <v>2.42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91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573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4301031307</v>
      </c>
      <c r="D346" s="723">
        <v>4680115880344</v>
      </c>
      <c r="E346" s="723"/>
      <c r="F346" s="62">
        <v>0.28000000000000003</v>
      </c>
      <c r="G346" s="37">
        <v>6</v>
      </c>
      <c r="H346" s="62">
        <v>1.68</v>
      </c>
      <c r="I346" s="62">
        <v>1.78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4301031501</v>
      </c>
      <c r="D347" s="723">
        <v>4680115886919</v>
      </c>
      <c r="E347" s="723"/>
      <c r="F347" s="62">
        <v>0.4</v>
      </c>
      <c r="G347" s="37">
        <v>6</v>
      </c>
      <c r="H347" s="62">
        <v>2.4</v>
      </c>
      <c r="I347" s="62">
        <v>2.58</v>
      </c>
      <c r="J347" s="37">
        <v>182</v>
      </c>
      <c r="K347" s="37" t="s">
        <v>91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4301031246</v>
      </c>
      <c r="D348" s="723">
        <v>4680115883970</v>
      </c>
      <c r="E348" s="723"/>
      <c r="F348" s="62">
        <v>0.28000000000000003</v>
      </c>
      <c r="G348" s="37">
        <v>6</v>
      </c>
      <c r="H348" s="62">
        <v>1.68</v>
      </c>
      <c r="I348" s="62">
        <v>2.5</v>
      </c>
      <c r="J348" s="37">
        <v>234</v>
      </c>
      <c r="K348" s="37" t="s">
        <v>82</v>
      </c>
      <c r="L348" s="37" t="s">
        <v>46</v>
      </c>
      <c r="M348" s="38" t="s">
        <v>81</v>
      </c>
      <c r="N348" s="38"/>
      <c r="O348" s="37">
        <v>40</v>
      </c>
      <c r="P348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725"/>
      <c r="R348" s="725"/>
      <c r="S348" s="725"/>
      <c r="T348" s="72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IFERROR(IF(Y348=0,"",ROUNDUP(Y348/H348,0)*0.00502),"")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31"/>
      <c r="B349" s="731"/>
      <c r="C349" s="731"/>
      <c r="D349" s="731"/>
      <c r="E349" s="731"/>
      <c r="F349" s="731"/>
      <c r="G349" s="731"/>
      <c r="H349" s="731"/>
      <c r="I349" s="731"/>
      <c r="J349" s="731"/>
      <c r="K349" s="731"/>
      <c r="L349" s="731"/>
      <c r="M349" s="731"/>
      <c r="N349" s="731"/>
      <c r="O349" s="732"/>
      <c r="P349" s="728" t="s">
        <v>40</v>
      </c>
      <c r="Q349" s="729"/>
      <c r="R349" s="729"/>
      <c r="S349" s="729"/>
      <c r="T349" s="729"/>
      <c r="U349" s="729"/>
      <c r="V349" s="730"/>
      <c r="W349" s="42" t="s">
        <v>39</v>
      </c>
      <c r="X349" s="43">
        <f>IFERROR(X344/H344,"0")+IFERROR(X345/H345,"0")+IFERROR(X346/H346,"0")+IFERROR(X347/H347,"0")+IFERROR(X348/H348,"0")</f>
        <v>0</v>
      </c>
      <c r="Y349" s="43">
        <f>IFERROR(Y344/H344,"0")+IFERROR(Y345/H345,"0")+IFERROR(Y346/H346,"0")+IFERROR(Y347/H347,"0")+IFERROR(Y348/H348,"0")</f>
        <v>0</v>
      </c>
      <c r="Z349" s="43">
        <f>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31"/>
      <c r="B350" s="731"/>
      <c r="C350" s="731"/>
      <c r="D350" s="731"/>
      <c r="E350" s="731"/>
      <c r="F350" s="731"/>
      <c r="G350" s="731"/>
      <c r="H350" s="731"/>
      <c r="I350" s="731"/>
      <c r="J350" s="731"/>
      <c r="K350" s="731"/>
      <c r="L350" s="731"/>
      <c r="M350" s="731"/>
      <c r="N350" s="731"/>
      <c r="O350" s="732"/>
      <c r="P350" s="728" t="s">
        <v>40</v>
      </c>
      <c r="Q350" s="729"/>
      <c r="R350" s="729"/>
      <c r="S350" s="729"/>
      <c r="T350" s="729"/>
      <c r="U350" s="729"/>
      <c r="V350" s="730"/>
      <c r="W350" s="42" t="s">
        <v>0</v>
      </c>
      <c r="X350" s="43">
        <f>IFERROR(SUM(X344:X348),"0")</f>
        <v>0</v>
      </c>
      <c r="Y350" s="43">
        <f>IFERROR(SUM(Y344:Y348),"0")</f>
        <v>0</v>
      </c>
      <c r="Z350" s="42"/>
      <c r="AA350" s="67"/>
      <c r="AB350" s="67"/>
      <c r="AC350" s="67"/>
    </row>
    <row r="351" spans="1:68" ht="14.25" hidden="1" customHeight="1" x14ac:dyDescent="0.25">
      <c r="A351" s="722" t="s">
        <v>86</v>
      </c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2"/>
      <c r="P351" s="722"/>
      <c r="Q351" s="722"/>
      <c r="R351" s="722"/>
      <c r="S351" s="722"/>
      <c r="T351" s="722"/>
      <c r="U351" s="722"/>
      <c r="V351" s="722"/>
      <c r="W351" s="722"/>
      <c r="X351" s="722"/>
      <c r="Y351" s="722"/>
      <c r="Z351" s="722"/>
      <c r="AA351" s="66"/>
      <c r="AB351" s="66"/>
      <c r="AC351" s="80"/>
    </row>
    <row r="352" spans="1:68" ht="27" hidden="1" customHeight="1" x14ac:dyDescent="0.25">
      <c r="A352" s="63" t="s">
        <v>583</v>
      </c>
      <c r="B352" s="63" t="s">
        <v>584</v>
      </c>
      <c r="C352" s="36">
        <v>4301051782</v>
      </c>
      <c r="D352" s="723">
        <v>4680115884618</v>
      </c>
      <c r="E352" s="723"/>
      <c r="F352" s="62">
        <v>0.6</v>
      </c>
      <c r="G352" s="37">
        <v>6</v>
      </c>
      <c r="H352" s="62">
        <v>3.6</v>
      </c>
      <c r="I352" s="62">
        <v>3.79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91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725"/>
      <c r="R352" s="725"/>
      <c r="S352" s="725"/>
      <c r="T352" s="72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585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586</v>
      </c>
      <c r="B353" s="63" t="s">
        <v>587</v>
      </c>
      <c r="C353" s="36">
        <v>4301052057</v>
      </c>
      <c r="D353" s="723">
        <v>4680115887114</v>
      </c>
      <c r="E353" s="723"/>
      <c r="F353" s="62">
        <v>0.55000000000000004</v>
      </c>
      <c r="G353" s="37">
        <v>6</v>
      </c>
      <c r="H353" s="62">
        <v>3.3</v>
      </c>
      <c r="I353" s="62">
        <v>3.49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725"/>
      <c r="R353" s="725"/>
      <c r="S353" s="725"/>
      <c r="T353" s="72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31"/>
      <c r="B354" s="731"/>
      <c r="C354" s="731"/>
      <c r="D354" s="731"/>
      <c r="E354" s="731"/>
      <c r="F354" s="731"/>
      <c r="G354" s="731"/>
      <c r="H354" s="731"/>
      <c r="I354" s="731"/>
      <c r="J354" s="731"/>
      <c r="K354" s="731"/>
      <c r="L354" s="731"/>
      <c r="M354" s="731"/>
      <c r="N354" s="731"/>
      <c r="O354" s="732"/>
      <c r="P354" s="728" t="s">
        <v>40</v>
      </c>
      <c r="Q354" s="729"/>
      <c r="R354" s="729"/>
      <c r="S354" s="729"/>
      <c r="T354" s="729"/>
      <c r="U354" s="729"/>
      <c r="V354" s="730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hidden="1" x14ac:dyDescent="0.2">
      <c r="A355" s="731"/>
      <c r="B355" s="731"/>
      <c r="C355" s="731"/>
      <c r="D355" s="731"/>
      <c r="E355" s="731"/>
      <c r="F355" s="731"/>
      <c r="G355" s="731"/>
      <c r="H355" s="731"/>
      <c r="I355" s="731"/>
      <c r="J355" s="731"/>
      <c r="K355" s="731"/>
      <c r="L355" s="731"/>
      <c r="M355" s="731"/>
      <c r="N355" s="731"/>
      <c r="O355" s="732"/>
      <c r="P355" s="728" t="s">
        <v>40</v>
      </c>
      <c r="Q355" s="729"/>
      <c r="R355" s="729"/>
      <c r="S355" s="729"/>
      <c r="T355" s="729"/>
      <c r="U355" s="729"/>
      <c r="V355" s="730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6.5" hidden="1" customHeight="1" x14ac:dyDescent="0.25">
      <c r="A356" s="721" t="s">
        <v>589</v>
      </c>
      <c r="B356" s="721"/>
      <c r="C356" s="721"/>
      <c r="D356" s="721"/>
      <c r="E356" s="721"/>
      <c r="F356" s="721"/>
      <c r="G356" s="721"/>
      <c r="H356" s="721"/>
      <c r="I356" s="721"/>
      <c r="J356" s="721"/>
      <c r="K356" s="721"/>
      <c r="L356" s="721"/>
      <c r="M356" s="721"/>
      <c r="N356" s="721"/>
      <c r="O356" s="721"/>
      <c r="P356" s="721"/>
      <c r="Q356" s="721"/>
      <c r="R356" s="721"/>
      <c r="S356" s="721"/>
      <c r="T356" s="721"/>
      <c r="U356" s="721"/>
      <c r="V356" s="721"/>
      <c r="W356" s="721"/>
      <c r="X356" s="721"/>
      <c r="Y356" s="721"/>
      <c r="Z356" s="721"/>
      <c r="AA356" s="65"/>
      <c r="AB356" s="65"/>
      <c r="AC356" s="79"/>
    </row>
    <row r="357" spans="1:68" ht="14.25" hidden="1" customHeight="1" x14ac:dyDescent="0.25">
      <c r="A357" s="722" t="s">
        <v>122</v>
      </c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2"/>
      <c r="P357" s="722"/>
      <c r="Q357" s="722"/>
      <c r="R357" s="722"/>
      <c r="S357" s="722"/>
      <c r="T357" s="722"/>
      <c r="U357" s="722"/>
      <c r="V357" s="722"/>
      <c r="W357" s="722"/>
      <c r="X357" s="722"/>
      <c r="Y357" s="722"/>
      <c r="Z357" s="722"/>
      <c r="AA357" s="66"/>
      <c r="AB357" s="66"/>
      <c r="AC357" s="80"/>
    </row>
    <row r="358" spans="1:68" ht="27" hidden="1" customHeight="1" x14ac:dyDescent="0.25">
      <c r="A358" s="63" t="s">
        <v>590</v>
      </c>
      <c r="B358" s="63" t="s">
        <v>591</v>
      </c>
      <c r="C358" s="36">
        <v>4301012324</v>
      </c>
      <c r="D358" s="723">
        <v>4680115887947</v>
      </c>
      <c r="E358" s="72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725"/>
      <c r="R358" s="725"/>
      <c r="S358" s="725"/>
      <c r="T358" s="72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355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592</v>
      </c>
      <c r="B359" s="63" t="s">
        <v>593</v>
      </c>
      <c r="C359" s="36">
        <v>4301012325</v>
      </c>
      <c r="D359" s="723">
        <v>4680115887978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594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595</v>
      </c>
      <c r="B360" s="63" t="s">
        <v>596</v>
      </c>
      <c r="C360" s="36">
        <v>4301012327</v>
      </c>
      <c r="D360" s="723">
        <v>4680115887992</v>
      </c>
      <c r="E360" s="723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725"/>
      <c r="R360" s="725"/>
      <c r="S360" s="725"/>
      <c r="T360" s="726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idden="1" x14ac:dyDescent="0.2">
      <c r="A361" s="731"/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2"/>
      <c r="P361" s="728" t="s">
        <v>40</v>
      </c>
      <c r="Q361" s="729"/>
      <c r="R361" s="729"/>
      <c r="S361" s="729"/>
      <c r="T361" s="729"/>
      <c r="U361" s="729"/>
      <c r="V361" s="730"/>
      <c r="W361" s="42" t="s">
        <v>39</v>
      </c>
      <c r="X361" s="43">
        <f>IFERROR(X358/H358,"0")+IFERROR(X359/H359,"0")+IFERROR(X360/H360,"0")</f>
        <v>0</v>
      </c>
      <c r="Y361" s="43">
        <f>IFERROR(Y358/H358,"0")+IFERROR(Y359/H359,"0")+IFERROR(Y360/H360,"0")</f>
        <v>0</v>
      </c>
      <c r="Z361" s="43">
        <f>IFERROR(IF(Z358="",0,Z358),"0")+IFERROR(IF(Z359="",0,Z359),"0")+IFERROR(IF(Z360="",0,Z360),"0")</f>
        <v>0</v>
      </c>
      <c r="AA361" s="67"/>
      <c r="AB361" s="67"/>
      <c r="AC361" s="67"/>
    </row>
    <row r="362" spans="1:68" hidden="1" x14ac:dyDescent="0.2">
      <c r="A362" s="731"/>
      <c r="B362" s="731"/>
      <c r="C362" s="731"/>
      <c r="D362" s="731"/>
      <c r="E362" s="731"/>
      <c r="F362" s="731"/>
      <c r="G362" s="731"/>
      <c r="H362" s="731"/>
      <c r="I362" s="731"/>
      <c r="J362" s="731"/>
      <c r="K362" s="731"/>
      <c r="L362" s="731"/>
      <c r="M362" s="731"/>
      <c r="N362" s="731"/>
      <c r="O362" s="732"/>
      <c r="P362" s="728" t="s">
        <v>40</v>
      </c>
      <c r="Q362" s="729"/>
      <c r="R362" s="729"/>
      <c r="S362" s="729"/>
      <c r="T362" s="729"/>
      <c r="U362" s="729"/>
      <c r="V362" s="730"/>
      <c r="W362" s="42" t="s">
        <v>0</v>
      </c>
      <c r="X362" s="43">
        <f>IFERROR(SUM(X358:X360),"0")</f>
        <v>0</v>
      </c>
      <c r="Y362" s="43">
        <f>IFERROR(SUM(Y358:Y360),"0")</f>
        <v>0</v>
      </c>
      <c r="Z362" s="42"/>
      <c r="AA362" s="67"/>
      <c r="AB362" s="67"/>
      <c r="AC362" s="67"/>
    </row>
    <row r="363" spans="1:68" ht="16.5" hidden="1" customHeight="1" x14ac:dyDescent="0.25">
      <c r="A363" s="721" t="s">
        <v>598</v>
      </c>
      <c r="B363" s="721"/>
      <c r="C363" s="721"/>
      <c r="D363" s="721"/>
      <c r="E363" s="721"/>
      <c r="F363" s="721"/>
      <c r="G363" s="721"/>
      <c r="H363" s="721"/>
      <c r="I363" s="721"/>
      <c r="J363" s="721"/>
      <c r="K363" s="721"/>
      <c r="L363" s="721"/>
      <c r="M363" s="721"/>
      <c r="N363" s="721"/>
      <c r="O363" s="721"/>
      <c r="P363" s="721"/>
      <c r="Q363" s="721"/>
      <c r="R363" s="721"/>
      <c r="S363" s="721"/>
      <c r="T363" s="721"/>
      <c r="U363" s="721"/>
      <c r="V363" s="721"/>
      <c r="W363" s="721"/>
      <c r="X363" s="721"/>
      <c r="Y363" s="721"/>
      <c r="Z363" s="721"/>
      <c r="AA363" s="65"/>
      <c r="AB363" s="65"/>
      <c r="AC363" s="79"/>
    </row>
    <row r="364" spans="1:68" ht="14.25" hidden="1" customHeight="1" x14ac:dyDescent="0.25">
      <c r="A364" s="722" t="s">
        <v>122</v>
      </c>
      <c r="B364" s="722"/>
      <c r="C364" s="722"/>
      <c r="D364" s="722"/>
      <c r="E364" s="722"/>
      <c r="F364" s="722"/>
      <c r="G364" s="722"/>
      <c r="H364" s="722"/>
      <c r="I364" s="722"/>
      <c r="J364" s="722"/>
      <c r="K364" s="722"/>
      <c r="L364" s="722"/>
      <c r="M364" s="722"/>
      <c r="N364" s="722"/>
      <c r="O364" s="722"/>
      <c r="P364" s="722"/>
      <c r="Q364" s="722"/>
      <c r="R364" s="722"/>
      <c r="S364" s="722"/>
      <c r="T364" s="722"/>
      <c r="U364" s="722"/>
      <c r="V364" s="722"/>
      <c r="W364" s="722"/>
      <c r="X364" s="722"/>
      <c r="Y364" s="722"/>
      <c r="Z364" s="722"/>
      <c r="AA364" s="66"/>
      <c r="AB364" s="66"/>
      <c r="AC364" s="80"/>
    </row>
    <row r="365" spans="1:68" ht="27" hidden="1" customHeight="1" x14ac:dyDescent="0.25">
      <c r="A365" s="63" t="s">
        <v>599</v>
      </c>
      <c r="B365" s="63" t="s">
        <v>600</v>
      </c>
      <c r="C365" s="36">
        <v>4301012400</v>
      </c>
      <c r="D365" s="723">
        <v>4680115889880</v>
      </c>
      <c r="E365" s="72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725"/>
      <c r="R365" s="725"/>
      <c r="S365" s="725"/>
      <c r="T365" s="72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ref="Y365:Y371" si="63"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543</v>
      </c>
      <c r="AC365" s="462" t="s">
        <v>523</v>
      </c>
      <c r="AG365" s="78"/>
      <c r="AJ365" s="84" t="s">
        <v>46</v>
      </c>
      <c r="AK365" s="84">
        <v>0</v>
      </c>
      <c r="BB365" s="463" t="s">
        <v>67</v>
      </c>
      <c r="BM365" s="78">
        <f t="shared" ref="BM365:BM371" si="64">IFERROR(X365*I365/H365,"0")</f>
        <v>0</v>
      </c>
      <c r="BN365" s="78">
        <f t="shared" ref="BN365:BN371" si="65">IFERROR(Y365*I365/H365,"0")</f>
        <v>0</v>
      </c>
      <c r="BO365" s="78">
        <f t="shared" ref="BO365:BO371" si="66">IFERROR(1/J365*(X365/H365),"0")</f>
        <v>0</v>
      </c>
      <c r="BP365" s="78">
        <f t="shared" ref="BP365:BP371" si="67">IFERROR(1/J365*(Y365/H365),"0")</f>
        <v>0</v>
      </c>
    </row>
    <row r="366" spans="1:68" ht="27" hidden="1" customHeight="1" x14ac:dyDescent="0.25">
      <c r="A366" s="63" t="s">
        <v>601</v>
      </c>
      <c r="B366" s="63" t="s">
        <v>602</v>
      </c>
      <c r="C366" s="36">
        <v>4301012360</v>
      </c>
      <c r="D366" s="723">
        <v>4680115889293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63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603</v>
      </c>
      <c r="AG366" s="78"/>
      <c r="AJ366" s="84" t="s">
        <v>46</v>
      </c>
      <c r="AK366" s="84">
        <v>0</v>
      </c>
      <c r="BB366" s="465" t="s">
        <v>67</v>
      </c>
      <c r="BM366" s="78">
        <f t="shared" si="64"/>
        <v>0</v>
      </c>
      <c r="BN366" s="78">
        <f t="shared" si="65"/>
        <v>0</v>
      </c>
      <c r="BO366" s="78">
        <f t="shared" si="66"/>
        <v>0</v>
      </c>
      <c r="BP366" s="78">
        <f t="shared" si="67"/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4301012235</v>
      </c>
      <c r="D367" s="723">
        <v>4680115887190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37.5" hidden="1" customHeight="1" x14ac:dyDescent="0.25">
      <c r="A368" s="63" t="s">
        <v>607</v>
      </c>
      <c r="B368" s="63" t="s">
        <v>608</v>
      </c>
      <c r="C368" s="36">
        <v>4301012233</v>
      </c>
      <c r="D368" s="723">
        <v>4680115887138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4301012016</v>
      </c>
      <c r="D369" s="723">
        <v>4680115885554</v>
      </c>
      <c r="E369" s="72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9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4301012236</v>
      </c>
      <c r="D370" s="723">
        <v>4680115887220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606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4301011859</v>
      </c>
      <c r="D371" s="723">
        <v>4680115885608</v>
      </c>
      <c r="E371" s="723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5"/>
      <c r="R371" s="725"/>
      <c r="S371" s="725"/>
      <c r="T371" s="72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617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idden="1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39</v>
      </c>
      <c r="X372" s="43">
        <f>IFERROR(X365/H365,"0")+IFERROR(X366/H366,"0")+IFERROR(X367/H367,"0")+IFERROR(X368/H368,"0")+IFERROR(X369/H369,"0")+IFERROR(X370/H370,"0")+IFERROR(X371/H371,"0")</f>
        <v>0</v>
      </c>
      <c r="Y372" s="43">
        <f>IFERROR(Y365/H365,"0")+IFERROR(Y366/H366,"0")+IFERROR(Y367/H367,"0")+IFERROR(Y368/H368,"0")+IFERROR(Y369/H369,"0")+IFERROR(Y370/H370,"0")+IFERROR(Y371/H371,"0")</f>
        <v>0</v>
      </c>
      <c r="Z372" s="43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1"/>
      <c r="B373" s="731"/>
      <c r="C373" s="731"/>
      <c r="D373" s="731"/>
      <c r="E373" s="731"/>
      <c r="F373" s="731"/>
      <c r="G373" s="731"/>
      <c r="H373" s="731"/>
      <c r="I373" s="731"/>
      <c r="J373" s="731"/>
      <c r="K373" s="731"/>
      <c r="L373" s="731"/>
      <c r="M373" s="731"/>
      <c r="N373" s="731"/>
      <c r="O373" s="732"/>
      <c r="P373" s="728" t="s">
        <v>40</v>
      </c>
      <c r="Q373" s="729"/>
      <c r="R373" s="729"/>
      <c r="S373" s="729"/>
      <c r="T373" s="729"/>
      <c r="U373" s="729"/>
      <c r="V373" s="730"/>
      <c r="W373" s="42" t="s">
        <v>0</v>
      </c>
      <c r="X373" s="43">
        <f>IFERROR(SUM(X365:X371),"0")</f>
        <v>0</v>
      </c>
      <c r="Y373" s="43">
        <f>IFERROR(SUM(Y365:Y371),"0")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2" t="s">
        <v>77</v>
      </c>
      <c r="B374" s="722"/>
      <c r="C374" s="722"/>
      <c r="D374" s="722"/>
      <c r="E374" s="722"/>
      <c r="F374" s="722"/>
      <c r="G374" s="722"/>
      <c r="H374" s="722"/>
      <c r="I374" s="722"/>
      <c r="J374" s="722"/>
      <c r="K374" s="722"/>
      <c r="L374" s="722"/>
      <c r="M374" s="722"/>
      <c r="N374" s="722"/>
      <c r="O374" s="722"/>
      <c r="P374" s="722"/>
      <c r="Q374" s="722"/>
      <c r="R374" s="722"/>
      <c r="S374" s="722"/>
      <c r="T374" s="722"/>
      <c r="U374" s="722"/>
      <c r="V374" s="722"/>
      <c r="W374" s="722"/>
      <c r="X374" s="722"/>
      <c r="Y374" s="722"/>
      <c r="Z374" s="722"/>
      <c r="AA374" s="66"/>
      <c r="AB374" s="66"/>
      <c r="AC374" s="80"/>
    </row>
    <row r="375" spans="1:68" ht="27" hidden="1" customHeight="1" x14ac:dyDescent="0.25">
      <c r="A375" s="63" t="s">
        <v>618</v>
      </c>
      <c r="B375" s="63" t="s">
        <v>619</v>
      </c>
      <c r="C375" s="36">
        <v>4301030878</v>
      </c>
      <c r="D375" s="723">
        <v>4607091387193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9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8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620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9">IFERROR(X375*I375/H375,"0")</f>
        <v>0</v>
      </c>
      <c r="BN375" s="78">
        <f t="shared" ref="BN375:BN381" si="70">IFERROR(Y375*I375/H375,"0")</f>
        <v>0</v>
      </c>
      <c r="BO375" s="78">
        <f t="shared" ref="BO375:BO381" si="71">IFERROR(1/J375*(X375/H375),"0")</f>
        <v>0</v>
      </c>
      <c r="BP375" s="78">
        <f t="shared" ref="BP375:BP381" si="72">IFERROR(1/J375*(Y375/H375),"0")</f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4301031153</v>
      </c>
      <c r="D376" s="723">
        <v>4607091387230</v>
      </c>
      <c r="E376" s="723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9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si="69"/>
        <v>0</v>
      </c>
      <c r="BN376" s="78">
        <f t="shared" si="70"/>
        <v>0</v>
      </c>
      <c r="BO376" s="78">
        <f t="shared" si="71"/>
        <v>0</v>
      </c>
      <c r="BP376" s="78">
        <f t="shared" si="72"/>
        <v>0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4301031154</v>
      </c>
      <c r="D377" s="723">
        <v>4607091387292</v>
      </c>
      <c r="E377" s="72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4301031152</v>
      </c>
      <c r="D378" s="723">
        <v>4607091387285</v>
      </c>
      <c r="E378" s="723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623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4301031305</v>
      </c>
      <c r="D379" s="723">
        <v>4607091389845</v>
      </c>
      <c r="E379" s="723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631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4301031460</v>
      </c>
      <c r="D380" s="723">
        <v>4680115887442</v>
      </c>
      <c r="E380" s="723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9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626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4301031066</v>
      </c>
      <c r="D381" s="723">
        <v>4607091383836</v>
      </c>
      <c r="E381" s="723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9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5"/>
      <c r="R381" s="725"/>
      <c r="S381" s="725"/>
      <c r="T381" s="72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636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idden="1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31"/>
      <c r="B383" s="731"/>
      <c r="C383" s="731"/>
      <c r="D383" s="731"/>
      <c r="E383" s="731"/>
      <c r="F383" s="731"/>
      <c r="G383" s="731"/>
      <c r="H383" s="731"/>
      <c r="I383" s="731"/>
      <c r="J383" s="731"/>
      <c r="K383" s="731"/>
      <c r="L383" s="731"/>
      <c r="M383" s="731"/>
      <c r="N383" s="731"/>
      <c r="O383" s="732"/>
      <c r="P383" s="728" t="s">
        <v>40</v>
      </c>
      <c r="Q383" s="729"/>
      <c r="R383" s="729"/>
      <c r="S383" s="729"/>
      <c r="T383" s="729"/>
      <c r="U383" s="729"/>
      <c r="V383" s="73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22" t="s">
        <v>86</v>
      </c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2"/>
      <c r="P384" s="722"/>
      <c r="Q384" s="722"/>
      <c r="R384" s="722"/>
      <c r="S384" s="722"/>
      <c r="T384" s="722"/>
      <c r="U384" s="722"/>
      <c r="V384" s="722"/>
      <c r="W384" s="722"/>
      <c r="X384" s="722"/>
      <c r="Y384" s="722"/>
      <c r="Z384" s="722"/>
      <c r="AA384" s="66"/>
      <c r="AB384" s="66"/>
      <c r="AC384" s="80"/>
    </row>
    <row r="385" spans="1:68" ht="27" customHeight="1" x14ac:dyDescent="0.25">
      <c r="A385" s="63" t="s">
        <v>637</v>
      </c>
      <c r="B385" s="63" t="s">
        <v>638</v>
      </c>
      <c r="C385" s="36">
        <v>4301051100</v>
      </c>
      <c r="D385" s="723">
        <v>4607091387766</v>
      </c>
      <c r="E385" s="723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2500</v>
      </c>
      <c r="Y385" s="55">
        <f>IFERROR(IF(X385="",0,CEILING((X385/$H385),1)*$H385),"")</f>
        <v>2503.7999999999997</v>
      </c>
      <c r="Z385" s="41">
        <f>IFERROR(IF(Y385=0,"",ROUNDUP(Y385/H385,0)*0.01898),"")</f>
        <v>6.0925799999999999</v>
      </c>
      <c r="AA385" s="68" t="s">
        <v>46</v>
      </c>
      <c r="AB385" s="69" t="s">
        <v>46</v>
      </c>
      <c r="AC385" s="490" t="s">
        <v>639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2656.4102564102564</v>
      </c>
      <c r="BN385" s="78">
        <f>IFERROR(Y385*I385/H385,"0")</f>
        <v>2660.4479999999999</v>
      </c>
      <c r="BO385" s="78">
        <f>IFERROR(1/J385*(X385/H385),"0")</f>
        <v>5.0080128205128203</v>
      </c>
      <c r="BP385" s="78">
        <f>IFERROR(1/J385*(Y385/H385),"0")</f>
        <v>5.015625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4301051818</v>
      </c>
      <c r="D386" s="723">
        <v>4607091387957</v>
      </c>
      <c r="E386" s="72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4301051819</v>
      </c>
      <c r="D387" s="723">
        <v>4607091387964</v>
      </c>
      <c r="E387" s="723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4301051734</v>
      </c>
      <c r="D388" s="723">
        <v>4680115884588</v>
      </c>
      <c r="E388" s="723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9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5"/>
      <c r="R388" s="725"/>
      <c r="S388" s="725"/>
      <c r="T388" s="726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639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39</v>
      </c>
      <c r="X389" s="43">
        <f>IFERROR(X385/H385,"0")+IFERROR(X386/H386,"0")+IFERROR(X387/H387,"0")+IFERROR(X388/H388,"0")</f>
        <v>320.5128205128205</v>
      </c>
      <c r="Y389" s="43">
        <f>IFERROR(Y385/H385,"0")+IFERROR(Y386/H386,"0")+IFERROR(Y387/H387,"0")+IFERROR(Y388/H388,"0")</f>
        <v>321</v>
      </c>
      <c r="Z389" s="43">
        <f>IFERROR(IF(Z385="",0,Z385),"0")+IFERROR(IF(Z386="",0,Z386),"0")+IFERROR(IF(Z387="",0,Z387),"0")+IFERROR(IF(Z388="",0,Z388),"0")</f>
        <v>6.0925799999999999</v>
      </c>
      <c r="AA389" s="67"/>
      <c r="AB389" s="67"/>
      <c r="AC389" s="67"/>
    </row>
    <row r="390" spans="1:68" x14ac:dyDescent="0.2">
      <c r="A390" s="731"/>
      <c r="B390" s="731"/>
      <c r="C390" s="731"/>
      <c r="D390" s="731"/>
      <c r="E390" s="731"/>
      <c r="F390" s="731"/>
      <c r="G390" s="731"/>
      <c r="H390" s="731"/>
      <c r="I390" s="731"/>
      <c r="J390" s="731"/>
      <c r="K390" s="731"/>
      <c r="L390" s="731"/>
      <c r="M390" s="731"/>
      <c r="N390" s="731"/>
      <c r="O390" s="732"/>
      <c r="P390" s="728" t="s">
        <v>40</v>
      </c>
      <c r="Q390" s="729"/>
      <c r="R390" s="729"/>
      <c r="S390" s="729"/>
      <c r="T390" s="729"/>
      <c r="U390" s="729"/>
      <c r="V390" s="730"/>
      <c r="W390" s="42" t="s">
        <v>0</v>
      </c>
      <c r="X390" s="43">
        <f>IFERROR(SUM(X385:X388),"0")</f>
        <v>2500</v>
      </c>
      <c r="Y390" s="43">
        <f>IFERROR(SUM(Y385:Y388),"0")</f>
        <v>2503.7999999999997</v>
      </c>
      <c r="Z390" s="42"/>
      <c r="AA390" s="67"/>
      <c r="AB390" s="67"/>
      <c r="AC390" s="67"/>
    </row>
    <row r="391" spans="1:68" ht="14.25" hidden="1" customHeight="1" x14ac:dyDescent="0.25">
      <c r="A391" s="722" t="s">
        <v>179</v>
      </c>
      <c r="B391" s="722"/>
      <c r="C391" s="722"/>
      <c r="D391" s="722"/>
      <c r="E391" s="722"/>
      <c r="F391" s="722"/>
      <c r="G391" s="722"/>
      <c r="H391" s="722"/>
      <c r="I391" s="722"/>
      <c r="J391" s="722"/>
      <c r="K391" s="722"/>
      <c r="L391" s="722"/>
      <c r="M391" s="722"/>
      <c r="N391" s="722"/>
      <c r="O391" s="722"/>
      <c r="P391" s="722"/>
      <c r="Q391" s="722"/>
      <c r="R391" s="722"/>
      <c r="S391" s="722"/>
      <c r="T391" s="722"/>
      <c r="U391" s="722"/>
      <c r="V391" s="722"/>
      <c r="W391" s="722"/>
      <c r="X391" s="722"/>
      <c r="Y391" s="722"/>
      <c r="Z391" s="722"/>
      <c r="AA391" s="66"/>
      <c r="AB391" s="66"/>
      <c r="AC391" s="80"/>
    </row>
    <row r="392" spans="1:68" ht="27" hidden="1" customHeight="1" x14ac:dyDescent="0.25">
      <c r="A392" s="63" t="s">
        <v>648</v>
      </c>
      <c r="B392" s="63" t="s">
        <v>649</v>
      </c>
      <c r="C392" s="36">
        <v>4301060387</v>
      </c>
      <c r="D392" s="723">
        <v>4607091380880</v>
      </c>
      <c r="E392" s="723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650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4301060406</v>
      </c>
      <c r="D393" s="723">
        <v>4607091384482</v>
      </c>
      <c r="E393" s="723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3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4301060484</v>
      </c>
      <c r="D394" s="723">
        <v>4607091380897</v>
      </c>
      <c r="E394" s="723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9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5"/>
      <c r="R394" s="725"/>
      <c r="S394" s="725"/>
      <c r="T394" s="72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31"/>
      <c r="B396" s="731"/>
      <c r="C396" s="731"/>
      <c r="D396" s="731"/>
      <c r="E396" s="731"/>
      <c r="F396" s="731"/>
      <c r="G396" s="731"/>
      <c r="H396" s="731"/>
      <c r="I396" s="731"/>
      <c r="J396" s="731"/>
      <c r="K396" s="731"/>
      <c r="L396" s="731"/>
      <c r="M396" s="731"/>
      <c r="N396" s="731"/>
      <c r="O396" s="732"/>
      <c r="P396" s="728" t="s">
        <v>40</v>
      </c>
      <c r="Q396" s="729"/>
      <c r="R396" s="729"/>
      <c r="S396" s="729"/>
      <c r="T396" s="729"/>
      <c r="U396" s="729"/>
      <c r="V396" s="73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22" t="s">
        <v>278</v>
      </c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2"/>
      <c r="P397" s="722"/>
      <c r="Q397" s="722"/>
      <c r="R397" s="722"/>
      <c r="S397" s="722"/>
      <c r="T397" s="722"/>
      <c r="U397" s="722"/>
      <c r="V397" s="722"/>
      <c r="W397" s="722"/>
      <c r="X397" s="722"/>
      <c r="Y397" s="722"/>
      <c r="Z397" s="722"/>
      <c r="AA397" s="66"/>
      <c r="AB397" s="66"/>
      <c r="AC397" s="80"/>
    </row>
    <row r="398" spans="1:68" ht="27" hidden="1" customHeight="1" x14ac:dyDescent="0.25">
      <c r="A398" s="63" t="s">
        <v>657</v>
      </c>
      <c r="B398" s="63" t="s">
        <v>658</v>
      </c>
      <c r="C398" s="36">
        <v>4301030235</v>
      </c>
      <c r="D398" s="723">
        <v>4607091388381</v>
      </c>
      <c r="E398" s="723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254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659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660</v>
      </c>
      <c r="B399" s="63" t="s">
        <v>661</v>
      </c>
      <c r="C399" s="36">
        <v>4301030232</v>
      </c>
      <c r="D399" s="723">
        <v>4607091388374</v>
      </c>
      <c r="E399" s="723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659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4301032015</v>
      </c>
      <c r="D400" s="723">
        <v>4607091383102</v>
      </c>
      <c r="E400" s="723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254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664</v>
      </c>
      <c r="B401" s="63" t="s">
        <v>665</v>
      </c>
      <c r="C401" s="36">
        <v>4301030233</v>
      </c>
      <c r="D401" s="723">
        <v>4607091388404</v>
      </c>
      <c r="E401" s="723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9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5"/>
      <c r="R401" s="725"/>
      <c r="S401" s="725"/>
      <c r="T401" s="726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659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1"/>
      <c r="B403" s="731"/>
      <c r="C403" s="731"/>
      <c r="D403" s="731"/>
      <c r="E403" s="731"/>
      <c r="F403" s="731"/>
      <c r="G403" s="731"/>
      <c r="H403" s="731"/>
      <c r="I403" s="731"/>
      <c r="J403" s="731"/>
      <c r="K403" s="731"/>
      <c r="L403" s="731"/>
      <c r="M403" s="731"/>
      <c r="N403" s="731"/>
      <c r="O403" s="732"/>
      <c r="P403" s="728" t="s">
        <v>40</v>
      </c>
      <c r="Q403" s="729"/>
      <c r="R403" s="729"/>
      <c r="S403" s="729"/>
      <c r="T403" s="729"/>
      <c r="U403" s="729"/>
      <c r="V403" s="73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2" t="s">
        <v>666</v>
      </c>
      <c r="B404" s="722"/>
      <c r="C404" s="722"/>
      <c r="D404" s="722"/>
      <c r="E404" s="722"/>
      <c r="F404" s="722"/>
      <c r="G404" s="722"/>
      <c r="H404" s="722"/>
      <c r="I404" s="722"/>
      <c r="J404" s="722"/>
      <c r="K404" s="722"/>
      <c r="L404" s="722"/>
      <c r="M404" s="722"/>
      <c r="N404" s="722"/>
      <c r="O404" s="722"/>
      <c r="P404" s="722"/>
      <c r="Q404" s="722"/>
      <c r="R404" s="722"/>
      <c r="S404" s="722"/>
      <c r="T404" s="722"/>
      <c r="U404" s="722"/>
      <c r="V404" s="722"/>
      <c r="W404" s="722"/>
      <c r="X404" s="722"/>
      <c r="Y404" s="722"/>
      <c r="Z404" s="722"/>
      <c r="AA404" s="66"/>
      <c r="AB404" s="66"/>
      <c r="AC404" s="80"/>
    </row>
    <row r="405" spans="1:68" ht="16.5" hidden="1" customHeight="1" x14ac:dyDescent="0.25">
      <c r="A405" s="63" t="s">
        <v>667</v>
      </c>
      <c r="B405" s="63" t="s">
        <v>668</v>
      </c>
      <c r="C405" s="36">
        <v>4301180007</v>
      </c>
      <c r="D405" s="723">
        <v>4680115881808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670</v>
      </c>
      <c r="N405" s="38"/>
      <c r="O405" s="37">
        <v>731</v>
      </c>
      <c r="P405" s="9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669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671</v>
      </c>
      <c r="B406" s="63" t="s">
        <v>672</v>
      </c>
      <c r="C406" s="36">
        <v>4301180006</v>
      </c>
      <c r="D406" s="723">
        <v>4680115881822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670</v>
      </c>
      <c r="N406" s="38"/>
      <c r="O406" s="37">
        <v>731</v>
      </c>
      <c r="P406" s="9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669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673</v>
      </c>
      <c r="B407" s="63" t="s">
        <v>674</v>
      </c>
      <c r="C407" s="36">
        <v>4301180001</v>
      </c>
      <c r="D407" s="723">
        <v>4680115880016</v>
      </c>
      <c r="E407" s="723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670</v>
      </c>
      <c r="N407" s="38"/>
      <c r="O407" s="37">
        <v>731</v>
      </c>
      <c r="P407" s="9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5"/>
      <c r="R407" s="725"/>
      <c r="S407" s="725"/>
      <c r="T407" s="726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669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1"/>
      <c r="B409" s="731"/>
      <c r="C409" s="731"/>
      <c r="D409" s="731"/>
      <c r="E409" s="731"/>
      <c r="F409" s="731"/>
      <c r="G409" s="731"/>
      <c r="H409" s="731"/>
      <c r="I409" s="731"/>
      <c r="J409" s="731"/>
      <c r="K409" s="731"/>
      <c r="L409" s="731"/>
      <c r="M409" s="731"/>
      <c r="N409" s="731"/>
      <c r="O409" s="732"/>
      <c r="P409" s="728" t="s">
        <v>40</v>
      </c>
      <c r="Q409" s="729"/>
      <c r="R409" s="729"/>
      <c r="S409" s="729"/>
      <c r="T409" s="729"/>
      <c r="U409" s="729"/>
      <c r="V409" s="73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2" t="s">
        <v>675</v>
      </c>
      <c r="B410" s="722"/>
      <c r="C410" s="722"/>
      <c r="D410" s="722"/>
      <c r="E410" s="722"/>
      <c r="F410" s="722"/>
      <c r="G410" s="722"/>
      <c r="H410" s="722"/>
      <c r="I410" s="722"/>
      <c r="J410" s="722"/>
      <c r="K410" s="722"/>
      <c r="L410" s="722"/>
      <c r="M410" s="722"/>
      <c r="N410" s="722"/>
      <c r="O410" s="722"/>
      <c r="P410" s="722"/>
      <c r="Q410" s="722"/>
      <c r="R410" s="722"/>
      <c r="S410" s="722"/>
      <c r="T410" s="722"/>
      <c r="U410" s="722"/>
      <c r="V410" s="722"/>
      <c r="W410" s="722"/>
      <c r="X410" s="722"/>
      <c r="Y410" s="722"/>
      <c r="Z410" s="722"/>
      <c r="AA410" s="66"/>
      <c r="AB410" s="66"/>
      <c r="AC410" s="80"/>
    </row>
    <row r="411" spans="1:68" ht="27" hidden="1" customHeight="1" x14ac:dyDescent="0.25">
      <c r="A411" s="63" t="s">
        <v>676</v>
      </c>
      <c r="B411" s="63" t="s">
        <v>677</v>
      </c>
      <c r="C411" s="36">
        <v>4301220003</v>
      </c>
      <c r="D411" s="723">
        <v>4680115888678</v>
      </c>
      <c r="E411" s="723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670</v>
      </c>
      <c r="N411" s="38"/>
      <c r="O411" s="37">
        <v>1096</v>
      </c>
      <c r="P411" s="94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678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4301220001</v>
      </c>
      <c r="D412" s="723">
        <v>4680115888654</v>
      </c>
      <c r="E412" s="723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670</v>
      </c>
      <c r="N412" s="38"/>
      <c r="O412" s="37">
        <v>1096</v>
      </c>
      <c r="P412" s="94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4301220002</v>
      </c>
      <c r="D413" s="723">
        <v>4680115888753</v>
      </c>
      <c r="E413" s="723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670</v>
      </c>
      <c r="N413" s="38"/>
      <c r="O413" s="37">
        <v>1096</v>
      </c>
      <c r="P413" s="94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5"/>
      <c r="R413" s="725"/>
      <c r="S413" s="725"/>
      <c r="T413" s="726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678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1"/>
      <c r="B415" s="731"/>
      <c r="C415" s="731"/>
      <c r="D415" s="731"/>
      <c r="E415" s="731"/>
      <c r="F415" s="731"/>
      <c r="G415" s="731"/>
      <c r="H415" s="731"/>
      <c r="I415" s="731"/>
      <c r="J415" s="731"/>
      <c r="K415" s="731"/>
      <c r="L415" s="731"/>
      <c r="M415" s="731"/>
      <c r="N415" s="731"/>
      <c r="O415" s="732"/>
      <c r="P415" s="728" t="s">
        <v>40</v>
      </c>
      <c r="Q415" s="729"/>
      <c r="R415" s="729"/>
      <c r="S415" s="729"/>
      <c r="T415" s="729"/>
      <c r="U415" s="729"/>
      <c r="V415" s="73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1" t="s">
        <v>684</v>
      </c>
      <c r="B416" s="721"/>
      <c r="C416" s="721"/>
      <c r="D416" s="721"/>
      <c r="E416" s="721"/>
      <c r="F416" s="721"/>
      <c r="G416" s="721"/>
      <c r="H416" s="721"/>
      <c r="I416" s="721"/>
      <c r="J416" s="721"/>
      <c r="K416" s="721"/>
      <c r="L416" s="721"/>
      <c r="M416" s="721"/>
      <c r="N416" s="721"/>
      <c r="O416" s="721"/>
      <c r="P416" s="721"/>
      <c r="Q416" s="721"/>
      <c r="R416" s="721"/>
      <c r="S416" s="721"/>
      <c r="T416" s="721"/>
      <c r="U416" s="721"/>
      <c r="V416" s="721"/>
      <c r="W416" s="721"/>
      <c r="X416" s="721"/>
      <c r="Y416" s="721"/>
      <c r="Z416" s="721"/>
      <c r="AA416" s="65"/>
      <c r="AB416" s="65"/>
      <c r="AC416" s="79"/>
    </row>
    <row r="417" spans="1:68" ht="14.25" hidden="1" customHeight="1" x14ac:dyDescent="0.25">
      <c r="A417" s="722" t="s">
        <v>86</v>
      </c>
      <c r="B417" s="722"/>
      <c r="C417" s="722"/>
      <c r="D417" s="722"/>
      <c r="E417" s="722"/>
      <c r="F417" s="722"/>
      <c r="G417" s="722"/>
      <c r="H417" s="722"/>
      <c r="I417" s="722"/>
      <c r="J417" s="722"/>
      <c r="K417" s="722"/>
      <c r="L417" s="722"/>
      <c r="M417" s="722"/>
      <c r="N417" s="722"/>
      <c r="O417" s="722"/>
      <c r="P417" s="722"/>
      <c r="Q417" s="722"/>
      <c r="R417" s="722"/>
      <c r="S417" s="722"/>
      <c r="T417" s="722"/>
      <c r="U417" s="722"/>
      <c r="V417" s="722"/>
      <c r="W417" s="722"/>
      <c r="X417" s="722"/>
      <c r="Y417" s="722"/>
      <c r="Z417" s="722"/>
      <c r="AA417" s="66"/>
      <c r="AB417" s="66"/>
      <c r="AC417" s="80"/>
    </row>
    <row r="418" spans="1:68" ht="16.5" hidden="1" customHeight="1" x14ac:dyDescent="0.25">
      <c r="A418" s="63" t="s">
        <v>685</v>
      </c>
      <c r="B418" s="63" t="s">
        <v>686</v>
      </c>
      <c r="C418" s="36">
        <v>4301052235</v>
      </c>
      <c r="D418" s="723">
        <v>4680115889415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687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688</v>
      </c>
      <c r="B419" s="63" t="s">
        <v>689</v>
      </c>
      <c r="C419" s="36">
        <v>4301052236</v>
      </c>
      <c r="D419" s="723">
        <v>4680115889422</v>
      </c>
      <c r="E419" s="723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5"/>
      <c r="R419" s="725"/>
      <c r="S419" s="725"/>
      <c r="T419" s="72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1"/>
      <c r="B421" s="731"/>
      <c r="C421" s="731"/>
      <c r="D421" s="731"/>
      <c r="E421" s="731"/>
      <c r="F421" s="731"/>
      <c r="G421" s="731"/>
      <c r="H421" s="731"/>
      <c r="I421" s="731"/>
      <c r="J421" s="731"/>
      <c r="K421" s="731"/>
      <c r="L421" s="731"/>
      <c r="M421" s="731"/>
      <c r="N421" s="731"/>
      <c r="O421" s="732"/>
      <c r="P421" s="728" t="s">
        <v>40</v>
      </c>
      <c r="Q421" s="729"/>
      <c r="R421" s="729"/>
      <c r="S421" s="729"/>
      <c r="T421" s="729"/>
      <c r="U421" s="729"/>
      <c r="V421" s="73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1" t="s">
        <v>691</v>
      </c>
      <c r="B422" s="721"/>
      <c r="C422" s="721"/>
      <c r="D422" s="721"/>
      <c r="E422" s="721"/>
      <c r="F422" s="721"/>
      <c r="G422" s="721"/>
      <c r="H422" s="721"/>
      <c r="I422" s="721"/>
      <c r="J422" s="721"/>
      <c r="K422" s="721"/>
      <c r="L422" s="721"/>
      <c r="M422" s="721"/>
      <c r="N422" s="721"/>
      <c r="O422" s="721"/>
      <c r="P422" s="721"/>
      <c r="Q422" s="721"/>
      <c r="R422" s="721"/>
      <c r="S422" s="721"/>
      <c r="T422" s="721"/>
      <c r="U422" s="721"/>
      <c r="V422" s="721"/>
      <c r="W422" s="721"/>
      <c r="X422" s="721"/>
      <c r="Y422" s="721"/>
      <c r="Z422" s="721"/>
      <c r="AA422" s="65"/>
      <c r="AB422" s="65"/>
      <c r="AC422" s="79"/>
    </row>
    <row r="423" spans="1:68" ht="14.25" hidden="1" customHeight="1" x14ac:dyDescent="0.25">
      <c r="A423" s="722" t="s">
        <v>86</v>
      </c>
      <c r="B423" s="722"/>
      <c r="C423" s="722"/>
      <c r="D423" s="722"/>
      <c r="E423" s="722"/>
      <c r="F423" s="722"/>
      <c r="G423" s="722"/>
      <c r="H423" s="722"/>
      <c r="I423" s="722"/>
      <c r="J423" s="722"/>
      <c r="K423" s="722"/>
      <c r="L423" s="722"/>
      <c r="M423" s="722"/>
      <c r="N423" s="722"/>
      <c r="O423" s="722"/>
      <c r="P423" s="722"/>
      <c r="Q423" s="722"/>
      <c r="R423" s="722"/>
      <c r="S423" s="722"/>
      <c r="T423" s="722"/>
      <c r="U423" s="722"/>
      <c r="V423" s="722"/>
      <c r="W423" s="722"/>
      <c r="X423" s="722"/>
      <c r="Y423" s="722"/>
      <c r="Z423" s="722"/>
      <c r="AA423" s="66"/>
      <c r="AB423" s="66"/>
      <c r="AC423" s="80"/>
    </row>
    <row r="424" spans="1:68" ht="27" hidden="1" customHeight="1" x14ac:dyDescent="0.25">
      <c r="A424" s="63" t="s">
        <v>692</v>
      </c>
      <c r="B424" s="63" t="s">
        <v>693</v>
      </c>
      <c r="C424" s="36">
        <v>4301051489</v>
      </c>
      <c r="D424" s="723">
        <v>4607091387919</v>
      </c>
      <c r="E424" s="723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694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695</v>
      </c>
      <c r="B425" s="63" t="s">
        <v>696</v>
      </c>
      <c r="C425" s="36">
        <v>4301051461</v>
      </c>
      <c r="D425" s="723">
        <v>4680115883604</v>
      </c>
      <c r="E425" s="723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95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698</v>
      </c>
      <c r="B426" s="63" t="s">
        <v>699</v>
      </c>
      <c r="C426" s="36">
        <v>4301051864</v>
      </c>
      <c r="D426" s="723">
        <v>4680115883567</v>
      </c>
      <c r="E426" s="723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95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5"/>
      <c r="R426" s="725"/>
      <c r="S426" s="725"/>
      <c r="T426" s="726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1"/>
      <c r="B428" s="731"/>
      <c r="C428" s="731"/>
      <c r="D428" s="731"/>
      <c r="E428" s="731"/>
      <c r="F428" s="731"/>
      <c r="G428" s="731"/>
      <c r="H428" s="731"/>
      <c r="I428" s="731"/>
      <c r="J428" s="731"/>
      <c r="K428" s="731"/>
      <c r="L428" s="731"/>
      <c r="M428" s="731"/>
      <c r="N428" s="731"/>
      <c r="O428" s="732"/>
      <c r="P428" s="728" t="s">
        <v>40</v>
      </c>
      <c r="Q428" s="729"/>
      <c r="R428" s="729"/>
      <c r="S428" s="729"/>
      <c r="T428" s="729"/>
      <c r="U428" s="729"/>
      <c r="V428" s="73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0" t="s">
        <v>701</v>
      </c>
      <c r="B429" s="720"/>
      <c r="C429" s="720"/>
      <c r="D429" s="720"/>
      <c r="E429" s="720"/>
      <c r="F429" s="720"/>
      <c r="G429" s="720"/>
      <c r="H429" s="720"/>
      <c r="I429" s="720"/>
      <c r="J429" s="720"/>
      <c r="K429" s="720"/>
      <c r="L429" s="720"/>
      <c r="M429" s="720"/>
      <c r="N429" s="720"/>
      <c r="O429" s="720"/>
      <c r="P429" s="720"/>
      <c r="Q429" s="720"/>
      <c r="R429" s="720"/>
      <c r="S429" s="720"/>
      <c r="T429" s="720"/>
      <c r="U429" s="720"/>
      <c r="V429" s="720"/>
      <c r="W429" s="720"/>
      <c r="X429" s="720"/>
      <c r="Y429" s="720"/>
      <c r="Z429" s="720"/>
      <c r="AA429" s="54"/>
      <c r="AB429" s="54"/>
      <c r="AC429" s="54"/>
    </row>
    <row r="430" spans="1:68" ht="16.5" hidden="1" customHeight="1" x14ac:dyDescent="0.25">
      <c r="A430" s="721" t="s">
        <v>702</v>
      </c>
      <c r="B430" s="721"/>
      <c r="C430" s="721"/>
      <c r="D430" s="721"/>
      <c r="E430" s="721"/>
      <c r="F430" s="721"/>
      <c r="G430" s="721"/>
      <c r="H430" s="721"/>
      <c r="I430" s="721"/>
      <c r="J430" s="721"/>
      <c r="K430" s="721"/>
      <c r="L430" s="721"/>
      <c r="M430" s="721"/>
      <c r="N430" s="721"/>
      <c r="O430" s="721"/>
      <c r="P430" s="721"/>
      <c r="Q430" s="721"/>
      <c r="R430" s="721"/>
      <c r="S430" s="721"/>
      <c r="T430" s="721"/>
      <c r="U430" s="721"/>
      <c r="V430" s="721"/>
      <c r="W430" s="721"/>
      <c r="X430" s="721"/>
      <c r="Y430" s="721"/>
      <c r="Z430" s="721"/>
      <c r="AA430" s="65"/>
      <c r="AB430" s="65"/>
      <c r="AC430" s="79"/>
    </row>
    <row r="431" spans="1:68" ht="14.25" hidden="1" customHeight="1" x14ac:dyDescent="0.25">
      <c r="A431" s="722" t="s">
        <v>122</v>
      </c>
      <c r="B431" s="722"/>
      <c r="C431" s="722"/>
      <c r="D431" s="722"/>
      <c r="E431" s="722"/>
      <c r="F431" s="722"/>
      <c r="G431" s="722"/>
      <c r="H431" s="722"/>
      <c r="I431" s="722"/>
      <c r="J431" s="722"/>
      <c r="K431" s="722"/>
      <c r="L431" s="722"/>
      <c r="M431" s="722"/>
      <c r="N431" s="722"/>
      <c r="O431" s="722"/>
      <c r="P431" s="722"/>
      <c r="Q431" s="722"/>
      <c r="R431" s="722"/>
      <c r="S431" s="722"/>
      <c r="T431" s="722"/>
      <c r="U431" s="722"/>
      <c r="V431" s="722"/>
      <c r="W431" s="722"/>
      <c r="X431" s="722"/>
      <c r="Y431" s="722"/>
      <c r="Z431" s="722"/>
      <c r="AA431" s="66"/>
      <c r="AB431" s="66"/>
      <c r="AC431" s="80"/>
    </row>
    <row r="432" spans="1:68" ht="27" hidden="1" customHeight="1" x14ac:dyDescent="0.25">
      <c r="A432" s="63" t="s">
        <v>703</v>
      </c>
      <c r="B432" s="63" t="s">
        <v>704</v>
      </c>
      <c r="C432" s="36">
        <v>4301012332</v>
      </c>
      <c r="D432" s="723">
        <v>4680115888401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95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73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705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74">IFERROR(X432*I432/H432,"0")</f>
        <v>0</v>
      </c>
      <c r="BN432" s="78">
        <f t="shared" ref="BN432:BN439" si="75">IFERROR(Y432*I432/H432,"0")</f>
        <v>0</v>
      </c>
      <c r="BO432" s="78">
        <f t="shared" ref="BO432:BO439" si="76">IFERROR(1/J432*(X432/H432),"0")</f>
        <v>0</v>
      </c>
      <c r="BP432" s="78">
        <f t="shared" ref="BP432:BP439" si="77">IFERROR(1/J432*(Y432/H432),"0")</f>
        <v>0</v>
      </c>
    </row>
    <row r="433" spans="1:68" ht="37.5" hidden="1" customHeight="1" x14ac:dyDescent="0.25">
      <c r="A433" s="63" t="s">
        <v>706</v>
      </c>
      <c r="B433" s="63" t="s">
        <v>707</v>
      </c>
      <c r="C433" s="36">
        <v>4301011869</v>
      </c>
      <c r="D433" s="723">
        <v>4680115884847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95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73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si="74"/>
        <v>0</v>
      </c>
      <c r="BN433" s="78">
        <f t="shared" si="75"/>
        <v>0</v>
      </c>
      <c r="BO433" s="78">
        <f t="shared" si="76"/>
        <v>0</v>
      </c>
      <c r="BP433" s="78">
        <f t="shared" si="77"/>
        <v>0</v>
      </c>
    </row>
    <row r="434" spans="1:68" ht="27" hidden="1" customHeight="1" x14ac:dyDescent="0.25">
      <c r="A434" s="63" t="s">
        <v>709</v>
      </c>
      <c r="B434" s="63" t="s">
        <v>710</v>
      </c>
      <c r="C434" s="36">
        <v>4301012083</v>
      </c>
      <c r="D434" s="723">
        <v>4680115884854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95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0</v>
      </c>
      <c r="Y434" s="55">
        <f t="shared" si="73"/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0</v>
      </c>
      <c r="BN434" s="78">
        <f t="shared" si="75"/>
        <v>0</v>
      </c>
      <c r="BO434" s="78">
        <f t="shared" si="76"/>
        <v>0</v>
      </c>
      <c r="BP434" s="78">
        <f t="shared" si="77"/>
        <v>0</v>
      </c>
    </row>
    <row r="435" spans="1:68" ht="27" hidden="1" customHeight="1" x14ac:dyDescent="0.25">
      <c r="A435" s="63" t="s">
        <v>712</v>
      </c>
      <c r="B435" s="63" t="s">
        <v>713</v>
      </c>
      <c r="C435" s="36">
        <v>4301011867</v>
      </c>
      <c r="D435" s="723">
        <v>4680115884830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95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73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0</v>
      </c>
      <c r="BN435" s="78">
        <f t="shared" si="75"/>
        <v>0</v>
      </c>
      <c r="BO435" s="78">
        <f t="shared" si="76"/>
        <v>0</v>
      </c>
      <c r="BP435" s="78">
        <f t="shared" si="77"/>
        <v>0</v>
      </c>
    </row>
    <row r="436" spans="1:68" ht="27" hidden="1" customHeight="1" x14ac:dyDescent="0.25">
      <c r="A436" s="63" t="s">
        <v>715</v>
      </c>
      <c r="B436" s="63" t="s">
        <v>716</v>
      </c>
      <c r="C436" s="36">
        <v>4301012356</v>
      </c>
      <c r="D436" s="723">
        <v>4680115889231</v>
      </c>
      <c r="E436" s="72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5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73"/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0</v>
      </c>
      <c r="BN436" s="78">
        <f t="shared" si="75"/>
        <v>0</v>
      </c>
      <c r="BO436" s="78">
        <f t="shared" si="76"/>
        <v>0</v>
      </c>
      <c r="BP436" s="78">
        <f t="shared" si="77"/>
        <v>0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4301011433</v>
      </c>
      <c r="D437" s="723">
        <v>4680115882638</v>
      </c>
      <c r="E437" s="723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96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4301011952</v>
      </c>
      <c r="D438" s="723">
        <v>4680115884922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37.5" hidden="1" customHeight="1" x14ac:dyDescent="0.25">
      <c r="A439" s="63" t="s">
        <v>724</v>
      </c>
      <c r="B439" s="63" t="s">
        <v>725</v>
      </c>
      <c r="C439" s="36">
        <v>4301011868</v>
      </c>
      <c r="D439" s="723">
        <v>4680115884861</v>
      </c>
      <c r="E439" s="723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5"/>
      <c r="R439" s="725"/>
      <c r="S439" s="725"/>
      <c r="T439" s="72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idden="1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0</v>
      </c>
      <c r="Y440" s="43">
        <f>IFERROR(Y432/H432,"0")+IFERROR(Y433/H433,"0")+IFERROR(Y434/H434,"0")+IFERROR(Y435/H435,"0")+IFERROR(Y436/H436,"0")+IFERROR(Y437/H437,"0")+IFERROR(Y438/H438,"0")+IFERROR(Y439/H439,"0")</f>
        <v>0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31"/>
      <c r="B441" s="731"/>
      <c r="C441" s="731"/>
      <c r="D441" s="731"/>
      <c r="E441" s="731"/>
      <c r="F441" s="731"/>
      <c r="G441" s="731"/>
      <c r="H441" s="731"/>
      <c r="I441" s="731"/>
      <c r="J441" s="731"/>
      <c r="K441" s="731"/>
      <c r="L441" s="731"/>
      <c r="M441" s="731"/>
      <c r="N441" s="731"/>
      <c r="O441" s="732"/>
      <c r="P441" s="728" t="s">
        <v>40</v>
      </c>
      <c r="Q441" s="729"/>
      <c r="R441" s="729"/>
      <c r="S441" s="729"/>
      <c r="T441" s="729"/>
      <c r="U441" s="729"/>
      <c r="V441" s="730"/>
      <c r="W441" s="42" t="s">
        <v>0</v>
      </c>
      <c r="X441" s="43">
        <f>IFERROR(SUM(X432:X439),"0")</f>
        <v>0</v>
      </c>
      <c r="Y441" s="43">
        <f>IFERROR(SUM(Y432:Y439),"0")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722" t="s">
        <v>159</v>
      </c>
      <c r="B442" s="722"/>
      <c r="C442" s="722"/>
      <c r="D442" s="722"/>
      <c r="E442" s="722"/>
      <c r="F442" s="722"/>
      <c r="G442" s="722"/>
      <c r="H442" s="722"/>
      <c r="I442" s="722"/>
      <c r="J442" s="722"/>
      <c r="K442" s="722"/>
      <c r="L442" s="722"/>
      <c r="M442" s="722"/>
      <c r="N442" s="722"/>
      <c r="O442" s="722"/>
      <c r="P442" s="722"/>
      <c r="Q442" s="722"/>
      <c r="R442" s="722"/>
      <c r="S442" s="722"/>
      <c r="T442" s="722"/>
      <c r="U442" s="722"/>
      <c r="V442" s="722"/>
      <c r="W442" s="722"/>
      <c r="X442" s="722"/>
      <c r="Y442" s="722"/>
      <c r="Z442" s="722"/>
      <c r="AA442" s="66"/>
      <c r="AB442" s="66"/>
      <c r="AC442" s="80"/>
    </row>
    <row r="443" spans="1:68" ht="27" hidden="1" customHeight="1" x14ac:dyDescent="0.25">
      <c r="A443" s="63" t="s">
        <v>727</v>
      </c>
      <c r="B443" s="63" t="s">
        <v>728</v>
      </c>
      <c r="C443" s="36">
        <v>4301020178</v>
      </c>
      <c r="D443" s="723">
        <v>4607091383980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729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730</v>
      </c>
      <c r="B444" s="63" t="s">
        <v>731</v>
      </c>
      <c r="C444" s="36">
        <v>4301020355</v>
      </c>
      <c r="D444" s="723">
        <v>4680115888425</v>
      </c>
      <c r="E444" s="723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733</v>
      </c>
      <c r="B445" s="63" t="s">
        <v>734</v>
      </c>
      <c r="C445" s="36">
        <v>4301020179</v>
      </c>
      <c r="D445" s="723">
        <v>4607091384178</v>
      </c>
      <c r="E445" s="723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96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5"/>
      <c r="R445" s="725"/>
      <c r="S445" s="725"/>
      <c r="T445" s="726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31"/>
      <c r="B447" s="731"/>
      <c r="C447" s="731"/>
      <c r="D447" s="731"/>
      <c r="E447" s="731"/>
      <c r="F447" s="731"/>
      <c r="G447" s="731"/>
      <c r="H447" s="731"/>
      <c r="I447" s="731"/>
      <c r="J447" s="731"/>
      <c r="K447" s="731"/>
      <c r="L447" s="731"/>
      <c r="M447" s="731"/>
      <c r="N447" s="731"/>
      <c r="O447" s="732"/>
      <c r="P447" s="728" t="s">
        <v>40</v>
      </c>
      <c r="Q447" s="729"/>
      <c r="R447" s="729"/>
      <c r="S447" s="729"/>
      <c r="T447" s="729"/>
      <c r="U447" s="729"/>
      <c r="V447" s="730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22" t="s">
        <v>86</v>
      </c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2"/>
      <c r="P448" s="722"/>
      <c r="Q448" s="722"/>
      <c r="R448" s="722"/>
      <c r="S448" s="722"/>
      <c r="T448" s="722"/>
      <c r="U448" s="722"/>
      <c r="V448" s="722"/>
      <c r="W448" s="722"/>
      <c r="X448" s="722"/>
      <c r="Y448" s="722"/>
      <c r="Z448" s="722"/>
      <c r="AA448" s="66"/>
      <c r="AB448" s="66"/>
      <c r="AC448" s="80"/>
    </row>
    <row r="449" spans="1:68" ht="27" hidden="1" customHeight="1" x14ac:dyDescent="0.25">
      <c r="A449" s="63" t="s">
        <v>736</v>
      </c>
      <c r="B449" s="63" t="s">
        <v>737</v>
      </c>
      <c r="C449" s="36">
        <v>4301051903</v>
      </c>
      <c r="D449" s="723">
        <v>4607091383928</v>
      </c>
      <c r="E449" s="723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738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739</v>
      </c>
      <c r="B450" s="63" t="s">
        <v>740</v>
      </c>
      <c r="C450" s="36">
        <v>4301051897</v>
      </c>
      <c r="D450" s="723">
        <v>4607091384260</v>
      </c>
      <c r="E450" s="723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4301052220</v>
      </c>
      <c r="D451" s="723">
        <v>4680115889538</v>
      </c>
      <c r="E451" s="723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96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5"/>
      <c r="R451" s="725"/>
      <c r="S451" s="725"/>
      <c r="T451" s="72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1"/>
      <c r="B453" s="731"/>
      <c r="C453" s="731"/>
      <c r="D453" s="731"/>
      <c r="E453" s="731"/>
      <c r="F453" s="731"/>
      <c r="G453" s="731"/>
      <c r="H453" s="731"/>
      <c r="I453" s="731"/>
      <c r="J453" s="731"/>
      <c r="K453" s="731"/>
      <c r="L453" s="731"/>
      <c r="M453" s="731"/>
      <c r="N453" s="731"/>
      <c r="O453" s="732"/>
      <c r="P453" s="728" t="s">
        <v>40</v>
      </c>
      <c r="Q453" s="729"/>
      <c r="R453" s="729"/>
      <c r="S453" s="729"/>
      <c r="T453" s="729"/>
      <c r="U453" s="729"/>
      <c r="V453" s="73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2" t="s">
        <v>179</v>
      </c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2"/>
      <c r="P454" s="722"/>
      <c r="Q454" s="722"/>
      <c r="R454" s="722"/>
      <c r="S454" s="722"/>
      <c r="T454" s="722"/>
      <c r="U454" s="722"/>
      <c r="V454" s="722"/>
      <c r="W454" s="722"/>
      <c r="X454" s="722"/>
      <c r="Y454" s="722"/>
      <c r="Z454" s="722"/>
      <c r="AA454" s="66"/>
      <c r="AB454" s="66"/>
      <c r="AC454" s="80"/>
    </row>
    <row r="455" spans="1:68" ht="27" hidden="1" customHeight="1" x14ac:dyDescent="0.25">
      <c r="A455" s="63" t="s">
        <v>745</v>
      </c>
      <c r="B455" s="63" t="s">
        <v>746</v>
      </c>
      <c r="C455" s="36">
        <v>4301060537</v>
      </c>
      <c r="D455" s="723">
        <v>4680115889545</v>
      </c>
      <c r="E455" s="723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96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747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748</v>
      </c>
      <c r="B456" s="63" t="s">
        <v>749</v>
      </c>
      <c r="C456" s="36">
        <v>4301060524</v>
      </c>
      <c r="D456" s="723">
        <v>4607091384673</v>
      </c>
      <c r="E456" s="72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97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5"/>
      <c r="R456" s="725"/>
      <c r="S456" s="725"/>
      <c r="T456" s="72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1"/>
      <c r="B458" s="731"/>
      <c r="C458" s="731"/>
      <c r="D458" s="731"/>
      <c r="E458" s="731"/>
      <c r="F458" s="731"/>
      <c r="G458" s="731"/>
      <c r="H458" s="731"/>
      <c r="I458" s="731"/>
      <c r="J458" s="731"/>
      <c r="K458" s="731"/>
      <c r="L458" s="731"/>
      <c r="M458" s="731"/>
      <c r="N458" s="731"/>
      <c r="O458" s="732"/>
      <c r="P458" s="728" t="s">
        <v>40</v>
      </c>
      <c r="Q458" s="729"/>
      <c r="R458" s="729"/>
      <c r="S458" s="729"/>
      <c r="T458" s="729"/>
      <c r="U458" s="729"/>
      <c r="V458" s="73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1" t="s">
        <v>751</v>
      </c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1"/>
      <c r="P459" s="721"/>
      <c r="Q459" s="721"/>
      <c r="R459" s="721"/>
      <c r="S459" s="721"/>
      <c r="T459" s="721"/>
      <c r="U459" s="721"/>
      <c r="V459" s="721"/>
      <c r="W459" s="721"/>
      <c r="X459" s="721"/>
      <c r="Y459" s="721"/>
      <c r="Z459" s="721"/>
      <c r="AA459" s="65"/>
      <c r="AB459" s="65"/>
      <c r="AC459" s="79"/>
    </row>
    <row r="460" spans="1:68" ht="14.25" hidden="1" customHeight="1" x14ac:dyDescent="0.25">
      <c r="A460" s="722" t="s">
        <v>122</v>
      </c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2"/>
      <c r="P460" s="722"/>
      <c r="Q460" s="722"/>
      <c r="R460" s="722"/>
      <c r="S460" s="722"/>
      <c r="T460" s="722"/>
      <c r="U460" s="722"/>
      <c r="V460" s="722"/>
      <c r="W460" s="722"/>
      <c r="X460" s="722"/>
      <c r="Y460" s="722"/>
      <c r="Z460" s="722"/>
      <c r="AA460" s="66"/>
      <c r="AB460" s="66"/>
      <c r="AC460" s="80"/>
    </row>
    <row r="461" spans="1:68" ht="27" hidden="1" customHeight="1" x14ac:dyDescent="0.25">
      <c r="A461" s="63" t="s">
        <v>752</v>
      </c>
      <c r="B461" s="63" t="s">
        <v>753</v>
      </c>
      <c r="C461" s="36">
        <v>4301011875</v>
      </c>
      <c r="D461" s="723">
        <v>4680115884885</v>
      </c>
      <c r="E461" s="723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754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755</v>
      </c>
      <c r="B462" s="63" t="s">
        <v>756</v>
      </c>
      <c r="C462" s="36">
        <v>4301011871</v>
      </c>
      <c r="D462" s="723">
        <v>4680115884908</v>
      </c>
      <c r="E462" s="723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9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5"/>
      <c r="R462" s="725"/>
      <c r="S462" s="725"/>
      <c r="T462" s="72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754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731"/>
      <c r="B464" s="731"/>
      <c r="C464" s="731"/>
      <c r="D464" s="731"/>
      <c r="E464" s="731"/>
      <c r="F464" s="731"/>
      <c r="G464" s="731"/>
      <c r="H464" s="731"/>
      <c r="I464" s="731"/>
      <c r="J464" s="731"/>
      <c r="K464" s="731"/>
      <c r="L464" s="731"/>
      <c r="M464" s="731"/>
      <c r="N464" s="731"/>
      <c r="O464" s="732"/>
      <c r="P464" s="728" t="s">
        <v>40</v>
      </c>
      <c r="Q464" s="729"/>
      <c r="R464" s="729"/>
      <c r="S464" s="729"/>
      <c r="T464" s="729"/>
      <c r="U464" s="729"/>
      <c r="V464" s="73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722" t="s">
        <v>77</v>
      </c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2"/>
      <c r="P465" s="722"/>
      <c r="Q465" s="722"/>
      <c r="R465" s="722"/>
      <c r="S465" s="722"/>
      <c r="T465" s="722"/>
      <c r="U465" s="722"/>
      <c r="V465" s="722"/>
      <c r="W465" s="722"/>
      <c r="X465" s="722"/>
      <c r="Y465" s="722"/>
      <c r="Z465" s="722"/>
      <c r="AA465" s="66"/>
      <c r="AB465" s="66"/>
      <c r="AC465" s="80"/>
    </row>
    <row r="466" spans="1:68" ht="27" hidden="1" customHeight="1" x14ac:dyDescent="0.25">
      <c r="A466" s="63" t="s">
        <v>757</v>
      </c>
      <c r="B466" s="63" t="s">
        <v>758</v>
      </c>
      <c r="C466" s="36">
        <v>4301031457</v>
      </c>
      <c r="D466" s="723">
        <v>4607091384802</v>
      </c>
      <c r="E466" s="723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9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5"/>
      <c r="R466" s="725"/>
      <c r="S466" s="725"/>
      <c r="T466" s="72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759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1"/>
      <c r="B468" s="731"/>
      <c r="C468" s="731"/>
      <c r="D468" s="731"/>
      <c r="E468" s="731"/>
      <c r="F468" s="731"/>
      <c r="G468" s="731"/>
      <c r="H468" s="731"/>
      <c r="I468" s="731"/>
      <c r="J468" s="731"/>
      <c r="K468" s="731"/>
      <c r="L468" s="731"/>
      <c r="M468" s="731"/>
      <c r="N468" s="731"/>
      <c r="O468" s="732"/>
      <c r="P468" s="728" t="s">
        <v>40</v>
      </c>
      <c r="Q468" s="729"/>
      <c r="R468" s="729"/>
      <c r="S468" s="729"/>
      <c r="T468" s="729"/>
      <c r="U468" s="729"/>
      <c r="V468" s="73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2" t="s">
        <v>86</v>
      </c>
      <c r="B469" s="722"/>
      <c r="C469" s="722"/>
      <c r="D469" s="722"/>
      <c r="E469" s="722"/>
      <c r="F469" s="722"/>
      <c r="G469" s="722"/>
      <c r="H469" s="722"/>
      <c r="I469" s="722"/>
      <c r="J469" s="722"/>
      <c r="K469" s="722"/>
      <c r="L469" s="722"/>
      <c r="M469" s="722"/>
      <c r="N469" s="722"/>
      <c r="O469" s="722"/>
      <c r="P469" s="722"/>
      <c r="Q469" s="722"/>
      <c r="R469" s="722"/>
      <c r="S469" s="722"/>
      <c r="T469" s="722"/>
      <c r="U469" s="722"/>
      <c r="V469" s="722"/>
      <c r="W469" s="722"/>
      <c r="X469" s="722"/>
      <c r="Y469" s="722"/>
      <c r="Z469" s="722"/>
      <c r="AA469" s="66"/>
      <c r="AB469" s="66"/>
      <c r="AC469" s="80"/>
    </row>
    <row r="470" spans="1:68" ht="27" hidden="1" customHeight="1" x14ac:dyDescent="0.25">
      <c r="A470" s="63" t="s">
        <v>760</v>
      </c>
      <c r="B470" s="63" t="s">
        <v>761</v>
      </c>
      <c r="C470" s="36">
        <v>4301051899</v>
      </c>
      <c r="D470" s="723">
        <v>4607091384246</v>
      </c>
      <c r="E470" s="723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762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763</v>
      </c>
      <c r="B471" s="63" t="s">
        <v>764</v>
      </c>
      <c r="C471" s="36">
        <v>4301051660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762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763</v>
      </c>
      <c r="B472" s="63" t="s">
        <v>765</v>
      </c>
      <c r="C472" s="36">
        <v>4301052069</v>
      </c>
      <c r="D472" s="723">
        <v>4607091384253</v>
      </c>
      <c r="E472" s="723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5"/>
      <c r="R472" s="725"/>
      <c r="S472" s="725"/>
      <c r="T472" s="72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766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1"/>
      <c r="B474" s="731"/>
      <c r="C474" s="731"/>
      <c r="D474" s="731"/>
      <c r="E474" s="731"/>
      <c r="F474" s="731"/>
      <c r="G474" s="731"/>
      <c r="H474" s="731"/>
      <c r="I474" s="731"/>
      <c r="J474" s="731"/>
      <c r="K474" s="731"/>
      <c r="L474" s="731"/>
      <c r="M474" s="731"/>
      <c r="N474" s="731"/>
      <c r="O474" s="732"/>
      <c r="P474" s="728" t="s">
        <v>40</v>
      </c>
      <c r="Q474" s="729"/>
      <c r="R474" s="729"/>
      <c r="S474" s="729"/>
      <c r="T474" s="729"/>
      <c r="U474" s="729"/>
      <c r="V474" s="73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0" t="s">
        <v>767</v>
      </c>
      <c r="B475" s="720"/>
      <c r="C475" s="720"/>
      <c r="D475" s="720"/>
      <c r="E475" s="720"/>
      <c r="F475" s="720"/>
      <c r="G475" s="720"/>
      <c r="H475" s="720"/>
      <c r="I475" s="720"/>
      <c r="J475" s="720"/>
      <c r="K475" s="720"/>
      <c r="L475" s="720"/>
      <c r="M475" s="720"/>
      <c r="N475" s="720"/>
      <c r="O475" s="720"/>
      <c r="P475" s="720"/>
      <c r="Q475" s="720"/>
      <c r="R475" s="720"/>
      <c r="S475" s="720"/>
      <c r="T475" s="720"/>
      <c r="U475" s="720"/>
      <c r="V475" s="720"/>
      <c r="W475" s="720"/>
      <c r="X475" s="720"/>
      <c r="Y475" s="720"/>
      <c r="Z475" s="720"/>
      <c r="AA475" s="54"/>
      <c r="AB475" s="54"/>
      <c r="AC475" s="54"/>
    </row>
    <row r="476" spans="1:68" ht="16.5" hidden="1" customHeight="1" x14ac:dyDescent="0.25">
      <c r="A476" s="721" t="s">
        <v>768</v>
      </c>
      <c r="B476" s="721"/>
      <c r="C476" s="721"/>
      <c r="D476" s="721"/>
      <c r="E476" s="721"/>
      <c r="F476" s="721"/>
      <c r="G476" s="721"/>
      <c r="H476" s="721"/>
      <c r="I476" s="721"/>
      <c r="J476" s="721"/>
      <c r="K476" s="721"/>
      <c r="L476" s="721"/>
      <c r="M476" s="721"/>
      <c r="N476" s="721"/>
      <c r="O476" s="721"/>
      <c r="P476" s="721"/>
      <c r="Q476" s="721"/>
      <c r="R476" s="721"/>
      <c r="S476" s="721"/>
      <c r="T476" s="721"/>
      <c r="U476" s="721"/>
      <c r="V476" s="721"/>
      <c r="W476" s="721"/>
      <c r="X476" s="721"/>
      <c r="Y476" s="721"/>
      <c r="Z476" s="721"/>
      <c r="AA476" s="65"/>
      <c r="AB476" s="65"/>
      <c r="AC476" s="79"/>
    </row>
    <row r="477" spans="1:68" ht="14.25" hidden="1" customHeight="1" x14ac:dyDescent="0.25">
      <c r="A477" s="722" t="s">
        <v>77</v>
      </c>
      <c r="B477" s="722"/>
      <c r="C477" s="722"/>
      <c r="D477" s="722"/>
      <c r="E477" s="722"/>
      <c r="F477" s="722"/>
      <c r="G477" s="722"/>
      <c r="H477" s="722"/>
      <c r="I477" s="722"/>
      <c r="J477" s="722"/>
      <c r="K477" s="722"/>
      <c r="L477" s="722"/>
      <c r="M477" s="722"/>
      <c r="N477" s="722"/>
      <c r="O477" s="722"/>
      <c r="P477" s="722"/>
      <c r="Q477" s="722"/>
      <c r="R477" s="722"/>
      <c r="S477" s="722"/>
      <c r="T477" s="722"/>
      <c r="U477" s="722"/>
      <c r="V477" s="722"/>
      <c r="W477" s="722"/>
      <c r="X477" s="722"/>
      <c r="Y477" s="722"/>
      <c r="Z477" s="722"/>
      <c r="AA477" s="66"/>
      <c r="AB477" s="66"/>
      <c r="AC477" s="80"/>
    </row>
    <row r="478" spans="1:68" ht="27" hidden="1" customHeight="1" x14ac:dyDescent="0.25">
      <c r="A478" s="63" t="s">
        <v>769</v>
      </c>
      <c r="B478" s="63" t="s">
        <v>770</v>
      </c>
      <c r="C478" s="36">
        <v>4301031405</v>
      </c>
      <c r="D478" s="723">
        <v>4680115886100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8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771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9">IFERROR(X478*I478/H478,"0")</f>
        <v>0</v>
      </c>
      <c r="BN478" s="78">
        <f t="shared" ref="BN478:BN483" si="80">IFERROR(Y478*I478/H478,"0")</f>
        <v>0</v>
      </c>
      <c r="BO478" s="78">
        <f t="shared" ref="BO478:BO483" si="81">IFERROR(1/J478*(X478/H478),"0")</f>
        <v>0</v>
      </c>
      <c r="BP478" s="78">
        <f t="shared" ref="BP478:BP483" si="82">IFERROR(1/J478*(Y478/H478),"0")</f>
        <v>0</v>
      </c>
    </row>
    <row r="479" spans="1:68" ht="27" hidden="1" customHeight="1" x14ac:dyDescent="0.25">
      <c r="A479" s="63" t="s">
        <v>772</v>
      </c>
      <c r="B479" s="63" t="s">
        <v>773</v>
      </c>
      <c r="C479" s="36">
        <v>4301031402</v>
      </c>
      <c r="D479" s="723">
        <v>4680115886124</v>
      </c>
      <c r="E479" s="723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8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si="79"/>
        <v>0</v>
      </c>
      <c r="BN479" s="78">
        <f t="shared" si="80"/>
        <v>0</v>
      </c>
      <c r="BO479" s="78">
        <f t="shared" si="81"/>
        <v>0</v>
      </c>
      <c r="BP479" s="78">
        <f t="shared" si="82"/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4301031362</v>
      </c>
      <c r="D480" s="723">
        <v>4607091384338</v>
      </c>
      <c r="E480" s="72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771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777</v>
      </c>
      <c r="B481" s="63" t="s">
        <v>778</v>
      </c>
      <c r="C481" s="36">
        <v>4301031364</v>
      </c>
      <c r="D481" s="723">
        <v>4680115883161</v>
      </c>
      <c r="E481" s="723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779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4301031358</v>
      </c>
      <c r="D482" s="723">
        <v>4607091389531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37.5" hidden="1" customHeight="1" x14ac:dyDescent="0.25">
      <c r="A483" s="63" t="s">
        <v>783</v>
      </c>
      <c r="B483" s="63" t="s">
        <v>784</v>
      </c>
      <c r="C483" s="36">
        <v>4301031360</v>
      </c>
      <c r="D483" s="723">
        <v>4607091384345</v>
      </c>
      <c r="E483" s="723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5"/>
      <c r="R483" s="725"/>
      <c r="S483" s="725"/>
      <c r="T483" s="72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779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idden="1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1"/>
      <c r="B485" s="731"/>
      <c r="C485" s="731"/>
      <c r="D485" s="731"/>
      <c r="E485" s="731"/>
      <c r="F485" s="731"/>
      <c r="G485" s="731"/>
      <c r="H485" s="731"/>
      <c r="I485" s="731"/>
      <c r="J485" s="731"/>
      <c r="K485" s="731"/>
      <c r="L485" s="731"/>
      <c r="M485" s="731"/>
      <c r="N485" s="731"/>
      <c r="O485" s="732"/>
      <c r="P485" s="728" t="s">
        <v>40</v>
      </c>
      <c r="Q485" s="729"/>
      <c r="R485" s="729"/>
      <c r="S485" s="729"/>
      <c r="T485" s="729"/>
      <c r="U485" s="729"/>
      <c r="V485" s="73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2" t="s">
        <v>86</v>
      </c>
      <c r="B486" s="722"/>
      <c r="C486" s="722"/>
      <c r="D486" s="722"/>
      <c r="E486" s="722"/>
      <c r="F486" s="722"/>
      <c r="G486" s="722"/>
      <c r="H486" s="722"/>
      <c r="I486" s="722"/>
      <c r="J486" s="722"/>
      <c r="K486" s="722"/>
      <c r="L486" s="722"/>
      <c r="M486" s="722"/>
      <c r="N486" s="722"/>
      <c r="O486" s="722"/>
      <c r="P486" s="722"/>
      <c r="Q486" s="722"/>
      <c r="R486" s="722"/>
      <c r="S486" s="722"/>
      <c r="T486" s="722"/>
      <c r="U486" s="722"/>
      <c r="V486" s="722"/>
      <c r="W486" s="722"/>
      <c r="X486" s="722"/>
      <c r="Y486" s="722"/>
      <c r="Z486" s="722"/>
      <c r="AA486" s="66"/>
      <c r="AB486" s="66"/>
      <c r="AC486" s="80"/>
    </row>
    <row r="487" spans="1:68" ht="27" hidden="1" customHeight="1" x14ac:dyDescent="0.25">
      <c r="A487" s="63" t="s">
        <v>785</v>
      </c>
      <c r="B487" s="63" t="s">
        <v>786</v>
      </c>
      <c r="C487" s="36">
        <v>4301051284</v>
      </c>
      <c r="D487" s="723">
        <v>4607091384352</v>
      </c>
      <c r="E487" s="723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787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788</v>
      </c>
      <c r="B488" s="63" t="s">
        <v>789</v>
      </c>
      <c r="C488" s="36">
        <v>4301051431</v>
      </c>
      <c r="D488" s="723">
        <v>4607091389654</v>
      </c>
      <c r="E488" s="723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9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5"/>
      <c r="R488" s="725"/>
      <c r="S488" s="725"/>
      <c r="T488" s="726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1"/>
      <c r="B490" s="731"/>
      <c r="C490" s="731"/>
      <c r="D490" s="731"/>
      <c r="E490" s="731"/>
      <c r="F490" s="731"/>
      <c r="G490" s="731"/>
      <c r="H490" s="731"/>
      <c r="I490" s="731"/>
      <c r="J490" s="731"/>
      <c r="K490" s="731"/>
      <c r="L490" s="731"/>
      <c r="M490" s="731"/>
      <c r="N490" s="731"/>
      <c r="O490" s="732"/>
      <c r="P490" s="728" t="s">
        <v>40</v>
      </c>
      <c r="Q490" s="729"/>
      <c r="R490" s="729"/>
      <c r="S490" s="729"/>
      <c r="T490" s="729"/>
      <c r="U490" s="729"/>
      <c r="V490" s="73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1" t="s">
        <v>791</v>
      </c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1"/>
      <c r="P491" s="721"/>
      <c r="Q491" s="721"/>
      <c r="R491" s="721"/>
      <c r="S491" s="721"/>
      <c r="T491" s="721"/>
      <c r="U491" s="721"/>
      <c r="V491" s="721"/>
      <c r="W491" s="721"/>
      <c r="X491" s="721"/>
      <c r="Y491" s="721"/>
      <c r="Z491" s="721"/>
      <c r="AA491" s="65"/>
      <c r="AB491" s="65"/>
      <c r="AC491" s="79"/>
    </row>
    <row r="492" spans="1:68" ht="14.25" hidden="1" customHeight="1" x14ac:dyDescent="0.25">
      <c r="A492" s="722" t="s">
        <v>159</v>
      </c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2"/>
      <c r="P492" s="722"/>
      <c r="Q492" s="722"/>
      <c r="R492" s="722"/>
      <c r="S492" s="722"/>
      <c r="T492" s="722"/>
      <c r="U492" s="722"/>
      <c r="V492" s="722"/>
      <c r="W492" s="722"/>
      <c r="X492" s="722"/>
      <c r="Y492" s="722"/>
      <c r="Z492" s="722"/>
      <c r="AA492" s="66"/>
      <c r="AB492" s="66"/>
      <c r="AC492" s="80"/>
    </row>
    <row r="493" spans="1:68" ht="27" hidden="1" customHeight="1" x14ac:dyDescent="0.25">
      <c r="A493" s="63" t="s">
        <v>792</v>
      </c>
      <c r="B493" s="63" t="s">
        <v>793</v>
      </c>
      <c r="C493" s="36">
        <v>4301020416</v>
      </c>
      <c r="D493" s="723">
        <v>4680115885240</v>
      </c>
      <c r="E493" s="723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9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5"/>
      <c r="R493" s="725"/>
      <c r="S493" s="725"/>
      <c r="T493" s="72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794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1"/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2"/>
      <c r="P495" s="728" t="s">
        <v>40</v>
      </c>
      <c r="Q495" s="729"/>
      <c r="R495" s="729"/>
      <c r="S495" s="729"/>
      <c r="T495" s="729"/>
      <c r="U495" s="729"/>
      <c r="V495" s="73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2" t="s">
        <v>77</v>
      </c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2"/>
      <c r="P496" s="722"/>
      <c r="Q496" s="722"/>
      <c r="R496" s="722"/>
      <c r="S496" s="722"/>
      <c r="T496" s="722"/>
      <c r="U496" s="722"/>
      <c r="V496" s="722"/>
      <c r="W496" s="722"/>
      <c r="X496" s="722"/>
      <c r="Y496" s="722"/>
      <c r="Z496" s="722"/>
      <c r="AA496" s="66"/>
      <c r="AB496" s="66"/>
      <c r="AC496" s="80"/>
    </row>
    <row r="497" spans="1:68" ht="27" hidden="1" customHeight="1" x14ac:dyDescent="0.25">
      <c r="A497" s="63" t="s">
        <v>795</v>
      </c>
      <c r="B497" s="63" t="s">
        <v>796</v>
      </c>
      <c r="C497" s="36">
        <v>4301031407</v>
      </c>
      <c r="D497" s="723">
        <v>4680115886094</v>
      </c>
      <c r="E497" s="723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797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798</v>
      </c>
      <c r="B498" s="63" t="s">
        <v>799</v>
      </c>
      <c r="C498" s="36">
        <v>4301031373</v>
      </c>
      <c r="D498" s="723">
        <v>4680115880771</v>
      </c>
      <c r="E498" s="723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4301031359</v>
      </c>
      <c r="D499" s="723">
        <v>4607091389500</v>
      </c>
      <c r="E499" s="723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5"/>
      <c r="R499" s="725"/>
      <c r="S499" s="725"/>
      <c r="T499" s="726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800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1"/>
      <c r="B501" s="731"/>
      <c r="C501" s="731"/>
      <c r="D501" s="731"/>
      <c r="E501" s="731"/>
      <c r="F501" s="731"/>
      <c r="G501" s="731"/>
      <c r="H501" s="731"/>
      <c r="I501" s="731"/>
      <c r="J501" s="731"/>
      <c r="K501" s="731"/>
      <c r="L501" s="731"/>
      <c r="M501" s="731"/>
      <c r="N501" s="731"/>
      <c r="O501" s="732"/>
      <c r="P501" s="728" t="s">
        <v>40</v>
      </c>
      <c r="Q501" s="729"/>
      <c r="R501" s="729"/>
      <c r="S501" s="729"/>
      <c r="T501" s="729"/>
      <c r="U501" s="729"/>
      <c r="V501" s="73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0" t="s">
        <v>803</v>
      </c>
      <c r="B502" s="720"/>
      <c r="C502" s="720"/>
      <c r="D502" s="720"/>
      <c r="E502" s="720"/>
      <c r="F502" s="720"/>
      <c r="G502" s="720"/>
      <c r="H502" s="720"/>
      <c r="I502" s="720"/>
      <c r="J502" s="720"/>
      <c r="K502" s="720"/>
      <c r="L502" s="720"/>
      <c r="M502" s="720"/>
      <c r="N502" s="720"/>
      <c r="O502" s="720"/>
      <c r="P502" s="720"/>
      <c r="Q502" s="720"/>
      <c r="R502" s="720"/>
      <c r="S502" s="720"/>
      <c r="T502" s="720"/>
      <c r="U502" s="720"/>
      <c r="V502" s="720"/>
      <c r="W502" s="720"/>
      <c r="X502" s="720"/>
      <c r="Y502" s="720"/>
      <c r="Z502" s="720"/>
      <c r="AA502" s="54"/>
      <c r="AB502" s="54"/>
      <c r="AC502" s="54"/>
    </row>
    <row r="503" spans="1:68" ht="16.5" hidden="1" customHeight="1" x14ac:dyDescent="0.25">
      <c r="A503" s="721" t="s">
        <v>803</v>
      </c>
      <c r="B503" s="721"/>
      <c r="C503" s="721"/>
      <c r="D503" s="721"/>
      <c r="E503" s="721"/>
      <c r="F503" s="721"/>
      <c r="G503" s="721"/>
      <c r="H503" s="721"/>
      <c r="I503" s="721"/>
      <c r="J503" s="721"/>
      <c r="K503" s="721"/>
      <c r="L503" s="721"/>
      <c r="M503" s="721"/>
      <c r="N503" s="721"/>
      <c r="O503" s="721"/>
      <c r="P503" s="721"/>
      <c r="Q503" s="721"/>
      <c r="R503" s="721"/>
      <c r="S503" s="721"/>
      <c r="T503" s="721"/>
      <c r="U503" s="721"/>
      <c r="V503" s="721"/>
      <c r="W503" s="721"/>
      <c r="X503" s="721"/>
      <c r="Y503" s="721"/>
      <c r="Z503" s="721"/>
      <c r="AA503" s="65"/>
      <c r="AB503" s="65"/>
      <c r="AC503" s="79"/>
    </row>
    <row r="504" spans="1:68" ht="14.25" hidden="1" customHeight="1" x14ac:dyDescent="0.25">
      <c r="A504" s="722" t="s">
        <v>122</v>
      </c>
      <c r="B504" s="722"/>
      <c r="C504" s="722"/>
      <c r="D504" s="722"/>
      <c r="E504" s="722"/>
      <c r="F504" s="722"/>
      <c r="G504" s="722"/>
      <c r="H504" s="722"/>
      <c r="I504" s="722"/>
      <c r="J504" s="722"/>
      <c r="K504" s="722"/>
      <c r="L504" s="722"/>
      <c r="M504" s="722"/>
      <c r="N504" s="722"/>
      <c r="O504" s="722"/>
      <c r="P504" s="722"/>
      <c r="Q504" s="722"/>
      <c r="R504" s="722"/>
      <c r="S504" s="722"/>
      <c r="T504" s="722"/>
      <c r="U504" s="722"/>
      <c r="V504" s="722"/>
      <c r="W504" s="722"/>
      <c r="X504" s="722"/>
      <c r="Y504" s="722"/>
      <c r="Z504" s="722"/>
      <c r="AA504" s="66"/>
      <c r="AB504" s="66"/>
      <c r="AC504" s="80"/>
    </row>
    <row r="505" spans="1:68" ht="27" hidden="1" customHeight="1" x14ac:dyDescent="0.25">
      <c r="A505" s="63" t="s">
        <v>804</v>
      </c>
      <c r="B505" s="63" t="s">
        <v>805</v>
      </c>
      <c r="C505" s="36">
        <v>4301011769</v>
      </c>
      <c r="D505" s="723">
        <v>4607091389067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83">IFERROR(IF(X505="",0,CEILING((X505/$H505),1)*$H505),"")</f>
        <v>0</v>
      </c>
      <c r="Z505" s="41" t="str">
        <f t="shared" ref="Z505:Z510" si="84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5">IFERROR(X505*I505/H505,"0")</f>
        <v>0</v>
      </c>
      <c r="BN505" s="78">
        <f t="shared" ref="BN505:BN513" si="86">IFERROR(Y505*I505/H505,"0")</f>
        <v>0</v>
      </c>
      <c r="BO505" s="78">
        <f t="shared" ref="BO505:BO513" si="87">IFERROR(1/J505*(X505/H505),"0")</f>
        <v>0</v>
      </c>
      <c r="BP505" s="78">
        <f t="shared" ref="BP505:BP513" si="88">IFERROR(1/J505*(Y505/H505),"0")</f>
        <v>0</v>
      </c>
    </row>
    <row r="506" spans="1:68" ht="16.5" hidden="1" customHeight="1" x14ac:dyDescent="0.25">
      <c r="A506" s="63" t="s">
        <v>806</v>
      </c>
      <c r="B506" s="63" t="s">
        <v>807</v>
      </c>
      <c r="C506" s="36">
        <v>4301012380</v>
      </c>
      <c r="D506" s="723">
        <v>4680115889576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83"/>
        <v>0</v>
      </c>
      <c r="Z506" s="41" t="str">
        <f t="shared" si="84"/>
        <v/>
      </c>
      <c r="AA506" s="68" t="s">
        <v>46</v>
      </c>
      <c r="AB506" s="69" t="s">
        <v>46</v>
      </c>
      <c r="AC506" s="604" t="s">
        <v>808</v>
      </c>
      <c r="AG506" s="78"/>
      <c r="AJ506" s="84" t="s">
        <v>46</v>
      </c>
      <c r="AK506" s="84">
        <v>0</v>
      </c>
      <c r="BB506" s="605" t="s">
        <v>67</v>
      </c>
      <c r="BM506" s="78">
        <f t="shared" si="85"/>
        <v>0</v>
      </c>
      <c r="BN506" s="78">
        <f t="shared" si="86"/>
        <v>0</v>
      </c>
      <c r="BO506" s="78">
        <f t="shared" si="87"/>
        <v>0</v>
      </c>
      <c r="BP506" s="78">
        <f t="shared" si="88"/>
        <v>0</v>
      </c>
    </row>
    <row r="507" spans="1:68" ht="27" hidden="1" customHeight="1" x14ac:dyDescent="0.25">
      <c r="A507" s="63" t="s">
        <v>809</v>
      </c>
      <c r="B507" s="63" t="s">
        <v>810</v>
      </c>
      <c r="C507" s="36">
        <v>4301011961</v>
      </c>
      <c r="D507" s="723">
        <v>4680115885271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hidden="1" customHeight="1" x14ac:dyDescent="0.25">
      <c r="A508" s="63" t="s">
        <v>812</v>
      </c>
      <c r="B508" s="63" t="s">
        <v>813</v>
      </c>
      <c r="C508" s="36">
        <v>4301011369</v>
      </c>
      <c r="D508" s="723">
        <v>4680115885226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16.5" hidden="1" customHeight="1" x14ac:dyDescent="0.25">
      <c r="A509" s="63" t="s">
        <v>815</v>
      </c>
      <c r="B509" s="63" t="s">
        <v>816</v>
      </c>
      <c r="C509" s="36">
        <v>4301011797</v>
      </c>
      <c r="D509" s="723">
        <v>4680115884502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9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27" hidden="1" customHeight="1" x14ac:dyDescent="0.25">
      <c r="A510" s="63" t="s">
        <v>818</v>
      </c>
      <c r="B510" s="63" t="s">
        <v>819</v>
      </c>
      <c r="C510" s="36">
        <v>4301011771</v>
      </c>
      <c r="D510" s="723">
        <v>4607091389104</v>
      </c>
      <c r="E510" s="72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9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hidden="1" customHeight="1" x14ac:dyDescent="0.25">
      <c r="A511" s="63" t="s">
        <v>821</v>
      </c>
      <c r="B511" s="63" t="s">
        <v>822</v>
      </c>
      <c r="C511" s="36">
        <v>4301012125</v>
      </c>
      <c r="D511" s="723">
        <v>4680115886391</v>
      </c>
      <c r="E511" s="72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hidden="1" customHeight="1" x14ac:dyDescent="0.25">
      <c r="A512" s="63" t="s">
        <v>823</v>
      </c>
      <c r="B512" s="63" t="s">
        <v>824</v>
      </c>
      <c r="C512" s="36">
        <v>4301012048</v>
      </c>
      <c r="D512" s="723">
        <v>4680115880603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9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825</v>
      </c>
      <c r="B513" s="63" t="s">
        <v>826</v>
      </c>
      <c r="C513" s="36">
        <v>4301012034</v>
      </c>
      <c r="D513" s="723">
        <v>4607091389982</v>
      </c>
      <c r="E513" s="723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99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5"/>
      <c r="R513" s="725"/>
      <c r="S513" s="725"/>
      <c r="T513" s="72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820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idden="1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31"/>
      <c r="B515" s="731"/>
      <c r="C515" s="731"/>
      <c r="D515" s="731"/>
      <c r="E515" s="731"/>
      <c r="F515" s="731"/>
      <c r="G515" s="731"/>
      <c r="H515" s="731"/>
      <c r="I515" s="731"/>
      <c r="J515" s="731"/>
      <c r="K515" s="731"/>
      <c r="L515" s="731"/>
      <c r="M515" s="731"/>
      <c r="N515" s="731"/>
      <c r="O515" s="732"/>
      <c r="P515" s="728" t="s">
        <v>40</v>
      </c>
      <c r="Q515" s="729"/>
      <c r="R515" s="729"/>
      <c r="S515" s="729"/>
      <c r="T515" s="729"/>
      <c r="U515" s="729"/>
      <c r="V515" s="73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22" t="s">
        <v>159</v>
      </c>
      <c r="B516" s="722"/>
      <c r="C516" s="722"/>
      <c r="D516" s="722"/>
      <c r="E516" s="722"/>
      <c r="F516" s="722"/>
      <c r="G516" s="722"/>
      <c r="H516" s="722"/>
      <c r="I516" s="722"/>
      <c r="J516" s="722"/>
      <c r="K516" s="722"/>
      <c r="L516" s="722"/>
      <c r="M516" s="722"/>
      <c r="N516" s="722"/>
      <c r="O516" s="722"/>
      <c r="P516" s="722"/>
      <c r="Q516" s="722"/>
      <c r="R516" s="722"/>
      <c r="S516" s="722"/>
      <c r="T516" s="722"/>
      <c r="U516" s="722"/>
      <c r="V516" s="722"/>
      <c r="W516" s="722"/>
      <c r="X516" s="722"/>
      <c r="Y516" s="722"/>
      <c r="Z516" s="722"/>
      <c r="AA516" s="66"/>
      <c r="AB516" s="66"/>
      <c r="AC516" s="80"/>
    </row>
    <row r="517" spans="1:68" ht="16.5" hidden="1" customHeight="1" x14ac:dyDescent="0.25">
      <c r="A517" s="63" t="s">
        <v>827</v>
      </c>
      <c r="B517" s="63" t="s">
        <v>828</v>
      </c>
      <c r="C517" s="36">
        <v>4301020334</v>
      </c>
      <c r="D517" s="723">
        <v>4607091388930</v>
      </c>
      <c r="E517" s="72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99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829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830</v>
      </c>
      <c r="B518" s="63" t="s">
        <v>831</v>
      </c>
      <c r="C518" s="36">
        <v>4301020374</v>
      </c>
      <c r="D518" s="723">
        <v>4680115886407</v>
      </c>
      <c r="E518" s="723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829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832</v>
      </c>
      <c r="B519" s="63" t="s">
        <v>833</v>
      </c>
      <c r="C519" s="36">
        <v>4301020385</v>
      </c>
      <c r="D519" s="723">
        <v>4680115880054</v>
      </c>
      <c r="E519" s="72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100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5"/>
      <c r="R519" s="725"/>
      <c r="S519" s="725"/>
      <c r="T519" s="726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829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731"/>
      <c r="B521" s="731"/>
      <c r="C521" s="731"/>
      <c r="D521" s="731"/>
      <c r="E521" s="731"/>
      <c r="F521" s="731"/>
      <c r="G521" s="731"/>
      <c r="H521" s="731"/>
      <c r="I521" s="731"/>
      <c r="J521" s="731"/>
      <c r="K521" s="731"/>
      <c r="L521" s="731"/>
      <c r="M521" s="731"/>
      <c r="N521" s="731"/>
      <c r="O521" s="732"/>
      <c r="P521" s="728" t="s">
        <v>40</v>
      </c>
      <c r="Q521" s="729"/>
      <c r="R521" s="729"/>
      <c r="S521" s="729"/>
      <c r="T521" s="729"/>
      <c r="U521" s="729"/>
      <c r="V521" s="73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722" t="s">
        <v>77</v>
      </c>
      <c r="B522" s="722"/>
      <c r="C522" s="722"/>
      <c r="D522" s="722"/>
      <c r="E522" s="722"/>
      <c r="F522" s="722"/>
      <c r="G522" s="722"/>
      <c r="H522" s="722"/>
      <c r="I522" s="722"/>
      <c r="J522" s="722"/>
      <c r="K522" s="722"/>
      <c r="L522" s="722"/>
      <c r="M522" s="722"/>
      <c r="N522" s="722"/>
      <c r="O522" s="722"/>
      <c r="P522" s="722"/>
      <c r="Q522" s="722"/>
      <c r="R522" s="722"/>
      <c r="S522" s="722"/>
      <c r="T522" s="722"/>
      <c r="U522" s="722"/>
      <c r="V522" s="722"/>
      <c r="W522" s="722"/>
      <c r="X522" s="722"/>
      <c r="Y522" s="722"/>
      <c r="Z522" s="722"/>
      <c r="AA522" s="66"/>
      <c r="AB522" s="66"/>
      <c r="AC522" s="80"/>
    </row>
    <row r="523" spans="1:68" ht="27" hidden="1" customHeight="1" x14ac:dyDescent="0.25">
      <c r="A523" s="63" t="s">
        <v>834</v>
      </c>
      <c r="B523" s="63" t="s">
        <v>835</v>
      </c>
      <c r="C523" s="36">
        <v>4301031349</v>
      </c>
      <c r="D523" s="723">
        <v>4680115883116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100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9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836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90">IFERROR(X523*I523/H523,"0")</f>
        <v>0</v>
      </c>
      <c r="BN523" s="78">
        <f t="shared" ref="BN523:BN529" si="91">IFERROR(Y523*I523/H523,"0")</f>
        <v>0</v>
      </c>
      <c r="BO523" s="78">
        <f t="shared" ref="BO523:BO529" si="92">IFERROR(1/J523*(X523/H523),"0")</f>
        <v>0</v>
      </c>
      <c r="BP523" s="78">
        <f t="shared" ref="BP523:BP529" si="93">IFERROR(1/J523*(Y523/H523),"0")</f>
        <v>0</v>
      </c>
    </row>
    <row r="524" spans="1:68" ht="27" hidden="1" customHeight="1" x14ac:dyDescent="0.25">
      <c r="A524" s="63" t="s">
        <v>837</v>
      </c>
      <c r="B524" s="63" t="s">
        <v>838</v>
      </c>
      <c r="C524" s="36">
        <v>4301031350</v>
      </c>
      <c r="D524" s="723">
        <v>4680115883093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si="90"/>
        <v>0</v>
      </c>
      <c r="BN524" s="78">
        <f t="shared" si="91"/>
        <v>0</v>
      </c>
      <c r="BO524" s="78">
        <f t="shared" si="92"/>
        <v>0</v>
      </c>
      <c r="BP524" s="78">
        <f t="shared" si="93"/>
        <v>0</v>
      </c>
    </row>
    <row r="525" spans="1:68" ht="27" hidden="1" customHeight="1" x14ac:dyDescent="0.25">
      <c r="A525" s="63" t="s">
        <v>840</v>
      </c>
      <c r="B525" s="63" t="s">
        <v>841</v>
      </c>
      <c r="C525" s="36">
        <v>4301031353</v>
      </c>
      <c r="D525" s="723">
        <v>4680115883109</v>
      </c>
      <c r="E525" s="723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9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0</v>
      </c>
      <c r="BN525" s="78">
        <f t="shared" si="91"/>
        <v>0</v>
      </c>
      <c r="BO525" s="78">
        <f t="shared" si="92"/>
        <v>0</v>
      </c>
      <c r="BP525" s="78">
        <f t="shared" si="93"/>
        <v>0</v>
      </c>
    </row>
    <row r="526" spans="1:68" ht="27" hidden="1" customHeight="1" x14ac:dyDescent="0.25">
      <c r="A526" s="63" t="s">
        <v>843</v>
      </c>
      <c r="B526" s="63" t="s">
        <v>844</v>
      </c>
      <c r="C526" s="36">
        <v>4301031419</v>
      </c>
      <c r="D526" s="723">
        <v>4680115882072</v>
      </c>
      <c r="E526" s="723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10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836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hidden="1" customHeight="1" x14ac:dyDescent="0.25">
      <c r="A527" s="63" t="s">
        <v>845</v>
      </c>
      <c r="B527" s="63" t="s">
        <v>846</v>
      </c>
      <c r="C527" s="36">
        <v>4301031352</v>
      </c>
      <c r="D527" s="723">
        <v>4680115882102</v>
      </c>
      <c r="E527" s="723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845</v>
      </c>
      <c r="B528" s="63" t="s">
        <v>847</v>
      </c>
      <c r="C528" s="36">
        <v>4301031418</v>
      </c>
      <c r="D528" s="723">
        <v>4680115882102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839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849</v>
      </c>
      <c r="C529" s="36">
        <v>4301031417</v>
      </c>
      <c r="D529" s="723">
        <v>4680115882096</v>
      </c>
      <c r="E529" s="723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0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5"/>
      <c r="R529" s="725"/>
      <c r="S529" s="725"/>
      <c r="T529" s="72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idden="1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731"/>
      <c r="B531" s="731"/>
      <c r="C531" s="731"/>
      <c r="D531" s="731"/>
      <c r="E531" s="731"/>
      <c r="F531" s="731"/>
      <c r="G531" s="731"/>
      <c r="H531" s="731"/>
      <c r="I531" s="731"/>
      <c r="J531" s="731"/>
      <c r="K531" s="731"/>
      <c r="L531" s="731"/>
      <c r="M531" s="731"/>
      <c r="N531" s="731"/>
      <c r="O531" s="732"/>
      <c r="P531" s="728" t="s">
        <v>40</v>
      </c>
      <c r="Q531" s="729"/>
      <c r="R531" s="729"/>
      <c r="S531" s="729"/>
      <c r="T531" s="729"/>
      <c r="U531" s="729"/>
      <c r="V531" s="73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720" t="s">
        <v>850</v>
      </c>
      <c r="B532" s="720"/>
      <c r="C532" s="720"/>
      <c r="D532" s="720"/>
      <c r="E532" s="720"/>
      <c r="F532" s="720"/>
      <c r="G532" s="720"/>
      <c r="H532" s="720"/>
      <c r="I532" s="720"/>
      <c r="J532" s="720"/>
      <c r="K532" s="720"/>
      <c r="L532" s="720"/>
      <c r="M532" s="720"/>
      <c r="N532" s="720"/>
      <c r="O532" s="720"/>
      <c r="P532" s="720"/>
      <c r="Q532" s="720"/>
      <c r="R532" s="720"/>
      <c r="S532" s="720"/>
      <c r="T532" s="720"/>
      <c r="U532" s="720"/>
      <c r="V532" s="720"/>
      <c r="W532" s="720"/>
      <c r="X532" s="720"/>
      <c r="Y532" s="720"/>
      <c r="Z532" s="720"/>
      <c r="AA532" s="54"/>
      <c r="AB532" s="54"/>
      <c r="AC532" s="54"/>
    </row>
    <row r="533" spans="1:68" ht="16.5" hidden="1" customHeight="1" x14ac:dyDescent="0.25">
      <c r="A533" s="721" t="s">
        <v>850</v>
      </c>
      <c r="B533" s="721"/>
      <c r="C533" s="721"/>
      <c r="D533" s="721"/>
      <c r="E533" s="721"/>
      <c r="F533" s="721"/>
      <c r="G533" s="721"/>
      <c r="H533" s="721"/>
      <c r="I533" s="721"/>
      <c r="J533" s="721"/>
      <c r="K533" s="721"/>
      <c r="L533" s="721"/>
      <c r="M533" s="721"/>
      <c r="N533" s="721"/>
      <c r="O533" s="721"/>
      <c r="P533" s="721"/>
      <c r="Q533" s="721"/>
      <c r="R533" s="721"/>
      <c r="S533" s="721"/>
      <c r="T533" s="721"/>
      <c r="U533" s="721"/>
      <c r="V533" s="721"/>
      <c r="W533" s="721"/>
      <c r="X533" s="721"/>
      <c r="Y533" s="721"/>
      <c r="Z533" s="721"/>
      <c r="AA533" s="65"/>
      <c r="AB533" s="65"/>
      <c r="AC533" s="79"/>
    </row>
    <row r="534" spans="1:68" ht="14.25" hidden="1" customHeight="1" x14ac:dyDescent="0.25">
      <c r="A534" s="722" t="s">
        <v>122</v>
      </c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2"/>
      <c r="P534" s="722"/>
      <c r="Q534" s="722"/>
      <c r="R534" s="722"/>
      <c r="S534" s="722"/>
      <c r="T534" s="722"/>
      <c r="U534" s="722"/>
      <c r="V534" s="722"/>
      <c r="W534" s="722"/>
      <c r="X534" s="722"/>
      <c r="Y534" s="722"/>
      <c r="Z534" s="722"/>
      <c r="AA534" s="66"/>
      <c r="AB534" s="66"/>
      <c r="AC534" s="80"/>
    </row>
    <row r="535" spans="1:68" ht="27" hidden="1" customHeight="1" x14ac:dyDescent="0.25">
      <c r="A535" s="63" t="s">
        <v>851</v>
      </c>
      <c r="B535" s="63" t="s">
        <v>852</v>
      </c>
      <c r="C535" s="36">
        <v>4301011584</v>
      </c>
      <c r="D535" s="723">
        <v>4640242180564</v>
      </c>
      <c r="E535" s="723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100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5"/>
      <c r="R535" s="725"/>
      <c r="S535" s="725"/>
      <c r="T535" s="726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853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1"/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2"/>
      <c r="P537" s="728" t="s">
        <v>40</v>
      </c>
      <c r="Q537" s="729"/>
      <c r="R537" s="729"/>
      <c r="S537" s="729"/>
      <c r="T537" s="729"/>
      <c r="U537" s="729"/>
      <c r="V537" s="73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2" t="s">
        <v>77</v>
      </c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2"/>
      <c r="P538" s="722"/>
      <c r="Q538" s="722"/>
      <c r="R538" s="722"/>
      <c r="S538" s="722"/>
      <c r="T538" s="722"/>
      <c r="U538" s="722"/>
      <c r="V538" s="722"/>
      <c r="W538" s="722"/>
      <c r="X538" s="722"/>
      <c r="Y538" s="722"/>
      <c r="Z538" s="722"/>
      <c r="AA538" s="66"/>
      <c r="AB538" s="66"/>
      <c r="AC538" s="80"/>
    </row>
    <row r="539" spans="1:68" ht="27" hidden="1" customHeight="1" x14ac:dyDescent="0.25">
      <c r="A539" s="63" t="s">
        <v>854</v>
      </c>
      <c r="B539" s="63" t="s">
        <v>855</v>
      </c>
      <c r="C539" s="36">
        <v>4301031500</v>
      </c>
      <c r="D539" s="723">
        <v>4640242180595</v>
      </c>
      <c r="E539" s="723"/>
      <c r="F539" s="62">
        <v>0.7</v>
      </c>
      <c r="G539" s="37">
        <v>6</v>
      </c>
      <c r="H539" s="62">
        <v>4.2</v>
      </c>
      <c r="I539" s="62">
        <v>4.45</v>
      </c>
      <c r="J539" s="37">
        <v>132</v>
      </c>
      <c r="K539" s="37" t="s">
        <v>134</v>
      </c>
      <c r="L539" s="37" t="s">
        <v>46</v>
      </c>
      <c r="M539" s="38" t="s">
        <v>81</v>
      </c>
      <c r="N539" s="38"/>
      <c r="O539" s="37">
        <v>40</v>
      </c>
      <c r="P539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725"/>
      <c r="R539" s="725"/>
      <c r="S539" s="725"/>
      <c r="T539" s="72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IFERROR(IF(Y539=0,"",ROUNDUP(Y539/H539,0)*0.00902),"")</f>
        <v/>
      </c>
      <c r="AA539" s="68" t="s">
        <v>46</v>
      </c>
      <c r="AB539" s="69" t="s">
        <v>46</v>
      </c>
      <c r="AC539" s="642" t="s">
        <v>856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1"/>
      <c r="B541" s="731"/>
      <c r="C541" s="731"/>
      <c r="D541" s="731"/>
      <c r="E541" s="731"/>
      <c r="F541" s="731"/>
      <c r="G541" s="731"/>
      <c r="H541" s="731"/>
      <c r="I541" s="731"/>
      <c r="J541" s="731"/>
      <c r="K541" s="731"/>
      <c r="L541" s="731"/>
      <c r="M541" s="731"/>
      <c r="N541" s="731"/>
      <c r="O541" s="732"/>
      <c r="P541" s="728" t="s">
        <v>40</v>
      </c>
      <c r="Q541" s="729"/>
      <c r="R541" s="729"/>
      <c r="S541" s="729"/>
      <c r="T541" s="729"/>
      <c r="U541" s="729"/>
      <c r="V541" s="73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2" t="s">
        <v>86</v>
      </c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2"/>
      <c r="P542" s="722"/>
      <c r="Q542" s="722"/>
      <c r="R542" s="722"/>
      <c r="S542" s="722"/>
      <c r="T542" s="722"/>
      <c r="U542" s="722"/>
      <c r="V542" s="722"/>
      <c r="W542" s="722"/>
      <c r="X542" s="722"/>
      <c r="Y542" s="722"/>
      <c r="Z542" s="722"/>
      <c r="AA542" s="66"/>
      <c r="AB542" s="66"/>
      <c r="AC542" s="80"/>
    </row>
    <row r="543" spans="1:68" ht="27" hidden="1" customHeight="1" x14ac:dyDescent="0.25">
      <c r="A543" s="63" t="s">
        <v>857</v>
      </c>
      <c r="B543" s="63" t="s">
        <v>858</v>
      </c>
      <c r="C543" s="36">
        <v>4301052043</v>
      </c>
      <c r="D543" s="723">
        <v>4640242180533</v>
      </c>
      <c r="E543" s="723"/>
      <c r="F543" s="62">
        <v>1.5</v>
      </c>
      <c r="G543" s="37">
        <v>6</v>
      </c>
      <c r="H543" s="62">
        <v>9</v>
      </c>
      <c r="I543" s="62">
        <v>9.4939999999999998</v>
      </c>
      <c r="J543" s="37">
        <v>64</v>
      </c>
      <c r="K543" s="37" t="s">
        <v>127</v>
      </c>
      <c r="L543" s="37" t="s">
        <v>46</v>
      </c>
      <c r="M543" s="38" t="s">
        <v>90</v>
      </c>
      <c r="N543" s="38"/>
      <c r="O543" s="37">
        <v>45</v>
      </c>
      <c r="P543" s="101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725"/>
      <c r="R543" s="725"/>
      <c r="S543" s="725"/>
      <c r="T543" s="72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44" t="s">
        <v>859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31"/>
      <c r="B545" s="731"/>
      <c r="C545" s="731"/>
      <c r="D545" s="731"/>
      <c r="E545" s="731"/>
      <c r="F545" s="731"/>
      <c r="G545" s="731"/>
      <c r="H545" s="731"/>
      <c r="I545" s="731"/>
      <c r="J545" s="731"/>
      <c r="K545" s="731"/>
      <c r="L545" s="731"/>
      <c r="M545" s="731"/>
      <c r="N545" s="731"/>
      <c r="O545" s="732"/>
      <c r="P545" s="728" t="s">
        <v>40</v>
      </c>
      <c r="Q545" s="729"/>
      <c r="R545" s="729"/>
      <c r="S545" s="729"/>
      <c r="T545" s="729"/>
      <c r="U545" s="729"/>
      <c r="V545" s="73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22" t="s">
        <v>179</v>
      </c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2"/>
      <c r="P546" s="722"/>
      <c r="Q546" s="722"/>
      <c r="R546" s="722"/>
      <c r="S546" s="722"/>
      <c r="T546" s="722"/>
      <c r="U546" s="722"/>
      <c r="V546" s="722"/>
      <c r="W546" s="722"/>
      <c r="X546" s="722"/>
      <c r="Y546" s="722"/>
      <c r="Z546" s="722"/>
      <c r="AA546" s="66"/>
      <c r="AB546" s="66"/>
      <c r="AC546" s="80"/>
    </row>
    <row r="547" spans="1:68" ht="27" hidden="1" customHeight="1" x14ac:dyDescent="0.25">
      <c r="A547" s="63" t="s">
        <v>860</v>
      </c>
      <c r="B547" s="63" t="s">
        <v>861</v>
      </c>
      <c r="C547" s="36">
        <v>4301060535</v>
      </c>
      <c r="D547" s="723">
        <v>4640242180120</v>
      </c>
      <c r="E547" s="723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1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725"/>
      <c r="R547" s="725"/>
      <c r="S547" s="725"/>
      <c r="T547" s="72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862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t="27" hidden="1" customHeight="1" x14ac:dyDescent="0.25">
      <c r="A548" s="63" t="s">
        <v>863</v>
      </c>
      <c r="B548" s="63" t="s">
        <v>864</v>
      </c>
      <c r="C548" s="36">
        <v>4301060536</v>
      </c>
      <c r="D548" s="723">
        <v>4640242180137</v>
      </c>
      <c r="E548" s="72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1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725"/>
      <c r="R548" s="725"/>
      <c r="S548" s="725"/>
      <c r="T548" s="72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865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31"/>
      <c r="B549" s="731"/>
      <c r="C549" s="731"/>
      <c r="D549" s="731"/>
      <c r="E549" s="731"/>
      <c r="F549" s="731"/>
      <c r="G549" s="731"/>
      <c r="H549" s="731"/>
      <c r="I549" s="731"/>
      <c r="J549" s="731"/>
      <c r="K549" s="731"/>
      <c r="L549" s="731"/>
      <c r="M549" s="731"/>
      <c r="N549" s="731"/>
      <c r="O549" s="732"/>
      <c r="P549" s="728" t="s">
        <v>40</v>
      </c>
      <c r="Q549" s="729"/>
      <c r="R549" s="729"/>
      <c r="S549" s="729"/>
      <c r="T549" s="729"/>
      <c r="U549" s="729"/>
      <c r="V549" s="730"/>
      <c r="W549" s="42" t="s">
        <v>39</v>
      </c>
      <c r="X549" s="43">
        <f>IFERROR(X547/H547,"0")+IFERROR(X548/H548,"0")</f>
        <v>0</v>
      </c>
      <c r="Y549" s="43">
        <f>IFERROR(Y547/H547,"0")+IFERROR(Y548/H548,"0")</f>
        <v>0</v>
      </c>
      <c r="Z549" s="43">
        <f>IFERROR(IF(Z547="",0,Z547),"0")+IFERROR(IF(Z548="",0,Z548),"0")</f>
        <v>0</v>
      </c>
      <c r="AA549" s="67"/>
      <c r="AB549" s="67"/>
      <c r="AC549" s="67"/>
    </row>
    <row r="550" spans="1:68" hidden="1" x14ac:dyDescent="0.2">
      <c r="A550" s="731"/>
      <c r="B550" s="731"/>
      <c r="C550" s="731"/>
      <c r="D550" s="731"/>
      <c r="E550" s="731"/>
      <c r="F550" s="731"/>
      <c r="G550" s="731"/>
      <c r="H550" s="731"/>
      <c r="I550" s="731"/>
      <c r="J550" s="731"/>
      <c r="K550" s="731"/>
      <c r="L550" s="731"/>
      <c r="M550" s="731"/>
      <c r="N550" s="731"/>
      <c r="O550" s="732"/>
      <c r="P550" s="728" t="s">
        <v>40</v>
      </c>
      <c r="Q550" s="729"/>
      <c r="R550" s="729"/>
      <c r="S550" s="729"/>
      <c r="T550" s="729"/>
      <c r="U550" s="729"/>
      <c r="V550" s="730"/>
      <c r="W550" s="42" t="s">
        <v>0</v>
      </c>
      <c r="X550" s="43">
        <f>IFERROR(SUM(X547:X548),"0")</f>
        <v>0</v>
      </c>
      <c r="Y550" s="43">
        <f>IFERROR(SUM(Y547:Y548),"0")</f>
        <v>0</v>
      </c>
      <c r="Z550" s="42"/>
      <c r="AA550" s="67"/>
      <c r="AB550" s="67"/>
      <c r="AC550" s="67"/>
    </row>
    <row r="551" spans="1:68" ht="16.5" hidden="1" customHeight="1" x14ac:dyDescent="0.25">
      <c r="A551" s="721" t="s">
        <v>866</v>
      </c>
      <c r="B551" s="721"/>
      <c r="C551" s="721"/>
      <c r="D551" s="721"/>
      <c r="E551" s="721"/>
      <c r="F551" s="721"/>
      <c r="G551" s="721"/>
      <c r="H551" s="721"/>
      <c r="I551" s="721"/>
      <c r="J551" s="721"/>
      <c r="K551" s="721"/>
      <c r="L551" s="721"/>
      <c r="M551" s="721"/>
      <c r="N551" s="721"/>
      <c r="O551" s="721"/>
      <c r="P551" s="721"/>
      <c r="Q551" s="721"/>
      <c r="R551" s="721"/>
      <c r="S551" s="721"/>
      <c r="T551" s="721"/>
      <c r="U551" s="721"/>
      <c r="V551" s="721"/>
      <c r="W551" s="721"/>
      <c r="X551" s="721"/>
      <c r="Y551" s="721"/>
      <c r="Z551" s="721"/>
      <c r="AA551" s="65"/>
      <c r="AB551" s="65"/>
      <c r="AC551" s="79"/>
    </row>
    <row r="552" spans="1:68" ht="14.25" hidden="1" customHeight="1" x14ac:dyDescent="0.25">
      <c r="A552" s="722" t="s">
        <v>159</v>
      </c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2"/>
      <c r="P552" s="722"/>
      <c r="Q552" s="722"/>
      <c r="R552" s="722"/>
      <c r="S552" s="722"/>
      <c r="T552" s="722"/>
      <c r="U552" s="722"/>
      <c r="V552" s="722"/>
      <c r="W552" s="722"/>
      <c r="X552" s="722"/>
      <c r="Y552" s="722"/>
      <c r="Z552" s="722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4301020441</v>
      </c>
      <c r="D553" s="723">
        <v>4680115889798</v>
      </c>
      <c r="E553" s="723"/>
      <c r="F553" s="62">
        <v>1.5</v>
      </c>
      <c r="G553" s="37">
        <v>8</v>
      </c>
      <c r="H553" s="62">
        <v>12</v>
      </c>
      <c r="I553" s="62">
        <v>12.41</v>
      </c>
      <c r="J553" s="37">
        <v>64</v>
      </c>
      <c r="K553" s="37" t="s">
        <v>127</v>
      </c>
      <c r="L553" s="37" t="s">
        <v>46</v>
      </c>
      <c r="M553" s="38" t="s">
        <v>126</v>
      </c>
      <c r="N553" s="38"/>
      <c r="O553" s="37">
        <v>50</v>
      </c>
      <c r="P553" s="101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725"/>
      <c r="R553" s="725"/>
      <c r="S553" s="725"/>
      <c r="T553" s="726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0" t="s">
        <v>869</v>
      </c>
      <c r="AG553" s="78"/>
      <c r="AJ553" s="84" t="s">
        <v>46</v>
      </c>
      <c r="AK553" s="84">
        <v>0</v>
      </c>
      <c r="BB553" s="651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1"/>
      <c r="B554" s="731"/>
      <c r="C554" s="731"/>
      <c r="D554" s="731"/>
      <c r="E554" s="731"/>
      <c r="F554" s="731"/>
      <c r="G554" s="731"/>
      <c r="H554" s="731"/>
      <c r="I554" s="731"/>
      <c r="J554" s="731"/>
      <c r="K554" s="731"/>
      <c r="L554" s="731"/>
      <c r="M554" s="731"/>
      <c r="N554" s="731"/>
      <c r="O554" s="732"/>
      <c r="P554" s="728" t="s">
        <v>40</v>
      </c>
      <c r="Q554" s="729"/>
      <c r="R554" s="729"/>
      <c r="S554" s="729"/>
      <c r="T554" s="729"/>
      <c r="U554" s="729"/>
      <c r="V554" s="730"/>
      <c r="W554" s="42" t="s">
        <v>39</v>
      </c>
      <c r="X554" s="43">
        <f>IFERROR(X553/H553,"0")</f>
        <v>0</v>
      </c>
      <c r="Y554" s="43">
        <f>IFERROR(Y553/H553,"0")</f>
        <v>0</v>
      </c>
      <c r="Z554" s="43">
        <f>IFERROR(IF(Z553="",0,Z553),"0")</f>
        <v>0</v>
      </c>
      <c r="AA554" s="67"/>
      <c r="AB554" s="67"/>
      <c r="AC554" s="67"/>
    </row>
    <row r="555" spans="1:68" hidden="1" x14ac:dyDescent="0.2">
      <c r="A555" s="731"/>
      <c r="B555" s="731"/>
      <c r="C555" s="731"/>
      <c r="D555" s="731"/>
      <c r="E555" s="731"/>
      <c r="F555" s="731"/>
      <c r="G555" s="731"/>
      <c r="H555" s="731"/>
      <c r="I555" s="731"/>
      <c r="J555" s="731"/>
      <c r="K555" s="731"/>
      <c r="L555" s="731"/>
      <c r="M555" s="731"/>
      <c r="N555" s="731"/>
      <c r="O555" s="732"/>
      <c r="P555" s="728" t="s">
        <v>40</v>
      </c>
      <c r="Q555" s="729"/>
      <c r="R555" s="729"/>
      <c r="S555" s="729"/>
      <c r="T555" s="729"/>
      <c r="U555" s="729"/>
      <c r="V555" s="730"/>
      <c r="W555" s="42" t="s">
        <v>0</v>
      </c>
      <c r="X555" s="43">
        <f>IFERROR(SUM(X553:X553),"0")</f>
        <v>0</v>
      </c>
      <c r="Y555" s="43">
        <f>IFERROR(SUM(Y553:Y553),"0")</f>
        <v>0</v>
      </c>
      <c r="Z555" s="42"/>
      <c r="AA555" s="67"/>
      <c r="AB555" s="67"/>
      <c r="AC555" s="67"/>
    </row>
    <row r="556" spans="1:68" ht="15" customHeight="1" x14ac:dyDescent="0.2">
      <c r="A556" s="731"/>
      <c r="B556" s="731"/>
      <c r="C556" s="731"/>
      <c r="D556" s="731"/>
      <c r="E556" s="731"/>
      <c r="F556" s="731"/>
      <c r="G556" s="731"/>
      <c r="H556" s="731"/>
      <c r="I556" s="731"/>
      <c r="J556" s="731"/>
      <c r="K556" s="731"/>
      <c r="L556" s="731"/>
      <c r="M556" s="731"/>
      <c r="N556" s="731"/>
      <c r="O556" s="1017"/>
      <c r="P556" s="1014" t="s">
        <v>33</v>
      </c>
      <c r="Q556" s="1015"/>
      <c r="R556" s="1015"/>
      <c r="S556" s="1015"/>
      <c r="T556" s="1015"/>
      <c r="U556" s="1015"/>
      <c r="V556" s="1016"/>
      <c r="W556" s="42" t="s">
        <v>0</v>
      </c>
      <c r="X556" s="43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2500</v>
      </c>
      <c r="Y556" s="43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2503.7999999999997</v>
      </c>
      <c r="Z556" s="42"/>
      <c r="AA556" s="67"/>
      <c r="AB556" s="67"/>
      <c r="AC556" s="67"/>
    </row>
    <row r="557" spans="1:68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1017"/>
      <c r="P557" s="1014" t="s">
        <v>34</v>
      </c>
      <c r="Q557" s="1015"/>
      <c r="R557" s="1015"/>
      <c r="S557" s="1015"/>
      <c r="T557" s="1015"/>
      <c r="U557" s="1015"/>
      <c r="V557" s="1016"/>
      <c r="W557" s="42" t="s">
        <v>0</v>
      </c>
      <c r="X557" s="43">
        <f>IFERROR(SUM(BM22:BM553),"0")</f>
        <v>2656.4102564102564</v>
      </c>
      <c r="Y557" s="43">
        <f>IFERROR(SUM(BN22:BN553),"0")</f>
        <v>2660.4479999999999</v>
      </c>
      <c r="Z557" s="42"/>
      <c r="AA557" s="67"/>
      <c r="AB557" s="67"/>
      <c r="AC557" s="67"/>
    </row>
    <row r="558" spans="1:68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1017"/>
      <c r="P558" s="1014" t="s">
        <v>35</v>
      </c>
      <c r="Q558" s="1015"/>
      <c r="R558" s="1015"/>
      <c r="S558" s="1015"/>
      <c r="T558" s="1015"/>
      <c r="U558" s="1015"/>
      <c r="V558" s="1016"/>
      <c r="W558" s="42" t="s">
        <v>20</v>
      </c>
      <c r="X558" s="44">
        <f>ROUNDUP(SUM(BO22:BO553),0)</f>
        <v>6</v>
      </c>
      <c r="Y558" s="44">
        <f>ROUNDUP(SUM(BP22:BP553),0)</f>
        <v>6</v>
      </c>
      <c r="Z558" s="42"/>
      <c r="AA558" s="67"/>
      <c r="AB558" s="67"/>
      <c r="AC558" s="67"/>
    </row>
    <row r="559" spans="1:68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7"/>
      <c r="P559" s="1014" t="s">
        <v>36</v>
      </c>
      <c r="Q559" s="1015"/>
      <c r="R559" s="1015"/>
      <c r="S559" s="1015"/>
      <c r="T559" s="1015"/>
      <c r="U559" s="1015"/>
      <c r="V559" s="1016"/>
      <c r="W559" s="42" t="s">
        <v>0</v>
      </c>
      <c r="X559" s="43">
        <f>GrossWeightTotal+PalletQtyTotal*25</f>
        <v>2806.4102564102564</v>
      </c>
      <c r="Y559" s="43">
        <f>GrossWeightTotalR+PalletQtyTotalR*25</f>
        <v>2810.4479999999999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7"/>
      <c r="P560" s="1014" t="s">
        <v>37</v>
      </c>
      <c r="Q560" s="1015"/>
      <c r="R560" s="1015"/>
      <c r="S560" s="1015"/>
      <c r="T560" s="1015"/>
      <c r="U560" s="1015"/>
      <c r="V560" s="1016"/>
      <c r="W560" s="42" t="s">
        <v>20</v>
      </c>
      <c r="X560" s="43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320.5128205128205</v>
      </c>
      <c r="Y560" s="43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321</v>
      </c>
      <c r="Z560" s="42"/>
      <c r="AA560" s="67"/>
      <c r="AB560" s="67"/>
      <c r="AC560" s="67"/>
    </row>
    <row r="561" spans="1:32" ht="14.25" hidden="1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7"/>
      <c r="P561" s="1014" t="s">
        <v>38</v>
      </c>
      <c r="Q561" s="1015"/>
      <c r="R561" s="1015"/>
      <c r="S561" s="1015"/>
      <c r="T561" s="1015"/>
      <c r="U561" s="1015"/>
      <c r="V561" s="1016"/>
      <c r="W561" s="45" t="s">
        <v>52</v>
      </c>
      <c r="X561" s="42"/>
      <c r="Y561" s="42"/>
      <c r="Z561" s="42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6.0925799999999999</v>
      </c>
      <c r="AA561" s="67"/>
      <c r="AB561" s="67"/>
      <c r="AC561" s="67"/>
    </row>
    <row r="562" spans="1:32" ht="13.5" thickBot="1" x14ac:dyDescent="0.25"/>
    <row r="563" spans="1:32" ht="27" thickTop="1" thickBot="1" x14ac:dyDescent="0.25">
      <c r="A563" s="46" t="s">
        <v>9</v>
      </c>
      <c r="B563" s="85" t="s">
        <v>76</v>
      </c>
      <c r="C563" s="85" t="s">
        <v>45</v>
      </c>
      <c r="D563" s="1018" t="s">
        <v>120</v>
      </c>
      <c r="E563" s="1018" t="s">
        <v>120</v>
      </c>
      <c r="F563" s="1018" t="s">
        <v>120</v>
      </c>
      <c r="G563" s="1018" t="s">
        <v>120</v>
      </c>
      <c r="H563" s="1018" t="s">
        <v>120</v>
      </c>
      <c r="I563" s="1018" t="s">
        <v>120</v>
      </c>
      <c r="J563" s="1018" t="s">
        <v>120</v>
      </c>
      <c r="K563" s="1018" t="s">
        <v>346</v>
      </c>
      <c r="L563" s="1018" t="s">
        <v>346</v>
      </c>
      <c r="M563" s="1018" t="s">
        <v>346</v>
      </c>
      <c r="N563" s="1019"/>
      <c r="O563" s="1018" t="s">
        <v>346</v>
      </c>
      <c r="P563" s="1018" t="s">
        <v>346</v>
      </c>
      <c r="Q563" s="1018" t="s">
        <v>346</v>
      </c>
      <c r="R563" s="1018" t="s">
        <v>346</v>
      </c>
      <c r="S563" s="1018" t="s">
        <v>346</v>
      </c>
      <c r="T563" s="1018" t="s">
        <v>346</v>
      </c>
      <c r="U563" s="1018" t="s">
        <v>346</v>
      </c>
      <c r="V563" s="1018" t="s">
        <v>346</v>
      </c>
      <c r="W563" s="1018" t="s">
        <v>701</v>
      </c>
      <c r="X563" s="1018" t="s">
        <v>701</v>
      </c>
      <c r="Y563" s="1018" t="s">
        <v>767</v>
      </c>
      <c r="Z563" s="1018" t="s">
        <v>767</v>
      </c>
      <c r="AA563" s="85" t="s">
        <v>803</v>
      </c>
      <c r="AB563" s="1018" t="s">
        <v>850</v>
      </c>
      <c r="AC563" s="1018" t="s">
        <v>850</v>
      </c>
      <c r="AF563" s="1"/>
    </row>
    <row r="564" spans="1:32" ht="14.25" customHeight="1" thickTop="1" x14ac:dyDescent="0.2">
      <c r="A564" s="1020" t="s">
        <v>10</v>
      </c>
      <c r="B564" s="1018" t="s">
        <v>76</v>
      </c>
      <c r="C564" s="1018" t="s">
        <v>104</v>
      </c>
      <c r="D564" s="1018" t="s">
        <v>121</v>
      </c>
      <c r="E564" s="1018" t="s">
        <v>137</v>
      </c>
      <c r="F564" s="1018" t="s">
        <v>187</v>
      </c>
      <c r="G564" s="1018" t="s">
        <v>210</v>
      </c>
      <c r="H564" s="1018" t="s">
        <v>250</v>
      </c>
      <c r="I564" s="1018" t="s">
        <v>263</v>
      </c>
      <c r="J564" s="1018" t="s">
        <v>120</v>
      </c>
      <c r="K564" s="1018" t="s">
        <v>347</v>
      </c>
      <c r="L564" s="1018" t="s">
        <v>368</v>
      </c>
      <c r="M564" s="1018" t="s">
        <v>442</v>
      </c>
      <c r="N564" s="1"/>
      <c r="O564" s="1018" t="s">
        <v>510</v>
      </c>
      <c r="P564" s="1018" t="s">
        <v>539</v>
      </c>
      <c r="Q564" s="1018" t="s">
        <v>559</v>
      </c>
      <c r="R564" s="1018" t="s">
        <v>568</v>
      </c>
      <c r="S564" s="1018" t="s">
        <v>589</v>
      </c>
      <c r="T564" s="1018" t="s">
        <v>598</v>
      </c>
      <c r="U564" s="1018" t="s">
        <v>684</v>
      </c>
      <c r="V564" s="1018" t="s">
        <v>691</v>
      </c>
      <c r="W564" s="1018" t="s">
        <v>702</v>
      </c>
      <c r="X564" s="1018" t="s">
        <v>751</v>
      </c>
      <c r="Y564" s="1018" t="s">
        <v>768</v>
      </c>
      <c r="Z564" s="1018" t="s">
        <v>791</v>
      </c>
      <c r="AA564" s="1018" t="s">
        <v>803</v>
      </c>
      <c r="AB564" s="1018" t="s">
        <v>850</v>
      </c>
      <c r="AC564" s="1018" t="s">
        <v>866</v>
      </c>
      <c r="AF564" s="1"/>
    </row>
    <row r="565" spans="1:32" ht="13.5" thickBot="1" x14ac:dyDescent="0.25">
      <c r="A565" s="1021"/>
      <c r="B565" s="1018"/>
      <c r="C565" s="1018"/>
      <c r="D565" s="1018"/>
      <c r="E565" s="1018"/>
      <c r="F565" s="1018"/>
      <c r="G565" s="1018"/>
      <c r="H565" s="1018"/>
      <c r="I565" s="1018"/>
      <c r="J565" s="1018"/>
      <c r="K565" s="1018"/>
      <c r="L565" s="1018"/>
      <c r="M565" s="1018"/>
      <c r="N565" s="1"/>
      <c r="O565" s="1018"/>
      <c r="P565" s="1018"/>
      <c r="Q565" s="1018"/>
      <c r="R565" s="1018"/>
      <c r="S565" s="1018"/>
      <c r="T565" s="1018"/>
      <c r="U565" s="1018"/>
      <c r="V565" s="1018"/>
      <c r="W565" s="1018"/>
      <c r="X565" s="1018"/>
      <c r="Y565" s="1018"/>
      <c r="Z565" s="1018"/>
      <c r="AA565" s="1018"/>
      <c r="AB565" s="1018"/>
      <c r="AC565" s="1018"/>
      <c r="AF565" s="1"/>
    </row>
    <row r="566" spans="1:32" ht="18" thickTop="1" thickBot="1" x14ac:dyDescent="0.25">
      <c r="A566" s="46" t="s">
        <v>13</v>
      </c>
      <c r="B566" s="52">
        <f>IFERROR(Y22*1,"0")+IFERROR(Y23*1,"0")+IFERROR(Y27*1,"0")+IFERROR(Y28*1,"0")+IFERROR(Y29*1,"0")+IFERROR(Y30*1,"0")+IFERROR(Y31*1,"0")</f>
        <v>0</v>
      </c>
      <c r="C566" s="52">
        <f>IFERROR(Y37*1,"0")+IFERROR(Y38*1,"0")+IFERROR(Y39*1,"0")+IFERROR(Y40*1,"0")+IFERROR(Y41*1,"0")</f>
        <v>0</v>
      </c>
      <c r="D566" s="52">
        <f>IFERROR(Y47*1,"0")+IFERROR(Y48*1,"0")+IFERROR(Y49*1,"0")+IFERROR(Y50*1,"0")</f>
        <v>0</v>
      </c>
      <c r="E566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0</v>
      </c>
      <c r="F566" s="52">
        <f>IFERROR(Y88*1,"0")+IFERROR(Y89*1,"0")+IFERROR(Y90*1,"0")+IFERROR(Y91*1,"0")+IFERROR(Y92*1,"0")+IFERROR(Y96*1,"0")+IFERROR(Y97*1,"0")+IFERROR(Y98*1,"0")+IFERROR(Y99*1,"0")</f>
        <v>0</v>
      </c>
      <c r="G566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66" s="52">
        <f>IFERROR(Y134*1,"0")+IFERROR(Y135*1,"0")+IFERROR(Y139*1,"0")+IFERROR(Y140*1,"0")+IFERROR(Y144*1,"0")+IFERROR(Y145*1,"0")</f>
        <v>0</v>
      </c>
      <c r="I566" s="52">
        <f>IFERROR(Y150*1,"0")+IFERROR(Y151*1,"0")+IFERROR(Y152*1,"0")+IFERROR(Y153*1,"0")+IFERROR(Y154*1,"0")+IFERROR(Y155*1,"0")+IFERROR(Y159*1,"0")</f>
        <v>0</v>
      </c>
      <c r="J566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66" s="52">
        <f>IFERROR(Y206*1,"0")+IFERROR(Y207*1,"0")+IFERROR(Y208*1,"0")+IFERROR(Y209*1,"0")+IFERROR(Y210*1,"0")+IFERROR(Y211*1,"0")+IFERROR(Y212*1,"0")</f>
        <v>0</v>
      </c>
      <c r="L566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0</v>
      </c>
      <c r="M566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66" s="1"/>
      <c r="O566" s="52">
        <f>IFERROR(Y304*1,"0")+IFERROR(Y305*1,"0")+IFERROR(Y306*1,"0")+IFERROR(Y307*1,"0")+IFERROR(Y308*1,"0")+IFERROR(Y309*1,"0")+IFERROR(Y310*1,"0")+IFERROR(Y314*1,"0")+IFERROR(Y318*1,"0")+IFERROR(Y322*1,"0")</f>
        <v>0</v>
      </c>
      <c r="P566" s="52">
        <f>IFERROR(Y327*1,"0")+IFERROR(Y328*1,"0")+IFERROR(Y329*1,"0")+IFERROR(Y330*1,"0")+IFERROR(Y331*1,"0")+IFERROR(Y332*1,"0")</f>
        <v>0</v>
      </c>
      <c r="Q566" s="52">
        <f>IFERROR(Y337*1,"0")+IFERROR(Y338*1,"0")+IFERROR(Y339*1,"0")</f>
        <v>0</v>
      </c>
      <c r="R566" s="52">
        <f>IFERROR(Y344*1,"0")+IFERROR(Y345*1,"0")+IFERROR(Y346*1,"0")+IFERROR(Y347*1,"0")+IFERROR(Y348*1,"0")+IFERROR(Y352*1,"0")+IFERROR(Y353*1,"0")</f>
        <v>0</v>
      </c>
      <c r="S566" s="52">
        <f>IFERROR(Y358*1,"0")+IFERROR(Y359*1,"0")+IFERROR(Y360*1,"0")</f>
        <v>0</v>
      </c>
      <c r="T566" s="52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2503.7999999999997</v>
      </c>
      <c r="U566" s="52">
        <f>IFERROR(Y418*1,"0")+IFERROR(Y419*1,"0")</f>
        <v>0</v>
      </c>
      <c r="V566" s="52">
        <f>IFERROR(Y424*1,"0")+IFERROR(Y425*1,"0")+IFERROR(Y426*1,"0")</f>
        <v>0</v>
      </c>
      <c r="W566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0</v>
      </c>
      <c r="X566" s="52">
        <f>IFERROR(Y461*1,"0")+IFERROR(Y462*1,"0")+IFERROR(Y466*1,"0")+IFERROR(Y470*1,"0")+IFERROR(Y471*1,"0")+IFERROR(Y472*1,"0")</f>
        <v>0</v>
      </c>
      <c r="Y566" s="52">
        <f>IFERROR(Y478*1,"0")+IFERROR(Y479*1,"0")+IFERROR(Y480*1,"0")+IFERROR(Y481*1,"0")+IFERROR(Y482*1,"0")+IFERROR(Y483*1,"0")+IFERROR(Y487*1,"0")+IFERROR(Y488*1,"0")</f>
        <v>0</v>
      </c>
      <c r="Z566" s="52">
        <f>IFERROR(Y493*1,"0")+IFERROR(Y497*1,"0")+IFERROR(Y498*1,"0")+IFERROR(Y499*1,"0")</f>
        <v>0</v>
      </c>
      <c r="AA566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66" s="52">
        <f>IFERROR(Y535*1,"0")+IFERROR(Y539*1,"0")+IFERROR(Y543*1,"0")+IFERROR(Y547*1,"0")+IFERROR(Y548*1,"0")</f>
        <v>0</v>
      </c>
      <c r="AC566" s="52">
        <f>IFERROR(Y553*1,"0")</f>
        <v>0</v>
      </c>
      <c r="AF566" s="1"/>
    </row>
  </sheetData>
  <sheetProtection algorithmName="SHA-512" hashValue="NMGPS3c/nndizhVDoyup2vQRuyId9sYu9RlvfIuhMJKrDqVXjtoX4FYmuO1PELzVoydPdHO0DIaiFhUIjEFBoA==" saltValue="NzaJPduxW/nVRHCnbNTOOw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500,00"/>
        <filter val="2 656,41"/>
        <filter val="2 806,41"/>
        <filter val="320,51"/>
        <filter val="6"/>
      </filters>
    </filterColumn>
    <filterColumn colId="29" showButton="0"/>
    <filterColumn colId="30" showButton="0"/>
  </autoFilter>
  <dataConsolidate/>
  <mergeCells count="999">
    <mergeCell ref="U564:U565"/>
    <mergeCell ref="V564:V565"/>
    <mergeCell ref="W564:W565"/>
    <mergeCell ref="X564:X565"/>
    <mergeCell ref="Y564:Y565"/>
    <mergeCell ref="Z564:Z565"/>
    <mergeCell ref="AA564:AA565"/>
    <mergeCell ref="AB564:AB565"/>
    <mergeCell ref="AC564:AC565"/>
    <mergeCell ref="D563:J563"/>
    <mergeCell ref="K563:V563"/>
    <mergeCell ref="W563:X563"/>
    <mergeCell ref="Y563:Z563"/>
    <mergeCell ref="AB563:AC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L564:L565"/>
    <mergeCell ref="M564:M565"/>
    <mergeCell ref="O564:O565"/>
    <mergeCell ref="P564:P565"/>
    <mergeCell ref="Q564:Q565"/>
    <mergeCell ref="R564:R565"/>
    <mergeCell ref="S564:S565"/>
    <mergeCell ref="T564:T565"/>
    <mergeCell ref="P554:V554"/>
    <mergeCell ref="A554:O555"/>
    <mergeCell ref="P555:V555"/>
    <mergeCell ref="P556:V556"/>
    <mergeCell ref="A556:O561"/>
    <mergeCell ref="P557:V557"/>
    <mergeCell ref="P558:V558"/>
    <mergeCell ref="P559:V559"/>
    <mergeCell ref="P560:V560"/>
    <mergeCell ref="P561:V561"/>
    <mergeCell ref="D548:E548"/>
    <mergeCell ref="P548:T548"/>
    <mergeCell ref="P549:V549"/>
    <mergeCell ref="A549:O550"/>
    <mergeCell ref="P550:V550"/>
    <mergeCell ref="A551:Z551"/>
    <mergeCell ref="A552:Z552"/>
    <mergeCell ref="D553:E553"/>
    <mergeCell ref="P553:T553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P361:V361"/>
    <mergeCell ref="A361:O362"/>
    <mergeCell ref="P362:V362"/>
    <mergeCell ref="A363:Z363"/>
    <mergeCell ref="A364:Z364"/>
    <mergeCell ref="D365:E365"/>
    <mergeCell ref="P365:T365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48:E348"/>
    <mergeCell ref="P348:T348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3" t="s">
        <v>871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873</v>
      </c>
      <c r="C6" s="53" t="s">
        <v>874</v>
      </c>
      <c r="D6" s="53" t="s">
        <v>875</v>
      </c>
      <c r="E6" s="53" t="s">
        <v>46</v>
      </c>
    </row>
    <row r="7" spans="2:8" x14ac:dyDescent="0.2">
      <c r="B7" s="53" t="s">
        <v>876</v>
      </c>
      <c r="C7" s="53" t="s">
        <v>877</v>
      </c>
      <c r="D7" s="53" t="s">
        <v>878</v>
      </c>
      <c r="E7" s="53" t="s">
        <v>46</v>
      </c>
    </row>
    <row r="8" spans="2:8" x14ac:dyDescent="0.2">
      <c r="B8" s="53" t="s">
        <v>879</v>
      </c>
      <c r="C8" s="53" t="s">
        <v>880</v>
      </c>
      <c r="D8" s="53" t="s">
        <v>881</v>
      </c>
      <c r="E8" s="53" t="s">
        <v>46</v>
      </c>
    </row>
    <row r="10" spans="2:8" x14ac:dyDescent="0.2">
      <c r="B10" s="53" t="s">
        <v>882</v>
      </c>
      <c r="C10" s="53" t="s">
        <v>874</v>
      </c>
      <c r="D10" s="53" t="s">
        <v>46</v>
      </c>
      <c r="E10" s="53" t="s">
        <v>46</v>
      </c>
    </row>
    <row r="12" spans="2:8" x14ac:dyDescent="0.2">
      <c r="B12" s="53" t="s">
        <v>883</v>
      </c>
      <c r="C12" s="53" t="s">
        <v>877</v>
      </c>
      <c r="D12" s="53" t="s">
        <v>46</v>
      </c>
      <c r="E12" s="53" t="s">
        <v>46</v>
      </c>
    </row>
    <row r="14" spans="2:8" x14ac:dyDescent="0.2">
      <c r="B14" s="53" t="s">
        <v>884</v>
      </c>
      <c r="C14" s="53" t="s">
        <v>880</v>
      </c>
      <c r="D14" s="53" t="s">
        <v>46</v>
      </c>
      <c r="E14" s="53" t="s">
        <v>46</v>
      </c>
    </row>
    <row r="16" spans="2:8" x14ac:dyDescent="0.2">
      <c r="B16" s="53" t="s">
        <v>885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889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890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891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892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893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894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895</v>
      </c>
      <c r="C26" s="53" t="s">
        <v>46</v>
      </c>
      <c r="D26" s="53" t="s">
        <v>46</v>
      </c>
      <c r="E26" s="53" t="s">
        <v>46</v>
      </c>
    </row>
  </sheetData>
  <sheetProtection algorithmName="SHA-512" hashValue="3TC2fsvkcxowXtKQLUxTFoDMOy83MNaIYKDr1PISeazxeNnogs8K+Kp6nyLncYw4gSyKTcUzWJIMGQCwLOkqEQ==" saltValue="hLextTsy6OhT7g3AZ6Pl9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2026-09-23T12:03:04Z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