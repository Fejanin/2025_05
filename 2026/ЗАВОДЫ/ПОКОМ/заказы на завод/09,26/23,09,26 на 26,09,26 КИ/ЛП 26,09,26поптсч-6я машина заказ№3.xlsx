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91D650A-89C4-42ED-B824-979BC47E72E6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BP545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P472" i="2" s="1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BP412" i="2" s="1"/>
  <c r="P412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P387" i="2"/>
  <c r="BO386" i="2"/>
  <c r="BM386" i="2"/>
  <c r="Y386" i="2"/>
  <c r="BN386" i="2" s="1"/>
  <c r="P386" i="2"/>
  <c r="X384" i="2"/>
  <c r="X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P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O312" i="2"/>
  <c r="BM312" i="2"/>
  <c r="Y312" i="2"/>
  <c r="BP312" i="2" s="1"/>
  <c r="P312" i="2"/>
  <c r="X310" i="2"/>
  <c r="X309" i="2"/>
  <c r="BO308" i="2"/>
  <c r="BM308" i="2"/>
  <c r="Y308" i="2"/>
  <c r="P308" i="2"/>
  <c r="X306" i="2"/>
  <c r="X305" i="2"/>
  <c r="BO304" i="2"/>
  <c r="BM304" i="2"/>
  <c r="Y304" i="2"/>
  <c r="P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X295" i="2"/>
  <c r="X294" i="2"/>
  <c r="BO293" i="2"/>
  <c r="BM293" i="2"/>
  <c r="Y293" i="2"/>
  <c r="P293" i="2"/>
  <c r="BO292" i="2"/>
  <c r="BM292" i="2"/>
  <c r="Y292" i="2"/>
  <c r="Z292" i="2" s="1"/>
  <c r="P292" i="2"/>
  <c r="X290" i="2"/>
  <c r="X289" i="2"/>
  <c r="BO288" i="2"/>
  <c r="BM288" i="2"/>
  <c r="Y288" i="2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P282" i="2"/>
  <c r="BO281" i="2"/>
  <c r="BM281" i="2"/>
  <c r="Y281" i="2"/>
  <c r="BP281" i="2" s="1"/>
  <c r="P281" i="2"/>
  <c r="BO280" i="2"/>
  <c r="BM280" i="2"/>
  <c r="Y280" i="2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Z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O229" i="2"/>
  <c r="BM229" i="2"/>
  <c r="Y229" i="2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Y213" i="2" s="1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X196" i="2"/>
  <c r="X195" i="2"/>
  <c r="BO194" i="2"/>
  <c r="BM194" i="2"/>
  <c r="Y194" i="2"/>
  <c r="Y195" i="2" s="1"/>
  <c r="P194" i="2"/>
  <c r="X192" i="2"/>
  <c r="X191" i="2"/>
  <c r="BO190" i="2"/>
  <c r="BM190" i="2"/>
  <c r="Y190" i="2"/>
  <c r="Z190" i="2" s="1"/>
  <c r="P190" i="2"/>
  <c r="BO189" i="2"/>
  <c r="BM189" i="2"/>
  <c r="Y189" i="2"/>
  <c r="BP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O169" i="2"/>
  <c r="BM169" i="2"/>
  <c r="Y169" i="2"/>
  <c r="BP169" i="2" s="1"/>
  <c r="P169" i="2"/>
  <c r="BO168" i="2"/>
  <c r="BM168" i="2"/>
  <c r="Y168" i="2"/>
  <c r="P168" i="2"/>
  <c r="X166" i="2"/>
  <c r="X165" i="2"/>
  <c r="BO164" i="2"/>
  <c r="BM164" i="2"/>
  <c r="Y164" i="2"/>
  <c r="BP164" i="2" s="1"/>
  <c r="P164" i="2"/>
  <c r="BO163" i="2"/>
  <c r="BM163" i="2"/>
  <c r="Y163" i="2"/>
  <c r="BN163" i="2" s="1"/>
  <c r="P163" i="2"/>
  <c r="BO162" i="2"/>
  <c r="BM162" i="2"/>
  <c r="Y162" i="2"/>
  <c r="BN162" i="2" s="1"/>
  <c r="P162" i="2"/>
  <c r="X159" i="2"/>
  <c r="X158" i="2"/>
  <c r="BO157" i="2"/>
  <c r="BM157" i="2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Z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P137" i="2"/>
  <c r="X135" i="2"/>
  <c r="X134" i="2"/>
  <c r="BO133" i="2"/>
  <c r="BM133" i="2"/>
  <c r="Y133" i="2"/>
  <c r="BN133" i="2" s="1"/>
  <c r="P133" i="2"/>
  <c r="BO132" i="2"/>
  <c r="BM132" i="2"/>
  <c r="Y132" i="2"/>
  <c r="BP132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P102" i="2"/>
  <c r="BO101" i="2"/>
  <c r="BM101" i="2"/>
  <c r="Y101" i="2"/>
  <c r="Z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Z80" i="2" s="1"/>
  <c r="P80" i="2"/>
  <c r="BO79" i="2"/>
  <c r="BM79" i="2"/>
  <c r="Y79" i="2"/>
  <c r="BP79" i="2" s="1"/>
  <c r="P79" i="2"/>
  <c r="BO78" i="2"/>
  <c r="BM78" i="2"/>
  <c r="Y78" i="2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BO72" i="2"/>
  <c r="BM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Z66" i="2" s="1"/>
  <c r="P66" i="2"/>
  <c r="BO65" i="2"/>
  <c r="BM65" i="2"/>
  <c r="Y65" i="2"/>
  <c r="BP65" i="2" s="1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BP47" i="2" s="1"/>
  <c r="P47" i="2"/>
  <c r="X43" i="2"/>
  <c r="X42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Y42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Y32" i="2" s="1"/>
  <c r="P27" i="2"/>
  <c r="X25" i="2"/>
  <c r="X24" i="2"/>
  <c r="BO23" i="2"/>
  <c r="BM23" i="2"/>
  <c r="Y23" i="2"/>
  <c r="P23" i="2"/>
  <c r="BO22" i="2"/>
  <c r="BM22" i="2"/>
  <c r="Y22" i="2"/>
  <c r="P22" i="2"/>
  <c r="H10" i="2"/>
  <c r="A9" i="2"/>
  <c r="A10" i="2" s="1"/>
  <c r="D7" i="2"/>
  <c r="Q6" i="2"/>
  <c r="P2" i="2"/>
  <c r="Y81" i="2" l="1"/>
  <c r="Y139" i="2"/>
  <c r="B564" i="2"/>
  <c r="Y458" i="2"/>
  <c r="Z405" i="2"/>
  <c r="Z406" i="2"/>
  <c r="BN406" i="2"/>
  <c r="Z132" i="2"/>
  <c r="BN132" i="2"/>
  <c r="BP270" i="2"/>
  <c r="BP482" i="2"/>
  <c r="Z31" i="2"/>
  <c r="Z94" i="2"/>
  <c r="BN94" i="2"/>
  <c r="Z96" i="2"/>
  <c r="BN96" i="2"/>
  <c r="Z153" i="2"/>
  <c r="BN153" i="2"/>
  <c r="Z157" i="2"/>
  <c r="Z158" i="2" s="1"/>
  <c r="BN157" i="2"/>
  <c r="BP157" i="2"/>
  <c r="Y158" i="2"/>
  <c r="Z202" i="2"/>
  <c r="BN202" i="2"/>
  <c r="Z326" i="2"/>
  <c r="Z364" i="2"/>
  <c r="BN364" i="2"/>
  <c r="Z433" i="2"/>
  <c r="Z512" i="2"/>
  <c r="BN512" i="2"/>
  <c r="X554" i="2"/>
  <c r="Z55" i="2"/>
  <c r="BP57" i="2"/>
  <c r="Z115" i="2"/>
  <c r="Z142" i="2"/>
  <c r="Z144" i="2" s="1"/>
  <c r="BN142" i="2"/>
  <c r="Y144" i="2"/>
  <c r="Z149" i="2"/>
  <c r="Z164" i="2"/>
  <c r="BN164" i="2"/>
  <c r="Z223" i="2"/>
  <c r="BN223" i="2"/>
  <c r="Z380" i="2"/>
  <c r="BN380" i="2"/>
  <c r="Z426" i="2"/>
  <c r="BN426" i="2"/>
  <c r="BP466" i="2"/>
  <c r="Z502" i="2"/>
  <c r="BN502" i="2"/>
  <c r="X556" i="2"/>
  <c r="Z163" i="2"/>
  <c r="Z184" i="2"/>
  <c r="BN184" i="2"/>
  <c r="Z194" i="2"/>
  <c r="Z195" i="2" s="1"/>
  <c r="BN194" i="2"/>
  <c r="Z200" i="2"/>
  <c r="BN200" i="2"/>
  <c r="Z211" i="2"/>
  <c r="Z212" i="2" s="1"/>
  <c r="BN211" i="2"/>
  <c r="BP211" i="2"/>
  <c r="Y212" i="2"/>
  <c r="Z219" i="2"/>
  <c r="BN219" i="2"/>
  <c r="Z233" i="2"/>
  <c r="BN233" i="2"/>
  <c r="Y259" i="2"/>
  <c r="Y263" i="2"/>
  <c r="Z266" i="2"/>
  <c r="BN266" i="2"/>
  <c r="Z272" i="2"/>
  <c r="BN272" i="2"/>
  <c r="BP303" i="2"/>
  <c r="Z324" i="2"/>
  <c r="BN324" i="2"/>
  <c r="Z354" i="2"/>
  <c r="BN354" i="2"/>
  <c r="Z360" i="2"/>
  <c r="BN360" i="2"/>
  <c r="Z372" i="2"/>
  <c r="BN372" i="2"/>
  <c r="Z413" i="2"/>
  <c r="BN413" i="2"/>
  <c r="Z429" i="2"/>
  <c r="BN429" i="2"/>
  <c r="Z430" i="2"/>
  <c r="BN430" i="2"/>
  <c r="Z456" i="2"/>
  <c r="Y457" i="2"/>
  <c r="Z473" i="2"/>
  <c r="BN473" i="2"/>
  <c r="Z500" i="2"/>
  <c r="BN500" i="2"/>
  <c r="Z506" i="2"/>
  <c r="BN506" i="2"/>
  <c r="Z518" i="2"/>
  <c r="BN518" i="2"/>
  <c r="Z545" i="2"/>
  <c r="BN545" i="2"/>
  <c r="X555" i="2"/>
  <c r="Z29" i="2"/>
  <c r="BP40" i="2"/>
  <c r="Y52" i="2"/>
  <c r="Z49" i="2"/>
  <c r="Z60" i="2"/>
  <c r="Z67" i="2"/>
  <c r="Y76" i="2"/>
  <c r="Z127" i="2"/>
  <c r="Z128" i="2" s="1"/>
  <c r="Z137" i="2"/>
  <c r="Y344" i="2"/>
  <c r="Y547" i="2"/>
  <c r="Y548" i="2"/>
  <c r="BN72" i="2"/>
  <c r="BN74" i="2"/>
  <c r="BP85" i="2"/>
  <c r="Y91" i="2"/>
  <c r="BP101" i="2"/>
  <c r="Y110" i="2"/>
  <c r="BP106" i="2"/>
  <c r="BP112" i="2"/>
  <c r="BN113" i="2"/>
  <c r="BP113" i="2"/>
  <c r="Y118" i="2"/>
  <c r="BN152" i="2"/>
  <c r="BN174" i="2"/>
  <c r="BP174" i="2"/>
  <c r="BN175" i="2"/>
  <c r="BP178" i="2"/>
  <c r="BN178" i="2"/>
  <c r="Z178" i="2"/>
  <c r="BN180" i="2"/>
  <c r="BP180" i="2"/>
  <c r="BP182" i="2"/>
  <c r="BN182" i="2"/>
  <c r="Z182" i="2"/>
  <c r="BN183" i="2"/>
  <c r="Z183" i="2"/>
  <c r="BN190" i="2"/>
  <c r="BP190" i="2"/>
  <c r="Y191" i="2"/>
  <c r="BN203" i="2"/>
  <c r="BP203" i="2"/>
  <c r="BN204" i="2"/>
  <c r="Z204" i="2"/>
  <c r="BP217" i="2"/>
  <c r="BN217" i="2"/>
  <c r="Z217" i="2"/>
  <c r="BN218" i="2"/>
  <c r="Z218" i="2"/>
  <c r="Z224" i="2"/>
  <c r="BP224" i="2"/>
  <c r="BN227" i="2"/>
  <c r="BP227" i="2"/>
  <c r="BN229" i="2"/>
  <c r="BP229" i="2"/>
  <c r="BP237" i="2"/>
  <c r="BN237" i="2"/>
  <c r="Z237" i="2"/>
  <c r="BN238" i="2"/>
  <c r="BN267" i="2"/>
  <c r="BP267" i="2"/>
  <c r="BN268" i="2"/>
  <c r="Z268" i="2"/>
  <c r="BN285" i="2"/>
  <c r="BP285" i="2"/>
  <c r="BN287" i="2"/>
  <c r="Z287" i="2"/>
  <c r="BN300" i="2"/>
  <c r="BN302" i="2"/>
  <c r="BP304" i="2"/>
  <c r="BN304" i="2"/>
  <c r="Z304" i="2"/>
  <c r="BP322" i="2"/>
  <c r="BN322" i="2"/>
  <c r="Z322" i="2"/>
  <c r="BP323" i="2"/>
  <c r="BN323" i="2"/>
  <c r="Z323" i="2"/>
  <c r="BN342" i="2"/>
  <c r="BP346" i="2"/>
  <c r="Y349" i="2"/>
  <c r="Y348" i="2"/>
  <c r="BN346" i="2"/>
  <c r="Z346" i="2"/>
  <c r="BP347" i="2"/>
  <c r="BN347" i="2"/>
  <c r="Z347" i="2"/>
  <c r="BP370" i="2"/>
  <c r="BN370" i="2"/>
  <c r="Z370" i="2"/>
  <c r="BP382" i="2"/>
  <c r="BN382" i="2"/>
  <c r="Z382" i="2"/>
  <c r="BN387" i="2"/>
  <c r="Z387" i="2"/>
  <c r="BN431" i="2"/>
  <c r="BN438" i="2"/>
  <c r="BP439" i="2"/>
  <c r="BN439" i="2"/>
  <c r="Z439" i="2"/>
  <c r="Z443" i="2"/>
  <c r="BP443" i="2"/>
  <c r="BP449" i="2"/>
  <c r="Y452" i="2"/>
  <c r="Y451" i="2"/>
  <c r="BP450" i="2"/>
  <c r="BN450" i="2"/>
  <c r="Z450" i="2"/>
  <c r="BN487" i="2"/>
  <c r="Z487" i="2"/>
  <c r="Z488" i="2" s="1"/>
  <c r="BN491" i="2"/>
  <c r="BP491" i="2"/>
  <c r="BN493" i="2"/>
  <c r="BP501" i="2"/>
  <c r="Z501" i="2"/>
  <c r="BN520" i="2"/>
  <c r="Z520" i="2"/>
  <c r="BP520" i="2"/>
  <c r="Z22" i="2"/>
  <c r="BN22" i="2"/>
  <c r="BP22" i="2"/>
  <c r="Y25" i="2"/>
  <c r="BN23" i="2"/>
  <c r="BP23" i="2"/>
  <c r="Y24" i="2"/>
  <c r="Z27" i="2"/>
  <c r="BN28" i="2"/>
  <c r="BP28" i="2"/>
  <c r="BP29" i="2"/>
  <c r="Z38" i="2"/>
  <c r="BP41" i="2"/>
  <c r="BP48" i="2"/>
  <c r="Z58" i="2"/>
  <c r="BN59" i="2"/>
  <c r="BP59" i="2"/>
  <c r="BP60" i="2"/>
  <c r="Y69" i="2"/>
  <c r="BP67" i="2"/>
  <c r="BN68" i="2"/>
  <c r="Y75" i="2"/>
  <c r="Z78" i="2"/>
  <c r="BN78" i="2"/>
  <c r="Z79" i="2"/>
  <c r="BN79" i="2"/>
  <c r="Z86" i="2"/>
  <c r="BN86" i="2"/>
  <c r="Z88" i="2"/>
  <c r="BN88" i="2"/>
  <c r="BP102" i="2"/>
  <c r="BN103" i="2"/>
  <c r="BP103" i="2"/>
  <c r="BN105" i="2"/>
  <c r="Z106" i="2"/>
  <c r="Z107" i="2"/>
  <c r="BN107" i="2"/>
  <c r="BP114" i="2"/>
  <c r="BP116" i="2"/>
  <c r="Z121" i="2"/>
  <c r="BN121" i="2"/>
  <c r="BN123" i="2"/>
  <c r="BP123" i="2"/>
  <c r="BP127" i="2"/>
  <c r="H564" i="2"/>
  <c r="Z133" i="2"/>
  <c r="BN168" i="2"/>
  <c r="Z168" i="2"/>
  <c r="Y171" i="2"/>
  <c r="Z169" i="2"/>
  <c r="BN188" i="2"/>
  <c r="BN189" i="2"/>
  <c r="Z189" i="2"/>
  <c r="BP221" i="2"/>
  <c r="BN221" i="2"/>
  <c r="Z221" i="2"/>
  <c r="BN234" i="2"/>
  <c r="BP247" i="2"/>
  <c r="BN247" i="2"/>
  <c r="Z247" i="2"/>
  <c r="Y253" i="2"/>
  <c r="Y252" i="2"/>
  <c r="BP251" i="2"/>
  <c r="BN251" i="2"/>
  <c r="Z251" i="2"/>
  <c r="Z252" i="2" s="1"/>
  <c r="Y258" i="2"/>
  <c r="BN261" i="2"/>
  <c r="BP268" i="2"/>
  <c r="BN269" i="2"/>
  <c r="BN271" i="2"/>
  <c r="Y275" i="2"/>
  <c r="Y289" i="2"/>
  <c r="BP277" i="2"/>
  <c r="BN280" i="2"/>
  <c r="BP280" i="2"/>
  <c r="BN282" i="2"/>
  <c r="BP282" i="2"/>
  <c r="Y314" i="2"/>
  <c r="Y317" i="2"/>
  <c r="Y318" i="2"/>
  <c r="BN316" i="2"/>
  <c r="Z316" i="2"/>
  <c r="Z317" i="2" s="1"/>
  <c r="BN523" i="2"/>
  <c r="BP523" i="2"/>
  <c r="Y530" i="2"/>
  <c r="BP529" i="2"/>
  <c r="Y531" i="2"/>
  <c r="BP137" i="2"/>
  <c r="BP149" i="2"/>
  <c r="BP163" i="2"/>
  <c r="BN215" i="2"/>
  <c r="BN226" i="2"/>
  <c r="BN228" i="2"/>
  <c r="BN236" i="2"/>
  <c r="BN241" i="2"/>
  <c r="BN246" i="2"/>
  <c r="BN256" i="2"/>
  <c r="Y264" i="2"/>
  <c r="BN262" i="2"/>
  <c r="BN279" i="2"/>
  <c r="BN281" i="2"/>
  <c r="BN286" i="2"/>
  <c r="Y294" i="2"/>
  <c r="Y295" i="2"/>
  <c r="BN325" i="2"/>
  <c r="BP333" i="2"/>
  <c r="BN333" i="2"/>
  <c r="Z333" i="2"/>
  <c r="BP362" i="2"/>
  <c r="BN362" i="2"/>
  <c r="Z362" i="2"/>
  <c r="BP374" i="2"/>
  <c r="BN374" i="2"/>
  <c r="Z374" i="2"/>
  <c r="Y384" i="2"/>
  <c r="BP393" i="2"/>
  <c r="BN393" i="2"/>
  <c r="Z393" i="2"/>
  <c r="BP394" i="2"/>
  <c r="BN394" i="2"/>
  <c r="Z394" i="2"/>
  <c r="BP400" i="2"/>
  <c r="BN400" i="2"/>
  <c r="Z400" i="2"/>
  <c r="BP418" i="2"/>
  <c r="BN418" i="2"/>
  <c r="Z418" i="2"/>
  <c r="Y461" i="2"/>
  <c r="Y462" i="2"/>
  <c r="BP465" i="2"/>
  <c r="BN465" i="2"/>
  <c r="Z465" i="2"/>
  <c r="BP475" i="2"/>
  <c r="BN475" i="2"/>
  <c r="Z475" i="2"/>
  <c r="BP477" i="2"/>
  <c r="BN477" i="2"/>
  <c r="Z477" i="2"/>
  <c r="BN503" i="2"/>
  <c r="BP503" i="2"/>
  <c r="Y509" i="2"/>
  <c r="BN505" i="2"/>
  <c r="BN513" i="2"/>
  <c r="BP513" i="2"/>
  <c r="BN517" i="2"/>
  <c r="BP517" i="2"/>
  <c r="BN522" i="2"/>
  <c r="Z522" i="2"/>
  <c r="Y535" i="2"/>
  <c r="BN533" i="2"/>
  <c r="Z533" i="2"/>
  <c r="Z534" i="2" s="1"/>
  <c r="BN537" i="2"/>
  <c r="BP537" i="2"/>
  <c r="Y538" i="2"/>
  <c r="Y539" i="2"/>
  <c r="Y542" i="2"/>
  <c r="Y543" i="2"/>
  <c r="BP326" i="2"/>
  <c r="BN331" i="2"/>
  <c r="BN340" i="2"/>
  <c r="Y366" i="2"/>
  <c r="Y383" i="2"/>
  <c r="Y389" i="2"/>
  <c r="BN399" i="2"/>
  <c r="Y402" i="2"/>
  <c r="Y403" i="2"/>
  <c r="W564" i="2"/>
  <c r="BN445" i="2"/>
  <c r="X564" i="2"/>
  <c r="BN476" i="2"/>
  <c r="BN546" i="2"/>
  <c r="F10" i="2"/>
  <c r="BP56" i="2"/>
  <c r="BN56" i="2"/>
  <c r="BN50" i="2"/>
  <c r="BN206" i="2"/>
  <c r="BP301" i="2"/>
  <c r="BN301" i="2"/>
  <c r="BN321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Y207" i="2"/>
  <c r="BP201" i="2"/>
  <c r="K564" i="2"/>
  <c r="Z341" i="2"/>
  <c r="Z363" i="2"/>
  <c r="BN412" i="2"/>
  <c r="Z412" i="2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Z514" i="2" s="1"/>
  <c r="Y514" i="2"/>
  <c r="F9" i="2"/>
  <c r="H9" i="2"/>
  <c r="BN31" i="2"/>
  <c r="Z41" i="2"/>
  <c r="Y51" i="2"/>
  <c r="Z57" i="2"/>
  <c r="Z65" i="2"/>
  <c r="Z69" i="2" s="1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BN122" i="2"/>
  <c r="Y145" i="2"/>
  <c r="Z162" i="2"/>
  <c r="Z165" i="2" s="1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Z294" i="2" s="1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Y129" i="2"/>
  <c r="BN148" i="2"/>
  <c r="BN151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BN407" i="2"/>
  <c r="Y468" i="2"/>
  <c r="BP464" i="2"/>
  <c r="Y467" i="2"/>
  <c r="Z564" i="2"/>
  <c r="Y43" i="2"/>
  <c r="Z61" i="2"/>
  <c r="BN27" i="2"/>
  <c r="Z30" i="2"/>
  <c r="Z37" i="2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Y82" i="2"/>
  <c r="BP78" i="2"/>
  <c r="BN87" i="2"/>
  <c r="Z87" i="2"/>
  <c r="BN115" i="2"/>
  <c r="BP168" i="2"/>
  <c r="BP177" i="2"/>
  <c r="BN177" i="2"/>
  <c r="Z188" i="2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74" i="2"/>
  <c r="Z499" i="2"/>
  <c r="Z519" i="2"/>
  <c r="Z371" i="2"/>
  <c r="Z381" i="2"/>
  <c r="Z286" i="2"/>
  <c r="Z325" i="2"/>
  <c r="Z386" i="2"/>
  <c r="Z420" i="2"/>
  <c r="Z432" i="2"/>
  <c r="Z455" i="2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42" i="2"/>
  <c r="BN361" i="2"/>
  <c r="BN371" i="2"/>
  <c r="BN381" i="2"/>
  <c r="Z401" i="2"/>
  <c r="Z427" i="2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Z81" i="2" l="1"/>
  <c r="Z408" i="2"/>
  <c r="Z134" i="2"/>
  <c r="Z170" i="2"/>
  <c r="Z451" i="2"/>
  <c r="Z547" i="2"/>
  <c r="Z457" i="2"/>
  <c r="Z467" i="2"/>
  <c r="Z124" i="2"/>
  <c r="Z414" i="2"/>
  <c r="Z396" i="2"/>
  <c r="Z348" i="2"/>
  <c r="Z207" i="2"/>
  <c r="X557" i="2"/>
  <c r="Z42" i="2"/>
  <c r="Z117" i="2"/>
  <c r="Z139" i="2"/>
  <c r="Z154" i="2"/>
  <c r="Y554" i="2"/>
  <c r="Z434" i="2"/>
  <c r="Z334" i="2"/>
  <c r="Z191" i="2"/>
  <c r="Z32" i="2"/>
  <c r="Z230" i="2"/>
  <c r="Y556" i="2"/>
  <c r="Z51" i="2"/>
  <c r="Y555" i="2"/>
  <c r="Z75" i="2"/>
  <c r="Z494" i="2"/>
  <c r="Z109" i="2"/>
  <c r="Z274" i="2"/>
  <c r="Z242" i="2"/>
  <c r="Z90" i="2"/>
  <c r="Z24" i="2"/>
  <c r="Z327" i="2"/>
  <c r="Z62" i="2"/>
  <c r="Y558" i="2"/>
  <c r="Z483" i="2"/>
  <c r="Y557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Z559" i="2" l="1"/>
</calcChain>
</file>

<file path=xl/sharedStrings.xml><?xml version="1.0" encoding="utf-8"?>
<sst xmlns="http://schemas.openxmlformats.org/spreadsheetml/2006/main" count="4266" uniqueCount="900">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</sst>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00" t="s">
        <v>26</v>
      </c>
      <c r="E1" s="1000"/>
      <c r="F1" s="1000"/>
      <c r="G1" s="14" t="s">
        <v>67</v>
      </c>
      <c r="H1" s="1000" t="s">
        <v>47</v>
      </c>
      <c r="I1" s="1000"/>
      <c r="J1" s="1000"/>
      <c r="K1" s="1000"/>
      <c r="L1" s="1000"/>
      <c r="M1" s="1000"/>
      <c r="N1" s="1000"/>
      <c r="O1" s="1000"/>
      <c r="P1" s="1000"/>
      <c r="Q1" s="1000"/>
      <c r="R1" s="1001" t="s">
        <v>68</v>
      </c>
      <c r="S1" s="1002"/>
      <c r="T1" s="100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3"/>
      <c r="R2" s="1003"/>
      <c r="S2" s="1003"/>
      <c r="T2" s="1003"/>
      <c r="U2" s="1003"/>
      <c r="V2" s="1003"/>
      <c r="W2" s="100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3"/>
      <c r="Q3" s="1003"/>
      <c r="R3" s="1003"/>
      <c r="S3" s="1003"/>
      <c r="T3" s="1003"/>
      <c r="U3" s="1003"/>
      <c r="V3" s="1003"/>
      <c r="W3" s="100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2" t="s">
        <v>8</v>
      </c>
      <c r="B5" s="982"/>
      <c r="C5" s="982"/>
      <c r="D5" s="1004"/>
      <c r="E5" s="1004"/>
      <c r="F5" s="1005" t="s">
        <v>14</v>
      </c>
      <c r="G5" s="1005"/>
      <c r="H5" s="1004" t="s">
        <v>899</v>
      </c>
      <c r="I5" s="1004"/>
      <c r="J5" s="1004"/>
      <c r="K5" s="1004"/>
      <c r="L5" s="1004"/>
      <c r="M5" s="1004"/>
      <c r="N5" s="69"/>
      <c r="P5" s="26" t="s">
        <v>4</v>
      </c>
      <c r="Q5" s="1006">
        <v>46291</v>
      </c>
      <c r="R5" s="1006"/>
      <c r="T5" s="1007" t="s">
        <v>3</v>
      </c>
      <c r="U5" s="1008"/>
      <c r="V5" s="1009" t="s">
        <v>875</v>
      </c>
      <c r="W5" s="1010"/>
      <c r="AB5" s="57"/>
      <c r="AC5" s="57"/>
      <c r="AD5" s="57"/>
      <c r="AE5" s="57"/>
    </row>
    <row r="6" spans="1:32" s="17" customFormat="1" ht="24" customHeight="1" x14ac:dyDescent="0.2">
      <c r="A6" s="982" t="s">
        <v>1</v>
      </c>
      <c r="B6" s="982"/>
      <c r="C6" s="982"/>
      <c r="D6" s="983" t="s">
        <v>882</v>
      </c>
      <c r="E6" s="983"/>
      <c r="F6" s="983"/>
      <c r="G6" s="983"/>
      <c r="H6" s="983"/>
      <c r="I6" s="983"/>
      <c r="J6" s="983"/>
      <c r="K6" s="983"/>
      <c r="L6" s="983"/>
      <c r="M6" s="983"/>
      <c r="N6" s="70"/>
      <c r="P6" s="26" t="s">
        <v>27</v>
      </c>
      <c r="Q6" s="984" t="str">
        <f>IF(Q5=0," ",CHOOSE(WEEKDAY(Q5,2),"Понедельник","Вторник","Среда","Четверг","Пятница","Суббота","Воскресенье"))</f>
        <v>Суббота</v>
      </c>
      <c r="R6" s="984"/>
      <c r="T6" s="985" t="s">
        <v>5</v>
      </c>
      <c r="U6" s="986"/>
      <c r="V6" s="987" t="s">
        <v>70</v>
      </c>
      <c r="W6" s="98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93" t="str">
        <f>IFERROR(VLOOKUP(DeliveryAddress,Table,3,0),1)</f>
        <v>3</v>
      </c>
      <c r="E7" s="994"/>
      <c r="F7" s="994"/>
      <c r="G7" s="994"/>
      <c r="H7" s="994"/>
      <c r="I7" s="994"/>
      <c r="J7" s="994"/>
      <c r="K7" s="994"/>
      <c r="L7" s="994"/>
      <c r="M7" s="995"/>
      <c r="N7" s="71"/>
      <c r="P7" s="26"/>
      <c r="Q7" s="46"/>
      <c r="R7" s="46"/>
      <c r="T7" s="985"/>
      <c r="U7" s="986"/>
      <c r="V7" s="989"/>
      <c r="W7" s="990"/>
      <c r="AB7" s="57"/>
      <c r="AC7" s="57"/>
      <c r="AD7" s="57"/>
      <c r="AE7" s="57"/>
    </row>
    <row r="8" spans="1:32" s="17" customFormat="1" ht="25.5" customHeight="1" x14ac:dyDescent="0.2">
      <c r="A8" s="996" t="s">
        <v>58</v>
      </c>
      <c r="B8" s="996"/>
      <c r="C8" s="996"/>
      <c r="D8" s="997"/>
      <c r="E8" s="997"/>
      <c r="F8" s="997"/>
      <c r="G8" s="997"/>
      <c r="H8" s="997"/>
      <c r="I8" s="997"/>
      <c r="J8" s="997"/>
      <c r="K8" s="997"/>
      <c r="L8" s="997"/>
      <c r="M8" s="997"/>
      <c r="N8" s="72"/>
      <c r="P8" s="26" t="s">
        <v>11</v>
      </c>
      <c r="Q8" s="980">
        <v>0.54166666666666663</v>
      </c>
      <c r="R8" s="980"/>
      <c r="T8" s="985"/>
      <c r="U8" s="986"/>
      <c r="V8" s="989"/>
      <c r="W8" s="990"/>
      <c r="AB8" s="57"/>
      <c r="AC8" s="57"/>
      <c r="AD8" s="57"/>
      <c r="AE8" s="57"/>
    </row>
    <row r="9" spans="1:32" s="17" customFormat="1" ht="39.950000000000003" customHeight="1" x14ac:dyDescent="0.2">
      <c r="A9" s="9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2"/>
      <c r="C9" s="972"/>
      <c r="D9" s="973" t="s">
        <v>46</v>
      </c>
      <c r="E9" s="974"/>
      <c r="F9" s="9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2"/>
      <c r="H9" s="998" t="str">
        <f>IF(AND($A$9="Тип доверенности/получателя при получении в адресе перегруза:",$D$9="Разовая доверенность"),"Введите ФИО","")</f>
        <v/>
      </c>
      <c r="I9" s="998"/>
      <c r="J9" s="99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8"/>
      <c r="L9" s="998"/>
      <c r="M9" s="998"/>
      <c r="N9" s="67"/>
      <c r="P9" s="29" t="s">
        <v>15</v>
      </c>
      <c r="Q9" s="999"/>
      <c r="R9" s="999"/>
      <c r="T9" s="985"/>
      <c r="U9" s="986"/>
      <c r="V9" s="991"/>
      <c r="W9" s="99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2"/>
      <c r="C10" s="972"/>
      <c r="D10" s="973"/>
      <c r="E10" s="974"/>
      <c r="F10" s="9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2"/>
      <c r="H10" s="975" t="str">
        <f>IFERROR(VLOOKUP($D$10,Proxy,2,FALSE),"")</f>
        <v/>
      </c>
      <c r="I10" s="975"/>
      <c r="J10" s="975"/>
      <c r="K10" s="975"/>
      <c r="L10" s="975"/>
      <c r="M10" s="975"/>
      <c r="N10" s="68"/>
      <c r="P10" s="29" t="s">
        <v>32</v>
      </c>
      <c r="Q10" s="976"/>
      <c r="R10" s="976"/>
      <c r="U10" s="26" t="s">
        <v>12</v>
      </c>
      <c r="V10" s="977" t="s">
        <v>71</v>
      </c>
      <c r="W10" s="97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9"/>
      <c r="R11" s="979"/>
      <c r="U11" s="26" t="s">
        <v>28</v>
      </c>
      <c r="V11" s="958" t="s">
        <v>55</v>
      </c>
      <c r="W11" s="95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57" t="s">
        <v>72</v>
      </c>
      <c r="B12" s="957"/>
      <c r="C12" s="957"/>
      <c r="D12" s="957"/>
      <c r="E12" s="957"/>
      <c r="F12" s="957"/>
      <c r="G12" s="957"/>
      <c r="H12" s="957"/>
      <c r="I12" s="957"/>
      <c r="J12" s="957"/>
      <c r="K12" s="957"/>
      <c r="L12" s="957"/>
      <c r="M12" s="957"/>
      <c r="N12" s="73"/>
      <c r="P12" s="26" t="s">
        <v>30</v>
      </c>
      <c r="Q12" s="980"/>
      <c r="R12" s="980"/>
      <c r="S12" s="27"/>
      <c r="T12"/>
      <c r="U12" s="26" t="s">
        <v>46</v>
      </c>
      <c r="V12" s="981"/>
      <c r="W12" s="981"/>
      <c r="X12"/>
      <c r="AB12" s="57"/>
      <c r="AC12" s="57"/>
      <c r="AD12" s="57"/>
      <c r="AE12" s="57"/>
    </row>
    <row r="13" spans="1:32" s="17" customFormat="1" ht="23.25" customHeight="1" x14ac:dyDescent="0.2">
      <c r="A13" s="957" t="s">
        <v>73</v>
      </c>
      <c r="B13" s="957"/>
      <c r="C13" s="957"/>
      <c r="D13" s="957"/>
      <c r="E13" s="957"/>
      <c r="F13" s="957"/>
      <c r="G13" s="957"/>
      <c r="H13" s="957"/>
      <c r="I13" s="957"/>
      <c r="J13" s="957"/>
      <c r="K13" s="957"/>
      <c r="L13" s="957"/>
      <c r="M13" s="957"/>
      <c r="N13" s="73"/>
      <c r="O13" s="29"/>
      <c r="P13" s="29" t="s">
        <v>31</v>
      </c>
      <c r="Q13" s="958"/>
      <c r="R13" s="95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57" t="s">
        <v>74</v>
      </c>
      <c r="B14" s="957"/>
      <c r="C14" s="957"/>
      <c r="D14" s="957"/>
      <c r="E14" s="957"/>
      <c r="F14" s="957"/>
      <c r="G14" s="957"/>
      <c r="H14" s="957"/>
      <c r="I14" s="957"/>
      <c r="J14" s="957"/>
      <c r="K14" s="957"/>
      <c r="L14" s="957"/>
      <c r="M14" s="957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59" t="s">
        <v>75</v>
      </c>
      <c r="B15" s="959"/>
      <c r="C15" s="959"/>
      <c r="D15" s="959"/>
      <c r="E15" s="959"/>
      <c r="F15" s="959"/>
      <c r="G15" s="959"/>
      <c r="H15" s="959"/>
      <c r="I15" s="959"/>
      <c r="J15" s="959"/>
      <c r="K15" s="959"/>
      <c r="L15" s="959"/>
      <c r="M15" s="959"/>
      <c r="N15" s="74"/>
      <c r="O15"/>
      <c r="P15" s="960" t="s">
        <v>61</v>
      </c>
      <c r="Q15" s="960"/>
      <c r="R15" s="960"/>
      <c r="S15" s="960"/>
      <c r="T15" s="960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1"/>
      <c r="Q16" s="961"/>
      <c r="R16" s="961"/>
      <c r="S16" s="961"/>
      <c r="T16" s="96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3" t="s">
        <v>59</v>
      </c>
      <c r="B17" s="943" t="s">
        <v>49</v>
      </c>
      <c r="C17" s="964" t="s">
        <v>48</v>
      </c>
      <c r="D17" s="966" t="s">
        <v>50</v>
      </c>
      <c r="E17" s="967"/>
      <c r="F17" s="943" t="s">
        <v>21</v>
      </c>
      <c r="G17" s="943" t="s">
        <v>24</v>
      </c>
      <c r="H17" s="943" t="s">
        <v>22</v>
      </c>
      <c r="I17" s="943" t="s">
        <v>23</v>
      </c>
      <c r="J17" s="943" t="s">
        <v>16</v>
      </c>
      <c r="K17" s="943" t="s">
        <v>66</v>
      </c>
      <c r="L17" s="943" t="s">
        <v>64</v>
      </c>
      <c r="M17" s="943" t="s">
        <v>2</v>
      </c>
      <c r="N17" s="943" t="s">
        <v>63</v>
      </c>
      <c r="O17" s="943" t="s">
        <v>25</v>
      </c>
      <c r="P17" s="966" t="s">
        <v>17</v>
      </c>
      <c r="Q17" s="970"/>
      <c r="R17" s="970"/>
      <c r="S17" s="970"/>
      <c r="T17" s="967"/>
      <c r="U17" s="962" t="s">
        <v>56</v>
      </c>
      <c r="V17" s="963"/>
      <c r="W17" s="943" t="s">
        <v>6</v>
      </c>
      <c r="X17" s="943" t="s">
        <v>41</v>
      </c>
      <c r="Y17" s="945" t="s">
        <v>54</v>
      </c>
      <c r="Z17" s="947" t="s">
        <v>18</v>
      </c>
      <c r="AA17" s="949" t="s">
        <v>60</v>
      </c>
      <c r="AB17" s="949" t="s">
        <v>19</v>
      </c>
      <c r="AC17" s="949" t="s">
        <v>65</v>
      </c>
      <c r="AD17" s="951" t="s">
        <v>57</v>
      </c>
      <c r="AE17" s="952"/>
      <c r="AF17" s="953"/>
      <c r="AG17" s="77"/>
      <c r="BD17" s="76" t="s">
        <v>62</v>
      </c>
    </row>
    <row r="18" spans="1:68" ht="14.25" customHeight="1" x14ac:dyDescent="0.2">
      <c r="A18" s="944"/>
      <c r="B18" s="944"/>
      <c r="C18" s="965"/>
      <c r="D18" s="968"/>
      <c r="E18" s="969"/>
      <c r="F18" s="944"/>
      <c r="G18" s="944"/>
      <c r="H18" s="944"/>
      <c r="I18" s="944"/>
      <c r="J18" s="944"/>
      <c r="K18" s="944"/>
      <c r="L18" s="944"/>
      <c r="M18" s="944"/>
      <c r="N18" s="944"/>
      <c r="O18" s="944"/>
      <c r="P18" s="968"/>
      <c r="Q18" s="971"/>
      <c r="R18" s="971"/>
      <c r="S18" s="971"/>
      <c r="T18" s="969"/>
      <c r="U18" s="78" t="s">
        <v>44</v>
      </c>
      <c r="V18" s="78" t="s">
        <v>43</v>
      </c>
      <c r="W18" s="944"/>
      <c r="X18" s="944"/>
      <c r="Y18" s="946"/>
      <c r="Z18" s="948"/>
      <c r="AA18" s="950"/>
      <c r="AB18" s="950"/>
      <c r="AC18" s="950"/>
      <c r="AD18" s="954"/>
      <c r="AE18" s="955"/>
      <c r="AF18" s="956"/>
      <c r="AG18" s="77"/>
      <c r="BD18" s="76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2"/>
      <c r="AB19" s="52"/>
      <c r="AC19" s="52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2"/>
      <c r="AB20" s="62"/>
      <c r="AC20" s="62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49">
        <v>4680115886643</v>
      </c>
      <c r="E22" s="649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4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1"/>
      <c r="R22" s="651"/>
      <c r="S22" s="651"/>
      <c r="T22" s="652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49">
        <v>4680115889071</v>
      </c>
      <c r="E23" s="649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4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1"/>
      <c r="R23" s="651"/>
      <c r="S23" s="651"/>
      <c r="T23" s="652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48" t="s">
        <v>86</v>
      </c>
      <c r="B26" s="648"/>
      <c r="C26" s="648"/>
      <c r="D26" s="648"/>
      <c r="E26" s="648"/>
      <c r="F26" s="648"/>
      <c r="G26" s="648"/>
      <c r="H26" s="648"/>
      <c r="I26" s="648"/>
      <c r="J26" s="648"/>
      <c r="K26" s="648"/>
      <c r="L26" s="648"/>
      <c r="M26" s="648"/>
      <c r="N26" s="648"/>
      <c r="O26" s="648"/>
      <c r="P26" s="648"/>
      <c r="Q26" s="648"/>
      <c r="R26" s="648"/>
      <c r="S26" s="648"/>
      <c r="T26" s="648"/>
      <c r="U26" s="648"/>
      <c r="V26" s="648"/>
      <c r="W26" s="648"/>
      <c r="X26" s="648"/>
      <c r="Y26" s="648"/>
      <c r="Z26" s="648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49">
        <v>4680115885912</v>
      </c>
      <c r="E27" s="649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1"/>
      <c r="R27" s="651"/>
      <c r="S27" s="651"/>
      <c r="T27" s="652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49">
        <v>4607091388237</v>
      </c>
      <c r="E28" s="649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1"/>
      <c r="R28" s="651"/>
      <c r="S28" s="651"/>
      <c r="T28" s="652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49">
        <v>4680115887350</v>
      </c>
      <c r="E29" s="649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1"/>
      <c r="R29" s="651"/>
      <c r="S29" s="651"/>
      <c r="T29" s="652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49">
        <v>4680115885905</v>
      </c>
      <c r="E30" s="649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1"/>
      <c r="R30" s="651"/>
      <c r="S30" s="651"/>
      <c r="T30" s="652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49">
        <v>4680115887619</v>
      </c>
      <c r="E31" s="649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1"/>
      <c r="R31" s="651"/>
      <c r="S31" s="651"/>
      <c r="T31" s="652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2"/>
      <c r="AB34" s="52"/>
      <c r="AC34" s="52"/>
    </row>
    <row r="35" spans="1:68" ht="16.5" hidden="1" customHeight="1" x14ac:dyDescent="0.25">
      <c r="A35" s="647" t="s">
        <v>104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2"/>
      <c r="AB35" s="62"/>
      <c r="AC35" s="62"/>
    </row>
    <row r="36" spans="1:68" ht="14.25" hidden="1" customHeight="1" x14ac:dyDescent="0.25">
      <c r="A36" s="648" t="s">
        <v>86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49">
        <v>4680115889354</v>
      </c>
      <c r="E37" s="649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49">
        <v>4680115888463</v>
      </c>
      <c r="E38" s="649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49">
        <v>4680115889590</v>
      </c>
      <c r="E39" s="649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49">
        <v>4680115888272</v>
      </c>
      <c r="E40" s="649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49">
        <v>4680115888364</v>
      </c>
      <c r="E41" s="649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2"/>
      <c r="AB44" s="52"/>
      <c r="AC44" s="52"/>
    </row>
    <row r="45" spans="1:68" ht="16.5" hidden="1" customHeight="1" x14ac:dyDescent="0.25">
      <c r="A45" s="647" t="s">
        <v>121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2"/>
      <c r="AB45" s="62"/>
      <c r="AC45" s="62"/>
    </row>
    <row r="46" spans="1:68" ht="14.25" hidden="1" customHeight="1" x14ac:dyDescent="0.25">
      <c r="A46" s="648" t="s">
        <v>122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649">
        <v>4607091385670</v>
      </c>
      <c r="E47" s="649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2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7" t="s">
        <v>46</v>
      </c>
      <c r="V47" s="37" t="s">
        <v>46</v>
      </c>
      <c r="W47" s="38" t="s">
        <v>0</v>
      </c>
      <c r="X47" s="56">
        <v>108</v>
      </c>
      <c r="Y47" s="53">
        <f>IFERROR(IF(X47="",0,CEILING((X47/$H47),1)*$H47),"")</f>
        <v>108</v>
      </c>
      <c r="Z47" s="39">
        <f>IFERROR(IF(Y47=0,"",ROUNDUP(Y47/H47,0)*0.01898),"")</f>
        <v>0.1898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112.1</v>
      </c>
      <c r="BN47" s="75">
        <f>IFERROR(Y47*I47/H47,"0")</f>
        <v>112.1</v>
      </c>
      <c r="BO47" s="75">
        <f>IFERROR(1/J47*(X47/H47),"0")</f>
        <v>0.15625</v>
      </c>
      <c r="BP47" s="75">
        <f>IFERROR(1/J47*(Y47/H47),"0")</f>
        <v>0.15625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49">
        <v>4680115887725</v>
      </c>
      <c r="E48" s="649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132</v>
      </c>
      <c r="B49" s="60" t="s">
        <v>133</v>
      </c>
      <c r="C49" s="34">
        <v>4301011382</v>
      </c>
      <c r="D49" s="649">
        <v>4607091385687</v>
      </c>
      <c r="E49" s="649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7" t="s">
        <v>46</v>
      </c>
      <c r="V49" s="37" t="s">
        <v>46</v>
      </c>
      <c r="W49" s="38" t="s">
        <v>0</v>
      </c>
      <c r="X49" s="56">
        <v>40</v>
      </c>
      <c r="Y49" s="53">
        <f>IFERROR(IF(X49="",0,CEILING((X49/$H49),1)*$H49),"")</f>
        <v>40</v>
      </c>
      <c r="Z49" s="39">
        <f>IFERROR(IF(Y49=0,"",ROUNDUP(Y49/H49,0)*0.00902),"")</f>
        <v>9.0200000000000002E-2</v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41.900000000000006</v>
      </c>
      <c r="BN49" s="75">
        <f>IFERROR(Y49*I49/H49,"0")</f>
        <v>41.900000000000006</v>
      </c>
      <c r="BO49" s="75">
        <f>IFERROR(1/J49*(X49/H49),"0")</f>
        <v>7.575757575757576E-2</v>
      </c>
      <c r="BP49" s="75">
        <f>IFERROR(1/J49*(Y49/H49),"0")</f>
        <v>7.575757575757576E-2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49">
        <v>4680115882539</v>
      </c>
      <c r="E50" s="649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2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0" t="s">
        <v>39</v>
      </c>
      <c r="X51" s="41">
        <f>IFERROR(X47/H47,"0")+IFERROR(X48/H48,"0")+IFERROR(X49/H49,"0")+IFERROR(X50/H50,"0")</f>
        <v>20</v>
      </c>
      <c r="Y51" s="41">
        <f>IFERROR(Y47/H47,"0")+IFERROR(Y48/H48,"0")+IFERROR(Y49/H49,"0")+IFERROR(Y50/H50,"0")</f>
        <v>20</v>
      </c>
      <c r="Z51" s="41">
        <f>IFERROR(IF(Z47="",0,Z47),"0")+IFERROR(IF(Z48="",0,Z48),"0")+IFERROR(IF(Z49="",0,Z49),"0")+IFERROR(IF(Z50="",0,Z50),"0")</f>
        <v>0.28000000000000003</v>
      </c>
      <c r="AA51" s="64"/>
      <c r="AB51" s="64"/>
      <c r="AC51" s="64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0" t="s">
        <v>0</v>
      </c>
      <c r="X52" s="41">
        <f>IFERROR(SUM(X47:X50),"0")</f>
        <v>148</v>
      </c>
      <c r="Y52" s="41">
        <f>IFERROR(SUM(Y47:Y50),"0")</f>
        <v>148</v>
      </c>
      <c r="Z52" s="40"/>
      <c r="AA52" s="64"/>
      <c r="AB52" s="64"/>
      <c r="AC52" s="64"/>
    </row>
    <row r="53" spans="1:68" ht="16.5" hidden="1" customHeight="1" x14ac:dyDescent="0.25">
      <c r="A53" s="647" t="s">
        <v>137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2"/>
      <c r="AB53" s="62"/>
      <c r="AC53" s="62"/>
    </row>
    <row r="54" spans="1:68" ht="14.25" hidden="1" customHeight="1" x14ac:dyDescent="0.25">
      <c r="A54" s="648" t="s">
        <v>122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3"/>
      <c r="AB54" s="63"/>
      <c r="AC54" s="63"/>
    </row>
    <row r="55" spans="1:68" ht="27" customHeight="1" x14ac:dyDescent="0.25">
      <c r="A55" s="60" t="s">
        <v>138</v>
      </c>
      <c r="B55" s="60" t="s">
        <v>139</v>
      </c>
      <c r="C55" s="34">
        <v>4301012161</v>
      </c>
      <c r="D55" s="649">
        <v>4680115885882</v>
      </c>
      <c r="E55" s="649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2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7" t="s">
        <v>46</v>
      </c>
      <c r="V55" s="37" t="s">
        <v>46</v>
      </c>
      <c r="W55" s="38" t="s">
        <v>0</v>
      </c>
      <c r="X55" s="56">
        <v>56</v>
      </c>
      <c r="Y55" s="53">
        <f t="shared" ref="Y55:Y61" si="0">IFERROR(IF(X55="",0,CEILING((X55/$H55),1)*$H55),"")</f>
        <v>56</v>
      </c>
      <c r="Z55" s="39">
        <f>IFERROR(IF(Y55=0,"",ROUNDUP(Y55/H55,0)*0.01898),"")</f>
        <v>9.4899999999999998E-2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58.050000000000004</v>
      </c>
      <c r="BN55" s="75">
        <f t="shared" ref="BN55:BN61" si="2">IFERROR(Y55*I55/H55,"0")</f>
        <v>58.050000000000004</v>
      </c>
      <c r="BO55" s="75">
        <f t="shared" ref="BO55:BO61" si="3">IFERROR(1/J55*(X55/H55),"0")</f>
        <v>7.8125E-2</v>
      </c>
      <c r="BP55" s="75">
        <f t="shared" ref="BP55:BP61" si="4">IFERROR(1/J55*(Y55/H55),"0")</f>
        <v>7.8125E-2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649">
        <v>4680115881426</v>
      </c>
      <c r="E56" s="649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7" t="s">
        <v>46</v>
      </c>
      <c r="V56" s="37" t="s">
        <v>46</v>
      </c>
      <c r="W56" s="38" t="s">
        <v>0</v>
      </c>
      <c r="X56" s="56">
        <v>691.2</v>
      </c>
      <c r="Y56" s="53">
        <f t="shared" si="0"/>
        <v>691.2</v>
      </c>
      <c r="Z56" s="39">
        <f>IFERROR(IF(Y56=0,"",ROUNDUP(Y56/H56,0)*0.01898),"")</f>
        <v>1.21472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717.44</v>
      </c>
      <c r="BN56" s="75">
        <f t="shared" si="2"/>
        <v>717.44</v>
      </c>
      <c r="BO56" s="75">
        <f t="shared" si="3"/>
        <v>1</v>
      </c>
      <c r="BP56" s="75">
        <f t="shared" si="4"/>
        <v>1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649">
        <v>4680115880283</v>
      </c>
      <c r="E57" s="649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92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1"/>
      <c r="R57" s="651"/>
      <c r="S57" s="651"/>
      <c r="T57" s="652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customHeight="1" x14ac:dyDescent="0.25">
      <c r="A58" s="60" t="s">
        <v>147</v>
      </c>
      <c r="B58" s="60" t="s">
        <v>148</v>
      </c>
      <c r="C58" s="34">
        <v>4301011806</v>
      </c>
      <c r="D58" s="649">
        <v>4680115881525</v>
      </c>
      <c r="E58" s="649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1"/>
      <c r="R58" s="651"/>
      <c r="S58" s="651"/>
      <c r="T58" s="652"/>
      <c r="U58" s="37" t="s">
        <v>46</v>
      </c>
      <c r="V58" s="37" t="s">
        <v>46</v>
      </c>
      <c r="W58" s="38" t="s">
        <v>0</v>
      </c>
      <c r="X58" s="56">
        <v>40</v>
      </c>
      <c r="Y58" s="53">
        <f t="shared" si="0"/>
        <v>40</v>
      </c>
      <c r="Z58" s="39">
        <f>IFERROR(IF(Y58=0,"",ROUNDUP(Y58/H58,0)*0.00902),"")</f>
        <v>9.0200000000000002E-2</v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41.900000000000006</v>
      </c>
      <c r="BN58" s="75">
        <f t="shared" si="2"/>
        <v>41.900000000000006</v>
      </c>
      <c r="BO58" s="75">
        <f t="shared" si="3"/>
        <v>7.575757575757576E-2</v>
      </c>
      <c r="BP58" s="75">
        <f t="shared" si="4"/>
        <v>7.575757575757576E-2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649">
        <v>4680115881525</v>
      </c>
      <c r="E59" s="649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1"/>
      <c r="R59" s="651"/>
      <c r="S59" s="651"/>
      <c r="T59" s="652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649">
        <v>4680115885899</v>
      </c>
      <c r="E60" s="649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1"/>
      <c r="R60" s="651"/>
      <c r="S60" s="651"/>
      <c r="T60" s="652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649">
        <v>4680115881419</v>
      </c>
      <c r="E61" s="649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1"/>
      <c r="R61" s="651"/>
      <c r="S61" s="651"/>
      <c r="T61" s="652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0" t="s">
        <v>39</v>
      </c>
      <c r="X62" s="41">
        <f>IFERROR(X55/H55,"0")+IFERROR(X56/H56,"0")+IFERROR(X57/H57,"0")+IFERROR(X58/H58,"0")+IFERROR(X59/H59,"0")+IFERROR(X60/H60,"0")+IFERROR(X61/H61,"0")</f>
        <v>79</v>
      </c>
      <c r="Y62" s="41">
        <f>IFERROR(Y55/H55,"0")+IFERROR(Y56/H56,"0")+IFERROR(Y57/H57,"0")+IFERROR(Y58/H58,"0")+IFERROR(Y59/H59,"0")+IFERROR(Y60/H60,"0")+IFERROR(Y61/H61,"0")</f>
        <v>79</v>
      </c>
      <c r="Z62" s="41">
        <f>IFERROR(IF(Z55="",0,Z55),"0")+IFERROR(IF(Z56="",0,Z56),"0")+IFERROR(IF(Z57="",0,Z57),"0")+IFERROR(IF(Z58="",0,Z58),"0")+IFERROR(IF(Z59="",0,Z59),"0")+IFERROR(IF(Z60="",0,Z60),"0")+IFERROR(IF(Z61="",0,Z61),"0")</f>
        <v>1.3998200000000001</v>
      </c>
      <c r="AA62" s="64"/>
      <c r="AB62" s="64"/>
      <c r="AC62" s="64"/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0" t="s">
        <v>0</v>
      </c>
      <c r="X63" s="41">
        <f>IFERROR(SUM(X55:X61),"0")</f>
        <v>787.2</v>
      </c>
      <c r="Y63" s="41">
        <f>IFERROR(SUM(Y55:Y61),"0")</f>
        <v>787.2</v>
      </c>
      <c r="Z63" s="40"/>
      <c r="AA63" s="64"/>
      <c r="AB63" s="64"/>
      <c r="AC63" s="64"/>
    </row>
    <row r="64" spans="1:68" ht="14.25" hidden="1" customHeight="1" x14ac:dyDescent="0.25">
      <c r="A64" s="648" t="s">
        <v>157</v>
      </c>
      <c r="B64" s="648"/>
      <c r="C64" s="648"/>
      <c r="D64" s="648"/>
      <c r="E64" s="648"/>
      <c r="F64" s="648"/>
      <c r="G64" s="648"/>
      <c r="H64" s="648"/>
      <c r="I64" s="648"/>
      <c r="J64" s="648"/>
      <c r="K64" s="648"/>
      <c r="L64" s="648"/>
      <c r="M64" s="648"/>
      <c r="N64" s="648"/>
      <c r="O64" s="648"/>
      <c r="P64" s="648"/>
      <c r="Q64" s="648"/>
      <c r="R64" s="648"/>
      <c r="S64" s="648"/>
      <c r="T64" s="648"/>
      <c r="U64" s="648"/>
      <c r="V64" s="648"/>
      <c r="W64" s="648"/>
      <c r="X64" s="648"/>
      <c r="Y64" s="648"/>
      <c r="Z64" s="648"/>
      <c r="AA64" s="63"/>
      <c r="AB64" s="63"/>
      <c r="AC64" s="63"/>
    </row>
    <row r="65" spans="1:68" ht="16.5" hidden="1" customHeight="1" x14ac:dyDescent="0.25">
      <c r="A65" s="60" t="s">
        <v>158</v>
      </c>
      <c r="B65" s="60" t="s">
        <v>159</v>
      </c>
      <c r="C65" s="34">
        <v>4301020298</v>
      </c>
      <c r="D65" s="649">
        <v>4680115881440</v>
      </c>
      <c r="E65" s="649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1"/>
      <c r="R65" s="651"/>
      <c r="S65" s="651"/>
      <c r="T65" s="652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649">
        <v>4680115885950</v>
      </c>
      <c r="E66" s="649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9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1"/>
      <c r="R66" s="651"/>
      <c r="S66" s="651"/>
      <c r="T66" s="652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649">
        <v>4680115887688</v>
      </c>
      <c r="E67" s="649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1"/>
      <c r="R67" s="651"/>
      <c r="S67" s="651"/>
      <c r="T67" s="652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customHeight="1" x14ac:dyDescent="0.25">
      <c r="A68" s="60" t="s">
        <v>166</v>
      </c>
      <c r="B68" s="60" t="s">
        <v>167</v>
      </c>
      <c r="C68" s="34">
        <v>4301020296</v>
      </c>
      <c r="D68" s="649">
        <v>4680115881433</v>
      </c>
      <c r="E68" s="649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1"/>
      <c r="R68" s="651"/>
      <c r="S68" s="651"/>
      <c r="T68" s="652"/>
      <c r="U68" s="37" t="s">
        <v>46</v>
      </c>
      <c r="V68" s="37" t="s">
        <v>46</v>
      </c>
      <c r="W68" s="38" t="s">
        <v>0</v>
      </c>
      <c r="X68" s="56">
        <v>27</v>
      </c>
      <c r="Y68" s="53">
        <f>IFERROR(IF(X68="",0,CEILING((X68/$H68),1)*$H68),"")</f>
        <v>27</v>
      </c>
      <c r="Z68" s="39">
        <f>IFERROR(IF(Y68=0,"",ROUNDUP(Y68/H68,0)*0.00651),"")</f>
        <v>6.5100000000000005E-2</v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28.799999999999994</v>
      </c>
      <c r="BN68" s="75">
        <f>IFERROR(Y68*I68/H68,"0")</f>
        <v>28.799999999999994</v>
      </c>
      <c r="BO68" s="75">
        <f>IFERROR(1/J68*(X68/H68),"0")</f>
        <v>5.4945054945054951E-2</v>
      </c>
      <c r="BP68" s="75">
        <f>IFERROR(1/J68*(Y68/H68),"0")</f>
        <v>5.4945054945054951E-2</v>
      </c>
    </row>
    <row r="69" spans="1:68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0" t="s">
        <v>39</v>
      </c>
      <c r="X69" s="41">
        <f>IFERROR(X65/H65,"0")+IFERROR(X66/H66,"0")+IFERROR(X67/H67,"0")+IFERROR(X68/H68,"0")</f>
        <v>10</v>
      </c>
      <c r="Y69" s="41">
        <f>IFERROR(Y65/H65,"0")+IFERROR(Y66/H66,"0")+IFERROR(Y67/H67,"0")+IFERROR(Y68/H68,"0")</f>
        <v>10</v>
      </c>
      <c r="Z69" s="41">
        <f>IFERROR(IF(Z65="",0,Z65),"0")+IFERROR(IF(Z66="",0,Z66),"0")+IFERROR(IF(Z67="",0,Z67),"0")+IFERROR(IF(Z68="",0,Z68),"0")</f>
        <v>6.5100000000000005E-2</v>
      </c>
      <c r="AA69" s="64"/>
      <c r="AB69" s="64"/>
      <c r="AC69" s="64"/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0" t="s">
        <v>0</v>
      </c>
      <c r="X70" s="41">
        <f>IFERROR(SUM(X65:X68),"0")</f>
        <v>27</v>
      </c>
      <c r="Y70" s="41">
        <f>IFERROR(SUM(Y65:Y68),"0")</f>
        <v>27</v>
      </c>
      <c r="Z70" s="40"/>
      <c r="AA70" s="64"/>
      <c r="AB70" s="64"/>
      <c r="AC70" s="64"/>
    </row>
    <row r="71" spans="1:68" ht="14.25" hidden="1" customHeight="1" x14ac:dyDescent="0.25">
      <c r="A71" s="648" t="s">
        <v>86</v>
      </c>
      <c r="B71" s="648"/>
      <c r="C71" s="648"/>
      <c r="D71" s="648"/>
      <c r="E71" s="648"/>
      <c r="F71" s="648"/>
      <c r="G71" s="648"/>
      <c r="H71" s="648"/>
      <c r="I71" s="648"/>
      <c r="J71" s="648"/>
      <c r="K71" s="648"/>
      <c r="L71" s="648"/>
      <c r="M71" s="648"/>
      <c r="N71" s="648"/>
      <c r="O71" s="648"/>
      <c r="P71" s="648"/>
      <c r="Q71" s="648"/>
      <c r="R71" s="648"/>
      <c r="S71" s="648"/>
      <c r="T71" s="648"/>
      <c r="U71" s="648"/>
      <c r="V71" s="648"/>
      <c r="W71" s="648"/>
      <c r="X71" s="648"/>
      <c r="Y71" s="648"/>
      <c r="Z71" s="648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649">
        <v>4680115884311</v>
      </c>
      <c r="E72" s="649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91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1"/>
      <c r="R72" s="651"/>
      <c r="S72" s="651"/>
      <c r="T72" s="652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649">
        <v>4680115884403</v>
      </c>
      <c r="E73" s="649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1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1"/>
      <c r="R73" s="651"/>
      <c r="S73" s="651"/>
      <c r="T73" s="652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649">
        <v>4680115884403</v>
      </c>
      <c r="E74" s="649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648" t="s">
        <v>175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649">
        <v>4680115881532</v>
      </c>
      <c r="E78" s="649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1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649">
        <v>4680115881532</v>
      </c>
      <c r="E79" s="649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91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649">
        <v>4680115881464</v>
      </c>
      <c r="E80" s="649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91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647" t="s">
        <v>183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2"/>
      <c r="AB83" s="62"/>
      <c r="AC83" s="62"/>
    </row>
    <row r="84" spans="1:68" ht="14.25" hidden="1" customHeight="1" x14ac:dyDescent="0.25">
      <c r="A84" s="648" t="s">
        <v>122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3"/>
      <c r="AB84" s="63"/>
      <c r="AC84" s="63"/>
    </row>
    <row r="85" spans="1:68" ht="27" hidden="1" customHeight="1" x14ac:dyDescent="0.25">
      <c r="A85" s="60" t="s">
        <v>184</v>
      </c>
      <c r="B85" s="60" t="s">
        <v>185</v>
      </c>
      <c r="C85" s="34">
        <v>4301011468</v>
      </c>
      <c r="D85" s="649">
        <v>4680115881327</v>
      </c>
      <c r="E85" s="649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90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649">
        <v>4680115887732</v>
      </c>
      <c r="E86" s="649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90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1"/>
      <c r="R86" s="651"/>
      <c r="S86" s="651"/>
      <c r="T86" s="652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649">
        <v>4680115887732</v>
      </c>
      <c r="E87" s="649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90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649">
        <v>4680115881518</v>
      </c>
      <c r="E88" s="649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649">
        <v>4680115881303</v>
      </c>
      <c r="E89" s="649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1"/>
      <c r="R89" s="651"/>
      <c r="S89" s="651"/>
      <c r="T89" s="652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648" t="s">
        <v>86</v>
      </c>
      <c r="B92" s="648"/>
      <c r="C92" s="648"/>
      <c r="D92" s="648"/>
      <c r="E92" s="648"/>
      <c r="F92" s="648"/>
      <c r="G92" s="648"/>
      <c r="H92" s="648"/>
      <c r="I92" s="648"/>
      <c r="J92" s="648"/>
      <c r="K92" s="648"/>
      <c r="L92" s="648"/>
      <c r="M92" s="648"/>
      <c r="N92" s="648"/>
      <c r="O92" s="648"/>
      <c r="P92" s="648"/>
      <c r="Q92" s="648"/>
      <c r="R92" s="648"/>
      <c r="S92" s="648"/>
      <c r="T92" s="648"/>
      <c r="U92" s="648"/>
      <c r="V92" s="648"/>
      <c r="W92" s="648"/>
      <c r="X92" s="648"/>
      <c r="Y92" s="648"/>
      <c r="Z92" s="648"/>
      <c r="AA92" s="63"/>
      <c r="AB92" s="63"/>
      <c r="AC92" s="63"/>
    </row>
    <row r="93" spans="1:68" ht="27" customHeight="1" x14ac:dyDescent="0.25">
      <c r="A93" s="60" t="s">
        <v>195</v>
      </c>
      <c r="B93" s="60" t="s">
        <v>196</v>
      </c>
      <c r="C93" s="34">
        <v>4301052101</v>
      </c>
      <c r="D93" s="649">
        <v>4607091386967</v>
      </c>
      <c r="E93" s="649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1"/>
      <c r="R93" s="651"/>
      <c r="S93" s="651"/>
      <c r="T93" s="652"/>
      <c r="U93" s="37" t="s">
        <v>46</v>
      </c>
      <c r="V93" s="37" t="s">
        <v>46</v>
      </c>
      <c r="W93" s="38" t="s">
        <v>0</v>
      </c>
      <c r="X93" s="56">
        <v>162</v>
      </c>
      <c r="Y93" s="53">
        <f>IFERROR(IF(X93="",0,CEILING((X93/$H93),1)*$H93),"")</f>
        <v>162</v>
      </c>
      <c r="Z93" s="39">
        <f>IFERROR(IF(Y93=0,"",ROUNDUP(Y93/H93,0)*0.01898),"")</f>
        <v>0.37959999999999999</v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171.88</v>
      </c>
      <c r="BN93" s="75">
        <f>IFERROR(Y93*I93/H93,"0")</f>
        <v>171.88</v>
      </c>
      <c r="BO93" s="75">
        <f>IFERROR(1/J93*(X93/H93),"0")</f>
        <v>0.3125</v>
      </c>
      <c r="BP93" s="75">
        <f>IFERROR(1/J93*(Y93/H93),"0")</f>
        <v>0.3125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649">
        <v>4680115884953</v>
      </c>
      <c r="E94" s="649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1"/>
      <c r="R94" s="651"/>
      <c r="S94" s="651"/>
      <c r="T94" s="652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4301052094</v>
      </c>
      <c r="D95" s="649">
        <v>4607091385731</v>
      </c>
      <c r="E95" s="649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1"/>
      <c r="R95" s="651"/>
      <c r="S95" s="651"/>
      <c r="T95" s="652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649">
        <v>4680115880894</v>
      </c>
      <c r="E96" s="649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90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1"/>
      <c r="R96" s="651"/>
      <c r="S96" s="651"/>
      <c r="T96" s="652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56"/>
      <c r="B97" s="656"/>
      <c r="C97" s="656"/>
      <c r="D97" s="656"/>
      <c r="E97" s="656"/>
      <c r="F97" s="656"/>
      <c r="G97" s="656"/>
      <c r="H97" s="656"/>
      <c r="I97" s="656"/>
      <c r="J97" s="656"/>
      <c r="K97" s="656"/>
      <c r="L97" s="656"/>
      <c r="M97" s="656"/>
      <c r="N97" s="656"/>
      <c r="O97" s="657"/>
      <c r="P97" s="653" t="s">
        <v>40</v>
      </c>
      <c r="Q97" s="654"/>
      <c r="R97" s="654"/>
      <c r="S97" s="654"/>
      <c r="T97" s="654"/>
      <c r="U97" s="654"/>
      <c r="V97" s="655"/>
      <c r="W97" s="40" t="s">
        <v>39</v>
      </c>
      <c r="X97" s="41">
        <f>IFERROR(X93/H93,"0")+IFERROR(X94/H94,"0")+IFERROR(X95/H95,"0")+IFERROR(X96/H96,"0")</f>
        <v>20</v>
      </c>
      <c r="Y97" s="41">
        <f>IFERROR(Y93/H93,"0")+IFERROR(Y94/H94,"0")+IFERROR(Y95/H95,"0")+IFERROR(Y96/H96,"0")</f>
        <v>20</v>
      </c>
      <c r="Z97" s="41">
        <f>IFERROR(IF(Z93="",0,Z93),"0")+IFERROR(IF(Z94="",0,Z94),"0")+IFERROR(IF(Z95="",0,Z95),"0")+IFERROR(IF(Z96="",0,Z96),"0")</f>
        <v>0.37959999999999999</v>
      </c>
      <c r="AA97" s="64"/>
      <c r="AB97" s="64"/>
      <c r="AC97" s="64"/>
    </row>
    <row r="98" spans="1:68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0" t="s">
        <v>0</v>
      </c>
      <c r="X98" s="41">
        <f>IFERROR(SUM(X93:X96),"0")</f>
        <v>162</v>
      </c>
      <c r="Y98" s="41">
        <f>IFERROR(SUM(Y93:Y96),"0")</f>
        <v>162</v>
      </c>
      <c r="Z98" s="40"/>
      <c r="AA98" s="64"/>
      <c r="AB98" s="64"/>
      <c r="AC98" s="64"/>
    </row>
    <row r="99" spans="1:68" ht="16.5" hidden="1" customHeight="1" x14ac:dyDescent="0.25">
      <c r="A99" s="647" t="s">
        <v>206</v>
      </c>
      <c r="B99" s="647"/>
      <c r="C99" s="647"/>
      <c r="D99" s="647"/>
      <c r="E99" s="647"/>
      <c r="F99" s="647"/>
      <c r="G99" s="647"/>
      <c r="H99" s="647"/>
      <c r="I99" s="647"/>
      <c r="J99" s="647"/>
      <c r="K99" s="647"/>
      <c r="L99" s="647"/>
      <c r="M99" s="647"/>
      <c r="N99" s="647"/>
      <c r="O99" s="647"/>
      <c r="P99" s="647"/>
      <c r="Q99" s="647"/>
      <c r="R99" s="647"/>
      <c r="S99" s="647"/>
      <c r="T99" s="647"/>
      <c r="U99" s="647"/>
      <c r="V99" s="647"/>
      <c r="W99" s="647"/>
      <c r="X99" s="647"/>
      <c r="Y99" s="647"/>
      <c r="Z99" s="647"/>
      <c r="AA99" s="62"/>
      <c r="AB99" s="62"/>
      <c r="AC99" s="62"/>
    </row>
    <row r="100" spans="1:68" ht="14.25" hidden="1" customHeight="1" x14ac:dyDescent="0.25">
      <c r="A100" s="648" t="s">
        <v>122</v>
      </c>
      <c r="B100" s="648"/>
      <c r="C100" s="648"/>
      <c r="D100" s="648"/>
      <c r="E100" s="648"/>
      <c r="F100" s="648"/>
      <c r="G100" s="648"/>
      <c r="H100" s="648"/>
      <c r="I100" s="648"/>
      <c r="J100" s="648"/>
      <c r="K100" s="648"/>
      <c r="L100" s="648"/>
      <c r="M100" s="648"/>
      <c r="N100" s="648"/>
      <c r="O100" s="648"/>
      <c r="P100" s="648"/>
      <c r="Q100" s="648"/>
      <c r="R100" s="648"/>
      <c r="S100" s="648"/>
      <c r="T100" s="648"/>
      <c r="U100" s="648"/>
      <c r="V100" s="648"/>
      <c r="W100" s="648"/>
      <c r="X100" s="648"/>
      <c r="Y100" s="648"/>
      <c r="Z100" s="648"/>
      <c r="AA100" s="63"/>
      <c r="AB100" s="63"/>
      <c r="AC100" s="63"/>
    </row>
    <row r="101" spans="1:68" ht="37.5" hidden="1" customHeight="1" x14ac:dyDescent="0.25">
      <c r="A101" s="60" t="s">
        <v>207</v>
      </c>
      <c r="B101" s="60" t="s">
        <v>208</v>
      </c>
      <c r="C101" s="34">
        <v>4301011514</v>
      </c>
      <c r="D101" s="649">
        <v>4680115882133</v>
      </c>
      <c r="E101" s="649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9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1"/>
      <c r="R101" s="651"/>
      <c r="S101" s="651"/>
      <c r="T101" s="652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8" si="5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0</v>
      </c>
      <c r="BN101" s="75">
        <f t="shared" ref="BN101:BN108" si="7">IFERROR(Y101*I101/H101,"0")</f>
        <v>0</v>
      </c>
      <c r="BO101" s="75">
        <f t="shared" ref="BO101:BO108" si="8">IFERROR(1/J101*(X101/H101),"0")</f>
        <v>0</v>
      </c>
      <c r="BP101" s="75">
        <f t="shared" ref="BP101:BP108" si="9">IFERROR(1/J101*(Y101/H101),"0")</f>
        <v>0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649">
        <v>4680115882133</v>
      </c>
      <c r="E102" s="649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89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1"/>
      <c r="R102" s="651"/>
      <c r="S102" s="651"/>
      <c r="T102" s="652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649">
        <v>4680115887718</v>
      </c>
      <c r="E103" s="649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1"/>
      <c r="R103" s="651"/>
      <c r="S103" s="651"/>
      <c r="T103" s="652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649">
        <v>4680115880269</v>
      </c>
      <c r="E104" s="649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1"/>
      <c r="R104" s="651"/>
      <c r="S104" s="651"/>
      <c r="T104" s="652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649">
        <v>4680115880429</v>
      </c>
      <c r="E105" s="649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89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1"/>
      <c r="R105" s="651"/>
      <c r="S105" s="651"/>
      <c r="T105" s="652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649">
        <v>4680115881457</v>
      </c>
      <c r="E106" s="649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1"/>
      <c r="R106" s="651"/>
      <c r="S106" s="651"/>
      <c r="T106" s="652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649">
        <v>4680115881457</v>
      </c>
      <c r="E107" s="649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89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649">
        <v>4680115889477</v>
      </c>
      <c r="E108" s="649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89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0</v>
      </c>
      <c r="Y109" s="41">
        <f>IFERROR(Y101/H101,"0")+IFERROR(Y102/H102,"0")+IFERROR(Y103/H103,"0")+IFERROR(Y104/H104,"0")+IFERROR(Y105/H105,"0")+IFERROR(Y106/H106,"0")+IFERROR(Y107/H107,"0")+IFERROR(Y108/H108,"0")</f>
        <v>0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0" t="s">
        <v>0</v>
      </c>
      <c r="X110" s="41">
        <f>IFERROR(SUM(X101:X108),"0")</f>
        <v>0</v>
      </c>
      <c r="Y110" s="41">
        <f>IFERROR(SUM(Y101:Y108),"0")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48" t="s">
        <v>157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649">
        <v>4680115881488</v>
      </c>
      <c r="E112" s="649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8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649">
        <v>4680115887664</v>
      </c>
      <c r="E113" s="649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88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1"/>
      <c r="R113" s="651"/>
      <c r="S113" s="651"/>
      <c r="T113" s="652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649">
        <v>4680115887664</v>
      </c>
      <c r="E114" s="649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88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1"/>
      <c r="R114" s="651"/>
      <c r="S114" s="651"/>
      <c r="T114" s="652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649">
        <v>4680115882775</v>
      </c>
      <c r="E115" s="649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1"/>
      <c r="R115" s="651"/>
      <c r="S115" s="651"/>
      <c r="T115" s="652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649">
        <v>4680115880658</v>
      </c>
      <c r="E116" s="649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1"/>
      <c r="R116" s="651"/>
      <c r="S116" s="651"/>
      <c r="T116" s="652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53" t="s">
        <v>40</v>
      </c>
      <c r="Q117" s="654"/>
      <c r="R117" s="654"/>
      <c r="S117" s="654"/>
      <c r="T117" s="654"/>
      <c r="U117" s="654"/>
      <c r="V117" s="655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56"/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7"/>
      <c r="P118" s="653" t="s">
        <v>40</v>
      </c>
      <c r="Q118" s="654"/>
      <c r="R118" s="654"/>
      <c r="S118" s="654"/>
      <c r="T118" s="654"/>
      <c r="U118" s="654"/>
      <c r="V118" s="655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48" t="s">
        <v>86</v>
      </c>
      <c r="B119" s="648"/>
      <c r="C119" s="648"/>
      <c r="D119" s="648"/>
      <c r="E119" s="648"/>
      <c r="F119" s="648"/>
      <c r="G119" s="648"/>
      <c r="H119" s="648"/>
      <c r="I119" s="648"/>
      <c r="J119" s="648"/>
      <c r="K119" s="648"/>
      <c r="L119" s="648"/>
      <c r="M119" s="648"/>
      <c r="N119" s="648"/>
      <c r="O119" s="648"/>
      <c r="P119" s="648"/>
      <c r="Q119" s="648"/>
      <c r="R119" s="648"/>
      <c r="S119" s="648"/>
      <c r="T119" s="648"/>
      <c r="U119" s="648"/>
      <c r="V119" s="648"/>
      <c r="W119" s="648"/>
      <c r="X119" s="648"/>
      <c r="Y119" s="648"/>
      <c r="Z119" s="648"/>
      <c r="AA119" s="63"/>
      <c r="AB119" s="63"/>
      <c r="AC119" s="63"/>
    </row>
    <row r="120" spans="1:68" ht="27" customHeight="1" x14ac:dyDescent="0.25">
      <c r="A120" s="60" t="s">
        <v>237</v>
      </c>
      <c r="B120" s="60" t="s">
        <v>238</v>
      </c>
      <c r="C120" s="34">
        <v>4301052088</v>
      </c>
      <c r="D120" s="649">
        <v>4607091385168</v>
      </c>
      <c r="E120" s="649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88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1"/>
      <c r="R120" s="651"/>
      <c r="S120" s="651"/>
      <c r="T120" s="652"/>
      <c r="U120" s="37" t="s">
        <v>46</v>
      </c>
      <c r="V120" s="37" t="s">
        <v>46</v>
      </c>
      <c r="W120" s="38" t="s">
        <v>0</v>
      </c>
      <c r="X120" s="56">
        <v>162</v>
      </c>
      <c r="Y120" s="53">
        <f>IFERROR(IF(X120="",0,CEILING((X120/$H120),1)*$H120),"")</f>
        <v>162</v>
      </c>
      <c r="Z120" s="39">
        <f>IFERROR(IF(Y120=0,"",ROUNDUP(Y120/H120,0)*0.01898),"")</f>
        <v>0.37959999999999999</v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171.76</v>
      </c>
      <c r="BN120" s="75">
        <f>IFERROR(Y120*I120/H120,"0")</f>
        <v>171.76</v>
      </c>
      <c r="BO120" s="75">
        <f>IFERROR(1/J120*(X120/H120),"0")</f>
        <v>0.3125</v>
      </c>
      <c r="BP120" s="75">
        <f>IFERROR(1/J120*(Y120/H120),"0")</f>
        <v>0.3125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649">
        <v>4607091383256</v>
      </c>
      <c r="E121" s="649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885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1"/>
      <c r="R121" s="651"/>
      <c r="S121" s="651"/>
      <c r="T121" s="652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242</v>
      </c>
      <c r="B122" s="60" t="s">
        <v>243</v>
      </c>
      <c r="C122" s="34">
        <v>4301052086</v>
      </c>
      <c r="D122" s="649">
        <v>4607091385748</v>
      </c>
      <c r="E122" s="649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886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1"/>
      <c r="R122" s="651"/>
      <c r="S122" s="651"/>
      <c r="T122" s="652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244</v>
      </c>
      <c r="B123" s="60" t="s">
        <v>245</v>
      </c>
      <c r="C123" s="34">
        <v>4301052085</v>
      </c>
      <c r="D123" s="649">
        <v>4680115884533</v>
      </c>
      <c r="E123" s="649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8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1"/>
      <c r="R123" s="651"/>
      <c r="S123" s="651"/>
      <c r="T123" s="652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53" t="s">
        <v>40</v>
      </c>
      <c r="Q124" s="654"/>
      <c r="R124" s="654"/>
      <c r="S124" s="654"/>
      <c r="T124" s="654"/>
      <c r="U124" s="654"/>
      <c r="V124" s="655"/>
      <c r="W124" s="40" t="s">
        <v>39</v>
      </c>
      <c r="X124" s="41">
        <f>IFERROR(X120/H120,"0")+IFERROR(X121/H121,"0")+IFERROR(X122/H122,"0")+IFERROR(X123/H123,"0")</f>
        <v>20</v>
      </c>
      <c r="Y124" s="41">
        <f>IFERROR(Y120/H120,"0")+IFERROR(Y121/H121,"0")+IFERROR(Y122/H122,"0")+IFERROR(Y123/H123,"0")</f>
        <v>20</v>
      </c>
      <c r="Z124" s="41">
        <f>IFERROR(IF(Z120="",0,Z120),"0")+IFERROR(IF(Z121="",0,Z121),"0")+IFERROR(IF(Z122="",0,Z122),"0")+IFERROR(IF(Z123="",0,Z123),"0")</f>
        <v>0.37959999999999999</v>
      </c>
      <c r="AA124" s="64"/>
      <c r="AB124" s="64"/>
      <c r="AC124" s="64"/>
    </row>
    <row r="125" spans="1:68" x14ac:dyDescent="0.2">
      <c r="A125" s="656"/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7"/>
      <c r="P125" s="653" t="s">
        <v>40</v>
      </c>
      <c r="Q125" s="654"/>
      <c r="R125" s="654"/>
      <c r="S125" s="654"/>
      <c r="T125" s="654"/>
      <c r="U125" s="654"/>
      <c r="V125" s="655"/>
      <c r="W125" s="40" t="s">
        <v>0</v>
      </c>
      <c r="X125" s="41">
        <f>IFERROR(SUM(X120:X123),"0")</f>
        <v>162</v>
      </c>
      <c r="Y125" s="41">
        <f>IFERROR(SUM(Y120:Y123),"0")</f>
        <v>162</v>
      </c>
      <c r="Z125" s="40"/>
      <c r="AA125" s="64"/>
      <c r="AB125" s="64"/>
      <c r="AC125" s="64"/>
    </row>
    <row r="126" spans="1:68" ht="14.25" hidden="1" customHeight="1" x14ac:dyDescent="0.25">
      <c r="A126" s="648" t="s">
        <v>175</v>
      </c>
      <c r="B126" s="648"/>
      <c r="C126" s="648"/>
      <c r="D126" s="648"/>
      <c r="E126" s="648"/>
      <c r="F126" s="648"/>
      <c r="G126" s="648"/>
      <c r="H126" s="648"/>
      <c r="I126" s="648"/>
      <c r="J126" s="648"/>
      <c r="K126" s="648"/>
      <c r="L126" s="648"/>
      <c r="M126" s="648"/>
      <c r="N126" s="648"/>
      <c r="O126" s="648"/>
      <c r="P126" s="648"/>
      <c r="Q126" s="648"/>
      <c r="R126" s="648"/>
      <c r="S126" s="648"/>
      <c r="T126" s="648"/>
      <c r="U126" s="648"/>
      <c r="V126" s="648"/>
      <c r="W126" s="648"/>
      <c r="X126" s="648"/>
      <c r="Y126" s="648"/>
      <c r="Z126" s="648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649">
        <v>4680115880238</v>
      </c>
      <c r="E127" s="649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1"/>
      <c r="R127" s="651"/>
      <c r="S127" s="651"/>
      <c r="T127" s="652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53" t="s">
        <v>40</v>
      </c>
      <c r="Q128" s="654"/>
      <c r="R128" s="654"/>
      <c r="S128" s="654"/>
      <c r="T128" s="654"/>
      <c r="U128" s="654"/>
      <c r="V128" s="655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47" t="s">
        <v>250</v>
      </c>
      <c r="B130" s="647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  <c r="Y130" s="647"/>
      <c r="Z130" s="647"/>
      <c r="AA130" s="62"/>
      <c r="AB130" s="62"/>
      <c r="AC130" s="62"/>
    </row>
    <row r="131" spans="1:68" ht="14.25" hidden="1" customHeight="1" x14ac:dyDescent="0.25">
      <c r="A131" s="648" t="s">
        <v>122</v>
      </c>
      <c r="B131" s="648"/>
      <c r="C131" s="648"/>
      <c r="D131" s="648"/>
      <c r="E131" s="648"/>
      <c r="F131" s="648"/>
      <c r="G131" s="648"/>
      <c r="H131" s="648"/>
      <c r="I131" s="648"/>
      <c r="J131" s="648"/>
      <c r="K131" s="648"/>
      <c r="L131" s="648"/>
      <c r="M131" s="648"/>
      <c r="N131" s="648"/>
      <c r="O131" s="648"/>
      <c r="P131" s="648"/>
      <c r="Q131" s="648"/>
      <c r="R131" s="648"/>
      <c r="S131" s="648"/>
      <c r="T131" s="648"/>
      <c r="U131" s="648"/>
      <c r="V131" s="648"/>
      <c r="W131" s="648"/>
      <c r="X131" s="648"/>
      <c r="Y131" s="648"/>
      <c r="Z131" s="648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649">
        <v>4680115882577</v>
      </c>
      <c r="E132" s="649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1"/>
      <c r="R132" s="651"/>
      <c r="S132" s="651"/>
      <c r="T132" s="652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649">
        <v>4680115882577</v>
      </c>
      <c r="E133" s="649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1"/>
      <c r="R133" s="651"/>
      <c r="S133" s="651"/>
      <c r="T133" s="652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648" t="s">
        <v>77</v>
      </c>
      <c r="B136" s="648"/>
      <c r="C136" s="648"/>
      <c r="D136" s="648"/>
      <c r="E136" s="648"/>
      <c r="F136" s="648"/>
      <c r="G136" s="648"/>
      <c r="H136" s="648"/>
      <c r="I136" s="648"/>
      <c r="J136" s="648"/>
      <c r="K136" s="648"/>
      <c r="L136" s="648"/>
      <c r="M136" s="648"/>
      <c r="N136" s="648"/>
      <c r="O136" s="648"/>
      <c r="P136" s="648"/>
      <c r="Q136" s="648"/>
      <c r="R136" s="648"/>
      <c r="S136" s="648"/>
      <c r="T136" s="648"/>
      <c r="U136" s="648"/>
      <c r="V136" s="648"/>
      <c r="W136" s="648"/>
      <c r="X136" s="648"/>
      <c r="Y136" s="648"/>
      <c r="Z136" s="648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649">
        <v>4680115883444</v>
      </c>
      <c r="E137" s="649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8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1"/>
      <c r="R137" s="651"/>
      <c r="S137" s="651"/>
      <c r="T137" s="652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649">
        <v>4680115883444</v>
      </c>
      <c r="E138" s="649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8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1"/>
      <c r="R138" s="651"/>
      <c r="S138" s="651"/>
      <c r="T138" s="652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53" t="s">
        <v>40</v>
      </c>
      <c r="Q139" s="654"/>
      <c r="R139" s="654"/>
      <c r="S139" s="654"/>
      <c r="T139" s="654"/>
      <c r="U139" s="654"/>
      <c r="V139" s="655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48" t="s">
        <v>86</v>
      </c>
      <c r="B141" s="648"/>
      <c r="C141" s="648"/>
      <c r="D141" s="648"/>
      <c r="E141" s="648"/>
      <c r="F141" s="648"/>
      <c r="G141" s="648"/>
      <c r="H141" s="648"/>
      <c r="I141" s="648"/>
      <c r="J141" s="648"/>
      <c r="K141" s="648"/>
      <c r="L141" s="648"/>
      <c r="M141" s="648"/>
      <c r="N141" s="648"/>
      <c r="O141" s="648"/>
      <c r="P141" s="648"/>
      <c r="Q141" s="648"/>
      <c r="R141" s="648"/>
      <c r="S141" s="648"/>
      <c r="T141" s="648"/>
      <c r="U141" s="648"/>
      <c r="V141" s="648"/>
      <c r="W141" s="648"/>
      <c r="X141" s="648"/>
      <c r="Y141" s="648"/>
      <c r="Z141" s="648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649">
        <v>4680115882584</v>
      </c>
      <c r="E142" s="649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87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1"/>
      <c r="R142" s="651"/>
      <c r="S142" s="651"/>
      <c r="T142" s="652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649">
        <v>4680115882584</v>
      </c>
      <c r="E143" s="649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87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1"/>
      <c r="R143" s="651"/>
      <c r="S143" s="651"/>
      <c r="T143" s="652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53" t="s">
        <v>40</v>
      </c>
      <c r="Q144" s="654"/>
      <c r="R144" s="654"/>
      <c r="S144" s="654"/>
      <c r="T144" s="654"/>
      <c r="U144" s="654"/>
      <c r="V144" s="655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647" t="s">
        <v>263</v>
      </c>
      <c r="B146" s="647"/>
      <c r="C146" s="647"/>
      <c r="D146" s="647"/>
      <c r="E146" s="647"/>
      <c r="F146" s="647"/>
      <c r="G146" s="647"/>
      <c r="H146" s="647"/>
      <c r="I146" s="647"/>
      <c r="J146" s="647"/>
      <c r="K146" s="647"/>
      <c r="L146" s="647"/>
      <c r="M146" s="647"/>
      <c r="N146" s="647"/>
      <c r="O146" s="647"/>
      <c r="P146" s="647"/>
      <c r="Q146" s="647"/>
      <c r="R146" s="647"/>
      <c r="S146" s="647"/>
      <c r="T146" s="647"/>
      <c r="U146" s="647"/>
      <c r="V146" s="647"/>
      <c r="W146" s="647"/>
      <c r="X146" s="647"/>
      <c r="Y146" s="647"/>
      <c r="Z146" s="647"/>
      <c r="AA146" s="62"/>
      <c r="AB146" s="62"/>
      <c r="AC146" s="62"/>
    </row>
    <row r="147" spans="1:68" ht="14.25" hidden="1" customHeight="1" x14ac:dyDescent="0.25">
      <c r="A147" s="648" t="s">
        <v>86</v>
      </c>
      <c r="B147" s="648"/>
      <c r="C147" s="648"/>
      <c r="D147" s="648"/>
      <c r="E147" s="648"/>
      <c r="F147" s="648"/>
      <c r="G147" s="648"/>
      <c r="H147" s="648"/>
      <c r="I147" s="648"/>
      <c r="J147" s="648"/>
      <c r="K147" s="648"/>
      <c r="L147" s="648"/>
      <c r="M147" s="648"/>
      <c r="N147" s="648"/>
      <c r="O147" s="648"/>
      <c r="P147" s="648"/>
      <c r="Q147" s="648"/>
      <c r="R147" s="648"/>
      <c r="S147" s="648"/>
      <c r="T147" s="648"/>
      <c r="U147" s="648"/>
      <c r="V147" s="648"/>
      <c r="W147" s="648"/>
      <c r="X147" s="648"/>
      <c r="Y147" s="648"/>
      <c r="Z147" s="648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649">
        <v>4680115888203</v>
      </c>
      <c r="E148" s="649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87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1"/>
      <c r="R148" s="651"/>
      <c r="S148" s="651"/>
      <c r="T148" s="652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649">
        <v>4680115888180</v>
      </c>
      <c r="E149" s="649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7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1"/>
      <c r="R149" s="651"/>
      <c r="S149" s="651"/>
      <c r="T149" s="652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649">
        <v>4680115888180</v>
      </c>
      <c r="E150" s="649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1"/>
      <c r="R150" s="651"/>
      <c r="S150" s="651"/>
      <c r="T150" s="652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649">
        <v>4680115888197</v>
      </c>
      <c r="E151" s="649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7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1"/>
      <c r="R151" s="651"/>
      <c r="S151" s="651"/>
      <c r="T151" s="652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649">
        <v>4680115888210</v>
      </c>
      <c r="E152" s="649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7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1"/>
      <c r="R152" s="651"/>
      <c r="S152" s="651"/>
      <c r="T152" s="652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649">
        <v>4680115888210</v>
      </c>
      <c r="E153" s="649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1"/>
      <c r="R153" s="651"/>
      <c r="S153" s="651"/>
      <c r="T153" s="652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648" t="s">
        <v>278</v>
      </c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  <c r="Y156" s="648"/>
      <c r="Z156" s="648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649">
        <v>4680115889132</v>
      </c>
      <c r="E157" s="649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1"/>
      <c r="R157" s="651"/>
      <c r="S157" s="651"/>
      <c r="T157" s="652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53" t="s">
        <v>40</v>
      </c>
      <c r="Q158" s="654"/>
      <c r="R158" s="654"/>
      <c r="S158" s="654"/>
      <c r="T158" s="654"/>
      <c r="U158" s="654"/>
      <c r="V158" s="655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656"/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7"/>
      <c r="P159" s="653" t="s">
        <v>40</v>
      </c>
      <c r="Q159" s="654"/>
      <c r="R159" s="654"/>
      <c r="S159" s="654"/>
      <c r="T159" s="654"/>
      <c r="U159" s="654"/>
      <c r="V159" s="655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647" t="s">
        <v>120</v>
      </c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7"/>
      <c r="P160" s="647"/>
      <c r="Q160" s="647"/>
      <c r="R160" s="647"/>
      <c r="S160" s="647"/>
      <c r="T160" s="647"/>
      <c r="U160" s="647"/>
      <c r="V160" s="647"/>
      <c r="W160" s="647"/>
      <c r="X160" s="647"/>
      <c r="Y160" s="647"/>
      <c r="Z160" s="647"/>
      <c r="AA160" s="62"/>
      <c r="AB160" s="62"/>
      <c r="AC160" s="62"/>
    </row>
    <row r="161" spans="1:68" ht="14.25" hidden="1" customHeight="1" x14ac:dyDescent="0.25">
      <c r="A161" s="648" t="s">
        <v>122</v>
      </c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8"/>
      <c r="P161" s="648"/>
      <c r="Q161" s="648"/>
      <c r="R161" s="648"/>
      <c r="S161" s="648"/>
      <c r="T161" s="648"/>
      <c r="U161" s="648"/>
      <c r="V161" s="648"/>
      <c r="W161" s="648"/>
      <c r="X161" s="648"/>
      <c r="Y161" s="648"/>
      <c r="Z161" s="648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649">
        <v>4680115887374</v>
      </c>
      <c r="E162" s="649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1"/>
      <c r="R162" s="651"/>
      <c r="S162" s="651"/>
      <c r="T162" s="652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649">
        <v>4607091384604</v>
      </c>
      <c r="E163" s="649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86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1"/>
      <c r="R163" s="651"/>
      <c r="S163" s="651"/>
      <c r="T163" s="652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649">
        <v>4680115888876</v>
      </c>
      <c r="E164" s="649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1"/>
      <c r="R164" s="651"/>
      <c r="S164" s="651"/>
      <c r="T164" s="652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648" t="s">
        <v>157</v>
      </c>
      <c r="B167" s="648"/>
      <c r="C167" s="648"/>
      <c r="D167" s="648"/>
      <c r="E167" s="648"/>
      <c r="F167" s="648"/>
      <c r="G167" s="648"/>
      <c r="H167" s="648"/>
      <c r="I167" s="648"/>
      <c r="J167" s="648"/>
      <c r="K167" s="648"/>
      <c r="L167" s="648"/>
      <c r="M167" s="648"/>
      <c r="N167" s="648"/>
      <c r="O167" s="648"/>
      <c r="P167" s="648"/>
      <c r="Q167" s="648"/>
      <c r="R167" s="648"/>
      <c r="S167" s="648"/>
      <c r="T167" s="648"/>
      <c r="U167" s="648"/>
      <c r="V167" s="648"/>
      <c r="W167" s="648"/>
      <c r="X167" s="648"/>
      <c r="Y167" s="648"/>
      <c r="Z167" s="648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649">
        <v>4680115887695</v>
      </c>
      <c r="E168" s="649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1"/>
      <c r="R168" s="651"/>
      <c r="S168" s="651"/>
      <c r="T168" s="652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649">
        <v>4680115889491</v>
      </c>
      <c r="E169" s="649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1"/>
      <c r="R169" s="651"/>
      <c r="S169" s="651"/>
      <c r="T169" s="652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53" t="s">
        <v>40</v>
      </c>
      <c r="Q170" s="654"/>
      <c r="R170" s="654"/>
      <c r="S170" s="654"/>
      <c r="T170" s="654"/>
      <c r="U170" s="654"/>
      <c r="V170" s="655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656"/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7"/>
      <c r="P171" s="653" t="s">
        <v>40</v>
      </c>
      <c r="Q171" s="654"/>
      <c r="R171" s="654"/>
      <c r="S171" s="654"/>
      <c r="T171" s="654"/>
      <c r="U171" s="654"/>
      <c r="V171" s="655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648" t="s">
        <v>77</v>
      </c>
      <c r="B172" s="648"/>
      <c r="C172" s="648"/>
      <c r="D172" s="648"/>
      <c r="E172" s="648"/>
      <c r="F172" s="648"/>
      <c r="G172" s="648"/>
      <c r="H172" s="648"/>
      <c r="I172" s="648"/>
      <c r="J172" s="648"/>
      <c r="K172" s="648"/>
      <c r="L172" s="648"/>
      <c r="M172" s="648"/>
      <c r="N172" s="648"/>
      <c r="O172" s="648"/>
      <c r="P172" s="648"/>
      <c r="Q172" s="648"/>
      <c r="R172" s="648"/>
      <c r="S172" s="648"/>
      <c r="T172" s="648"/>
      <c r="U172" s="648"/>
      <c r="V172" s="648"/>
      <c r="W172" s="648"/>
      <c r="X172" s="648"/>
      <c r="Y172" s="648"/>
      <c r="Z172" s="648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649">
        <v>4680115887428</v>
      </c>
      <c r="E173" s="649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6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1"/>
      <c r="R173" s="651"/>
      <c r="S173" s="651"/>
      <c r="T173" s="652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customHeight="1" x14ac:dyDescent="0.25">
      <c r="A174" s="60" t="s">
        <v>303</v>
      </c>
      <c r="B174" s="60" t="s">
        <v>304</v>
      </c>
      <c r="C174" s="34">
        <v>4301031509</v>
      </c>
      <c r="D174" s="649">
        <v>4680115889170</v>
      </c>
      <c r="E174" s="649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6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1"/>
      <c r="R174" s="651"/>
      <c r="S174" s="651"/>
      <c r="T174" s="652"/>
      <c r="U174" s="37" t="s">
        <v>46</v>
      </c>
      <c r="V174" s="37" t="s">
        <v>46</v>
      </c>
      <c r="W174" s="38" t="s">
        <v>0</v>
      </c>
      <c r="X174" s="56">
        <v>35</v>
      </c>
      <c r="Y174" s="53">
        <f t="shared" si="16"/>
        <v>35</v>
      </c>
      <c r="Z174" s="39">
        <f>IFERROR(IF(Y174=0,"",ROUNDUP(Y174/H174,0)*0.00902),"")</f>
        <v>9.0200000000000002E-2</v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37.65</v>
      </c>
      <c r="BN174" s="75">
        <f t="shared" si="18"/>
        <v>37.65</v>
      </c>
      <c r="BO174" s="75">
        <f t="shared" si="19"/>
        <v>7.575757575757576E-2</v>
      </c>
      <c r="BP174" s="75">
        <f t="shared" si="20"/>
        <v>7.575757575757576E-2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649">
        <v>4680115887398</v>
      </c>
      <c r="E175" s="649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6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1"/>
      <c r="R175" s="651"/>
      <c r="S175" s="651"/>
      <c r="T175" s="652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649">
        <v>4680115887398</v>
      </c>
      <c r="E176" s="649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6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1"/>
      <c r="R176" s="651"/>
      <c r="S176" s="651"/>
      <c r="T176" s="652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649">
        <v>4680115887336</v>
      </c>
      <c r="E177" s="649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6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1"/>
      <c r="R177" s="651"/>
      <c r="S177" s="651"/>
      <c r="T177" s="652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649">
        <v>4680115887787</v>
      </c>
      <c r="E178" s="649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5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1"/>
      <c r="R178" s="651"/>
      <c r="S178" s="651"/>
      <c r="T178" s="652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649">
        <v>4680115887787</v>
      </c>
      <c r="E179" s="649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5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1"/>
      <c r="R179" s="651"/>
      <c r="S179" s="651"/>
      <c r="T179" s="652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649">
        <v>4680115887503</v>
      </c>
      <c r="E180" s="649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5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1"/>
      <c r="R180" s="651"/>
      <c r="S180" s="651"/>
      <c r="T180" s="652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649">
        <v>4680115887763</v>
      </c>
      <c r="E181" s="649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5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1"/>
      <c r="R181" s="651"/>
      <c r="S181" s="651"/>
      <c r="T181" s="652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649">
        <v>4680115887480</v>
      </c>
      <c r="E182" s="649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5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1"/>
      <c r="R182" s="651"/>
      <c r="S182" s="651"/>
      <c r="T182" s="652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649">
        <v>4680115888067</v>
      </c>
      <c r="E183" s="649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1"/>
      <c r="R183" s="651"/>
      <c r="S183" s="651"/>
      <c r="T183" s="652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649">
        <v>4680115887435</v>
      </c>
      <c r="E184" s="649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1"/>
      <c r="R184" s="651"/>
      <c r="S184" s="651"/>
      <c r="T184" s="652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x14ac:dyDescent="0.2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53" t="s">
        <v>40</v>
      </c>
      <c r="Q185" s="654"/>
      <c r="R185" s="654"/>
      <c r="S185" s="654"/>
      <c r="T185" s="654"/>
      <c r="U185" s="654"/>
      <c r="V185" s="655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10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10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9.0200000000000002E-2</v>
      </c>
      <c r="AA185" s="64"/>
      <c r="AB185" s="64"/>
      <c r="AC185" s="64"/>
    </row>
    <row r="186" spans="1:68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0" t="s">
        <v>0</v>
      </c>
      <c r="X186" s="41">
        <f>IFERROR(SUM(X173:X184),"0")</f>
        <v>35</v>
      </c>
      <c r="Y186" s="41">
        <f>IFERROR(SUM(Y173:Y184),"0")</f>
        <v>35</v>
      </c>
      <c r="Z186" s="40"/>
      <c r="AA186" s="64"/>
      <c r="AB186" s="64"/>
      <c r="AC186" s="64"/>
    </row>
    <row r="187" spans="1:68" ht="14.25" hidden="1" customHeight="1" x14ac:dyDescent="0.25">
      <c r="A187" s="648" t="s">
        <v>86</v>
      </c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8"/>
      <c r="P187" s="648"/>
      <c r="Q187" s="648"/>
      <c r="R187" s="648"/>
      <c r="S187" s="648"/>
      <c r="T187" s="648"/>
      <c r="U187" s="648"/>
      <c r="V187" s="648"/>
      <c r="W187" s="648"/>
      <c r="X187" s="648"/>
      <c r="Y187" s="648"/>
      <c r="Z187" s="648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649">
        <v>4680115888395</v>
      </c>
      <c r="E188" s="649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1"/>
      <c r="R188" s="651"/>
      <c r="S188" s="651"/>
      <c r="T188" s="652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649">
        <v>4680115888371</v>
      </c>
      <c r="E189" s="649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1"/>
      <c r="R189" s="651"/>
      <c r="S189" s="651"/>
      <c r="T189" s="652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649">
        <v>4680115887459</v>
      </c>
      <c r="E190" s="649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1"/>
      <c r="R190" s="651"/>
      <c r="S190" s="651"/>
      <c r="T190" s="652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648" t="s">
        <v>339</v>
      </c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8"/>
      <c r="P193" s="648"/>
      <c r="Q193" s="648"/>
      <c r="R193" s="648"/>
      <c r="S193" s="648"/>
      <c r="T193" s="648"/>
      <c r="U193" s="648"/>
      <c r="V193" s="648"/>
      <c r="W193" s="648"/>
      <c r="X193" s="648"/>
      <c r="Y193" s="648"/>
      <c r="Z193" s="648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649">
        <v>4680115889033</v>
      </c>
      <c r="E194" s="649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5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1"/>
      <c r="R194" s="651"/>
      <c r="S194" s="651"/>
      <c r="T194" s="652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656"/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7"/>
      <c r="P196" s="653" t="s">
        <v>40</v>
      </c>
      <c r="Q196" s="654"/>
      <c r="R196" s="654"/>
      <c r="S196" s="654"/>
      <c r="T196" s="654"/>
      <c r="U196" s="654"/>
      <c r="V196" s="655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668" t="s">
        <v>344</v>
      </c>
      <c r="B197" s="668"/>
      <c r="C197" s="668"/>
      <c r="D197" s="668"/>
      <c r="E197" s="668"/>
      <c r="F197" s="668"/>
      <c r="G197" s="668"/>
      <c r="H197" s="668"/>
      <c r="I197" s="668"/>
      <c r="J197" s="668"/>
      <c r="K197" s="668"/>
      <c r="L197" s="668"/>
      <c r="M197" s="668"/>
      <c r="N197" s="668"/>
      <c r="O197" s="668"/>
      <c r="P197" s="668"/>
      <c r="Q197" s="668"/>
      <c r="R197" s="668"/>
      <c r="S197" s="668"/>
      <c r="T197" s="668"/>
      <c r="U197" s="668"/>
      <c r="V197" s="668"/>
      <c r="W197" s="668"/>
      <c r="X197" s="668"/>
      <c r="Y197" s="668"/>
      <c r="Z197" s="668"/>
      <c r="AA197" s="52"/>
      <c r="AB197" s="52"/>
      <c r="AC197" s="52"/>
    </row>
    <row r="198" spans="1:68" ht="16.5" hidden="1" customHeight="1" x14ac:dyDescent="0.25">
      <c r="A198" s="647" t="s">
        <v>345</v>
      </c>
      <c r="B198" s="647"/>
      <c r="C198" s="647"/>
      <c r="D198" s="647"/>
      <c r="E198" s="647"/>
      <c r="F198" s="647"/>
      <c r="G198" s="647"/>
      <c r="H198" s="647"/>
      <c r="I198" s="647"/>
      <c r="J198" s="647"/>
      <c r="K198" s="647"/>
      <c r="L198" s="647"/>
      <c r="M198" s="647"/>
      <c r="N198" s="647"/>
      <c r="O198" s="647"/>
      <c r="P198" s="647"/>
      <c r="Q198" s="647"/>
      <c r="R198" s="647"/>
      <c r="S198" s="647"/>
      <c r="T198" s="647"/>
      <c r="U198" s="647"/>
      <c r="V198" s="647"/>
      <c r="W198" s="647"/>
      <c r="X198" s="647"/>
      <c r="Y198" s="647"/>
      <c r="Z198" s="647"/>
      <c r="AA198" s="62"/>
      <c r="AB198" s="62"/>
      <c r="AC198" s="62"/>
    </row>
    <row r="199" spans="1:68" ht="14.25" hidden="1" customHeight="1" x14ac:dyDescent="0.25">
      <c r="A199" s="648" t="s">
        <v>122</v>
      </c>
      <c r="B199" s="648"/>
      <c r="C199" s="648"/>
      <c r="D199" s="648"/>
      <c r="E199" s="648"/>
      <c r="F199" s="648"/>
      <c r="G199" s="648"/>
      <c r="H199" s="648"/>
      <c r="I199" s="648"/>
      <c r="J199" s="648"/>
      <c r="K199" s="648"/>
      <c r="L199" s="648"/>
      <c r="M199" s="648"/>
      <c r="N199" s="648"/>
      <c r="O199" s="648"/>
      <c r="P199" s="648"/>
      <c r="Q199" s="648"/>
      <c r="R199" s="648"/>
      <c r="S199" s="648"/>
      <c r="T199" s="648"/>
      <c r="U199" s="648"/>
      <c r="V199" s="648"/>
      <c r="W199" s="648"/>
      <c r="X199" s="648"/>
      <c r="Y199" s="648"/>
      <c r="Z199" s="648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649">
        <v>4607091383423</v>
      </c>
      <c r="E200" s="649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1"/>
      <c r="R200" s="651"/>
      <c r="S200" s="651"/>
      <c r="T200" s="652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649">
        <v>4680115888760</v>
      </c>
      <c r="E201" s="649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1"/>
      <c r="R201" s="651"/>
      <c r="S201" s="651"/>
      <c r="T201" s="652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649">
        <v>4680115888807</v>
      </c>
      <c r="E202" s="649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4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1"/>
      <c r="R202" s="651"/>
      <c r="S202" s="651"/>
      <c r="T202" s="652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649">
        <v>4680115888852</v>
      </c>
      <c r="E203" s="649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4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1"/>
      <c r="R203" s="651"/>
      <c r="S203" s="651"/>
      <c r="T203" s="652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649">
        <v>4680115886957</v>
      </c>
      <c r="E204" s="649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4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1"/>
      <c r="R204" s="651"/>
      <c r="S204" s="651"/>
      <c r="T204" s="652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649">
        <v>4680115885660</v>
      </c>
      <c r="E205" s="649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4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1"/>
      <c r="R205" s="651"/>
      <c r="S205" s="651"/>
      <c r="T205" s="652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649">
        <v>4680115886773</v>
      </c>
      <c r="E206" s="649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4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1"/>
      <c r="R206" s="651"/>
      <c r="S206" s="651"/>
      <c r="T206" s="652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656"/>
      <c r="B208" s="656"/>
      <c r="C208" s="656"/>
      <c r="D208" s="656"/>
      <c r="E208" s="656"/>
      <c r="F208" s="656"/>
      <c r="G208" s="656"/>
      <c r="H208" s="656"/>
      <c r="I208" s="656"/>
      <c r="J208" s="656"/>
      <c r="K208" s="656"/>
      <c r="L208" s="656"/>
      <c r="M208" s="656"/>
      <c r="N208" s="656"/>
      <c r="O208" s="657"/>
      <c r="P208" s="653" t="s">
        <v>40</v>
      </c>
      <c r="Q208" s="654"/>
      <c r="R208" s="654"/>
      <c r="S208" s="654"/>
      <c r="T208" s="654"/>
      <c r="U208" s="654"/>
      <c r="V208" s="655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647" t="s">
        <v>366</v>
      </c>
      <c r="B209" s="647"/>
      <c r="C209" s="647"/>
      <c r="D209" s="647"/>
      <c r="E209" s="647"/>
      <c r="F209" s="647"/>
      <c r="G209" s="647"/>
      <c r="H209" s="647"/>
      <c r="I209" s="647"/>
      <c r="J209" s="647"/>
      <c r="K209" s="647"/>
      <c r="L209" s="647"/>
      <c r="M209" s="647"/>
      <c r="N209" s="647"/>
      <c r="O209" s="647"/>
      <c r="P209" s="647"/>
      <c r="Q209" s="647"/>
      <c r="R209" s="647"/>
      <c r="S209" s="647"/>
      <c r="T209" s="647"/>
      <c r="U209" s="647"/>
      <c r="V209" s="647"/>
      <c r="W209" s="647"/>
      <c r="X209" s="647"/>
      <c r="Y209" s="647"/>
      <c r="Z209" s="647"/>
      <c r="AA209" s="62"/>
      <c r="AB209" s="62"/>
      <c r="AC209" s="62"/>
    </row>
    <row r="210" spans="1:68" ht="14.25" hidden="1" customHeight="1" x14ac:dyDescent="0.25">
      <c r="A210" s="648" t="s">
        <v>157</v>
      </c>
      <c r="B210" s="648"/>
      <c r="C210" s="648"/>
      <c r="D210" s="648"/>
      <c r="E210" s="648"/>
      <c r="F210" s="648"/>
      <c r="G210" s="648"/>
      <c r="H210" s="648"/>
      <c r="I210" s="648"/>
      <c r="J210" s="648"/>
      <c r="K210" s="648"/>
      <c r="L210" s="648"/>
      <c r="M210" s="648"/>
      <c r="N210" s="648"/>
      <c r="O210" s="648"/>
      <c r="P210" s="648"/>
      <c r="Q210" s="648"/>
      <c r="R210" s="648"/>
      <c r="S210" s="648"/>
      <c r="T210" s="648"/>
      <c r="U210" s="648"/>
      <c r="V210" s="648"/>
      <c r="W210" s="648"/>
      <c r="X210" s="648"/>
      <c r="Y210" s="648"/>
      <c r="Z210" s="648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649">
        <v>4680115886223</v>
      </c>
      <c r="E211" s="649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1"/>
      <c r="R211" s="651"/>
      <c r="S211" s="651"/>
      <c r="T211" s="652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656"/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7"/>
      <c r="P213" s="653" t="s">
        <v>40</v>
      </c>
      <c r="Q213" s="654"/>
      <c r="R213" s="654"/>
      <c r="S213" s="654"/>
      <c r="T213" s="654"/>
      <c r="U213" s="654"/>
      <c r="V213" s="655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648" t="s">
        <v>77</v>
      </c>
      <c r="B214" s="648"/>
      <c r="C214" s="648"/>
      <c r="D214" s="648"/>
      <c r="E214" s="648"/>
      <c r="F214" s="648"/>
      <c r="G214" s="648"/>
      <c r="H214" s="648"/>
      <c r="I214" s="648"/>
      <c r="J214" s="648"/>
      <c r="K214" s="648"/>
      <c r="L214" s="648"/>
      <c r="M214" s="648"/>
      <c r="N214" s="648"/>
      <c r="O214" s="648"/>
      <c r="P214" s="648"/>
      <c r="Q214" s="648"/>
      <c r="R214" s="648"/>
      <c r="S214" s="648"/>
      <c r="T214" s="648"/>
      <c r="U214" s="648"/>
      <c r="V214" s="648"/>
      <c r="W214" s="648"/>
      <c r="X214" s="648"/>
      <c r="Y214" s="648"/>
      <c r="Z214" s="648"/>
      <c r="AA214" s="63"/>
      <c r="AB214" s="63"/>
      <c r="AC214" s="63"/>
    </row>
    <row r="215" spans="1:68" ht="27" hidden="1" customHeight="1" x14ac:dyDescent="0.25">
      <c r="A215" s="60" t="s">
        <v>370</v>
      </c>
      <c r="B215" s="60" t="s">
        <v>371</v>
      </c>
      <c r="C215" s="34">
        <v>4301031191</v>
      </c>
      <c r="D215" s="649">
        <v>4680115880993</v>
      </c>
      <c r="E215" s="649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1"/>
      <c r="R215" s="651"/>
      <c r="S215" s="651"/>
      <c r="T215" s="652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9" si="27">IFERROR(IF(X215="",0,CEILING((X215/$H215),1)*$H215),"")</f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0</v>
      </c>
      <c r="BN215" s="75">
        <f t="shared" ref="BN215:BN229" si="29">IFERROR(Y215*I215/H215,"0")</f>
        <v>0</v>
      </c>
      <c r="BO215" s="75">
        <f t="shared" ref="BO215:BO229" si="30">IFERROR(1/J215*(X215/H215),"0")</f>
        <v>0</v>
      </c>
      <c r="BP215" s="75">
        <f t="shared" ref="BP215:BP229" si="31">IFERROR(1/J215*(Y215/H215),"0")</f>
        <v>0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649">
        <v>4680115881761</v>
      </c>
      <c r="E216" s="649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1"/>
      <c r="R216" s="651"/>
      <c r="S216" s="651"/>
      <c r="T216" s="652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hidden="1" customHeight="1" x14ac:dyDescent="0.25">
      <c r="A217" s="60" t="s">
        <v>376</v>
      </c>
      <c r="B217" s="60" t="s">
        <v>377</v>
      </c>
      <c r="C217" s="34">
        <v>4301031201</v>
      </c>
      <c r="D217" s="649">
        <v>4680115881563</v>
      </c>
      <c r="E217" s="649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1"/>
      <c r="R217" s="651"/>
      <c r="S217" s="651"/>
      <c r="T217" s="652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7"/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0</v>
      </c>
      <c r="BN217" s="75">
        <f t="shared" si="29"/>
        <v>0</v>
      </c>
      <c r="BO217" s="75">
        <f t="shared" si="30"/>
        <v>0</v>
      </c>
      <c r="BP217" s="75">
        <f t="shared" si="31"/>
        <v>0</v>
      </c>
    </row>
    <row r="218" spans="1:68" ht="37.5" hidden="1" customHeight="1" x14ac:dyDescent="0.25">
      <c r="A218" s="60" t="s">
        <v>379</v>
      </c>
      <c r="B218" s="60" t="s">
        <v>380</v>
      </c>
      <c r="C218" s="34">
        <v>4301031447</v>
      </c>
      <c r="D218" s="649">
        <v>4680115887565</v>
      </c>
      <c r="E218" s="649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1"/>
      <c r="R218" s="651"/>
      <c r="S218" s="651"/>
      <c r="T218" s="652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382</v>
      </c>
      <c r="B219" s="60" t="s">
        <v>383</v>
      </c>
      <c r="C219" s="34">
        <v>4301031199</v>
      </c>
      <c r="D219" s="649">
        <v>4680115880986</v>
      </c>
      <c r="E219" s="649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1"/>
      <c r="R219" s="651"/>
      <c r="S219" s="651"/>
      <c r="T219" s="652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649">
        <v>4680115887213</v>
      </c>
      <c r="E220" s="649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1"/>
      <c r="R220" s="651"/>
      <c r="S220" s="651"/>
      <c r="T220" s="652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649">
        <v>4680115881785</v>
      </c>
      <c r="E221" s="649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1"/>
      <c r="R221" s="651"/>
      <c r="S221" s="651"/>
      <c r="T221" s="652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649">
        <v>4680115888432</v>
      </c>
      <c r="E222" s="649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1"/>
      <c r="R222" s="651"/>
      <c r="S222" s="651"/>
      <c r="T222" s="652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649">
        <v>4680115888104</v>
      </c>
      <c r="E223" s="649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1"/>
      <c r="R223" s="651"/>
      <c r="S223" s="651"/>
      <c r="T223" s="652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649">
        <v>4680115886537</v>
      </c>
      <c r="E224" s="649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2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1"/>
      <c r="R224" s="651"/>
      <c r="S224" s="651"/>
      <c r="T224" s="652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398</v>
      </c>
      <c r="B225" s="60" t="s">
        <v>399</v>
      </c>
      <c r="C225" s="34">
        <v>4301031279</v>
      </c>
      <c r="D225" s="649">
        <v>4680115887596</v>
      </c>
      <c r="E225" s="649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2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1"/>
      <c r="R225" s="651"/>
      <c r="S225" s="651"/>
      <c r="T225" s="652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401</v>
      </c>
      <c r="B226" s="60" t="s">
        <v>402</v>
      </c>
      <c r="C226" s="34">
        <v>4301031202</v>
      </c>
      <c r="D226" s="649">
        <v>4680115881679</v>
      </c>
      <c r="E226" s="649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2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1"/>
      <c r="R226" s="651"/>
      <c r="S226" s="651"/>
      <c r="T226" s="652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649">
        <v>4680115880191</v>
      </c>
      <c r="E227" s="649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1"/>
      <c r="R227" s="651"/>
      <c r="S227" s="651"/>
      <c r="T227" s="652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649">
        <v>4680115880191</v>
      </c>
      <c r="E228" s="649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1"/>
      <c r="R228" s="651"/>
      <c r="S228" s="651"/>
      <c r="T228" s="652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649">
        <v>4680115883963</v>
      </c>
      <c r="E229" s="649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2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1"/>
      <c r="R229" s="651"/>
      <c r="S229" s="651"/>
      <c r="T229" s="652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idden="1" x14ac:dyDescent="0.2">
      <c r="A230" s="656"/>
      <c r="B230" s="656"/>
      <c r="C230" s="656"/>
      <c r="D230" s="656"/>
      <c r="E230" s="656"/>
      <c r="F230" s="656"/>
      <c r="G230" s="656"/>
      <c r="H230" s="656"/>
      <c r="I230" s="656"/>
      <c r="J230" s="656"/>
      <c r="K230" s="656"/>
      <c r="L230" s="656"/>
      <c r="M230" s="656"/>
      <c r="N230" s="656"/>
      <c r="O230" s="657"/>
      <c r="P230" s="653" t="s">
        <v>40</v>
      </c>
      <c r="Q230" s="654"/>
      <c r="R230" s="654"/>
      <c r="S230" s="654"/>
      <c r="T230" s="654"/>
      <c r="U230" s="654"/>
      <c r="V230" s="655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4"/>
      <c r="AB230" s="64"/>
      <c r="AC230" s="64"/>
    </row>
    <row r="231" spans="1:68" hidden="1" x14ac:dyDescent="0.2">
      <c r="A231" s="656"/>
      <c r="B231" s="656"/>
      <c r="C231" s="656"/>
      <c r="D231" s="656"/>
      <c r="E231" s="656"/>
      <c r="F231" s="656"/>
      <c r="G231" s="656"/>
      <c r="H231" s="656"/>
      <c r="I231" s="656"/>
      <c r="J231" s="656"/>
      <c r="K231" s="656"/>
      <c r="L231" s="656"/>
      <c r="M231" s="656"/>
      <c r="N231" s="656"/>
      <c r="O231" s="657"/>
      <c r="P231" s="653" t="s">
        <v>40</v>
      </c>
      <c r="Q231" s="654"/>
      <c r="R231" s="654"/>
      <c r="S231" s="654"/>
      <c r="T231" s="654"/>
      <c r="U231" s="654"/>
      <c r="V231" s="655"/>
      <c r="W231" s="40" t="s">
        <v>0</v>
      </c>
      <c r="X231" s="41">
        <f>IFERROR(SUM(X215:X229),"0")</f>
        <v>0</v>
      </c>
      <c r="Y231" s="41">
        <f>IFERROR(SUM(Y215:Y229),"0")</f>
        <v>0</v>
      </c>
      <c r="Z231" s="40"/>
      <c r="AA231" s="64"/>
      <c r="AB231" s="64"/>
      <c r="AC231" s="64"/>
    </row>
    <row r="232" spans="1:68" ht="14.25" hidden="1" customHeight="1" x14ac:dyDescent="0.25">
      <c r="A232" s="648" t="s">
        <v>86</v>
      </c>
      <c r="B232" s="648"/>
      <c r="C232" s="648"/>
      <c r="D232" s="648"/>
      <c r="E232" s="648"/>
      <c r="F232" s="648"/>
      <c r="G232" s="648"/>
      <c r="H232" s="648"/>
      <c r="I232" s="648"/>
      <c r="J232" s="648"/>
      <c r="K232" s="648"/>
      <c r="L232" s="648"/>
      <c r="M232" s="648"/>
      <c r="N232" s="648"/>
      <c r="O232" s="648"/>
      <c r="P232" s="648"/>
      <c r="Q232" s="648"/>
      <c r="R232" s="648"/>
      <c r="S232" s="648"/>
      <c r="T232" s="648"/>
      <c r="U232" s="648"/>
      <c r="V232" s="648"/>
      <c r="W232" s="648"/>
      <c r="X232" s="648"/>
      <c r="Y232" s="648"/>
      <c r="Z232" s="648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649">
        <v>4680115888692</v>
      </c>
      <c r="E233" s="649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1"/>
      <c r="R233" s="651"/>
      <c r="S233" s="651"/>
      <c r="T233" s="652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649">
        <v>4680115888692</v>
      </c>
      <c r="E234" s="649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2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1"/>
      <c r="R234" s="651"/>
      <c r="S234" s="651"/>
      <c r="T234" s="652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649">
        <v>4680115888722</v>
      </c>
      <c r="E235" s="649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1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1"/>
      <c r="R235" s="651"/>
      <c r="S235" s="651"/>
      <c r="T235" s="652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649">
        <v>4680115888722</v>
      </c>
      <c r="E236" s="649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2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1"/>
      <c r="R236" s="651"/>
      <c r="S236" s="651"/>
      <c r="T236" s="652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649">
        <v>4680115888951</v>
      </c>
      <c r="E237" s="649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2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1"/>
      <c r="R237" s="651"/>
      <c r="S237" s="651"/>
      <c r="T237" s="652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649">
        <v>4680115888951</v>
      </c>
      <c r="E238" s="649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2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1"/>
      <c r="R238" s="651"/>
      <c r="S238" s="651"/>
      <c r="T238" s="652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649">
        <v>4680115888975</v>
      </c>
      <c r="E239" s="649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2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1"/>
      <c r="R239" s="651"/>
      <c r="S239" s="651"/>
      <c r="T239" s="652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649">
        <v>4680115888982</v>
      </c>
      <c r="E240" s="649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1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1"/>
      <c r="R240" s="651"/>
      <c r="S240" s="651"/>
      <c r="T240" s="652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649">
        <v>4680115888982</v>
      </c>
      <c r="E241" s="649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1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1"/>
      <c r="R241" s="651"/>
      <c r="S241" s="651"/>
      <c r="T241" s="652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656"/>
      <c r="B243" s="656"/>
      <c r="C243" s="656"/>
      <c r="D243" s="656"/>
      <c r="E243" s="656"/>
      <c r="F243" s="656"/>
      <c r="G243" s="656"/>
      <c r="H243" s="656"/>
      <c r="I243" s="656"/>
      <c r="J243" s="656"/>
      <c r="K243" s="656"/>
      <c r="L243" s="656"/>
      <c r="M243" s="656"/>
      <c r="N243" s="656"/>
      <c r="O243" s="657"/>
      <c r="P243" s="653" t="s">
        <v>40</v>
      </c>
      <c r="Q243" s="654"/>
      <c r="R243" s="654"/>
      <c r="S243" s="654"/>
      <c r="T243" s="654"/>
      <c r="U243" s="654"/>
      <c r="V243" s="655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648" t="s">
        <v>278</v>
      </c>
      <c r="B244" s="648"/>
      <c r="C244" s="648"/>
      <c r="D244" s="648"/>
      <c r="E244" s="648"/>
      <c r="F244" s="648"/>
      <c r="G244" s="648"/>
      <c r="H244" s="648"/>
      <c r="I244" s="648"/>
      <c r="J244" s="648"/>
      <c r="K244" s="648"/>
      <c r="L244" s="648"/>
      <c r="M244" s="648"/>
      <c r="N244" s="648"/>
      <c r="O244" s="648"/>
      <c r="P244" s="648"/>
      <c r="Q244" s="648"/>
      <c r="R244" s="648"/>
      <c r="S244" s="648"/>
      <c r="T244" s="648"/>
      <c r="U244" s="648"/>
      <c r="V244" s="648"/>
      <c r="W244" s="648"/>
      <c r="X244" s="648"/>
      <c r="Y244" s="648"/>
      <c r="Z244" s="648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649">
        <v>4680115886780</v>
      </c>
      <c r="E245" s="649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1"/>
      <c r="R245" s="651"/>
      <c r="S245" s="651"/>
      <c r="T245" s="652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649">
        <v>4680115886742</v>
      </c>
      <c r="E246" s="649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1"/>
      <c r="R246" s="651"/>
      <c r="S246" s="651"/>
      <c r="T246" s="652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649">
        <v>4680115886766</v>
      </c>
      <c r="E247" s="649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1"/>
      <c r="R247" s="651"/>
      <c r="S247" s="651"/>
      <c r="T247" s="652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48" t="s">
        <v>437</v>
      </c>
      <c r="B250" s="648"/>
      <c r="C250" s="648"/>
      <c r="D250" s="648"/>
      <c r="E250" s="648"/>
      <c r="F250" s="648"/>
      <c r="G250" s="648"/>
      <c r="H250" s="648"/>
      <c r="I250" s="648"/>
      <c r="J250" s="648"/>
      <c r="K250" s="648"/>
      <c r="L250" s="648"/>
      <c r="M250" s="648"/>
      <c r="N250" s="648"/>
      <c r="O250" s="648"/>
      <c r="P250" s="648"/>
      <c r="Q250" s="648"/>
      <c r="R250" s="648"/>
      <c r="S250" s="648"/>
      <c r="T250" s="648"/>
      <c r="U250" s="648"/>
      <c r="V250" s="648"/>
      <c r="W250" s="648"/>
      <c r="X250" s="648"/>
      <c r="Y250" s="648"/>
      <c r="Z250" s="648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649">
        <v>4680115886797</v>
      </c>
      <c r="E251" s="649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1"/>
      <c r="R251" s="651"/>
      <c r="S251" s="651"/>
      <c r="T251" s="652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647" t="s">
        <v>440</v>
      </c>
      <c r="B254" s="647"/>
      <c r="C254" s="647"/>
      <c r="D254" s="647"/>
      <c r="E254" s="647"/>
      <c r="F254" s="647"/>
      <c r="G254" s="647"/>
      <c r="H254" s="647"/>
      <c r="I254" s="647"/>
      <c r="J254" s="647"/>
      <c r="K254" s="647"/>
      <c r="L254" s="647"/>
      <c r="M254" s="647"/>
      <c r="N254" s="647"/>
      <c r="O254" s="647"/>
      <c r="P254" s="647"/>
      <c r="Q254" s="647"/>
      <c r="R254" s="647"/>
      <c r="S254" s="647"/>
      <c r="T254" s="647"/>
      <c r="U254" s="647"/>
      <c r="V254" s="647"/>
      <c r="W254" s="647"/>
      <c r="X254" s="647"/>
      <c r="Y254" s="647"/>
      <c r="Z254" s="647"/>
      <c r="AA254" s="62"/>
      <c r="AB254" s="62"/>
      <c r="AC254" s="62"/>
    </row>
    <row r="255" spans="1:68" ht="14.25" hidden="1" customHeight="1" x14ac:dyDescent="0.25">
      <c r="A255" s="648" t="s">
        <v>122</v>
      </c>
      <c r="B255" s="648"/>
      <c r="C255" s="648"/>
      <c r="D255" s="648"/>
      <c r="E255" s="648"/>
      <c r="F255" s="648"/>
      <c r="G255" s="648"/>
      <c r="H255" s="648"/>
      <c r="I255" s="648"/>
      <c r="J255" s="648"/>
      <c r="K255" s="648"/>
      <c r="L255" s="648"/>
      <c r="M255" s="648"/>
      <c r="N255" s="648"/>
      <c r="O255" s="648"/>
      <c r="P255" s="648"/>
      <c r="Q255" s="648"/>
      <c r="R255" s="648"/>
      <c r="S255" s="648"/>
      <c r="T255" s="648"/>
      <c r="U255" s="648"/>
      <c r="V255" s="648"/>
      <c r="W255" s="648"/>
      <c r="X255" s="648"/>
      <c r="Y255" s="648"/>
      <c r="Z255" s="648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649">
        <v>4680115881402</v>
      </c>
      <c r="E256" s="649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1"/>
      <c r="R256" s="651"/>
      <c r="S256" s="651"/>
      <c r="T256" s="652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649">
        <v>4680115881396</v>
      </c>
      <c r="E257" s="649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1"/>
      <c r="R257" s="651"/>
      <c r="S257" s="651"/>
      <c r="T257" s="652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648" t="s">
        <v>157</v>
      </c>
      <c r="B260" s="648"/>
      <c r="C260" s="648"/>
      <c r="D260" s="648"/>
      <c r="E260" s="648"/>
      <c r="F260" s="648"/>
      <c r="G260" s="648"/>
      <c r="H260" s="648"/>
      <c r="I260" s="648"/>
      <c r="J260" s="648"/>
      <c r="K260" s="648"/>
      <c r="L260" s="648"/>
      <c r="M260" s="648"/>
      <c r="N260" s="648"/>
      <c r="O260" s="648"/>
      <c r="P260" s="648"/>
      <c r="Q260" s="648"/>
      <c r="R260" s="648"/>
      <c r="S260" s="648"/>
      <c r="T260" s="648"/>
      <c r="U260" s="648"/>
      <c r="V260" s="648"/>
      <c r="W260" s="648"/>
      <c r="X260" s="648"/>
      <c r="Y260" s="648"/>
      <c r="Z260" s="648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649">
        <v>4680115882935</v>
      </c>
      <c r="E261" s="649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1"/>
      <c r="R261" s="651"/>
      <c r="S261" s="651"/>
      <c r="T261" s="652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649">
        <v>4680115880764</v>
      </c>
      <c r="E262" s="649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1"/>
      <c r="R262" s="651"/>
      <c r="S262" s="651"/>
      <c r="T262" s="652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656"/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7"/>
      <c r="P263" s="653" t="s">
        <v>40</v>
      </c>
      <c r="Q263" s="654"/>
      <c r="R263" s="654"/>
      <c r="S263" s="654"/>
      <c r="T263" s="654"/>
      <c r="U263" s="654"/>
      <c r="V263" s="655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648" t="s">
        <v>77</v>
      </c>
      <c r="B265" s="648"/>
      <c r="C265" s="648"/>
      <c r="D265" s="648"/>
      <c r="E265" s="648"/>
      <c r="F265" s="648"/>
      <c r="G265" s="648"/>
      <c r="H265" s="648"/>
      <c r="I265" s="648"/>
      <c r="J265" s="648"/>
      <c r="K265" s="648"/>
      <c r="L265" s="648"/>
      <c r="M265" s="648"/>
      <c r="N265" s="648"/>
      <c r="O265" s="648"/>
      <c r="P265" s="648"/>
      <c r="Q265" s="648"/>
      <c r="R265" s="648"/>
      <c r="S265" s="648"/>
      <c r="T265" s="648"/>
      <c r="U265" s="648"/>
      <c r="V265" s="648"/>
      <c r="W265" s="648"/>
      <c r="X265" s="648"/>
      <c r="Y265" s="648"/>
      <c r="Z265" s="648"/>
      <c r="AA265" s="63"/>
      <c r="AB265" s="63"/>
      <c r="AC265" s="63"/>
    </row>
    <row r="266" spans="1:68" ht="27" customHeight="1" x14ac:dyDescent="0.25">
      <c r="A266" s="60" t="s">
        <v>451</v>
      </c>
      <c r="B266" s="60" t="s">
        <v>452</v>
      </c>
      <c r="C266" s="34">
        <v>4301031224</v>
      </c>
      <c r="D266" s="649">
        <v>4680115882683</v>
      </c>
      <c r="E266" s="649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1"/>
      <c r="R266" s="651"/>
      <c r="S266" s="651"/>
      <c r="T266" s="652"/>
      <c r="U266" s="37" t="s">
        <v>46</v>
      </c>
      <c r="V266" s="37" t="s">
        <v>46</v>
      </c>
      <c r="W266" s="38" t="s">
        <v>0</v>
      </c>
      <c r="X266" s="56">
        <v>27</v>
      </c>
      <c r="Y266" s="53">
        <f t="shared" ref="Y266:Y273" si="38">IFERROR(IF(X266="",0,CEILING((X266/$H266),1)*$H266),"")</f>
        <v>27</v>
      </c>
      <c r="Z266" s="39">
        <f>IFERROR(IF(Y266=0,"",ROUNDUP(Y266/H266,0)*0.00902),"")</f>
        <v>4.5100000000000001E-2</v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27.95</v>
      </c>
      <c r="BN266" s="75">
        <f t="shared" ref="BN266:BN273" si="40">IFERROR(Y266*I266/H266,"0")</f>
        <v>27.95</v>
      </c>
      <c r="BO266" s="75">
        <f t="shared" ref="BO266:BO273" si="41">IFERROR(1/J266*(X266/H266),"0")</f>
        <v>3.787878787878788E-2</v>
      </c>
      <c r="BP266" s="75">
        <f t="shared" ref="BP266:BP273" si="42">IFERROR(1/J266*(Y266/H266),"0")</f>
        <v>3.787878787878788E-2</v>
      </c>
    </row>
    <row r="267" spans="1:68" ht="27" customHeight="1" x14ac:dyDescent="0.25">
      <c r="A267" s="60" t="s">
        <v>454</v>
      </c>
      <c r="B267" s="60" t="s">
        <v>455</v>
      </c>
      <c r="C267" s="34">
        <v>4301031230</v>
      </c>
      <c r="D267" s="649">
        <v>4680115882690</v>
      </c>
      <c r="E267" s="649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1"/>
      <c r="R267" s="651"/>
      <c r="S267" s="651"/>
      <c r="T267" s="652"/>
      <c r="U267" s="37" t="s">
        <v>46</v>
      </c>
      <c r="V267" s="37" t="s">
        <v>46</v>
      </c>
      <c r="W267" s="38" t="s">
        <v>0</v>
      </c>
      <c r="X267" s="56">
        <v>27</v>
      </c>
      <c r="Y267" s="53">
        <f t="shared" si="38"/>
        <v>27</v>
      </c>
      <c r="Z267" s="39">
        <f>IFERROR(IF(Y267=0,"",ROUNDUP(Y267/H267,0)*0.00902),"")</f>
        <v>4.5100000000000001E-2</v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27.95</v>
      </c>
      <c r="BN267" s="75">
        <f t="shared" si="40"/>
        <v>27.95</v>
      </c>
      <c r="BO267" s="75">
        <f t="shared" si="41"/>
        <v>3.787878787878788E-2</v>
      </c>
      <c r="BP267" s="75">
        <f t="shared" si="42"/>
        <v>3.787878787878788E-2</v>
      </c>
    </row>
    <row r="268" spans="1:68" ht="27" customHeight="1" x14ac:dyDescent="0.25">
      <c r="A268" s="60" t="s">
        <v>457</v>
      </c>
      <c r="B268" s="60" t="s">
        <v>458</v>
      </c>
      <c r="C268" s="34">
        <v>4301031220</v>
      </c>
      <c r="D268" s="649">
        <v>4680115882669</v>
      </c>
      <c r="E268" s="649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1"/>
      <c r="R268" s="651"/>
      <c r="S268" s="651"/>
      <c r="T268" s="652"/>
      <c r="U268" s="37" t="s">
        <v>46</v>
      </c>
      <c r="V268" s="37" t="s">
        <v>46</v>
      </c>
      <c r="W268" s="38" t="s">
        <v>0</v>
      </c>
      <c r="X268" s="56">
        <v>27</v>
      </c>
      <c r="Y268" s="53">
        <f t="shared" si="38"/>
        <v>27</v>
      </c>
      <c r="Z268" s="39">
        <f>IFERROR(IF(Y268=0,"",ROUNDUP(Y268/H268,0)*0.00902),"")</f>
        <v>4.5100000000000001E-2</v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27.95</v>
      </c>
      <c r="BN268" s="75">
        <f t="shared" si="40"/>
        <v>27.95</v>
      </c>
      <c r="BO268" s="75">
        <f t="shared" si="41"/>
        <v>3.787878787878788E-2</v>
      </c>
      <c r="BP268" s="75">
        <f t="shared" si="42"/>
        <v>3.787878787878788E-2</v>
      </c>
    </row>
    <row r="269" spans="1:68" ht="27" customHeight="1" x14ac:dyDescent="0.25">
      <c r="A269" s="60" t="s">
        <v>460</v>
      </c>
      <c r="B269" s="60" t="s">
        <v>461</v>
      </c>
      <c r="C269" s="34">
        <v>4301031221</v>
      </c>
      <c r="D269" s="649">
        <v>4680115882676</v>
      </c>
      <c r="E269" s="649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1"/>
      <c r="R269" s="651"/>
      <c r="S269" s="651"/>
      <c r="T269" s="652"/>
      <c r="U269" s="37" t="s">
        <v>46</v>
      </c>
      <c r="V269" s="37" t="s">
        <v>46</v>
      </c>
      <c r="W269" s="38" t="s">
        <v>0</v>
      </c>
      <c r="X269" s="56">
        <v>27</v>
      </c>
      <c r="Y269" s="53">
        <f t="shared" si="38"/>
        <v>27</v>
      </c>
      <c r="Z269" s="39">
        <f>IFERROR(IF(Y269=0,"",ROUNDUP(Y269/H269,0)*0.00902),"")</f>
        <v>4.5100000000000001E-2</v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27.95</v>
      </c>
      <c r="BN269" s="75">
        <f t="shared" si="40"/>
        <v>27.95</v>
      </c>
      <c r="BO269" s="75">
        <f t="shared" si="41"/>
        <v>3.787878787878788E-2</v>
      </c>
      <c r="BP269" s="75">
        <f t="shared" si="42"/>
        <v>3.787878787878788E-2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649">
        <v>4680115884014</v>
      </c>
      <c r="E270" s="649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0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1"/>
      <c r="R270" s="651"/>
      <c r="S270" s="651"/>
      <c r="T270" s="652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649">
        <v>4680115884007</v>
      </c>
      <c r="E271" s="649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1"/>
      <c r="R271" s="651"/>
      <c r="S271" s="651"/>
      <c r="T271" s="652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649">
        <v>4680115884038</v>
      </c>
      <c r="E272" s="649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1"/>
      <c r="R272" s="651"/>
      <c r="S272" s="651"/>
      <c r="T272" s="652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649">
        <v>4680115884021</v>
      </c>
      <c r="E273" s="649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1"/>
      <c r="R273" s="651"/>
      <c r="S273" s="651"/>
      <c r="T273" s="652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x14ac:dyDescent="0.2">
      <c r="A274" s="656"/>
      <c r="B274" s="656"/>
      <c r="C274" s="656"/>
      <c r="D274" s="656"/>
      <c r="E274" s="656"/>
      <c r="F274" s="656"/>
      <c r="G274" s="656"/>
      <c r="H274" s="656"/>
      <c r="I274" s="656"/>
      <c r="J274" s="656"/>
      <c r="K274" s="656"/>
      <c r="L274" s="656"/>
      <c r="M274" s="656"/>
      <c r="N274" s="656"/>
      <c r="O274" s="657"/>
      <c r="P274" s="653" t="s">
        <v>40</v>
      </c>
      <c r="Q274" s="654"/>
      <c r="R274" s="654"/>
      <c r="S274" s="654"/>
      <c r="T274" s="654"/>
      <c r="U274" s="654"/>
      <c r="V274" s="655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20</v>
      </c>
      <c r="Y274" s="41">
        <f>IFERROR(Y266/H266,"0")+IFERROR(Y267/H267,"0")+IFERROR(Y268/H268,"0")+IFERROR(Y269/H269,"0")+IFERROR(Y270/H270,"0")+IFERROR(Y271/H271,"0")+IFERROR(Y272/H272,"0")+IFERROR(Y273/H273,"0")</f>
        <v>20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0.1804</v>
      </c>
      <c r="AA274" s="64"/>
      <c r="AB274" s="64"/>
      <c r="AC274" s="64"/>
    </row>
    <row r="275" spans="1:68" x14ac:dyDescent="0.2">
      <c r="A275" s="656"/>
      <c r="B275" s="656"/>
      <c r="C275" s="656"/>
      <c r="D275" s="656"/>
      <c r="E275" s="656"/>
      <c r="F275" s="656"/>
      <c r="G275" s="656"/>
      <c r="H275" s="656"/>
      <c r="I275" s="656"/>
      <c r="J275" s="656"/>
      <c r="K275" s="656"/>
      <c r="L275" s="656"/>
      <c r="M275" s="656"/>
      <c r="N275" s="656"/>
      <c r="O275" s="657"/>
      <c r="P275" s="653" t="s">
        <v>40</v>
      </c>
      <c r="Q275" s="654"/>
      <c r="R275" s="654"/>
      <c r="S275" s="654"/>
      <c r="T275" s="654"/>
      <c r="U275" s="654"/>
      <c r="V275" s="655"/>
      <c r="W275" s="40" t="s">
        <v>0</v>
      </c>
      <c r="X275" s="41">
        <f>IFERROR(SUM(X266:X273),"0")</f>
        <v>108</v>
      </c>
      <c r="Y275" s="41">
        <f>IFERROR(SUM(Y266:Y273),"0")</f>
        <v>108</v>
      </c>
      <c r="Z275" s="40"/>
      <c r="AA275" s="64"/>
      <c r="AB275" s="64"/>
      <c r="AC275" s="64"/>
    </row>
    <row r="276" spans="1:68" ht="14.25" hidden="1" customHeight="1" x14ac:dyDescent="0.25">
      <c r="A276" s="648" t="s">
        <v>86</v>
      </c>
      <c r="B276" s="648"/>
      <c r="C276" s="648"/>
      <c r="D276" s="648"/>
      <c r="E276" s="648"/>
      <c r="F276" s="648"/>
      <c r="G276" s="648"/>
      <c r="H276" s="648"/>
      <c r="I276" s="648"/>
      <c r="J276" s="648"/>
      <c r="K276" s="648"/>
      <c r="L276" s="648"/>
      <c r="M276" s="648"/>
      <c r="N276" s="648"/>
      <c r="O276" s="648"/>
      <c r="P276" s="648"/>
      <c r="Q276" s="648"/>
      <c r="R276" s="648"/>
      <c r="S276" s="648"/>
      <c r="T276" s="648"/>
      <c r="U276" s="648"/>
      <c r="V276" s="648"/>
      <c r="W276" s="648"/>
      <c r="X276" s="648"/>
      <c r="Y276" s="648"/>
      <c r="Z276" s="648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649">
        <v>4680115881594</v>
      </c>
      <c r="E277" s="649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1"/>
      <c r="R277" s="651"/>
      <c r="S277" s="651"/>
      <c r="T277" s="652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649">
        <v>4680115881617</v>
      </c>
      <c r="E278" s="649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1"/>
      <c r="R278" s="651"/>
      <c r="S278" s="651"/>
      <c r="T278" s="652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4301051656</v>
      </c>
      <c r="D279" s="649">
        <v>4680115880573</v>
      </c>
      <c r="E279" s="649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1"/>
      <c r="R279" s="651"/>
      <c r="S279" s="651"/>
      <c r="T279" s="652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hidden="1" customHeight="1" x14ac:dyDescent="0.25">
      <c r="A280" s="60" t="s">
        <v>480</v>
      </c>
      <c r="B280" s="60" t="s">
        <v>481</v>
      </c>
      <c r="C280" s="34">
        <v>4301051407</v>
      </c>
      <c r="D280" s="649">
        <v>4680115882195</v>
      </c>
      <c r="E280" s="649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1"/>
      <c r="R280" s="651"/>
      <c r="S280" s="651"/>
      <c r="T280" s="652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3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0</v>
      </c>
      <c r="BN280" s="75">
        <f t="shared" si="45"/>
        <v>0</v>
      </c>
      <c r="BO280" s="75">
        <f t="shared" si="46"/>
        <v>0</v>
      </c>
      <c r="BP280" s="75">
        <f t="shared" si="47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649">
        <v>4680115882607</v>
      </c>
      <c r="E281" s="649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1"/>
      <c r="R281" s="651"/>
      <c r="S281" s="651"/>
      <c r="T281" s="652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649">
        <v>4680115882607</v>
      </c>
      <c r="E282" s="649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1"/>
      <c r="R282" s="651"/>
      <c r="S282" s="651"/>
      <c r="T282" s="652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hidden="1" customHeight="1" x14ac:dyDescent="0.25">
      <c r="A283" s="60" t="s">
        <v>487</v>
      </c>
      <c r="B283" s="60" t="s">
        <v>488</v>
      </c>
      <c r="C283" s="34">
        <v>4301051666</v>
      </c>
      <c r="D283" s="649">
        <v>4680115880092</v>
      </c>
      <c r="E283" s="649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1"/>
      <c r="R283" s="651"/>
      <c r="S283" s="651"/>
      <c r="T283" s="652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649">
        <v>4680115889064</v>
      </c>
      <c r="E284" s="649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1"/>
      <c r="R284" s="651"/>
      <c r="S284" s="651"/>
      <c r="T284" s="652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4301051668</v>
      </c>
      <c r="D285" s="649">
        <v>4680115880221</v>
      </c>
      <c r="E285" s="649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1"/>
      <c r="R285" s="651"/>
      <c r="S285" s="651"/>
      <c r="T285" s="652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649">
        <v>4680115880504</v>
      </c>
      <c r="E286" s="649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7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1"/>
      <c r="R286" s="651"/>
      <c r="S286" s="651"/>
      <c r="T286" s="652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4301051410</v>
      </c>
      <c r="D287" s="649">
        <v>4680115882164</v>
      </c>
      <c r="E287" s="649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7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1"/>
      <c r="R287" s="651"/>
      <c r="S287" s="651"/>
      <c r="T287" s="652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649">
        <v>4680115888340</v>
      </c>
      <c r="E288" s="649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1"/>
      <c r="R288" s="651"/>
      <c r="S288" s="651"/>
      <c r="T288" s="652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idden="1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4"/>
      <c r="AB289" s="64"/>
      <c r="AC289" s="64"/>
    </row>
    <row r="290" spans="1:68" hidden="1" x14ac:dyDescent="0.2">
      <c r="A290" s="656"/>
      <c r="B290" s="656"/>
      <c r="C290" s="656"/>
      <c r="D290" s="656"/>
      <c r="E290" s="656"/>
      <c r="F290" s="656"/>
      <c r="G290" s="656"/>
      <c r="H290" s="656"/>
      <c r="I290" s="656"/>
      <c r="J290" s="656"/>
      <c r="K290" s="656"/>
      <c r="L290" s="656"/>
      <c r="M290" s="656"/>
      <c r="N290" s="656"/>
      <c r="O290" s="657"/>
      <c r="P290" s="653" t="s">
        <v>40</v>
      </c>
      <c r="Q290" s="654"/>
      <c r="R290" s="654"/>
      <c r="S290" s="654"/>
      <c r="T290" s="654"/>
      <c r="U290" s="654"/>
      <c r="V290" s="655"/>
      <c r="W290" s="40" t="s">
        <v>0</v>
      </c>
      <c r="X290" s="41">
        <f>IFERROR(SUM(X277:X288),"0")</f>
        <v>0</v>
      </c>
      <c r="Y290" s="41">
        <f>IFERROR(SUM(Y277:Y288),"0")</f>
        <v>0</v>
      </c>
      <c r="Z290" s="40"/>
      <c r="AA290" s="64"/>
      <c r="AB290" s="64"/>
      <c r="AC290" s="64"/>
    </row>
    <row r="291" spans="1:68" ht="14.25" hidden="1" customHeight="1" x14ac:dyDescent="0.25">
      <c r="A291" s="648" t="s">
        <v>175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649">
        <v>4680115880818</v>
      </c>
      <c r="E292" s="649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1"/>
      <c r="R292" s="651"/>
      <c r="S292" s="651"/>
      <c r="T292" s="652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649">
        <v>4680115880801</v>
      </c>
      <c r="E293" s="649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1"/>
      <c r="R293" s="651"/>
      <c r="S293" s="651"/>
      <c r="T293" s="652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56"/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7"/>
      <c r="P294" s="653" t="s">
        <v>40</v>
      </c>
      <c r="Q294" s="654"/>
      <c r="R294" s="654"/>
      <c r="S294" s="654"/>
      <c r="T294" s="654"/>
      <c r="U294" s="654"/>
      <c r="V294" s="655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647" t="s">
        <v>508</v>
      </c>
      <c r="B296" s="647"/>
      <c r="C296" s="647"/>
      <c r="D296" s="647"/>
      <c r="E296" s="647"/>
      <c r="F296" s="647"/>
      <c r="G296" s="647"/>
      <c r="H296" s="647"/>
      <c r="I296" s="647"/>
      <c r="J296" s="647"/>
      <c r="K296" s="647"/>
      <c r="L296" s="647"/>
      <c r="M296" s="647"/>
      <c r="N296" s="647"/>
      <c r="O296" s="647"/>
      <c r="P296" s="647"/>
      <c r="Q296" s="647"/>
      <c r="R296" s="647"/>
      <c r="S296" s="647"/>
      <c r="T296" s="647"/>
      <c r="U296" s="647"/>
      <c r="V296" s="647"/>
      <c r="W296" s="647"/>
      <c r="X296" s="647"/>
      <c r="Y296" s="647"/>
      <c r="Z296" s="647"/>
      <c r="AA296" s="62"/>
      <c r="AB296" s="62"/>
      <c r="AC296" s="62"/>
    </row>
    <row r="297" spans="1:68" ht="14.25" hidden="1" customHeight="1" x14ac:dyDescent="0.25">
      <c r="A297" s="648" t="s">
        <v>122</v>
      </c>
      <c r="B297" s="648"/>
      <c r="C297" s="648"/>
      <c r="D297" s="648"/>
      <c r="E297" s="648"/>
      <c r="F297" s="648"/>
      <c r="G297" s="648"/>
      <c r="H297" s="648"/>
      <c r="I297" s="648"/>
      <c r="J297" s="648"/>
      <c r="K297" s="648"/>
      <c r="L297" s="648"/>
      <c r="M297" s="648"/>
      <c r="N297" s="648"/>
      <c r="O297" s="648"/>
      <c r="P297" s="648"/>
      <c r="Q297" s="648"/>
      <c r="R297" s="648"/>
      <c r="S297" s="648"/>
      <c r="T297" s="648"/>
      <c r="U297" s="648"/>
      <c r="V297" s="648"/>
      <c r="W297" s="648"/>
      <c r="X297" s="648"/>
      <c r="Y297" s="648"/>
      <c r="Z297" s="648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649">
        <v>4680115884137</v>
      </c>
      <c r="E298" s="649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7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1"/>
      <c r="R298" s="651"/>
      <c r="S298" s="651"/>
      <c r="T298" s="652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649">
        <v>4680115884236</v>
      </c>
      <c r="E299" s="649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7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1"/>
      <c r="R299" s="651"/>
      <c r="S299" s="651"/>
      <c r="T299" s="652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649">
        <v>4680115884175</v>
      </c>
      <c r="E300" s="649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7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1"/>
      <c r="R300" s="651"/>
      <c r="S300" s="651"/>
      <c r="T300" s="652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4301011824</v>
      </c>
      <c r="D301" s="649">
        <v>4680115884144</v>
      </c>
      <c r="E301" s="649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1"/>
      <c r="R301" s="651"/>
      <c r="S301" s="651"/>
      <c r="T301" s="652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649">
        <v>4680115886551</v>
      </c>
      <c r="E302" s="649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78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1"/>
      <c r="R302" s="651"/>
      <c r="S302" s="651"/>
      <c r="T302" s="652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649">
        <v>4680115887282</v>
      </c>
      <c r="E303" s="649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7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1"/>
      <c r="R303" s="651"/>
      <c r="S303" s="651"/>
      <c r="T303" s="652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525</v>
      </c>
      <c r="B304" s="60" t="s">
        <v>526</v>
      </c>
      <c r="C304" s="34">
        <v>4301011722</v>
      </c>
      <c r="D304" s="649">
        <v>4680115884205</v>
      </c>
      <c r="E304" s="649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7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1"/>
      <c r="R304" s="651"/>
      <c r="S304" s="651"/>
      <c r="T304" s="652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656"/>
      <c r="B305" s="656"/>
      <c r="C305" s="656"/>
      <c r="D305" s="656"/>
      <c r="E305" s="656"/>
      <c r="F305" s="656"/>
      <c r="G305" s="656"/>
      <c r="H305" s="656"/>
      <c r="I305" s="656"/>
      <c r="J305" s="656"/>
      <c r="K305" s="656"/>
      <c r="L305" s="656"/>
      <c r="M305" s="656"/>
      <c r="N305" s="656"/>
      <c r="O305" s="657"/>
      <c r="P305" s="653" t="s">
        <v>40</v>
      </c>
      <c r="Q305" s="654"/>
      <c r="R305" s="654"/>
      <c r="S305" s="654"/>
      <c r="T305" s="654"/>
      <c r="U305" s="654"/>
      <c r="V305" s="655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56"/>
      <c r="B306" s="656"/>
      <c r="C306" s="656"/>
      <c r="D306" s="656"/>
      <c r="E306" s="656"/>
      <c r="F306" s="656"/>
      <c r="G306" s="656"/>
      <c r="H306" s="656"/>
      <c r="I306" s="656"/>
      <c r="J306" s="656"/>
      <c r="K306" s="656"/>
      <c r="L306" s="656"/>
      <c r="M306" s="656"/>
      <c r="N306" s="656"/>
      <c r="O306" s="657"/>
      <c r="P306" s="653" t="s">
        <v>40</v>
      </c>
      <c r="Q306" s="654"/>
      <c r="R306" s="654"/>
      <c r="S306" s="654"/>
      <c r="T306" s="654"/>
      <c r="U306" s="654"/>
      <c r="V306" s="655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648" t="s">
        <v>157</v>
      </c>
      <c r="B307" s="648"/>
      <c r="C307" s="648"/>
      <c r="D307" s="648"/>
      <c r="E307" s="648"/>
      <c r="F307" s="648"/>
      <c r="G307" s="648"/>
      <c r="H307" s="648"/>
      <c r="I307" s="648"/>
      <c r="J307" s="648"/>
      <c r="K307" s="648"/>
      <c r="L307" s="648"/>
      <c r="M307" s="648"/>
      <c r="N307" s="648"/>
      <c r="O307" s="648"/>
      <c r="P307" s="648"/>
      <c r="Q307" s="648"/>
      <c r="R307" s="648"/>
      <c r="S307" s="648"/>
      <c r="T307" s="648"/>
      <c r="U307" s="648"/>
      <c r="V307" s="648"/>
      <c r="W307" s="648"/>
      <c r="X307" s="648"/>
      <c r="Y307" s="648"/>
      <c r="Z307" s="648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649">
        <v>4680115885981</v>
      </c>
      <c r="E308" s="649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7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1"/>
      <c r="R308" s="651"/>
      <c r="S308" s="651"/>
      <c r="T308" s="652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53" t="s">
        <v>40</v>
      </c>
      <c r="Q309" s="654"/>
      <c r="R309" s="654"/>
      <c r="S309" s="654"/>
      <c r="T309" s="654"/>
      <c r="U309" s="654"/>
      <c r="V309" s="655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656"/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7"/>
      <c r="P310" s="653" t="s">
        <v>40</v>
      </c>
      <c r="Q310" s="654"/>
      <c r="R310" s="654"/>
      <c r="S310" s="654"/>
      <c r="T310" s="654"/>
      <c r="U310" s="654"/>
      <c r="V310" s="655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648" t="s">
        <v>530</v>
      </c>
      <c r="B311" s="648"/>
      <c r="C311" s="648"/>
      <c r="D311" s="648"/>
      <c r="E311" s="648"/>
      <c r="F311" s="648"/>
      <c r="G311" s="648"/>
      <c r="H311" s="648"/>
      <c r="I311" s="648"/>
      <c r="J311" s="648"/>
      <c r="K311" s="648"/>
      <c r="L311" s="648"/>
      <c r="M311" s="648"/>
      <c r="N311" s="648"/>
      <c r="O311" s="648"/>
      <c r="P311" s="648"/>
      <c r="Q311" s="648"/>
      <c r="R311" s="648"/>
      <c r="S311" s="648"/>
      <c r="T311" s="648"/>
      <c r="U311" s="648"/>
      <c r="V311" s="648"/>
      <c r="W311" s="648"/>
      <c r="X311" s="648"/>
      <c r="Y311" s="648"/>
      <c r="Z311" s="648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649">
        <v>4680115886803</v>
      </c>
      <c r="E312" s="649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7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1"/>
      <c r="R312" s="651"/>
      <c r="S312" s="651"/>
      <c r="T312" s="652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53" t="s">
        <v>40</v>
      </c>
      <c r="Q313" s="654"/>
      <c r="R313" s="654"/>
      <c r="S313" s="654"/>
      <c r="T313" s="654"/>
      <c r="U313" s="654"/>
      <c r="V313" s="655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648" t="s">
        <v>339</v>
      </c>
      <c r="B315" s="648"/>
      <c r="C315" s="648"/>
      <c r="D315" s="648"/>
      <c r="E315" s="648"/>
      <c r="F315" s="648"/>
      <c r="G315" s="648"/>
      <c r="H315" s="648"/>
      <c r="I315" s="648"/>
      <c r="J315" s="648"/>
      <c r="K315" s="648"/>
      <c r="L315" s="648"/>
      <c r="M315" s="648"/>
      <c r="N315" s="648"/>
      <c r="O315" s="648"/>
      <c r="P315" s="648"/>
      <c r="Q315" s="648"/>
      <c r="R315" s="648"/>
      <c r="S315" s="648"/>
      <c r="T315" s="648"/>
      <c r="U315" s="648"/>
      <c r="V315" s="648"/>
      <c r="W315" s="648"/>
      <c r="X315" s="648"/>
      <c r="Y315" s="648"/>
      <c r="Z315" s="648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649">
        <v>4680115886681</v>
      </c>
      <c r="E316" s="649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1"/>
      <c r="R316" s="651"/>
      <c r="S316" s="651"/>
      <c r="T316" s="652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53" t="s">
        <v>40</v>
      </c>
      <c r="Q317" s="654"/>
      <c r="R317" s="654"/>
      <c r="S317" s="654"/>
      <c r="T317" s="654"/>
      <c r="U317" s="654"/>
      <c r="V317" s="655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656"/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7"/>
      <c r="P318" s="653" t="s">
        <v>40</v>
      </c>
      <c r="Q318" s="654"/>
      <c r="R318" s="654"/>
      <c r="S318" s="654"/>
      <c r="T318" s="654"/>
      <c r="U318" s="654"/>
      <c r="V318" s="655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647" t="s">
        <v>537</v>
      </c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7"/>
      <c r="P319" s="647"/>
      <c r="Q319" s="647"/>
      <c r="R319" s="647"/>
      <c r="S319" s="647"/>
      <c r="T319" s="647"/>
      <c r="U319" s="647"/>
      <c r="V319" s="647"/>
      <c r="W319" s="647"/>
      <c r="X319" s="647"/>
      <c r="Y319" s="647"/>
      <c r="Z319" s="647"/>
      <c r="AA319" s="62"/>
      <c r="AB319" s="62"/>
      <c r="AC319" s="62"/>
    </row>
    <row r="320" spans="1:68" ht="14.25" hidden="1" customHeight="1" x14ac:dyDescent="0.25">
      <c r="A320" s="648" t="s">
        <v>122</v>
      </c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8"/>
      <c r="P320" s="648"/>
      <c r="Q320" s="648"/>
      <c r="R320" s="648"/>
      <c r="S320" s="648"/>
      <c r="T320" s="648"/>
      <c r="U320" s="648"/>
      <c r="V320" s="648"/>
      <c r="W320" s="648"/>
      <c r="X320" s="648"/>
      <c r="Y320" s="648"/>
      <c r="Z320" s="648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649">
        <v>4680115889637</v>
      </c>
      <c r="E321" s="649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773" t="s">
        <v>540</v>
      </c>
      <c r="Q321" s="651"/>
      <c r="R321" s="651"/>
      <c r="S321" s="651"/>
      <c r="T321" s="652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649">
        <v>4680115885837</v>
      </c>
      <c r="E322" s="649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1"/>
      <c r="R322" s="651"/>
      <c r="S322" s="651"/>
      <c r="T322" s="652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649">
        <v>4680115887237</v>
      </c>
      <c r="E323" s="649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1"/>
      <c r="R323" s="651"/>
      <c r="S323" s="651"/>
      <c r="T323" s="652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customHeight="1" x14ac:dyDescent="0.25">
      <c r="A324" s="60" t="s">
        <v>549</v>
      </c>
      <c r="B324" s="60" t="s">
        <v>550</v>
      </c>
      <c r="C324" s="34">
        <v>4301011850</v>
      </c>
      <c r="D324" s="649">
        <v>4680115885806</v>
      </c>
      <c r="E324" s="649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1"/>
      <c r="R324" s="651"/>
      <c r="S324" s="651"/>
      <c r="T324" s="652"/>
      <c r="U324" s="37" t="s">
        <v>46</v>
      </c>
      <c r="V324" s="37" t="s">
        <v>46</v>
      </c>
      <c r="W324" s="38" t="s">
        <v>0</v>
      </c>
      <c r="X324" s="56">
        <v>108</v>
      </c>
      <c r="Y324" s="53">
        <f t="shared" si="53"/>
        <v>108</v>
      </c>
      <c r="Z324" s="39">
        <f>IFERROR(IF(Y324=0,"",ROUNDUP(Y324/H324,0)*0.01898),"")</f>
        <v>0.1898</v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112.1</v>
      </c>
      <c r="BN324" s="75">
        <f t="shared" si="55"/>
        <v>112.1</v>
      </c>
      <c r="BO324" s="75">
        <f t="shared" si="56"/>
        <v>0.15625</v>
      </c>
      <c r="BP324" s="75">
        <f t="shared" si="57"/>
        <v>0.15625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649">
        <v>4680115885844</v>
      </c>
      <c r="E325" s="649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1"/>
      <c r="R325" s="651"/>
      <c r="S325" s="651"/>
      <c r="T325" s="652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649">
        <v>4680115885820</v>
      </c>
      <c r="E326" s="649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1"/>
      <c r="R326" s="651"/>
      <c r="S326" s="651"/>
      <c r="T326" s="652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0" t="s">
        <v>39</v>
      </c>
      <c r="X327" s="41">
        <f>IFERROR(X321/H321,"0")+IFERROR(X322/H322,"0")+IFERROR(X323/H323,"0")+IFERROR(X324/H324,"0")+IFERROR(X325/H325,"0")+IFERROR(X326/H326,"0")</f>
        <v>10</v>
      </c>
      <c r="Y327" s="41">
        <f>IFERROR(Y321/H321,"0")+IFERROR(Y322/H322,"0")+IFERROR(Y323/H323,"0")+IFERROR(Y324/H324,"0")+IFERROR(Y325/H325,"0")+IFERROR(Y326/H326,"0")</f>
        <v>10</v>
      </c>
      <c r="Z327" s="41">
        <f>IFERROR(IF(Z321="",0,Z321),"0")+IFERROR(IF(Z322="",0,Z322),"0")+IFERROR(IF(Z323="",0,Z323),"0")+IFERROR(IF(Z324="",0,Z324),"0")+IFERROR(IF(Z325="",0,Z325),"0")+IFERROR(IF(Z326="",0,Z326),"0")</f>
        <v>0.1898</v>
      </c>
      <c r="AA327" s="64"/>
      <c r="AB327" s="64"/>
      <c r="AC327" s="64"/>
    </row>
    <row r="328" spans="1:68" x14ac:dyDescent="0.2">
      <c r="A328" s="656"/>
      <c r="B328" s="656"/>
      <c r="C328" s="656"/>
      <c r="D328" s="656"/>
      <c r="E328" s="656"/>
      <c r="F328" s="656"/>
      <c r="G328" s="656"/>
      <c r="H328" s="656"/>
      <c r="I328" s="656"/>
      <c r="J328" s="656"/>
      <c r="K328" s="656"/>
      <c r="L328" s="656"/>
      <c r="M328" s="656"/>
      <c r="N328" s="656"/>
      <c r="O328" s="657"/>
      <c r="P328" s="653" t="s">
        <v>40</v>
      </c>
      <c r="Q328" s="654"/>
      <c r="R328" s="654"/>
      <c r="S328" s="654"/>
      <c r="T328" s="654"/>
      <c r="U328" s="654"/>
      <c r="V328" s="655"/>
      <c r="W328" s="40" t="s">
        <v>0</v>
      </c>
      <c r="X328" s="41">
        <f>IFERROR(SUM(X321:X326),"0")</f>
        <v>108</v>
      </c>
      <c r="Y328" s="41">
        <f>IFERROR(SUM(Y321:Y326),"0")</f>
        <v>108</v>
      </c>
      <c r="Z328" s="40"/>
      <c r="AA328" s="64"/>
      <c r="AB328" s="64"/>
      <c r="AC328" s="64"/>
    </row>
    <row r="329" spans="1:68" ht="16.5" hidden="1" customHeight="1" x14ac:dyDescent="0.25">
      <c r="A329" s="647" t="s">
        <v>558</v>
      </c>
      <c r="B329" s="647"/>
      <c r="C329" s="647"/>
      <c r="D329" s="647"/>
      <c r="E329" s="647"/>
      <c r="F329" s="647"/>
      <c r="G329" s="647"/>
      <c r="H329" s="647"/>
      <c r="I329" s="647"/>
      <c r="J329" s="647"/>
      <c r="K329" s="647"/>
      <c r="L329" s="647"/>
      <c r="M329" s="647"/>
      <c r="N329" s="647"/>
      <c r="O329" s="647"/>
      <c r="P329" s="647"/>
      <c r="Q329" s="647"/>
      <c r="R329" s="647"/>
      <c r="S329" s="647"/>
      <c r="T329" s="647"/>
      <c r="U329" s="647"/>
      <c r="V329" s="647"/>
      <c r="W329" s="647"/>
      <c r="X329" s="647"/>
      <c r="Y329" s="647"/>
      <c r="Z329" s="647"/>
      <c r="AA329" s="62"/>
      <c r="AB329" s="62"/>
      <c r="AC329" s="62"/>
    </row>
    <row r="330" spans="1:68" ht="14.25" hidden="1" customHeight="1" x14ac:dyDescent="0.25">
      <c r="A330" s="648" t="s">
        <v>86</v>
      </c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8"/>
      <c r="P330" s="648"/>
      <c r="Q330" s="648"/>
      <c r="R330" s="648"/>
      <c r="S330" s="648"/>
      <c r="T330" s="648"/>
      <c r="U330" s="648"/>
      <c r="V330" s="648"/>
      <c r="W330" s="648"/>
      <c r="X330" s="648"/>
      <c r="Y330" s="648"/>
      <c r="Z330" s="648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649">
        <v>4680115886186</v>
      </c>
      <c r="E331" s="649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1"/>
      <c r="R331" s="651"/>
      <c r="S331" s="651"/>
      <c r="T331" s="652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562</v>
      </c>
      <c r="B332" s="60" t="s">
        <v>563</v>
      </c>
      <c r="C332" s="34">
        <v>4301051795</v>
      </c>
      <c r="D332" s="649">
        <v>4680115881228</v>
      </c>
      <c r="E332" s="649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1"/>
      <c r="R332" s="651"/>
      <c r="S332" s="651"/>
      <c r="T332" s="652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565</v>
      </c>
      <c r="B333" s="60" t="s">
        <v>566</v>
      </c>
      <c r="C333" s="34">
        <v>4301051388</v>
      </c>
      <c r="D333" s="649">
        <v>4680115881211</v>
      </c>
      <c r="E333" s="649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1"/>
      <c r="R333" s="651"/>
      <c r="S333" s="651"/>
      <c r="T333" s="652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47" t="s">
        <v>567</v>
      </c>
      <c r="B336" s="647"/>
      <c r="C336" s="647"/>
      <c r="D336" s="647"/>
      <c r="E336" s="647"/>
      <c r="F336" s="647"/>
      <c r="G336" s="647"/>
      <c r="H336" s="647"/>
      <c r="I336" s="647"/>
      <c r="J336" s="647"/>
      <c r="K336" s="647"/>
      <c r="L336" s="647"/>
      <c r="M336" s="647"/>
      <c r="N336" s="647"/>
      <c r="O336" s="647"/>
      <c r="P336" s="647"/>
      <c r="Q336" s="647"/>
      <c r="R336" s="647"/>
      <c r="S336" s="647"/>
      <c r="T336" s="647"/>
      <c r="U336" s="647"/>
      <c r="V336" s="647"/>
      <c r="W336" s="647"/>
      <c r="X336" s="647"/>
      <c r="Y336" s="647"/>
      <c r="Z336" s="647"/>
      <c r="AA336" s="62"/>
      <c r="AB336" s="62"/>
      <c r="AC336" s="62"/>
    </row>
    <row r="337" spans="1:68" ht="14.25" hidden="1" customHeight="1" x14ac:dyDescent="0.25">
      <c r="A337" s="648" t="s">
        <v>77</v>
      </c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8"/>
      <c r="P337" s="648"/>
      <c r="Q337" s="648"/>
      <c r="R337" s="648"/>
      <c r="S337" s="648"/>
      <c r="T337" s="648"/>
      <c r="U337" s="648"/>
      <c r="V337" s="648"/>
      <c r="W337" s="648"/>
      <c r="X337" s="648"/>
      <c r="Y337" s="648"/>
      <c r="Z337" s="648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649">
        <v>4680115888319</v>
      </c>
      <c r="E338" s="649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1"/>
      <c r="R338" s="651"/>
      <c r="S338" s="651"/>
      <c r="T338" s="652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649">
        <v>4680115884700</v>
      </c>
      <c r="E339" s="649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1"/>
      <c r="R339" s="651"/>
      <c r="S339" s="651"/>
      <c r="T339" s="652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649">
        <v>4680115880344</v>
      </c>
      <c r="E340" s="649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1"/>
      <c r="R340" s="651"/>
      <c r="S340" s="651"/>
      <c r="T340" s="652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649">
        <v>4680115886919</v>
      </c>
      <c r="E341" s="649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1"/>
      <c r="R341" s="651"/>
      <c r="S341" s="651"/>
      <c r="T341" s="652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649">
        <v>4680115883970</v>
      </c>
      <c r="E342" s="649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1"/>
      <c r="R342" s="651"/>
      <c r="S342" s="651"/>
      <c r="T342" s="652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656"/>
      <c r="B343" s="656"/>
      <c r="C343" s="656"/>
      <c r="D343" s="656"/>
      <c r="E343" s="656"/>
      <c r="F343" s="656"/>
      <c r="G343" s="656"/>
      <c r="H343" s="656"/>
      <c r="I343" s="656"/>
      <c r="J343" s="656"/>
      <c r="K343" s="656"/>
      <c r="L343" s="656"/>
      <c r="M343" s="656"/>
      <c r="N343" s="656"/>
      <c r="O343" s="657"/>
      <c r="P343" s="653" t="s">
        <v>40</v>
      </c>
      <c r="Q343" s="654"/>
      <c r="R343" s="654"/>
      <c r="S343" s="654"/>
      <c r="T343" s="654"/>
      <c r="U343" s="654"/>
      <c r="V343" s="655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656"/>
      <c r="B344" s="656"/>
      <c r="C344" s="656"/>
      <c r="D344" s="656"/>
      <c r="E344" s="656"/>
      <c r="F344" s="656"/>
      <c r="G344" s="656"/>
      <c r="H344" s="656"/>
      <c r="I344" s="656"/>
      <c r="J344" s="656"/>
      <c r="K344" s="656"/>
      <c r="L344" s="656"/>
      <c r="M344" s="656"/>
      <c r="N344" s="656"/>
      <c r="O344" s="657"/>
      <c r="P344" s="653" t="s">
        <v>40</v>
      </c>
      <c r="Q344" s="654"/>
      <c r="R344" s="654"/>
      <c r="S344" s="654"/>
      <c r="T344" s="654"/>
      <c r="U344" s="654"/>
      <c r="V344" s="655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648" t="s">
        <v>86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649">
        <v>4680115884618</v>
      </c>
      <c r="E346" s="649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1"/>
      <c r="R346" s="651"/>
      <c r="S346" s="651"/>
      <c r="T346" s="652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649">
        <v>4680115887114</v>
      </c>
      <c r="E347" s="649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1"/>
      <c r="R347" s="651"/>
      <c r="S347" s="651"/>
      <c r="T347" s="652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656"/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7"/>
      <c r="P349" s="653" t="s">
        <v>40</v>
      </c>
      <c r="Q349" s="654"/>
      <c r="R349" s="654"/>
      <c r="S349" s="654"/>
      <c r="T349" s="654"/>
      <c r="U349" s="654"/>
      <c r="V349" s="655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647" t="s">
        <v>588</v>
      </c>
      <c r="B350" s="647"/>
      <c r="C350" s="647"/>
      <c r="D350" s="647"/>
      <c r="E350" s="647"/>
      <c r="F350" s="647"/>
      <c r="G350" s="647"/>
      <c r="H350" s="647"/>
      <c r="I350" s="647"/>
      <c r="J350" s="647"/>
      <c r="K350" s="647"/>
      <c r="L350" s="647"/>
      <c r="M350" s="647"/>
      <c r="N350" s="647"/>
      <c r="O350" s="647"/>
      <c r="P350" s="647"/>
      <c r="Q350" s="647"/>
      <c r="R350" s="647"/>
      <c r="S350" s="647"/>
      <c r="T350" s="647"/>
      <c r="U350" s="647"/>
      <c r="V350" s="647"/>
      <c r="W350" s="647"/>
      <c r="X350" s="647"/>
      <c r="Y350" s="647"/>
      <c r="Z350" s="647"/>
      <c r="AA350" s="62"/>
      <c r="AB350" s="62"/>
      <c r="AC350" s="62"/>
    </row>
    <row r="351" spans="1:68" ht="14.25" hidden="1" customHeight="1" x14ac:dyDescent="0.25">
      <c r="A351" s="648" t="s">
        <v>122</v>
      </c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8"/>
      <c r="P351" s="648"/>
      <c r="Q351" s="648"/>
      <c r="R351" s="648"/>
      <c r="S351" s="648"/>
      <c r="T351" s="648"/>
      <c r="U351" s="648"/>
      <c r="V351" s="648"/>
      <c r="W351" s="648"/>
      <c r="X351" s="648"/>
      <c r="Y351" s="648"/>
      <c r="Z351" s="648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649">
        <v>4680115887947</v>
      </c>
      <c r="E352" s="649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1"/>
      <c r="R352" s="651"/>
      <c r="S352" s="651"/>
      <c r="T352" s="652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649">
        <v>4680115887978</v>
      </c>
      <c r="E353" s="649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1"/>
      <c r="R353" s="651"/>
      <c r="S353" s="651"/>
      <c r="T353" s="652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649">
        <v>4680115887992</v>
      </c>
      <c r="E354" s="649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1"/>
      <c r="R354" s="651"/>
      <c r="S354" s="651"/>
      <c r="T354" s="652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47" t="s">
        <v>597</v>
      </c>
      <c r="B357" s="647"/>
      <c r="C357" s="647"/>
      <c r="D357" s="647"/>
      <c r="E357" s="647"/>
      <c r="F357" s="647"/>
      <c r="G357" s="647"/>
      <c r="H357" s="647"/>
      <c r="I357" s="647"/>
      <c r="J357" s="647"/>
      <c r="K357" s="647"/>
      <c r="L357" s="647"/>
      <c r="M357" s="647"/>
      <c r="N357" s="647"/>
      <c r="O357" s="647"/>
      <c r="P357" s="647"/>
      <c r="Q357" s="647"/>
      <c r="R357" s="647"/>
      <c r="S357" s="647"/>
      <c r="T357" s="647"/>
      <c r="U357" s="647"/>
      <c r="V357" s="647"/>
      <c r="W357" s="647"/>
      <c r="X357" s="647"/>
      <c r="Y357" s="647"/>
      <c r="Z357" s="647"/>
      <c r="AA357" s="62"/>
      <c r="AB357" s="62"/>
      <c r="AC357" s="62"/>
    </row>
    <row r="358" spans="1:68" ht="14.25" hidden="1" customHeight="1" x14ac:dyDescent="0.25">
      <c r="A358" s="648" t="s">
        <v>122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649">
        <v>4680115889880</v>
      </c>
      <c r="E359" s="649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758" t="s">
        <v>600</v>
      </c>
      <c r="Q359" s="651"/>
      <c r="R359" s="651"/>
      <c r="S359" s="651"/>
      <c r="T359" s="652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649">
        <v>4680115889293</v>
      </c>
      <c r="E360" s="649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7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1"/>
      <c r="R360" s="651"/>
      <c r="S360" s="651"/>
      <c r="T360" s="652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customHeight="1" x14ac:dyDescent="0.25">
      <c r="A361" s="60" t="s">
        <v>604</v>
      </c>
      <c r="B361" s="60" t="s">
        <v>605</v>
      </c>
      <c r="C361" s="34">
        <v>4301012235</v>
      </c>
      <c r="D361" s="649">
        <v>4680115887190</v>
      </c>
      <c r="E361" s="649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75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1"/>
      <c r="R361" s="651"/>
      <c r="S361" s="651"/>
      <c r="T361" s="652"/>
      <c r="U361" s="37" t="s">
        <v>46</v>
      </c>
      <c r="V361" s="37" t="s">
        <v>46</v>
      </c>
      <c r="W361" s="38" t="s">
        <v>0</v>
      </c>
      <c r="X361" s="56">
        <v>54</v>
      </c>
      <c r="Y361" s="53">
        <f t="shared" si="58"/>
        <v>54</v>
      </c>
      <c r="Z361" s="39">
        <f>IFERROR(IF(Y361=0,"",ROUNDUP(Y361/H361,0)*0.01898),"")</f>
        <v>9.4899999999999998E-2</v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56.05</v>
      </c>
      <c r="BN361" s="75">
        <f t="shared" si="60"/>
        <v>56.05</v>
      </c>
      <c r="BO361" s="75">
        <f t="shared" si="61"/>
        <v>7.8125E-2</v>
      </c>
      <c r="BP361" s="75">
        <f t="shared" si="62"/>
        <v>7.8125E-2</v>
      </c>
    </row>
    <row r="362" spans="1:68" ht="37.5" customHeight="1" x14ac:dyDescent="0.25">
      <c r="A362" s="60" t="s">
        <v>607</v>
      </c>
      <c r="B362" s="60" t="s">
        <v>608</v>
      </c>
      <c r="C362" s="34">
        <v>4301012233</v>
      </c>
      <c r="D362" s="649">
        <v>4680115887138</v>
      </c>
      <c r="E362" s="649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1"/>
      <c r="R362" s="651"/>
      <c r="S362" s="651"/>
      <c r="T362" s="652"/>
      <c r="U362" s="37" t="s">
        <v>46</v>
      </c>
      <c r="V362" s="37" t="s">
        <v>46</v>
      </c>
      <c r="W362" s="38" t="s">
        <v>0</v>
      </c>
      <c r="X362" s="56">
        <v>54</v>
      </c>
      <c r="Y362" s="53">
        <f t="shared" si="58"/>
        <v>54</v>
      </c>
      <c r="Z362" s="39">
        <f>IFERROR(IF(Y362=0,"",ROUNDUP(Y362/H362,0)*0.01898),"")</f>
        <v>9.4899999999999998E-2</v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56.05</v>
      </c>
      <c r="BN362" s="75">
        <f t="shared" si="60"/>
        <v>56.05</v>
      </c>
      <c r="BO362" s="75">
        <f t="shared" si="61"/>
        <v>7.8125E-2</v>
      </c>
      <c r="BP362" s="75">
        <f t="shared" si="62"/>
        <v>7.8125E-2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649">
        <v>4680115885554</v>
      </c>
      <c r="E363" s="649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1"/>
      <c r="R363" s="651"/>
      <c r="S363" s="651"/>
      <c r="T363" s="652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649">
        <v>4680115887220</v>
      </c>
      <c r="E364" s="649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1"/>
      <c r="R364" s="651"/>
      <c r="S364" s="651"/>
      <c r="T364" s="652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customHeight="1" x14ac:dyDescent="0.25">
      <c r="A365" s="60" t="s">
        <v>615</v>
      </c>
      <c r="B365" s="60" t="s">
        <v>616</v>
      </c>
      <c r="C365" s="34">
        <v>4301011859</v>
      </c>
      <c r="D365" s="649">
        <v>4680115885608</v>
      </c>
      <c r="E365" s="649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7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1"/>
      <c r="R365" s="651"/>
      <c r="S365" s="651"/>
      <c r="T365" s="652"/>
      <c r="U365" s="37" t="s">
        <v>46</v>
      </c>
      <c r="V365" s="37" t="s">
        <v>46</v>
      </c>
      <c r="W365" s="38" t="s">
        <v>0</v>
      </c>
      <c r="X365" s="56">
        <v>40</v>
      </c>
      <c r="Y365" s="53">
        <f t="shared" si="58"/>
        <v>40</v>
      </c>
      <c r="Z365" s="39">
        <f>IFERROR(IF(Y365=0,"",ROUNDUP(Y365/H365,0)*0.00902),"")</f>
        <v>9.0200000000000002E-2</v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41.900000000000006</v>
      </c>
      <c r="BN365" s="75">
        <f t="shared" si="60"/>
        <v>41.900000000000006</v>
      </c>
      <c r="BO365" s="75">
        <f t="shared" si="61"/>
        <v>7.575757575757576E-2</v>
      </c>
      <c r="BP365" s="75">
        <f t="shared" si="62"/>
        <v>7.575757575757576E-2</v>
      </c>
    </row>
    <row r="366" spans="1:68" x14ac:dyDescent="0.2">
      <c r="A366" s="656"/>
      <c r="B366" s="656"/>
      <c r="C366" s="656"/>
      <c r="D366" s="656"/>
      <c r="E366" s="656"/>
      <c r="F366" s="656"/>
      <c r="G366" s="656"/>
      <c r="H366" s="656"/>
      <c r="I366" s="656"/>
      <c r="J366" s="656"/>
      <c r="K366" s="656"/>
      <c r="L366" s="656"/>
      <c r="M366" s="656"/>
      <c r="N366" s="656"/>
      <c r="O366" s="657"/>
      <c r="P366" s="653" t="s">
        <v>40</v>
      </c>
      <c r="Q366" s="654"/>
      <c r="R366" s="654"/>
      <c r="S366" s="654"/>
      <c r="T366" s="654"/>
      <c r="U366" s="654"/>
      <c r="V366" s="655"/>
      <c r="W366" s="40" t="s">
        <v>39</v>
      </c>
      <c r="X366" s="41">
        <f>IFERROR(X359/H359,"0")+IFERROR(X360/H360,"0")+IFERROR(X361/H361,"0")+IFERROR(X362/H362,"0")+IFERROR(X363/H363,"0")+IFERROR(X364/H364,"0")+IFERROR(X365/H365,"0")</f>
        <v>20</v>
      </c>
      <c r="Y366" s="41">
        <f>IFERROR(Y359/H359,"0")+IFERROR(Y360/H360,"0")+IFERROR(Y361/H361,"0")+IFERROR(Y362/H362,"0")+IFERROR(Y363/H363,"0")+IFERROR(Y364/H364,"0")+IFERROR(Y365/H365,"0")</f>
        <v>20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0.28000000000000003</v>
      </c>
      <c r="AA366" s="64"/>
      <c r="AB366" s="64"/>
      <c r="AC366" s="64"/>
    </row>
    <row r="367" spans="1:68" x14ac:dyDescent="0.2">
      <c r="A367" s="656"/>
      <c r="B367" s="656"/>
      <c r="C367" s="656"/>
      <c r="D367" s="656"/>
      <c r="E367" s="656"/>
      <c r="F367" s="656"/>
      <c r="G367" s="656"/>
      <c r="H367" s="656"/>
      <c r="I367" s="656"/>
      <c r="J367" s="656"/>
      <c r="K367" s="656"/>
      <c r="L367" s="656"/>
      <c r="M367" s="656"/>
      <c r="N367" s="656"/>
      <c r="O367" s="657"/>
      <c r="P367" s="653" t="s">
        <v>40</v>
      </c>
      <c r="Q367" s="654"/>
      <c r="R367" s="654"/>
      <c r="S367" s="654"/>
      <c r="T367" s="654"/>
      <c r="U367" s="654"/>
      <c r="V367" s="655"/>
      <c r="W367" s="40" t="s">
        <v>0</v>
      </c>
      <c r="X367" s="41">
        <f>IFERROR(SUM(X359:X365),"0")</f>
        <v>148</v>
      </c>
      <c r="Y367" s="41">
        <f>IFERROR(SUM(Y359:Y365),"0")</f>
        <v>148</v>
      </c>
      <c r="Z367" s="40"/>
      <c r="AA367" s="64"/>
      <c r="AB367" s="64"/>
      <c r="AC367" s="64"/>
    </row>
    <row r="368" spans="1:68" ht="14.25" hidden="1" customHeight="1" x14ac:dyDescent="0.25">
      <c r="A368" s="648" t="s">
        <v>77</v>
      </c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8"/>
      <c r="P368" s="648"/>
      <c r="Q368" s="648"/>
      <c r="R368" s="648"/>
      <c r="S368" s="648"/>
      <c r="T368" s="648"/>
      <c r="U368" s="648"/>
      <c r="V368" s="648"/>
      <c r="W368" s="648"/>
      <c r="X368" s="648"/>
      <c r="Y368" s="648"/>
      <c r="Z368" s="648"/>
      <c r="AA368" s="63"/>
      <c r="AB368" s="63"/>
      <c r="AC368" s="63"/>
    </row>
    <row r="369" spans="1:68" ht="27" customHeight="1" x14ac:dyDescent="0.25">
      <c r="A369" s="60" t="s">
        <v>618</v>
      </c>
      <c r="B369" s="60" t="s">
        <v>619</v>
      </c>
      <c r="C369" s="34">
        <v>4301030878</v>
      </c>
      <c r="D369" s="649">
        <v>4607091387193</v>
      </c>
      <c r="E369" s="649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7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1"/>
      <c r="R369" s="651"/>
      <c r="S369" s="651"/>
      <c r="T369" s="652"/>
      <c r="U369" s="37" t="s">
        <v>46</v>
      </c>
      <c r="V369" s="37" t="s">
        <v>46</v>
      </c>
      <c r="W369" s="38" t="s">
        <v>0</v>
      </c>
      <c r="X369" s="56">
        <v>63</v>
      </c>
      <c r="Y369" s="53">
        <f t="shared" ref="Y369:Y375" si="63">IFERROR(IF(X369="",0,CEILING((X369/$H369),1)*$H369),"")</f>
        <v>63</v>
      </c>
      <c r="Z369" s="39">
        <f>IFERROR(IF(Y369=0,"",ROUNDUP(Y369/H369,0)*0.00902),"")</f>
        <v>0.1353</v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66.75</v>
      </c>
      <c r="BN369" s="75">
        <f t="shared" ref="BN369:BN375" si="65">IFERROR(Y369*I369/H369,"0")</f>
        <v>66.75</v>
      </c>
      <c r="BO369" s="75">
        <f t="shared" ref="BO369:BO375" si="66">IFERROR(1/J369*(X369/H369),"0")</f>
        <v>0.11363636363636365</v>
      </c>
      <c r="BP369" s="75">
        <f t="shared" ref="BP369:BP375" si="67">IFERROR(1/J369*(Y369/H369),"0")</f>
        <v>0.11363636363636365</v>
      </c>
    </row>
    <row r="370" spans="1:68" ht="27" customHeight="1" x14ac:dyDescent="0.25">
      <c r="A370" s="60" t="s">
        <v>621</v>
      </c>
      <c r="B370" s="60" t="s">
        <v>622</v>
      </c>
      <c r="C370" s="34">
        <v>4301031153</v>
      </c>
      <c r="D370" s="649">
        <v>4607091387230</v>
      </c>
      <c r="E370" s="649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1"/>
      <c r="R370" s="651"/>
      <c r="S370" s="651"/>
      <c r="T370" s="652"/>
      <c r="U370" s="37" t="s">
        <v>46</v>
      </c>
      <c r="V370" s="37" t="s">
        <v>46</v>
      </c>
      <c r="W370" s="38" t="s">
        <v>0</v>
      </c>
      <c r="X370" s="56">
        <v>63</v>
      </c>
      <c r="Y370" s="53">
        <f t="shared" si="63"/>
        <v>63</v>
      </c>
      <c r="Z370" s="39">
        <f>IFERROR(IF(Y370=0,"",ROUNDUP(Y370/H370,0)*0.00902),"")</f>
        <v>0.1353</v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66.75</v>
      </c>
      <c r="BN370" s="75">
        <f t="shared" si="65"/>
        <v>66.75</v>
      </c>
      <c r="BO370" s="75">
        <f t="shared" si="66"/>
        <v>0.11363636363636365</v>
      </c>
      <c r="BP370" s="75">
        <f t="shared" si="67"/>
        <v>0.11363636363636365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649">
        <v>4607091387292</v>
      </c>
      <c r="E371" s="649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74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1"/>
      <c r="R371" s="651"/>
      <c r="S371" s="651"/>
      <c r="T371" s="652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customHeight="1" x14ac:dyDescent="0.25">
      <c r="A372" s="60" t="s">
        <v>627</v>
      </c>
      <c r="B372" s="60" t="s">
        <v>628</v>
      </c>
      <c r="C372" s="34">
        <v>4301031152</v>
      </c>
      <c r="D372" s="649">
        <v>4607091387285</v>
      </c>
      <c r="E372" s="649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1"/>
      <c r="R372" s="651"/>
      <c r="S372" s="651"/>
      <c r="T372" s="652"/>
      <c r="U372" s="37" t="s">
        <v>46</v>
      </c>
      <c r="V372" s="37" t="s">
        <v>46</v>
      </c>
      <c r="W372" s="38" t="s">
        <v>0</v>
      </c>
      <c r="X372" s="56">
        <v>10.5</v>
      </c>
      <c r="Y372" s="53">
        <f t="shared" si="63"/>
        <v>10.5</v>
      </c>
      <c r="Z372" s="39">
        <f>IFERROR(IF(Y372=0,"",ROUNDUP(Y372/H372,0)*0.00502),"")</f>
        <v>2.5100000000000001E-2</v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11.149999999999999</v>
      </c>
      <c r="BN372" s="75">
        <f t="shared" si="65"/>
        <v>11.149999999999999</v>
      </c>
      <c r="BO372" s="75">
        <f t="shared" si="66"/>
        <v>2.1367521367521368E-2</v>
      </c>
      <c r="BP372" s="75">
        <f t="shared" si="67"/>
        <v>2.1367521367521368E-2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649">
        <v>4607091389845</v>
      </c>
      <c r="E373" s="649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1"/>
      <c r="R373" s="651"/>
      <c r="S373" s="651"/>
      <c r="T373" s="652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649">
        <v>4680115887442</v>
      </c>
      <c r="E374" s="649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1"/>
      <c r="R374" s="651"/>
      <c r="S374" s="651"/>
      <c r="T374" s="652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634</v>
      </c>
      <c r="B375" s="60" t="s">
        <v>635</v>
      </c>
      <c r="C375" s="34">
        <v>4301031066</v>
      </c>
      <c r="D375" s="649">
        <v>4607091383836</v>
      </c>
      <c r="E375" s="649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1"/>
      <c r="R375" s="651"/>
      <c r="S375" s="651"/>
      <c r="T375" s="652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x14ac:dyDescent="0.2">
      <c r="A376" s="656"/>
      <c r="B376" s="656"/>
      <c r="C376" s="656"/>
      <c r="D376" s="656"/>
      <c r="E376" s="656"/>
      <c r="F376" s="656"/>
      <c r="G376" s="656"/>
      <c r="H376" s="656"/>
      <c r="I376" s="656"/>
      <c r="J376" s="656"/>
      <c r="K376" s="656"/>
      <c r="L376" s="656"/>
      <c r="M376" s="656"/>
      <c r="N376" s="656"/>
      <c r="O376" s="657"/>
      <c r="P376" s="653" t="s">
        <v>40</v>
      </c>
      <c r="Q376" s="654"/>
      <c r="R376" s="654"/>
      <c r="S376" s="654"/>
      <c r="T376" s="654"/>
      <c r="U376" s="654"/>
      <c r="V376" s="655"/>
      <c r="W376" s="40" t="s">
        <v>39</v>
      </c>
      <c r="X376" s="41">
        <f>IFERROR(X369/H369,"0")+IFERROR(X370/H370,"0")+IFERROR(X371/H371,"0")+IFERROR(X372/H372,"0")+IFERROR(X373/H373,"0")+IFERROR(X374/H374,"0")+IFERROR(X375/H375,"0")</f>
        <v>35</v>
      </c>
      <c r="Y376" s="41">
        <f>IFERROR(Y369/H369,"0")+IFERROR(Y370/H370,"0")+IFERROR(Y371/H371,"0")+IFERROR(Y372/H372,"0")+IFERROR(Y373/H373,"0")+IFERROR(Y374/H374,"0")+IFERROR(Y375/H375,"0")</f>
        <v>35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0.29570000000000002</v>
      </c>
      <c r="AA376" s="64"/>
      <c r="AB376" s="64"/>
      <c r="AC376" s="64"/>
    </row>
    <row r="377" spans="1:68" x14ac:dyDescent="0.2">
      <c r="A377" s="656"/>
      <c r="B377" s="656"/>
      <c r="C377" s="656"/>
      <c r="D377" s="656"/>
      <c r="E377" s="656"/>
      <c r="F377" s="656"/>
      <c r="G377" s="656"/>
      <c r="H377" s="656"/>
      <c r="I377" s="656"/>
      <c r="J377" s="656"/>
      <c r="K377" s="656"/>
      <c r="L377" s="656"/>
      <c r="M377" s="656"/>
      <c r="N377" s="656"/>
      <c r="O377" s="657"/>
      <c r="P377" s="653" t="s">
        <v>40</v>
      </c>
      <c r="Q377" s="654"/>
      <c r="R377" s="654"/>
      <c r="S377" s="654"/>
      <c r="T377" s="654"/>
      <c r="U377" s="654"/>
      <c r="V377" s="655"/>
      <c r="W377" s="40" t="s">
        <v>0</v>
      </c>
      <c r="X377" s="41">
        <f>IFERROR(SUM(X369:X375),"0")</f>
        <v>136.5</v>
      </c>
      <c r="Y377" s="41">
        <f>IFERROR(SUM(Y369:Y375),"0")</f>
        <v>136.5</v>
      </c>
      <c r="Z377" s="40"/>
      <c r="AA377" s="64"/>
      <c r="AB377" s="64"/>
      <c r="AC377" s="64"/>
    </row>
    <row r="378" spans="1:68" ht="14.25" hidden="1" customHeight="1" x14ac:dyDescent="0.25">
      <c r="A378" s="648" t="s">
        <v>86</v>
      </c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8"/>
      <c r="P378" s="648"/>
      <c r="Q378" s="648"/>
      <c r="R378" s="648"/>
      <c r="S378" s="648"/>
      <c r="T378" s="648"/>
      <c r="U378" s="648"/>
      <c r="V378" s="648"/>
      <c r="W378" s="648"/>
      <c r="X378" s="648"/>
      <c r="Y378" s="648"/>
      <c r="Z378" s="648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649">
        <v>4607091387766</v>
      </c>
      <c r="E379" s="649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1"/>
      <c r="R379" s="651"/>
      <c r="S379" s="651"/>
      <c r="T379" s="652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649">
        <v>4607091387957</v>
      </c>
      <c r="E380" s="649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1"/>
      <c r="R380" s="651"/>
      <c r="S380" s="651"/>
      <c r="T380" s="652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649">
        <v>4607091387964</v>
      </c>
      <c r="E381" s="649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1"/>
      <c r="R381" s="651"/>
      <c r="S381" s="651"/>
      <c r="T381" s="652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customHeight="1" x14ac:dyDescent="0.25">
      <c r="A382" s="60" t="s">
        <v>646</v>
      </c>
      <c r="B382" s="60" t="s">
        <v>647</v>
      </c>
      <c r="C382" s="34">
        <v>4301051734</v>
      </c>
      <c r="D382" s="649">
        <v>4680115884588</v>
      </c>
      <c r="E382" s="649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7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1"/>
      <c r="R382" s="651"/>
      <c r="S382" s="651"/>
      <c r="T382" s="652"/>
      <c r="U382" s="37" t="s">
        <v>46</v>
      </c>
      <c r="V382" s="37" t="s">
        <v>46</v>
      </c>
      <c r="W382" s="38" t="s">
        <v>0</v>
      </c>
      <c r="X382" s="56">
        <v>18</v>
      </c>
      <c r="Y382" s="53">
        <f>IFERROR(IF(X382="",0,CEILING((X382/$H382),1)*$H382),"")</f>
        <v>18</v>
      </c>
      <c r="Z382" s="39">
        <f>IFERROR(IF(Y382=0,"",ROUNDUP(Y382/H382,0)*0.00651),"")</f>
        <v>3.9059999999999997E-2</v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19.475999999999999</v>
      </c>
      <c r="BN382" s="75">
        <f>IFERROR(Y382*I382/H382,"0")</f>
        <v>19.475999999999999</v>
      </c>
      <c r="BO382" s="75">
        <f>IFERROR(1/J382*(X382/H382),"0")</f>
        <v>3.2967032967032968E-2</v>
      </c>
      <c r="BP382" s="75">
        <f>IFERROR(1/J382*(Y382/H382),"0")</f>
        <v>3.2967032967032968E-2</v>
      </c>
    </row>
    <row r="383" spans="1:68" x14ac:dyDescent="0.2">
      <c r="A383" s="656"/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7"/>
      <c r="P383" s="653" t="s">
        <v>40</v>
      </c>
      <c r="Q383" s="654"/>
      <c r="R383" s="654"/>
      <c r="S383" s="654"/>
      <c r="T383" s="654"/>
      <c r="U383" s="654"/>
      <c r="V383" s="655"/>
      <c r="W383" s="40" t="s">
        <v>39</v>
      </c>
      <c r="X383" s="41">
        <f>IFERROR(X379/H379,"0")+IFERROR(X380/H380,"0")+IFERROR(X381/H381,"0")+IFERROR(X382/H382,"0")</f>
        <v>6</v>
      </c>
      <c r="Y383" s="41">
        <f>IFERROR(Y379/H379,"0")+IFERROR(Y380/H380,"0")+IFERROR(Y381/H381,"0")+IFERROR(Y382/H382,"0")</f>
        <v>6</v>
      </c>
      <c r="Z383" s="41">
        <f>IFERROR(IF(Z379="",0,Z379),"0")+IFERROR(IF(Z380="",0,Z380),"0")+IFERROR(IF(Z381="",0,Z381),"0")+IFERROR(IF(Z382="",0,Z382),"0")</f>
        <v>3.9059999999999997E-2</v>
      </c>
      <c r="AA383" s="64"/>
      <c r="AB383" s="64"/>
      <c r="AC383" s="64"/>
    </row>
    <row r="384" spans="1:68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0" t="s">
        <v>0</v>
      </c>
      <c r="X384" s="41">
        <f>IFERROR(SUM(X379:X382),"0")</f>
        <v>18</v>
      </c>
      <c r="Y384" s="41">
        <f>IFERROR(SUM(Y379:Y382),"0")</f>
        <v>18</v>
      </c>
      <c r="Z384" s="40"/>
      <c r="AA384" s="64"/>
      <c r="AB384" s="64"/>
      <c r="AC384" s="64"/>
    </row>
    <row r="385" spans="1:68" ht="14.25" hidden="1" customHeight="1" x14ac:dyDescent="0.25">
      <c r="A385" s="648" t="s">
        <v>175</v>
      </c>
      <c r="B385" s="648"/>
      <c r="C385" s="648"/>
      <c r="D385" s="648"/>
      <c r="E385" s="648"/>
      <c r="F385" s="648"/>
      <c r="G385" s="648"/>
      <c r="H385" s="648"/>
      <c r="I385" s="648"/>
      <c r="J385" s="648"/>
      <c r="K385" s="648"/>
      <c r="L385" s="648"/>
      <c r="M385" s="648"/>
      <c r="N385" s="648"/>
      <c r="O385" s="648"/>
      <c r="P385" s="648"/>
      <c r="Q385" s="648"/>
      <c r="R385" s="648"/>
      <c r="S385" s="648"/>
      <c r="T385" s="648"/>
      <c r="U385" s="648"/>
      <c r="V385" s="648"/>
      <c r="W385" s="648"/>
      <c r="X385" s="648"/>
      <c r="Y385" s="648"/>
      <c r="Z385" s="648"/>
      <c r="AA385" s="63"/>
      <c r="AB385" s="63"/>
      <c r="AC385" s="63"/>
    </row>
    <row r="386" spans="1:68" ht="27" hidden="1" customHeight="1" x14ac:dyDescent="0.25">
      <c r="A386" s="60" t="s">
        <v>648</v>
      </c>
      <c r="B386" s="60" t="s">
        <v>649</v>
      </c>
      <c r="C386" s="34">
        <v>4301060387</v>
      </c>
      <c r="D386" s="649">
        <v>4607091380880</v>
      </c>
      <c r="E386" s="649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7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1"/>
      <c r="R386" s="651"/>
      <c r="S386" s="651"/>
      <c r="T386" s="652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customHeight="1" x14ac:dyDescent="0.25">
      <c r="A387" s="60" t="s">
        <v>651</v>
      </c>
      <c r="B387" s="60" t="s">
        <v>652</v>
      </c>
      <c r="C387" s="34">
        <v>4301060406</v>
      </c>
      <c r="D387" s="649">
        <v>4607091384482</v>
      </c>
      <c r="E387" s="649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7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1"/>
      <c r="R387" s="651"/>
      <c r="S387" s="651"/>
      <c r="T387" s="652"/>
      <c r="U387" s="37" t="s">
        <v>46</v>
      </c>
      <c r="V387" s="37" t="s">
        <v>46</v>
      </c>
      <c r="W387" s="38" t="s">
        <v>0</v>
      </c>
      <c r="X387" s="56">
        <v>195</v>
      </c>
      <c r="Y387" s="53">
        <f>IFERROR(IF(X387="",0,CEILING((X387/$H387),1)*$H387),"")</f>
        <v>195</v>
      </c>
      <c r="Z387" s="39">
        <f>IFERROR(IF(Y387=0,"",ROUNDUP(Y387/H387,0)*0.01898),"")</f>
        <v>0.47450000000000003</v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207.35000000000002</v>
      </c>
      <c r="BN387" s="75">
        <f>IFERROR(Y387*I387/H387,"0")</f>
        <v>207.35000000000002</v>
      </c>
      <c r="BO387" s="75">
        <f>IFERROR(1/J387*(X387/H387),"0")</f>
        <v>0.390625</v>
      </c>
      <c r="BP387" s="75">
        <f>IFERROR(1/J387*(Y387/H387),"0")</f>
        <v>0.390625</v>
      </c>
    </row>
    <row r="388" spans="1:68" ht="27" customHeight="1" x14ac:dyDescent="0.25">
      <c r="A388" s="60" t="s">
        <v>654</v>
      </c>
      <c r="B388" s="60" t="s">
        <v>655</v>
      </c>
      <c r="C388" s="34">
        <v>4301060484</v>
      </c>
      <c r="D388" s="649">
        <v>4607091380897</v>
      </c>
      <c r="E388" s="649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1"/>
      <c r="R388" s="651"/>
      <c r="S388" s="651"/>
      <c r="T388" s="652"/>
      <c r="U388" s="37" t="s">
        <v>46</v>
      </c>
      <c r="V388" s="37" t="s">
        <v>46</v>
      </c>
      <c r="W388" s="38" t="s">
        <v>0</v>
      </c>
      <c r="X388" s="56">
        <v>42</v>
      </c>
      <c r="Y388" s="53">
        <f>IFERROR(IF(X388="",0,CEILING((X388/$H388),1)*$H388),"")</f>
        <v>42</v>
      </c>
      <c r="Z388" s="39">
        <f>IFERROR(IF(Y388=0,"",ROUNDUP(Y388/H388,0)*0.01898),"")</f>
        <v>9.4899999999999998E-2</v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44.47</v>
      </c>
      <c r="BN388" s="75">
        <f>IFERROR(Y388*I388/H388,"0")</f>
        <v>44.47</v>
      </c>
      <c r="BO388" s="75">
        <f>IFERROR(1/J388*(X388/H388),"0")</f>
        <v>7.8125E-2</v>
      </c>
      <c r="BP388" s="75">
        <f>IFERROR(1/J388*(Y388/H388),"0")</f>
        <v>7.8125E-2</v>
      </c>
    </row>
    <row r="389" spans="1:68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0" t="s">
        <v>39</v>
      </c>
      <c r="X389" s="41">
        <f>IFERROR(X386/H386,"0")+IFERROR(X387/H387,"0")+IFERROR(X388/H388,"0")</f>
        <v>30</v>
      </c>
      <c r="Y389" s="41">
        <f>IFERROR(Y386/H386,"0")+IFERROR(Y387/H387,"0")+IFERROR(Y388/H388,"0")</f>
        <v>30</v>
      </c>
      <c r="Z389" s="41">
        <f>IFERROR(IF(Z386="",0,Z386),"0")+IFERROR(IF(Z387="",0,Z387),"0")+IFERROR(IF(Z388="",0,Z388),"0")</f>
        <v>0.56940000000000002</v>
      </c>
      <c r="AA389" s="64"/>
      <c r="AB389" s="64"/>
      <c r="AC389" s="64"/>
    </row>
    <row r="390" spans="1:68" x14ac:dyDescent="0.2">
      <c r="A390" s="656"/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7"/>
      <c r="P390" s="653" t="s">
        <v>40</v>
      </c>
      <c r="Q390" s="654"/>
      <c r="R390" s="654"/>
      <c r="S390" s="654"/>
      <c r="T390" s="654"/>
      <c r="U390" s="654"/>
      <c r="V390" s="655"/>
      <c r="W390" s="40" t="s">
        <v>0</v>
      </c>
      <c r="X390" s="41">
        <f>IFERROR(SUM(X386:X388),"0")</f>
        <v>237</v>
      </c>
      <c r="Y390" s="41">
        <f>IFERROR(SUM(Y386:Y388),"0")</f>
        <v>237</v>
      </c>
      <c r="Z390" s="40"/>
      <c r="AA390" s="64"/>
      <c r="AB390" s="64"/>
      <c r="AC390" s="64"/>
    </row>
    <row r="391" spans="1:68" ht="14.25" hidden="1" customHeight="1" x14ac:dyDescent="0.25">
      <c r="A391" s="648" t="s">
        <v>278</v>
      </c>
      <c r="B391" s="648"/>
      <c r="C391" s="648"/>
      <c r="D391" s="648"/>
      <c r="E391" s="648"/>
      <c r="F391" s="648"/>
      <c r="G391" s="648"/>
      <c r="H391" s="648"/>
      <c r="I391" s="648"/>
      <c r="J391" s="648"/>
      <c r="K391" s="648"/>
      <c r="L391" s="648"/>
      <c r="M391" s="648"/>
      <c r="N391" s="648"/>
      <c r="O391" s="648"/>
      <c r="P391" s="648"/>
      <c r="Q391" s="648"/>
      <c r="R391" s="648"/>
      <c r="S391" s="648"/>
      <c r="T391" s="648"/>
      <c r="U391" s="648"/>
      <c r="V391" s="648"/>
      <c r="W391" s="648"/>
      <c r="X391" s="648"/>
      <c r="Y391" s="648"/>
      <c r="Z391" s="648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649">
        <v>4607091388381</v>
      </c>
      <c r="E392" s="649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1"/>
      <c r="R392" s="651"/>
      <c r="S392" s="651"/>
      <c r="T392" s="652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649">
        <v>4607091388374</v>
      </c>
      <c r="E393" s="649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73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1"/>
      <c r="R393" s="651"/>
      <c r="S393" s="651"/>
      <c r="T393" s="652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662</v>
      </c>
      <c r="B394" s="60" t="s">
        <v>663</v>
      </c>
      <c r="C394" s="34">
        <v>4301032015</v>
      </c>
      <c r="D394" s="649">
        <v>4607091383102</v>
      </c>
      <c r="E394" s="649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1"/>
      <c r="R394" s="651"/>
      <c r="S394" s="651"/>
      <c r="T394" s="652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649">
        <v>4607091388404</v>
      </c>
      <c r="E395" s="649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7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1"/>
      <c r="R395" s="651"/>
      <c r="S395" s="651"/>
      <c r="T395" s="652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56"/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7"/>
      <c r="P396" s="653" t="s">
        <v>40</v>
      </c>
      <c r="Q396" s="654"/>
      <c r="R396" s="654"/>
      <c r="S396" s="654"/>
      <c r="T396" s="654"/>
      <c r="U396" s="654"/>
      <c r="V396" s="655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48" t="s">
        <v>666</v>
      </c>
      <c r="B398" s="648"/>
      <c r="C398" s="648"/>
      <c r="D398" s="648"/>
      <c r="E398" s="648"/>
      <c r="F398" s="648"/>
      <c r="G398" s="648"/>
      <c r="H398" s="648"/>
      <c r="I398" s="648"/>
      <c r="J398" s="648"/>
      <c r="K398" s="648"/>
      <c r="L398" s="648"/>
      <c r="M398" s="648"/>
      <c r="N398" s="648"/>
      <c r="O398" s="648"/>
      <c r="P398" s="648"/>
      <c r="Q398" s="648"/>
      <c r="R398" s="648"/>
      <c r="S398" s="648"/>
      <c r="T398" s="648"/>
      <c r="U398" s="648"/>
      <c r="V398" s="648"/>
      <c r="W398" s="648"/>
      <c r="X398" s="648"/>
      <c r="Y398" s="648"/>
      <c r="Z398" s="648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649">
        <v>4680115881808</v>
      </c>
      <c r="E399" s="649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7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1"/>
      <c r="R399" s="651"/>
      <c r="S399" s="651"/>
      <c r="T399" s="652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649">
        <v>4680115881822</v>
      </c>
      <c r="E400" s="649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7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1"/>
      <c r="R400" s="651"/>
      <c r="S400" s="651"/>
      <c r="T400" s="652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673</v>
      </c>
      <c r="B401" s="60" t="s">
        <v>674</v>
      </c>
      <c r="C401" s="34">
        <v>4301180001</v>
      </c>
      <c r="D401" s="649">
        <v>4680115880016</v>
      </c>
      <c r="E401" s="649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7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1"/>
      <c r="R401" s="651"/>
      <c r="S401" s="651"/>
      <c r="T401" s="652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56"/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7"/>
      <c r="P403" s="653" t="s">
        <v>40</v>
      </c>
      <c r="Q403" s="654"/>
      <c r="R403" s="654"/>
      <c r="S403" s="654"/>
      <c r="T403" s="654"/>
      <c r="U403" s="654"/>
      <c r="V403" s="655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48" t="s">
        <v>675</v>
      </c>
      <c r="B404" s="648"/>
      <c r="C404" s="648"/>
      <c r="D404" s="648"/>
      <c r="E404" s="648"/>
      <c r="F404" s="648"/>
      <c r="G404" s="648"/>
      <c r="H404" s="648"/>
      <c r="I404" s="648"/>
      <c r="J404" s="648"/>
      <c r="K404" s="648"/>
      <c r="L404" s="648"/>
      <c r="M404" s="648"/>
      <c r="N404" s="648"/>
      <c r="O404" s="648"/>
      <c r="P404" s="648"/>
      <c r="Q404" s="648"/>
      <c r="R404" s="648"/>
      <c r="S404" s="648"/>
      <c r="T404" s="648"/>
      <c r="U404" s="648"/>
      <c r="V404" s="648"/>
      <c r="W404" s="648"/>
      <c r="X404" s="648"/>
      <c r="Y404" s="648"/>
      <c r="Z404" s="648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649">
        <v>4680115888678</v>
      </c>
      <c r="E405" s="649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73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1"/>
      <c r="R405" s="651"/>
      <c r="S405" s="651"/>
      <c r="T405" s="652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649">
        <v>4680115888654</v>
      </c>
      <c r="E406" s="649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1"/>
      <c r="R406" s="651"/>
      <c r="S406" s="651"/>
      <c r="T406" s="652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649">
        <v>4680115888753</v>
      </c>
      <c r="E407" s="649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7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1"/>
      <c r="R407" s="651"/>
      <c r="S407" s="651"/>
      <c r="T407" s="652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56"/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7"/>
      <c r="P409" s="653" t="s">
        <v>40</v>
      </c>
      <c r="Q409" s="654"/>
      <c r="R409" s="654"/>
      <c r="S409" s="654"/>
      <c r="T409" s="654"/>
      <c r="U409" s="654"/>
      <c r="V409" s="655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47" t="s">
        <v>684</v>
      </c>
      <c r="B410" s="647"/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  <c r="M410" s="647"/>
      <c r="N410" s="647"/>
      <c r="O410" s="647"/>
      <c r="P410" s="647"/>
      <c r="Q410" s="647"/>
      <c r="R410" s="647"/>
      <c r="S410" s="647"/>
      <c r="T410" s="647"/>
      <c r="U410" s="647"/>
      <c r="V410" s="647"/>
      <c r="W410" s="647"/>
      <c r="X410" s="647"/>
      <c r="Y410" s="647"/>
      <c r="Z410" s="647"/>
      <c r="AA410" s="62"/>
      <c r="AB410" s="62"/>
      <c r="AC410" s="62"/>
    </row>
    <row r="411" spans="1:68" ht="14.25" hidden="1" customHeight="1" x14ac:dyDescent="0.25">
      <c r="A411" s="648" t="s">
        <v>86</v>
      </c>
      <c r="B411" s="648"/>
      <c r="C411" s="648"/>
      <c r="D411" s="648"/>
      <c r="E411" s="648"/>
      <c r="F411" s="648"/>
      <c r="G411" s="648"/>
      <c r="H411" s="648"/>
      <c r="I411" s="648"/>
      <c r="J411" s="648"/>
      <c r="K411" s="648"/>
      <c r="L411" s="648"/>
      <c r="M411" s="648"/>
      <c r="N411" s="648"/>
      <c r="O411" s="648"/>
      <c r="P411" s="648"/>
      <c r="Q411" s="648"/>
      <c r="R411" s="648"/>
      <c r="S411" s="648"/>
      <c r="T411" s="648"/>
      <c r="U411" s="648"/>
      <c r="V411" s="648"/>
      <c r="W411" s="648"/>
      <c r="X411" s="648"/>
      <c r="Y411" s="648"/>
      <c r="Z411" s="648"/>
      <c r="AA411" s="63"/>
      <c r="AB411" s="63"/>
      <c r="AC411" s="63"/>
    </row>
    <row r="412" spans="1:68" ht="16.5" customHeight="1" x14ac:dyDescent="0.25">
      <c r="A412" s="60" t="s">
        <v>685</v>
      </c>
      <c r="B412" s="60" t="s">
        <v>686</v>
      </c>
      <c r="C412" s="34">
        <v>4301052235</v>
      </c>
      <c r="D412" s="649">
        <v>4680115889415</v>
      </c>
      <c r="E412" s="649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72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1"/>
      <c r="R412" s="651"/>
      <c r="S412" s="651"/>
      <c r="T412" s="652"/>
      <c r="U412" s="37" t="s">
        <v>46</v>
      </c>
      <c r="V412" s="37" t="s">
        <v>46</v>
      </c>
      <c r="W412" s="38" t="s">
        <v>0</v>
      </c>
      <c r="X412" s="56">
        <v>39</v>
      </c>
      <c r="Y412" s="53">
        <f>IFERROR(IF(X412="",0,CEILING((X412/$H412),1)*$H412),"")</f>
        <v>39</v>
      </c>
      <c r="Z412" s="39">
        <f>IFERROR(IF(Y412=0,"",ROUNDUP(Y412/H412,0)*0.01898),"")</f>
        <v>9.4899999999999998E-2</v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41.050000000000011</v>
      </c>
      <c r="BN412" s="75">
        <f>IFERROR(Y412*I412/H412,"0")</f>
        <v>41.050000000000011</v>
      </c>
      <c r="BO412" s="75">
        <f>IFERROR(1/J412*(X412/H412),"0")</f>
        <v>7.8125E-2</v>
      </c>
      <c r="BP412" s="75">
        <f>IFERROR(1/J412*(Y412/H412),"0")</f>
        <v>7.8125E-2</v>
      </c>
    </row>
    <row r="413" spans="1:68" ht="16.5" customHeight="1" x14ac:dyDescent="0.25">
      <c r="A413" s="60" t="s">
        <v>688</v>
      </c>
      <c r="B413" s="60" t="s">
        <v>689</v>
      </c>
      <c r="C413" s="34">
        <v>4301052236</v>
      </c>
      <c r="D413" s="649">
        <v>4680115889422</v>
      </c>
      <c r="E413" s="649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72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1"/>
      <c r="R413" s="651"/>
      <c r="S413" s="651"/>
      <c r="T413" s="652"/>
      <c r="U413" s="37" t="s">
        <v>46</v>
      </c>
      <c r="V413" s="37" t="s">
        <v>46</v>
      </c>
      <c r="W413" s="38" t="s">
        <v>0</v>
      </c>
      <c r="X413" s="56">
        <v>39</v>
      </c>
      <c r="Y413" s="53">
        <f>IFERROR(IF(X413="",0,CEILING((X413/$H413),1)*$H413),"")</f>
        <v>39</v>
      </c>
      <c r="Z413" s="39">
        <f>IFERROR(IF(Y413=0,"",ROUNDUP(Y413/H413,0)*0.01898),"")</f>
        <v>9.4899999999999998E-2</v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41.050000000000011</v>
      </c>
      <c r="BN413" s="75">
        <f>IFERROR(Y413*I413/H413,"0")</f>
        <v>41.050000000000011</v>
      </c>
      <c r="BO413" s="75">
        <f>IFERROR(1/J413*(X413/H413),"0")</f>
        <v>7.8125E-2</v>
      </c>
      <c r="BP413" s="75">
        <f>IFERROR(1/J413*(Y413/H413),"0")</f>
        <v>7.8125E-2</v>
      </c>
    </row>
    <row r="414" spans="1:68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0" t="s">
        <v>39</v>
      </c>
      <c r="X414" s="41">
        <f>IFERROR(X412/H412,"0")+IFERROR(X413/H413,"0")</f>
        <v>10</v>
      </c>
      <c r="Y414" s="41">
        <f>IFERROR(Y412/H412,"0")+IFERROR(Y413/H413,"0")</f>
        <v>10</v>
      </c>
      <c r="Z414" s="41">
        <f>IFERROR(IF(Z412="",0,Z412),"0")+IFERROR(IF(Z413="",0,Z413),"0")</f>
        <v>0.1898</v>
      </c>
      <c r="AA414" s="64"/>
      <c r="AB414" s="64"/>
      <c r="AC414" s="64"/>
    </row>
    <row r="415" spans="1:68" x14ac:dyDescent="0.2">
      <c r="A415" s="656"/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7"/>
      <c r="P415" s="653" t="s">
        <v>40</v>
      </c>
      <c r="Q415" s="654"/>
      <c r="R415" s="654"/>
      <c r="S415" s="654"/>
      <c r="T415" s="654"/>
      <c r="U415" s="654"/>
      <c r="V415" s="655"/>
      <c r="W415" s="40" t="s">
        <v>0</v>
      </c>
      <c r="X415" s="41">
        <f>IFERROR(SUM(X412:X413),"0")</f>
        <v>78</v>
      </c>
      <c r="Y415" s="41">
        <f>IFERROR(SUM(Y412:Y413),"0")</f>
        <v>78</v>
      </c>
      <c r="Z415" s="40"/>
      <c r="AA415" s="64"/>
      <c r="AB415" s="64"/>
      <c r="AC415" s="64"/>
    </row>
    <row r="416" spans="1:68" ht="16.5" hidden="1" customHeight="1" x14ac:dyDescent="0.25">
      <c r="A416" s="647" t="s">
        <v>691</v>
      </c>
      <c r="B416" s="647"/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  <c r="M416" s="647"/>
      <c r="N416" s="647"/>
      <c r="O416" s="647"/>
      <c r="P416" s="647"/>
      <c r="Q416" s="647"/>
      <c r="R416" s="647"/>
      <c r="S416" s="647"/>
      <c r="T416" s="647"/>
      <c r="U416" s="647"/>
      <c r="V416" s="647"/>
      <c r="W416" s="647"/>
      <c r="X416" s="647"/>
      <c r="Y416" s="647"/>
      <c r="Z416" s="647"/>
      <c r="AA416" s="62"/>
      <c r="AB416" s="62"/>
      <c r="AC416" s="62"/>
    </row>
    <row r="417" spans="1:68" ht="14.25" hidden="1" customHeight="1" x14ac:dyDescent="0.25">
      <c r="A417" s="648" t="s">
        <v>86</v>
      </c>
      <c r="B417" s="648"/>
      <c r="C417" s="648"/>
      <c r="D417" s="648"/>
      <c r="E417" s="648"/>
      <c r="F417" s="648"/>
      <c r="G417" s="648"/>
      <c r="H417" s="648"/>
      <c r="I417" s="648"/>
      <c r="J417" s="648"/>
      <c r="K417" s="648"/>
      <c r="L417" s="648"/>
      <c r="M417" s="648"/>
      <c r="N417" s="648"/>
      <c r="O417" s="648"/>
      <c r="P417" s="648"/>
      <c r="Q417" s="648"/>
      <c r="R417" s="648"/>
      <c r="S417" s="648"/>
      <c r="T417" s="648"/>
      <c r="U417" s="648"/>
      <c r="V417" s="648"/>
      <c r="W417" s="648"/>
      <c r="X417" s="648"/>
      <c r="Y417" s="648"/>
      <c r="Z417" s="648"/>
      <c r="AA417" s="63"/>
      <c r="AB417" s="63"/>
      <c r="AC417" s="63"/>
    </row>
    <row r="418" spans="1:68" ht="27" customHeight="1" x14ac:dyDescent="0.25">
      <c r="A418" s="60" t="s">
        <v>692</v>
      </c>
      <c r="B418" s="60" t="s">
        <v>693</v>
      </c>
      <c r="C418" s="34">
        <v>4301051489</v>
      </c>
      <c r="D418" s="649">
        <v>4607091387919</v>
      </c>
      <c r="E418" s="649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1"/>
      <c r="R418" s="651"/>
      <c r="S418" s="651"/>
      <c r="T418" s="652"/>
      <c r="U418" s="37" t="s">
        <v>46</v>
      </c>
      <c r="V418" s="37" t="s">
        <v>46</v>
      </c>
      <c r="W418" s="38" t="s">
        <v>0</v>
      </c>
      <c r="X418" s="56">
        <v>162</v>
      </c>
      <c r="Y418" s="53">
        <f>IFERROR(IF(X418="",0,CEILING((X418/$H418),1)*$H418),"")</f>
        <v>162</v>
      </c>
      <c r="Z418" s="39">
        <f>IFERROR(IF(Y418=0,"",ROUNDUP(Y418/H418,0)*0.01898),"")</f>
        <v>0.37959999999999999</v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171.88</v>
      </c>
      <c r="BN418" s="75">
        <f>IFERROR(Y418*I418/H418,"0")</f>
        <v>171.88</v>
      </c>
      <c r="BO418" s="75">
        <f>IFERROR(1/J418*(X418/H418),"0")</f>
        <v>0.3125</v>
      </c>
      <c r="BP418" s="75">
        <f>IFERROR(1/J418*(Y418/H418),"0")</f>
        <v>0.3125</v>
      </c>
    </row>
    <row r="419" spans="1:68" ht="27" customHeight="1" x14ac:dyDescent="0.25">
      <c r="A419" s="60" t="s">
        <v>695</v>
      </c>
      <c r="B419" s="60" t="s">
        <v>696</v>
      </c>
      <c r="C419" s="34">
        <v>4301051461</v>
      </c>
      <c r="D419" s="649">
        <v>4680115883604</v>
      </c>
      <c r="E419" s="649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1"/>
      <c r="R419" s="651"/>
      <c r="S419" s="651"/>
      <c r="T419" s="652"/>
      <c r="U419" s="37" t="s">
        <v>46</v>
      </c>
      <c r="V419" s="37" t="s">
        <v>46</v>
      </c>
      <c r="W419" s="38" t="s">
        <v>0</v>
      </c>
      <c r="X419" s="56">
        <v>12.6</v>
      </c>
      <c r="Y419" s="53">
        <f>IFERROR(IF(X419="",0,CEILING((X419/$H419),1)*$H419),"")</f>
        <v>12.600000000000001</v>
      </c>
      <c r="Z419" s="39">
        <f>IFERROR(IF(Y419=0,"",ROUNDUP(Y419/H419,0)*0.00651),"")</f>
        <v>3.9059999999999997E-2</v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14.111999999999998</v>
      </c>
      <c r="BN419" s="75">
        <f>IFERROR(Y419*I419/H419,"0")</f>
        <v>14.112</v>
      </c>
      <c r="BO419" s="75">
        <f>IFERROR(1/J419*(X419/H419),"0")</f>
        <v>3.2967032967032968E-2</v>
      </c>
      <c r="BP419" s="75">
        <f>IFERROR(1/J419*(Y419/H419),"0")</f>
        <v>3.2967032967032968E-2</v>
      </c>
    </row>
    <row r="420" spans="1:68" ht="27" customHeight="1" x14ac:dyDescent="0.25">
      <c r="A420" s="60" t="s">
        <v>698</v>
      </c>
      <c r="B420" s="60" t="s">
        <v>699</v>
      </c>
      <c r="C420" s="34">
        <v>4301051864</v>
      </c>
      <c r="D420" s="649">
        <v>4680115883567</v>
      </c>
      <c r="E420" s="649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1"/>
      <c r="R420" s="651"/>
      <c r="S420" s="651"/>
      <c r="T420" s="652"/>
      <c r="U420" s="37" t="s">
        <v>46</v>
      </c>
      <c r="V420" s="37" t="s">
        <v>46</v>
      </c>
      <c r="W420" s="38" t="s">
        <v>0</v>
      </c>
      <c r="X420" s="56">
        <v>12.6</v>
      </c>
      <c r="Y420" s="53">
        <f>IFERROR(IF(X420="",0,CEILING((X420/$H420),1)*$H420),"")</f>
        <v>12.600000000000001</v>
      </c>
      <c r="Z420" s="39">
        <f>IFERROR(IF(Y420=0,"",ROUNDUP(Y420/H420,0)*0.00651),"")</f>
        <v>3.9059999999999997E-2</v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14.04</v>
      </c>
      <c r="BN420" s="75">
        <f>IFERROR(Y420*I420/H420,"0")</f>
        <v>14.040000000000001</v>
      </c>
      <c r="BO420" s="75">
        <f>IFERROR(1/J420*(X420/H420),"0")</f>
        <v>3.2967032967032968E-2</v>
      </c>
      <c r="BP420" s="75">
        <f>IFERROR(1/J420*(Y420/H420),"0")</f>
        <v>3.2967032967032968E-2</v>
      </c>
    </row>
    <row r="421" spans="1:68" x14ac:dyDescent="0.2">
      <c r="A421" s="656"/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7"/>
      <c r="P421" s="653" t="s">
        <v>40</v>
      </c>
      <c r="Q421" s="654"/>
      <c r="R421" s="654"/>
      <c r="S421" s="654"/>
      <c r="T421" s="654"/>
      <c r="U421" s="654"/>
      <c r="V421" s="655"/>
      <c r="W421" s="40" t="s">
        <v>39</v>
      </c>
      <c r="X421" s="41">
        <f>IFERROR(X418/H418,"0")+IFERROR(X419/H419,"0")+IFERROR(X420/H420,"0")</f>
        <v>32</v>
      </c>
      <c r="Y421" s="41">
        <f>IFERROR(Y418/H418,"0")+IFERROR(Y419/H419,"0")+IFERROR(Y420/H420,"0")</f>
        <v>32</v>
      </c>
      <c r="Z421" s="41">
        <f>IFERROR(IF(Z418="",0,Z418),"0")+IFERROR(IF(Z419="",0,Z419),"0")+IFERROR(IF(Z420="",0,Z420),"0")</f>
        <v>0.45771999999999996</v>
      </c>
      <c r="AA421" s="64"/>
      <c r="AB421" s="64"/>
      <c r="AC421" s="64"/>
    </row>
    <row r="422" spans="1:68" x14ac:dyDescent="0.2">
      <c r="A422" s="656"/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7"/>
      <c r="P422" s="653" t="s">
        <v>40</v>
      </c>
      <c r="Q422" s="654"/>
      <c r="R422" s="654"/>
      <c r="S422" s="654"/>
      <c r="T422" s="654"/>
      <c r="U422" s="654"/>
      <c r="V422" s="655"/>
      <c r="W422" s="40" t="s">
        <v>0</v>
      </c>
      <c r="X422" s="41">
        <f>IFERROR(SUM(X418:X420),"0")</f>
        <v>187.2</v>
      </c>
      <c r="Y422" s="41">
        <f>IFERROR(SUM(Y418:Y420),"0")</f>
        <v>187.2</v>
      </c>
      <c r="Z422" s="40"/>
      <c r="AA422" s="64"/>
      <c r="AB422" s="64"/>
      <c r="AC422" s="64"/>
    </row>
    <row r="423" spans="1:68" ht="27.75" hidden="1" customHeight="1" x14ac:dyDescent="0.2">
      <c r="A423" s="668" t="s">
        <v>701</v>
      </c>
      <c r="B423" s="668"/>
      <c r="C423" s="668"/>
      <c r="D423" s="668"/>
      <c r="E423" s="668"/>
      <c r="F423" s="668"/>
      <c r="G423" s="668"/>
      <c r="H423" s="668"/>
      <c r="I423" s="668"/>
      <c r="J423" s="668"/>
      <c r="K423" s="668"/>
      <c r="L423" s="668"/>
      <c r="M423" s="668"/>
      <c r="N423" s="668"/>
      <c r="O423" s="668"/>
      <c r="P423" s="668"/>
      <c r="Q423" s="668"/>
      <c r="R423" s="668"/>
      <c r="S423" s="668"/>
      <c r="T423" s="668"/>
      <c r="U423" s="668"/>
      <c r="V423" s="668"/>
      <c r="W423" s="668"/>
      <c r="X423" s="668"/>
      <c r="Y423" s="668"/>
      <c r="Z423" s="668"/>
      <c r="AA423" s="52"/>
      <c r="AB423" s="52"/>
      <c r="AC423" s="52"/>
    </row>
    <row r="424" spans="1:68" ht="16.5" hidden="1" customHeight="1" x14ac:dyDescent="0.25">
      <c r="A424" s="647" t="s">
        <v>702</v>
      </c>
      <c r="B424" s="647"/>
      <c r="C424" s="647"/>
      <c r="D424" s="647"/>
      <c r="E424" s="647"/>
      <c r="F424" s="647"/>
      <c r="G424" s="647"/>
      <c r="H424" s="647"/>
      <c r="I424" s="647"/>
      <c r="J424" s="647"/>
      <c r="K424" s="647"/>
      <c r="L424" s="647"/>
      <c r="M424" s="647"/>
      <c r="N424" s="647"/>
      <c r="O424" s="647"/>
      <c r="P424" s="647"/>
      <c r="Q424" s="647"/>
      <c r="R424" s="647"/>
      <c r="S424" s="647"/>
      <c r="T424" s="647"/>
      <c r="U424" s="647"/>
      <c r="V424" s="647"/>
      <c r="W424" s="647"/>
      <c r="X424" s="647"/>
      <c r="Y424" s="647"/>
      <c r="Z424" s="647"/>
      <c r="AA424" s="62"/>
      <c r="AB424" s="62"/>
      <c r="AC424" s="62"/>
    </row>
    <row r="425" spans="1:68" ht="14.25" hidden="1" customHeight="1" x14ac:dyDescent="0.25">
      <c r="A425" s="648" t="s">
        <v>122</v>
      </c>
      <c r="B425" s="648"/>
      <c r="C425" s="648"/>
      <c r="D425" s="648"/>
      <c r="E425" s="648"/>
      <c r="F425" s="648"/>
      <c r="G425" s="648"/>
      <c r="H425" s="648"/>
      <c r="I425" s="648"/>
      <c r="J425" s="648"/>
      <c r="K425" s="648"/>
      <c r="L425" s="648"/>
      <c r="M425" s="648"/>
      <c r="N425" s="648"/>
      <c r="O425" s="648"/>
      <c r="P425" s="648"/>
      <c r="Q425" s="648"/>
      <c r="R425" s="648"/>
      <c r="S425" s="648"/>
      <c r="T425" s="648"/>
      <c r="U425" s="648"/>
      <c r="V425" s="648"/>
      <c r="W425" s="648"/>
      <c r="X425" s="648"/>
      <c r="Y425" s="648"/>
      <c r="Z425" s="648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649">
        <v>4680115888401</v>
      </c>
      <c r="E426" s="649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1"/>
      <c r="R426" s="651"/>
      <c r="S426" s="651"/>
      <c r="T426" s="652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hidden="1" customHeight="1" x14ac:dyDescent="0.25">
      <c r="A427" s="60" t="s">
        <v>706</v>
      </c>
      <c r="B427" s="60" t="s">
        <v>707</v>
      </c>
      <c r="C427" s="34">
        <v>4301011869</v>
      </c>
      <c r="D427" s="649">
        <v>4680115884847</v>
      </c>
      <c r="E427" s="649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1"/>
      <c r="R427" s="651"/>
      <c r="S427" s="651"/>
      <c r="T427" s="652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68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0</v>
      </c>
      <c r="BN427" s="75">
        <f t="shared" si="70"/>
        <v>0</v>
      </c>
      <c r="BO427" s="75">
        <f t="shared" si="71"/>
        <v>0</v>
      </c>
      <c r="BP427" s="75">
        <f t="shared" si="72"/>
        <v>0</v>
      </c>
    </row>
    <row r="428" spans="1:68" ht="27" customHeight="1" x14ac:dyDescent="0.25">
      <c r="A428" s="60" t="s">
        <v>709</v>
      </c>
      <c r="B428" s="60" t="s">
        <v>710</v>
      </c>
      <c r="C428" s="34">
        <v>4301012083</v>
      </c>
      <c r="D428" s="649">
        <v>4680115884854</v>
      </c>
      <c r="E428" s="649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1"/>
      <c r="R428" s="651"/>
      <c r="S428" s="651"/>
      <c r="T428" s="652"/>
      <c r="U428" s="37" t="s">
        <v>46</v>
      </c>
      <c r="V428" s="37" t="s">
        <v>46</v>
      </c>
      <c r="W428" s="38" t="s">
        <v>0</v>
      </c>
      <c r="X428" s="56">
        <v>720</v>
      </c>
      <c r="Y428" s="53">
        <f t="shared" si="68"/>
        <v>720</v>
      </c>
      <c r="Z428" s="39">
        <f>IFERROR(IF(Y428=0,"",ROUNDUP(Y428/H428,0)*0.02175),"")</f>
        <v>1.044</v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742.56</v>
      </c>
      <c r="BN428" s="75">
        <f t="shared" si="70"/>
        <v>742.56</v>
      </c>
      <c r="BO428" s="75">
        <f t="shared" si="71"/>
        <v>1</v>
      </c>
      <c r="BP428" s="75">
        <f t="shared" si="72"/>
        <v>1</v>
      </c>
    </row>
    <row r="429" spans="1:68" ht="27" customHeight="1" x14ac:dyDescent="0.25">
      <c r="A429" s="60" t="s">
        <v>712</v>
      </c>
      <c r="B429" s="60" t="s">
        <v>713</v>
      </c>
      <c r="C429" s="34">
        <v>4301011867</v>
      </c>
      <c r="D429" s="649">
        <v>4680115884830</v>
      </c>
      <c r="E429" s="649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1"/>
      <c r="R429" s="651"/>
      <c r="S429" s="651"/>
      <c r="T429" s="652"/>
      <c r="U429" s="37" t="s">
        <v>46</v>
      </c>
      <c r="V429" s="37" t="s">
        <v>46</v>
      </c>
      <c r="W429" s="38" t="s">
        <v>0</v>
      </c>
      <c r="X429" s="56">
        <v>1440</v>
      </c>
      <c r="Y429" s="53">
        <f t="shared" si="68"/>
        <v>1440</v>
      </c>
      <c r="Z429" s="39">
        <f>IFERROR(IF(Y429=0,"",ROUNDUP(Y429/H429,0)*0.02175),"")</f>
        <v>2.0880000000000001</v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1485.12</v>
      </c>
      <c r="BN429" s="75">
        <f t="shared" si="70"/>
        <v>1485.12</v>
      </c>
      <c r="BO429" s="75">
        <f t="shared" si="71"/>
        <v>2</v>
      </c>
      <c r="BP429" s="75">
        <f t="shared" si="72"/>
        <v>2</v>
      </c>
    </row>
    <row r="430" spans="1:68" ht="27" hidden="1" customHeight="1" x14ac:dyDescent="0.25">
      <c r="A430" s="60" t="s">
        <v>715</v>
      </c>
      <c r="B430" s="60" t="s">
        <v>716</v>
      </c>
      <c r="C430" s="34">
        <v>4301012356</v>
      </c>
      <c r="D430" s="649">
        <v>4680115889231</v>
      </c>
      <c r="E430" s="649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1"/>
      <c r="R430" s="651"/>
      <c r="S430" s="651"/>
      <c r="T430" s="652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649">
        <v>4680115882638</v>
      </c>
      <c r="E431" s="649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1"/>
      <c r="R431" s="651"/>
      <c r="S431" s="651"/>
      <c r="T431" s="652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649">
        <v>4680115884922</v>
      </c>
      <c r="E432" s="649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1"/>
      <c r="R432" s="651"/>
      <c r="S432" s="651"/>
      <c r="T432" s="652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724</v>
      </c>
      <c r="B433" s="60" t="s">
        <v>725</v>
      </c>
      <c r="C433" s="34">
        <v>4301011868</v>
      </c>
      <c r="D433" s="649">
        <v>4680115884861</v>
      </c>
      <c r="E433" s="649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1"/>
      <c r="R433" s="651"/>
      <c r="S433" s="651"/>
      <c r="T433" s="652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656"/>
      <c r="B434" s="656"/>
      <c r="C434" s="656"/>
      <c r="D434" s="656"/>
      <c r="E434" s="656"/>
      <c r="F434" s="656"/>
      <c r="G434" s="656"/>
      <c r="H434" s="656"/>
      <c r="I434" s="656"/>
      <c r="J434" s="656"/>
      <c r="K434" s="656"/>
      <c r="L434" s="656"/>
      <c r="M434" s="656"/>
      <c r="N434" s="656"/>
      <c r="O434" s="657"/>
      <c r="P434" s="653" t="s">
        <v>40</v>
      </c>
      <c r="Q434" s="654"/>
      <c r="R434" s="654"/>
      <c r="S434" s="654"/>
      <c r="T434" s="654"/>
      <c r="U434" s="654"/>
      <c r="V434" s="655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144</v>
      </c>
      <c r="Y434" s="41">
        <f>IFERROR(Y426/H426,"0")+IFERROR(Y427/H427,"0")+IFERROR(Y428/H428,"0")+IFERROR(Y429/H429,"0")+IFERROR(Y430/H430,"0")+IFERROR(Y431/H431,"0")+IFERROR(Y432/H432,"0")+IFERROR(Y433/H433,"0")</f>
        <v>144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3.1320000000000001</v>
      </c>
      <c r="AA434" s="64"/>
      <c r="AB434" s="64"/>
      <c r="AC434" s="64"/>
    </row>
    <row r="435" spans="1:68" x14ac:dyDescent="0.2">
      <c r="A435" s="656"/>
      <c r="B435" s="656"/>
      <c r="C435" s="656"/>
      <c r="D435" s="656"/>
      <c r="E435" s="656"/>
      <c r="F435" s="656"/>
      <c r="G435" s="656"/>
      <c r="H435" s="656"/>
      <c r="I435" s="656"/>
      <c r="J435" s="656"/>
      <c r="K435" s="656"/>
      <c r="L435" s="656"/>
      <c r="M435" s="656"/>
      <c r="N435" s="656"/>
      <c r="O435" s="657"/>
      <c r="P435" s="653" t="s">
        <v>40</v>
      </c>
      <c r="Q435" s="654"/>
      <c r="R435" s="654"/>
      <c r="S435" s="654"/>
      <c r="T435" s="654"/>
      <c r="U435" s="654"/>
      <c r="V435" s="655"/>
      <c r="W435" s="40" t="s">
        <v>0</v>
      </c>
      <c r="X435" s="41">
        <f>IFERROR(SUM(X426:X433),"0")</f>
        <v>2160</v>
      </c>
      <c r="Y435" s="41">
        <f>IFERROR(SUM(Y426:Y433),"0")</f>
        <v>2160</v>
      </c>
      <c r="Z435" s="40"/>
      <c r="AA435" s="64"/>
      <c r="AB435" s="64"/>
      <c r="AC435" s="64"/>
    </row>
    <row r="436" spans="1:68" ht="14.25" hidden="1" customHeight="1" x14ac:dyDescent="0.25">
      <c r="A436" s="648" t="s">
        <v>157</v>
      </c>
      <c r="B436" s="648"/>
      <c r="C436" s="648"/>
      <c r="D436" s="648"/>
      <c r="E436" s="648"/>
      <c r="F436" s="648"/>
      <c r="G436" s="648"/>
      <c r="H436" s="648"/>
      <c r="I436" s="648"/>
      <c r="J436" s="648"/>
      <c r="K436" s="648"/>
      <c r="L436" s="648"/>
      <c r="M436" s="648"/>
      <c r="N436" s="648"/>
      <c r="O436" s="648"/>
      <c r="P436" s="648"/>
      <c r="Q436" s="648"/>
      <c r="R436" s="648"/>
      <c r="S436" s="648"/>
      <c r="T436" s="648"/>
      <c r="U436" s="648"/>
      <c r="V436" s="648"/>
      <c r="W436" s="648"/>
      <c r="X436" s="648"/>
      <c r="Y436" s="648"/>
      <c r="Z436" s="648"/>
      <c r="AA436" s="63"/>
      <c r="AB436" s="63"/>
      <c r="AC436" s="63"/>
    </row>
    <row r="437" spans="1:68" ht="27" customHeight="1" x14ac:dyDescent="0.25">
      <c r="A437" s="60" t="s">
        <v>727</v>
      </c>
      <c r="B437" s="60" t="s">
        <v>728</v>
      </c>
      <c r="C437" s="34">
        <v>4301020178</v>
      </c>
      <c r="D437" s="649">
        <v>4607091383980</v>
      </c>
      <c r="E437" s="649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71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1"/>
      <c r="R437" s="651"/>
      <c r="S437" s="651"/>
      <c r="T437" s="652"/>
      <c r="U437" s="37" t="s">
        <v>46</v>
      </c>
      <c r="V437" s="37" t="s">
        <v>46</v>
      </c>
      <c r="W437" s="38" t="s">
        <v>0</v>
      </c>
      <c r="X437" s="56">
        <v>720</v>
      </c>
      <c r="Y437" s="53">
        <f>IFERROR(IF(X437="",0,CEILING((X437/$H437),1)*$H437),"")</f>
        <v>720</v>
      </c>
      <c r="Z437" s="39">
        <f>IFERROR(IF(Y437=0,"",ROUNDUP(Y437/H437,0)*0.02175),"")</f>
        <v>1.044</v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742.56</v>
      </c>
      <c r="BN437" s="75">
        <f>IFERROR(Y437*I437/H437,"0")</f>
        <v>742.56</v>
      </c>
      <c r="BO437" s="75">
        <f>IFERROR(1/J437*(X437/H437),"0")</f>
        <v>1</v>
      </c>
      <c r="BP437" s="75">
        <f>IFERROR(1/J437*(Y437/H437),"0")</f>
        <v>1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649">
        <v>4680115888425</v>
      </c>
      <c r="E438" s="649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7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1"/>
      <c r="R438" s="651"/>
      <c r="S438" s="651"/>
      <c r="T438" s="652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649">
        <v>4607091384178</v>
      </c>
      <c r="E439" s="649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71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1"/>
      <c r="R439" s="651"/>
      <c r="S439" s="651"/>
      <c r="T439" s="652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0" t="s">
        <v>39</v>
      </c>
      <c r="X440" s="41">
        <f>IFERROR(X437/H437,"0")+IFERROR(X438/H438,"0")+IFERROR(X439/H439,"0")</f>
        <v>48</v>
      </c>
      <c r="Y440" s="41">
        <f>IFERROR(Y437/H437,"0")+IFERROR(Y438/H438,"0")+IFERROR(Y439/H439,"0")</f>
        <v>48</v>
      </c>
      <c r="Z440" s="41">
        <f>IFERROR(IF(Z437="",0,Z437),"0")+IFERROR(IF(Z438="",0,Z438),"0")+IFERROR(IF(Z439="",0,Z439),"0")</f>
        <v>1.044</v>
      </c>
      <c r="AA440" s="64"/>
      <c r="AB440" s="64"/>
      <c r="AC440" s="64"/>
    </row>
    <row r="441" spans="1:68" x14ac:dyDescent="0.2">
      <c r="A441" s="656"/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7"/>
      <c r="P441" s="653" t="s">
        <v>40</v>
      </c>
      <c r="Q441" s="654"/>
      <c r="R441" s="654"/>
      <c r="S441" s="654"/>
      <c r="T441" s="654"/>
      <c r="U441" s="654"/>
      <c r="V441" s="655"/>
      <c r="W441" s="40" t="s">
        <v>0</v>
      </c>
      <c r="X441" s="41">
        <f>IFERROR(SUM(X437:X439),"0")</f>
        <v>720</v>
      </c>
      <c r="Y441" s="41">
        <f>IFERROR(SUM(Y437:Y439),"0")</f>
        <v>720</v>
      </c>
      <c r="Z441" s="40"/>
      <c r="AA441" s="64"/>
      <c r="AB441" s="64"/>
      <c r="AC441" s="64"/>
    </row>
    <row r="442" spans="1:68" ht="14.25" hidden="1" customHeight="1" x14ac:dyDescent="0.25">
      <c r="A442" s="648" t="s">
        <v>86</v>
      </c>
      <c r="B442" s="648"/>
      <c r="C442" s="648"/>
      <c r="D442" s="648"/>
      <c r="E442" s="648"/>
      <c r="F442" s="648"/>
      <c r="G442" s="648"/>
      <c r="H442" s="648"/>
      <c r="I442" s="648"/>
      <c r="J442" s="648"/>
      <c r="K442" s="648"/>
      <c r="L442" s="648"/>
      <c r="M442" s="648"/>
      <c r="N442" s="648"/>
      <c r="O442" s="648"/>
      <c r="P442" s="648"/>
      <c r="Q442" s="648"/>
      <c r="R442" s="648"/>
      <c r="S442" s="648"/>
      <c r="T442" s="648"/>
      <c r="U442" s="648"/>
      <c r="V442" s="648"/>
      <c r="W442" s="648"/>
      <c r="X442" s="648"/>
      <c r="Y442" s="648"/>
      <c r="Z442" s="648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649">
        <v>4607091383928</v>
      </c>
      <c r="E443" s="649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7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1"/>
      <c r="R443" s="651"/>
      <c r="S443" s="651"/>
      <c r="T443" s="652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customHeight="1" x14ac:dyDescent="0.25">
      <c r="A444" s="60" t="s">
        <v>739</v>
      </c>
      <c r="B444" s="60" t="s">
        <v>740</v>
      </c>
      <c r="C444" s="34">
        <v>4301051897</v>
      </c>
      <c r="D444" s="649">
        <v>4607091384260</v>
      </c>
      <c r="E444" s="649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70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1"/>
      <c r="R444" s="651"/>
      <c r="S444" s="651"/>
      <c r="T444" s="652"/>
      <c r="U444" s="37" t="s">
        <v>46</v>
      </c>
      <c r="V444" s="37" t="s">
        <v>46</v>
      </c>
      <c r="W444" s="38" t="s">
        <v>0</v>
      </c>
      <c r="X444" s="56">
        <v>36</v>
      </c>
      <c r="Y444" s="53">
        <f>IFERROR(IF(X444="",0,CEILING((X444/$H444),1)*$H444),"")</f>
        <v>36</v>
      </c>
      <c r="Z444" s="39">
        <f>IFERROR(IF(Y444=0,"",ROUNDUP(Y444/H444,0)*0.01898),"")</f>
        <v>7.5920000000000001E-2</v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37.975999999999999</v>
      </c>
      <c r="BN444" s="75">
        <f>IFERROR(Y444*I444/H444,"0")</f>
        <v>37.975999999999999</v>
      </c>
      <c r="BO444" s="75">
        <f>IFERROR(1/J444*(X444/H444),"0")</f>
        <v>6.25E-2</v>
      </c>
      <c r="BP444" s="75">
        <f>IFERROR(1/J444*(Y444/H444),"0")</f>
        <v>6.25E-2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649">
        <v>4680115889538</v>
      </c>
      <c r="E445" s="649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71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1"/>
      <c r="R445" s="651"/>
      <c r="S445" s="651"/>
      <c r="T445" s="652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0" t="s">
        <v>39</v>
      </c>
      <c r="X446" s="41">
        <f>IFERROR(X443/H443,"0")+IFERROR(X444/H444,"0")+IFERROR(X445/H445,"0")</f>
        <v>4</v>
      </c>
      <c r="Y446" s="41">
        <f>IFERROR(Y443/H443,"0")+IFERROR(Y444/H444,"0")+IFERROR(Y445/H445,"0")</f>
        <v>4</v>
      </c>
      <c r="Z446" s="41">
        <f>IFERROR(IF(Z443="",0,Z443),"0")+IFERROR(IF(Z444="",0,Z444),"0")+IFERROR(IF(Z445="",0,Z445),"0")</f>
        <v>7.5920000000000001E-2</v>
      </c>
      <c r="AA446" s="64"/>
      <c r="AB446" s="64"/>
      <c r="AC446" s="64"/>
    </row>
    <row r="447" spans="1:68" x14ac:dyDescent="0.2">
      <c r="A447" s="656"/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7"/>
      <c r="P447" s="653" t="s">
        <v>40</v>
      </c>
      <c r="Q447" s="654"/>
      <c r="R447" s="654"/>
      <c r="S447" s="654"/>
      <c r="T447" s="654"/>
      <c r="U447" s="654"/>
      <c r="V447" s="655"/>
      <c r="W447" s="40" t="s">
        <v>0</v>
      </c>
      <c r="X447" s="41">
        <f>IFERROR(SUM(X443:X445),"0")</f>
        <v>36</v>
      </c>
      <c r="Y447" s="41">
        <f>IFERROR(SUM(Y443:Y445),"0")</f>
        <v>36</v>
      </c>
      <c r="Z447" s="40"/>
      <c r="AA447" s="64"/>
      <c r="AB447" s="64"/>
      <c r="AC447" s="64"/>
    </row>
    <row r="448" spans="1:68" ht="14.25" hidden="1" customHeight="1" x14ac:dyDescent="0.25">
      <c r="A448" s="648" t="s">
        <v>175</v>
      </c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8"/>
      <c r="P448" s="648"/>
      <c r="Q448" s="648"/>
      <c r="R448" s="648"/>
      <c r="S448" s="648"/>
      <c r="T448" s="648"/>
      <c r="U448" s="648"/>
      <c r="V448" s="648"/>
      <c r="W448" s="648"/>
      <c r="X448" s="648"/>
      <c r="Y448" s="648"/>
      <c r="Z448" s="648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649">
        <v>4680115889545</v>
      </c>
      <c r="E449" s="649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70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1"/>
      <c r="R449" s="651"/>
      <c r="S449" s="651"/>
      <c r="T449" s="652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748</v>
      </c>
      <c r="B450" s="60" t="s">
        <v>749</v>
      </c>
      <c r="C450" s="34">
        <v>4301060524</v>
      </c>
      <c r="D450" s="649">
        <v>4607091384673</v>
      </c>
      <c r="E450" s="649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1"/>
      <c r="R450" s="651"/>
      <c r="S450" s="651"/>
      <c r="T450" s="652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647" t="s">
        <v>751</v>
      </c>
      <c r="B453" s="647"/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  <c r="M453" s="647"/>
      <c r="N453" s="647"/>
      <c r="O453" s="647"/>
      <c r="P453" s="647"/>
      <c r="Q453" s="647"/>
      <c r="R453" s="647"/>
      <c r="S453" s="647"/>
      <c r="T453" s="647"/>
      <c r="U453" s="647"/>
      <c r="V453" s="647"/>
      <c r="W453" s="647"/>
      <c r="X453" s="647"/>
      <c r="Y453" s="647"/>
      <c r="Z453" s="647"/>
      <c r="AA453" s="62"/>
      <c r="AB453" s="62"/>
      <c r="AC453" s="62"/>
    </row>
    <row r="454" spans="1:68" ht="14.25" hidden="1" customHeight="1" x14ac:dyDescent="0.25">
      <c r="A454" s="648" t="s">
        <v>122</v>
      </c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8"/>
      <c r="P454" s="648"/>
      <c r="Q454" s="648"/>
      <c r="R454" s="648"/>
      <c r="S454" s="648"/>
      <c r="T454" s="648"/>
      <c r="U454" s="648"/>
      <c r="V454" s="648"/>
      <c r="W454" s="648"/>
      <c r="X454" s="648"/>
      <c r="Y454" s="648"/>
      <c r="Z454" s="648"/>
      <c r="AA454" s="63"/>
      <c r="AB454" s="63"/>
      <c r="AC454" s="63"/>
    </row>
    <row r="455" spans="1:68" ht="27" hidden="1" customHeight="1" x14ac:dyDescent="0.25">
      <c r="A455" s="60" t="s">
        <v>752</v>
      </c>
      <c r="B455" s="60" t="s">
        <v>753</v>
      </c>
      <c r="C455" s="34">
        <v>4301011875</v>
      </c>
      <c r="D455" s="649">
        <v>4680115884885</v>
      </c>
      <c r="E455" s="649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70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1"/>
      <c r="R455" s="651"/>
      <c r="S455" s="651"/>
      <c r="T455" s="652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649">
        <v>4680115884908</v>
      </c>
      <c r="E456" s="649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7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1"/>
      <c r="R456" s="651"/>
      <c r="S456" s="651"/>
      <c r="T456" s="652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6"/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7"/>
      <c r="P458" s="653" t="s">
        <v>40</v>
      </c>
      <c r="Q458" s="654"/>
      <c r="R458" s="654"/>
      <c r="S458" s="654"/>
      <c r="T458" s="654"/>
      <c r="U458" s="654"/>
      <c r="V458" s="655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48" t="s">
        <v>77</v>
      </c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8"/>
      <c r="P459" s="648"/>
      <c r="Q459" s="648"/>
      <c r="R459" s="648"/>
      <c r="S459" s="648"/>
      <c r="T459" s="648"/>
      <c r="U459" s="648"/>
      <c r="V459" s="648"/>
      <c r="W459" s="648"/>
      <c r="X459" s="648"/>
      <c r="Y459" s="648"/>
      <c r="Z459" s="648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649">
        <v>4607091384802</v>
      </c>
      <c r="E460" s="649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1"/>
      <c r="R460" s="651"/>
      <c r="S460" s="651"/>
      <c r="T460" s="652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648" t="s">
        <v>86</v>
      </c>
      <c r="B463" s="648"/>
      <c r="C463" s="648"/>
      <c r="D463" s="648"/>
      <c r="E463" s="648"/>
      <c r="F463" s="648"/>
      <c r="G463" s="648"/>
      <c r="H463" s="648"/>
      <c r="I463" s="648"/>
      <c r="J463" s="648"/>
      <c r="K463" s="648"/>
      <c r="L463" s="648"/>
      <c r="M463" s="648"/>
      <c r="N463" s="648"/>
      <c r="O463" s="648"/>
      <c r="P463" s="648"/>
      <c r="Q463" s="648"/>
      <c r="R463" s="648"/>
      <c r="S463" s="648"/>
      <c r="T463" s="648"/>
      <c r="U463" s="648"/>
      <c r="V463" s="648"/>
      <c r="W463" s="648"/>
      <c r="X463" s="648"/>
      <c r="Y463" s="648"/>
      <c r="Z463" s="648"/>
      <c r="AA463" s="63"/>
      <c r="AB463" s="63"/>
      <c r="AC463" s="63"/>
    </row>
    <row r="464" spans="1:68" ht="27" hidden="1" customHeight="1" x14ac:dyDescent="0.25">
      <c r="A464" s="60" t="s">
        <v>760</v>
      </c>
      <c r="B464" s="60" t="s">
        <v>761</v>
      </c>
      <c r="C464" s="34">
        <v>4301051899</v>
      </c>
      <c r="D464" s="649">
        <v>4607091384246</v>
      </c>
      <c r="E464" s="649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1"/>
      <c r="R464" s="651"/>
      <c r="S464" s="651"/>
      <c r="T464" s="652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763</v>
      </c>
      <c r="B465" s="60" t="s">
        <v>764</v>
      </c>
      <c r="C465" s="34">
        <v>4301051660</v>
      </c>
      <c r="D465" s="649">
        <v>4607091384253</v>
      </c>
      <c r="E465" s="649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1"/>
      <c r="R465" s="651"/>
      <c r="S465" s="651"/>
      <c r="T465" s="652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649">
        <v>4607091384253</v>
      </c>
      <c r="E466" s="649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1"/>
      <c r="R466" s="651"/>
      <c r="S466" s="651"/>
      <c r="T466" s="652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668" t="s">
        <v>767</v>
      </c>
      <c r="B469" s="668"/>
      <c r="C469" s="668"/>
      <c r="D469" s="668"/>
      <c r="E469" s="668"/>
      <c r="F469" s="668"/>
      <c r="G469" s="668"/>
      <c r="H469" s="668"/>
      <c r="I469" s="668"/>
      <c r="J469" s="668"/>
      <c r="K469" s="668"/>
      <c r="L469" s="668"/>
      <c r="M469" s="668"/>
      <c r="N469" s="668"/>
      <c r="O469" s="668"/>
      <c r="P469" s="668"/>
      <c r="Q469" s="668"/>
      <c r="R469" s="668"/>
      <c r="S469" s="668"/>
      <c r="T469" s="668"/>
      <c r="U469" s="668"/>
      <c r="V469" s="668"/>
      <c r="W469" s="668"/>
      <c r="X469" s="668"/>
      <c r="Y469" s="668"/>
      <c r="Z469" s="668"/>
      <c r="AA469" s="52"/>
      <c r="AB469" s="52"/>
      <c r="AC469" s="52"/>
    </row>
    <row r="470" spans="1:68" ht="16.5" hidden="1" customHeight="1" x14ac:dyDescent="0.25">
      <c r="A470" s="647" t="s">
        <v>768</v>
      </c>
      <c r="B470" s="647"/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  <c r="M470" s="647"/>
      <c r="N470" s="647"/>
      <c r="O470" s="647"/>
      <c r="P470" s="647"/>
      <c r="Q470" s="647"/>
      <c r="R470" s="647"/>
      <c r="S470" s="647"/>
      <c r="T470" s="647"/>
      <c r="U470" s="647"/>
      <c r="V470" s="647"/>
      <c r="W470" s="647"/>
      <c r="X470" s="647"/>
      <c r="Y470" s="647"/>
      <c r="Z470" s="647"/>
      <c r="AA470" s="62"/>
      <c r="AB470" s="62"/>
      <c r="AC470" s="62"/>
    </row>
    <row r="471" spans="1:68" ht="14.25" hidden="1" customHeight="1" x14ac:dyDescent="0.25">
      <c r="A471" s="648" t="s">
        <v>77</v>
      </c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8"/>
      <c r="P471" s="648"/>
      <c r="Q471" s="648"/>
      <c r="R471" s="648"/>
      <c r="S471" s="648"/>
      <c r="T471" s="648"/>
      <c r="U471" s="648"/>
      <c r="V471" s="648"/>
      <c r="W471" s="648"/>
      <c r="X471" s="648"/>
      <c r="Y471" s="648"/>
      <c r="Z471" s="648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649">
        <v>4680115886100</v>
      </c>
      <c r="E472" s="649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69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1"/>
      <c r="R472" s="651"/>
      <c r="S472" s="651"/>
      <c r="T472" s="652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649">
        <v>4680115886124</v>
      </c>
      <c r="E473" s="649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69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1"/>
      <c r="R473" s="651"/>
      <c r="S473" s="651"/>
      <c r="T473" s="652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649">
        <v>4607091384338</v>
      </c>
      <c r="E474" s="649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69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1"/>
      <c r="R474" s="651"/>
      <c r="S474" s="651"/>
      <c r="T474" s="652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649">
        <v>4680115883161</v>
      </c>
      <c r="E475" s="649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69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1"/>
      <c r="R475" s="651"/>
      <c r="S475" s="651"/>
      <c r="T475" s="652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649">
        <v>4607091389531</v>
      </c>
      <c r="E476" s="649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69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1"/>
      <c r="R476" s="651"/>
      <c r="S476" s="651"/>
      <c r="T476" s="652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649">
        <v>4607091384345</v>
      </c>
      <c r="E477" s="649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6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1"/>
      <c r="R477" s="651"/>
      <c r="S477" s="651"/>
      <c r="T477" s="652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656"/>
      <c r="B479" s="656"/>
      <c r="C479" s="656"/>
      <c r="D479" s="656"/>
      <c r="E479" s="656"/>
      <c r="F479" s="656"/>
      <c r="G479" s="656"/>
      <c r="H479" s="656"/>
      <c r="I479" s="656"/>
      <c r="J479" s="656"/>
      <c r="K479" s="656"/>
      <c r="L479" s="656"/>
      <c r="M479" s="656"/>
      <c r="N479" s="656"/>
      <c r="O479" s="657"/>
      <c r="P479" s="653" t="s">
        <v>40</v>
      </c>
      <c r="Q479" s="654"/>
      <c r="R479" s="654"/>
      <c r="S479" s="654"/>
      <c r="T479" s="654"/>
      <c r="U479" s="654"/>
      <c r="V479" s="655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648" t="s">
        <v>86</v>
      </c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8"/>
      <c r="P480" s="648"/>
      <c r="Q480" s="648"/>
      <c r="R480" s="648"/>
      <c r="S480" s="648"/>
      <c r="T480" s="648"/>
      <c r="U480" s="648"/>
      <c r="V480" s="648"/>
      <c r="W480" s="648"/>
      <c r="X480" s="648"/>
      <c r="Y480" s="648"/>
      <c r="Z480" s="648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649">
        <v>4607091384352</v>
      </c>
      <c r="E481" s="649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1"/>
      <c r="R481" s="651"/>
      <c r="S481" s="651"/>
      <c r="T481" s="652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649">
        <v>4607091389654</v>
      </c>
      <c r="E482" s="649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1"/>
      <c r="R482" s="651"/>
      <c r="S482" s="651"/>
      <c r="T482" s="652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647" t="s">
        <v>791</v>
      </c>
      <c r="B485" s="647"/>
      <c r="C485" s="647"/>
      <c r="D485" s="647"/>
      <c r="E485" s="647"/>
      <c r="F485" s="647"/>
      <c r="G485" s="647"/>
      <c r="H485" s="647"/>
      <c r="I485" s="647"/>
      <c r="J485" s="647"/>
      <c r="K485" s="647"/>
      <c r="L485" s="647"/>
      <c r="M485" s="647"/>
      <c r="N485" s="647"/>
      <c r="O485" s="647"/>
      <c r="P485" s="647"/>
      <c r="Q485" s="647"/>
      <c r="R485" s="647"/>
      <c r="S485" s="647"/>
      <c r="T485" s="647"/>
      <c r="U485" s="647"/>
      <c r="V485" s="647"/>
      <c r="W485" s="647"/>
      <c r="X485" s="647"/>
      <c r="Y485" s="647"/>
      <c r="Z485" s="647"/>
      <c r="AA485" s="62"/>
      <c r="AB485" s="62"/>
      <c r="AC485" s="62"/>
    </row>
    <row r="486" spans="1:68" ht="14.25" hidden="1" customHeight="1" x14ac:dyDescent="0.25">
      <c r="A486" s="648" t="s">
        <v>157</v>
      </c>
      <c r="B486" s="648"/>
      <c r="C486" s="648"/>
      <c r="D486" s="648"/>
      <c r="E486" s="648"/>
      <c r="F486" s="648"/>
      <c r="G486" s="648"/>
      <c r="H486" s="648"/>
      <c r="I486" s="648"/>
      <c r="J486" s="648"/>
      <c r="K486" s="648"/>
      <c r="L486" s="648"/>
      <c r="M486" s="648"/>
      <c r="N486" s="648"/>
      <c r="O486" s="648"/>
      <c r="P486" s="648"/>
      <c r="Q486" s="648"/>
      <c r="R486" s="648"/>
      <c r="S486" s="648"/>
      <c r="T486" s="648"/>
      <c r="U486" s="648"/>
      <c r="V486" s="648"/>
      <c r="W486" s="648"/>
      <c r="X486" s="648"/>
      <c r="Y486" s="648"/>
      <c r="Z486" s="648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649">
        <v>4680115885240</v>
      </c>
      <c r="E487" s="649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1"/>
      <c r="R487" s="651"/>
      <c r="S487" s="651"/>
      <c r="T487" s="652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649">
        <v>4680115886094</v>
      </c>
      <c r="E491" s="649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1"/>
      <c r="R491" s="651"/>
      <c r="S491" s="651"/>
      <c r="T491" s="652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649">
        <v>4680115880771</v>
      </c>
      <c r="E492" s="649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1"/>
      <c r="R492" s="651"/>
      <c r="S492" s="651"/>
      <c r="T492" s="652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649">
        <v>4607091389500</v>
      </c>
      <c r="E493" s="649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1"/>
      <c r="R493" s="651"/>
      <c r="S493" s="651"/>
      <c r="T493" s="652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656"/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7"/>
      <c r="P495" s="653" t="s">
        <v>40</v>
      </c>
      <c r="Q495" s="654"/>
      <c r="R495" s="654"/>
      <c r="S495" s="654"/>
      <c r="T495" s="654"/>
      <c r="U495" s="654"/>
      <c r="V495" s="655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668" t="s">
        <v>803</v>
      </c>
      <c r="B496" s="668"/>
      <c r="C496" s="668"/>
      <c r="D496" s="668"/>
      <c r="E496" s="668"/>
      <c r="F496" s="668"/>
      <c r="G496" s="668"/>
      <c r="H496" s="668"/>
      <c r="I496" s="668"/>
      <c r="J496" s="668"/>
      <c r="K496" s="668"/>
      <c r="L496" s="668"/>
      <c r="M496" s="668"/>
      <c r="N496" s="668"/>
      <c r="O496" s="668"/>
      <c r="P496" s="668"/>
      <c r="Q496" s="668"/>
      <c r="R496" s="668"/>
      <c r="S496" s="668"/>
      <c r="T496" s="668"/>
      <c r="U496" s="668"/>
      <c r="V496" s="668"/>
      <c r="W496" s="668"/>
      <c r="X496" s="668"/>
      <c r="Y496" s="668"/>
      <c r="Z496" s="668"/>
      <c r="AA496" s="52"/>
      <c r="AB496" s="52"/>
      <c r="AC496" s="52"/>
    </row>
    <row r="497" spans="1:68" ht="16.5" hidden="1" customHeight="1" x14ac:dyDescent="0.25">
      <c r="A497" s="647" t="s">
        <v>803</v>
      </c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  <c r="Y497" s="647"/>
      <c r="Z497" s="647"/>
      <c r="AA497" s="62"/>
      <c r="AB497" s="62"/>
      <c r="AC497" s="62"/>
    </row>
    <row r="498" spans="1:68" ht="14.25" hidden="1" customHeight="1" x14ac:dyDescent="0.25">
      <c r="A498" s="648" t="s">
        <v>122</v>
      </c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8"/>
      <c r="P498" s="648"/>
      <c r="Q498" s="648"/>
      <c r="R498" s="648"/>
      <c r="S498" s="648"/>
      <c r="T498" s="648"/>
      <c r="U498" s="648"/>
      <c r="V498" s="648"/>
      <c r="W498" s="648"/>
      <c r="X498" s="648"/>
      <c r="Y498" s="648"/>
      <c r="Z498" s="648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649">
        <v>4607091389067</v>
      </c>
      <c r="E499" s="649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1"/>
      <c r="R499" s="651"/>
      <c r="S499" s="651"/>
      <c r="T499" s="652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649">
        <v>4680115889576</v>
      </c>
      <c r="E500" s="649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1"/>
      <c r="R500" s="651"/>
      <c r="S500" s="651"/>
      <c r="T500" s="652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649">
        <v>4680115885271</v>
      </c>
      <c r="E501" s="649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1"/>
      <c r="R501" s="651"/>
      <c r="S501" s="651"/>
      <c r="T501" s="652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customHeight="1" x14ac:dyDescent="0.25">
      <c r="A502" s="60" t="s">
        <v>812</v>
      </c>
      <c r="B502" s="60" t="s">
        <v>813</v>
      </c>
      <c r="C502" s="34">
        <v>4301011369</v>
      </c>
      <c r="D502" s="649">
        <v>4680115885226</v>
      </c>
      <c r="E502" s="649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1"/>
      <c r="R502" s="651"/>
      <c r="S502" s="651"/>
      <c r="T502" s="652"/>
      <c r="U502" s="37" t="s">
        <v>46</v>
      </c>
      <c r="V502" s="37" t="s">
        <v>46</v>
      </c>
      <c r="W502" s="38" t="s">
        <v>0</v>
      </c>
      <c r="X502" s="56">
        <v>105.6</v>
      </c>
      <c r="Y502" s="53">
        <f t="shared" si="78"/>
        <v>105.60000000000001</v>
      </c>
      <c r="Z502" s="39">
        <f t="shared" si="79"/>
        <v>0.2392</v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112.59999999999998</v>
      </c>
      <c r="BN502" s="75">
        <f t="shared" si="81"/>
        <v>112.6</v>
      </c>
      <c r="BO502" s="75">
        <f t="shared" si="82"/>
        <v>0.19230769230769229</v>
      </c>
      <c r="BP502" s="75">
        <f t="shared" si="83"/>
        <v>0.19230769230769232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649">
        <v>4680115884502</v>
      </c>
      <c r="E503" s="649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6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1"/>
      <c r="R503" s="651"/>
      <c r="S503" s="651"/>
      <c r="T503" s="652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customHeight="1" x14ac:dyDescent="0.25">
      <c r="A504" s="60" t="s">
        <v>818</v>
      </c>
      <c r="B504" s="60" t="s">
        <v>819</v>
      </c>
      <c r="C504" s="34">
        <v>4301011771</v>
      </c>
      <c r="D504" s="649">
        <v>4607091389104</v>
      </c>
      <c r="E504" s="649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6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1"/>
      <c r="R504" s="651"/>
      <c r="S504" s="651"/>
      <c r="T504" s="652"/>
      <c r="U504" s="37" t="s">
        <v>46</v>
      </c>
      <c r="V504" s="37" t="s">
        <v>46</v>
      </c>
      <c r="W504" s="38" t="s">
        <v>0</v>
      </c>
      <c r="X504" s="56">
        <v>105.6</v>
      </c>
      <c r="Y504" s="53">
        <f t="shared" si="78"/>
        <v>105.60000000000001</v>
      </c>
      <c r="Z504" s="39">
        <f t="shared" si="79"/>
        <v>0.2392</v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112.59999999999998</v>
      </c>
      <c r="BN504" s="75">
        <f t="shared" si="81"/>
        <v>112.6</v>
      </c>
      <c r="BO504" s="75">
        <f t="shared" si="82"/>
        <v>0.19230769230769229</v>
      </c>
      <c r="BP504" s="75">
        <f t="shared" si="83"/>
        <v>0.19230769230769232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649">
        <v>4680115886391</v>
      </c>
      <c r="E505" s="649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1"/>
      <c r="R505" s="651"/>
      <c r="S505" s="651"/>
      <c r="T505" s="652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823</v>
      </c>
      <c r="B506" s="60" t="s">
        <v>824</v>
      </c>
      <c r="C506" s="34">
        <v>4301012048</v>
      </c>
      <c r="D506" s="649">
        <v>4680115880603</v>
      </c>
      <c r="E506" s="649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1"/>
      <c r="R506" s="651"/>
      <c r="S506" s="651"/>
      <c r="T506" s="652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825</v>
      </c>
      <c r="B507" s="60" t="s">
        <v>826</v>
      </c>
      <c r="C507" s="34">
        <v>4301012034</v>
      </c>
      <c r="D507" s="649">
        <v>4607091389982</v>
      </c>
      <c r="E507" s="649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1"/>
      <c r="R507" s="651"/>
      <c r="S507" s="651"/>
      <c r="T507" s="652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x14ac:dyDescent="0.2">
      <c r="A508" s="656"/>
      <c r="B508" s="656"/>
      <c r="C508" s="656"/>
      <c r="D508" s="656"/>
      <c r="E508" s="656"/>
      <c r="F508" s="656"/>
      <c r="G508" s="656"/>
      <c r="H508" s="656"/>
      <c r="I508" s="656"/>
      <c r="J508" s="656"/>
      <c r="K508" s="656"/>
      <c r="L508" s="656"/>
      <c r="M508" s="656"/>
      <c r="N508" s="656"/>
      <c r="O508" s="657"/>
      <c r="P508" s="653" t="s">
        <v>40</v>
      </c>
      <c r="Q508" s="654"/>
      <c r="R508" s="654"/>
      <c r="S508" s="654"/>
      <c r="T508" s="654"/>
      <c r="U508" s="654"/>
      <c r="V508" s="655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39.999999999999993</v>
      </c>
      <c r="Y508" s="41">
        <f>IFERROR(Y499/H499,"0")+IFERROR(Y500/H500,"0")+IFERROR(Y501/H501,"0")+IFERROR(Y502/H502,"0")+IFERROR(Y503/H503,"0")+IFERROR(Y504/H504,"0")+IFERROR(Y505/H505,"0")+IFERROR(Y506/H506,"0")+IFERROR(Y507/H507,"0")</f>
        <v>40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0.47839999999999999</v>
      </c>
      <c r="AA508" s="64"/>
      <c r="AB508" s="64"/>
      <c r="AC508" s="64"/>
    </row>
    <row r="509" spans="1:68" x14ac:dyDescent="0.2">
      <c r="A509" s="656"/>
      <c r="B509" s="656"/>
      <c r="C509" s="656"/>
      <c r="D509" s="656"/>
      <c r="E509" s="656"/>
      <c r="F509" s="656"/>
      <c r="G509" s="656"/>
      <c r="H509" s="656"/>
      <c r="I509" s="656"/>
      <c r="J509" s="656"/>
      <c r="K509" s="656"/>
      <c r="L509" s="656"/>
      <c r="M509" s="656"/>
      <c r="N509" s="656"/>
      <c r="O509" s="657"/>
      <c r="P509" s="653" t="s">
        <v>40</v>
      </c>
      <c r="Q509" s="654"/>
      <c r="R509" s="654"/>
      <c r="S509" s="654"/>
      <c r="T509" s="654"/>
      <c r="U509" s="654"/>
      <c r="V509" s="655"/>
      <c r="W509" s="40" t="s">
        <v>0</v>
      </c>
      <c r="X509" s="41">
        <f>IFERROR(SUM(X499:X507),"0")</f>
        <v>211.2</v>
      </c>
      <c r="Y509" s="41">
        <f>IFERROR(SUM(Y499:Y507),"0")</f>
        <v>211.20000000000002</v>
      </c>
      <c r="Z509" s="40"/>
      <c r="AA509" s="64"/>
      <c r="AB509" s="64"/>
      <c r="AC509" s="64"/>
    </row>
    <row r="510" spans="1:68" ht="14.25" hidden="1" customHeight="1" x14ac:dyDescent="0.25">
      <c r="A510" s="648" t="s">
        <v>157</v>
      </c>
      <c r="B510" s="648"/>
      <c r="C510" s="648"/>
      <c r="D510" s="648"/>
      <c r="E510" s="648"/>
      <c r="F510" s="648"/>
      <c r="G510" s="648"/>
      <c r="H510" s="648"/>
      <c r="I510" s="648"/>
      <c r="J510" s="648"/>
      <c r="K510" s="648"/>
      <c r="L510" s="648"/>
      <c r="M510" s="648"/>
      <c r="N510" s="648"/>
      <c r="O510" s="648"/>
      <c r="P510" s="648"/>
      <c r="Q510" s="648"/>
      <c r="R510" s="648"/>
      <c r="S510" s="648"/>
      <c r="T510" s="648"/>
      <c r="U510" s="648"/>
      <c r="V510" s="648"/>
      <c r="W510" s="648"/>
      <c r="X510" s="648"/>
      <c r="Y510" s="648"/>
      <c r="Z510" s="648"/>
      <c r="AA510" s="63"/>
      <c r="AB510" s="63"/>
      <c r="AC510" s="63"/>
    </row>
    <row r="511" spans="1:68" ht="16.5" customHeight="1" x14ac:dyDescent="0.25">
      <c r="A511" s="60" t="s">
        <v>827</v>
      </c>
      <c r="B511" s="60" t="s">
        <v>828</v>
      </c>
      <c r="C511" s="34">
        <v>4301020334</v>
      </c>
      <c r="D511" s="649">
        <v>4607091388930</v>
      </c>
      <c r="E511" s="649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1"/>
      <c r="R511" s="651"/>
      <c r="S511" s="651"/>
      <c r="T511" s="652"/>
      <c r="U511" s="37" t="s">
        <v>46</v>
      </c>
      <c r="V511" s="37" t="s">
        <v>46</v>
      </c>
      <c r="W511" s="38" t="s">
        <v>0</v>
      </c>
      <c r="X511" s="56">
        <v>105.6</v>
      </c>
      <c r="Y511" s="53">
        <f>IFERROR(IF(X511="",0,CEILING((X511/$H511),1)*$H511),"")</f>
        <v>105.60000000000001</v>
      </c>
      <c r="Z511" s="39">
        <f>IFERROR(IF(Y511=0,"",ROUNDUP(Y511/H511,0)*0.01196),"")</f>
        <v>0.2392</v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112.59999999999998</v>
      </c>
      <c r="BN511" s="75">
        <f>IFERROR(Y511*I511/H511,"0")</f>
        <v>112.6</v>
      </c>
      <c r="BO511" s="75">
        <f>IFERROR(1/J511*(X511/H511),"0")</f>
        <v>0.19230769230769229</v>
      </c>
      <c r="BP511" s="75">
        <f>IFERROR(1/J511*(Y511/H511),"0")</f>
        <v>0.19230769230769232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649">
        <v>4680115886407</v>
      </c>
      <c r="E512" s="649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67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1"/>
      <c r="R512" s="651"/>
      <c r="S512" s="651"/>
      <c r="T512" s="652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649">
        <v>4680115880054</v>
      </c>
      <c r="E513" s="649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1"/>
      <c r="R513" s="651"/>
      <c r="S513" s="651"/>
      <c r="T513" s="652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0" t="s">
        <v>39</v>
      </c>
      <c r="X514" s="41">
        <f>IFERROR(X511/H511,"0")+IFERROR(X512/H512,"0")+IFERROR(X513/H513,"0")</f>
        <v>19.999999999999996</v>
      </c>
      <c r="Y514" s="41">
        <f>IFERROR(Y511/H511,"0")+IFERROR(Y512/H512,"0")+IFERROR(Y513/H513,"0")</f>
        <v>20</v>
      </c>
      <c r="Z514" s="41">
        <f>IFERROR(IF(Z511="",0,Z511),"0")+IFERROR(IF(Z512="",0,Z512),"0")+IFERROR(IF(Z513="",0,Z513),"0")</f>
        <v>0.2392</v>
      </c>
      <c r="AA514" s="64"/>
      <c r="AB514" s="64"/>
      <c r="AC514" s="64"/>
    </row>
    <row r="515" spans="1:68" x14ac:dyDescent="0.2">
      <c r="A515" s="656"/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7"/>
      <c r="P515" s="653" t="s">
        <v>40</v>
      </c>
      <c r="Q515" s="654"/>
      <c r="R515" s="654"/>
      <c r="S515" s="654"/>
      <c r="T515" s="654"/>
      <c r="U515" s="654"/>
      <c r="V515" s="655"/>
      <c r="W515" s="40" t="s">
        <v>0</v>
      </c>
      <c r="X515" s="41">
        <f>IFERROR(SUM(X511:X513),"0")</f>
        <v>105.6</v>
      </c>
      <c r="Y515" s="41">
        <f>IFERROR(SUM(Y511:Y513),"0")</f>
        <v>105.60000000000001</v>
      </c>
      <c r="Z515" s="40"/>
      <c r="AA515" s="64"/>
      <c r="AB515" s="64"/>
      <c r="AC515" s="64"/>
    </row>
    <row r="516" spans="1:68" ht="14.25" hidden="1" customHeight="1" x14ac:dyDescent="0.25">
      <c r="A516" s="648" t="s">
        <v>77</v>
      </c>
      <c r="B516" s="648"/>
      <c r="C516" s="648"/>
      <c r="D516" s="648"/>
      <c r="E516" s="648"/>
      <c r="F516" s="648"/>
      <c r="G516" s="648"/>
      <c r="H516" s="648"/>
      <c r="I516" s="648"/>
      <c r="J516" s="648"/>
      <c r="K516" s="648"/>
      <c r="L516" s="648"/>
      <c r="M516" s="648"/>
      <c r="N516" s="648"/>
      <c r="O516" s="648"/>
      <c r="P516" s="648"/>
      <c r="Q516" s="648"/>
      <c r="R516" s="648"/>
      <c r="S516" s="648"/>
      <c r="T516" s="648"/>
      <c r="U516" s="648"/>
      <c r="V516" s="648"/>
      <c r="W516" s="648"/>
      <c r="X516" s="648"/>
      <c r="Y516" s="648"/>
      <c r="Z516" s="648"/>
      <c r="AA516" s="63"/>
      <c r="AB516" s="63"/>
      <c r="AC516" s="63"/>
    </row>
    <row r="517" spans="1:68" ht="27" hidden="1" customHeight="1" x14ac:dyDescent="0.25">
      <c r="A517" s="60" t="s">
        <v>834</v>
      </c>
      <c r="B517" s="60" t="s">
        <v>835</v>
      </c>
      <c r="C517" s="34">
        <v>4301031349</v>
      </c>
      <c r="D517" s="649">
        <v>4680115883116</v>
      </c>
      <c r="E517" s="649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6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1"/>
      <c r="R517" s="651"/>
      <c r="S517" s="651"/>
      <c r="T517" s="652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customHeight="1" x14ac:dyDescent="0.25">
      <c r="A518" s="60" t="s">
        <v>837</v>
      </c>
      <c r="B518" s="60" t="s">
        <v>838</v>
      </c>
      <c r="C518" s="34">
        <v>4301031350</v>
      </c>
      <c r="D518" s="649">
        <v>4680115883093</v>
      </c>
      <c r="E518" s="649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67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1"/>
      <c r="R518" s="651"/>
      <c r="S518" s="651"/>
      <c r="T518" s="652"/>
      <c r="U518" s="37" t="s">
        <v>46</v>
      </c>
      <c r="V518" s="37" t="s">
        <v>46</v>
      </c>
      <c r="W518" s="38" t="s">
        <v>0</v>
      </c>
      <c r="X518" s="56">
        <v>52.8</v>
      </c>
      <c r="Y518" s="53">
        <f t="shared" si="84"/>
        <v>52.800000000000004</v>
      </c>
      <c r="Z518" s="39">
        <f>IFERROR(IF(Y518=0,"",ROUNDUP(Y518/H518,0)*0.01196),"")</f>
        <v>0.1196</v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56.29999999999999</v>
      </c>
      <c r="BN518" s="75">
        <f t="shared" si="86"/>
        <v>56.3</v>
      </c>
      <c r="BO518" s="75">
        <f t="shared" si="87"/>
        <v>9.6153846153846145E-2</v>
      </c>
      <c r="BP518" s="75">
        <f t="shared" si="88"/>
        <v>9.6153846153846159E-2</v>
      </c>
    </row>
    <row r="519" spans="1:68" ht="27" customHeight="1" x14ac:dyDescent="0.25">
      <c r="A519" s="60" t="s">
        <v>840</v>
      </c>
      <c r="B519" s="60" t="s">
        <v>841</v>
      </c>
      <c r="C519" s="34">
        <v>4301031353</v>
      </c>
      <c r="D519" s="649">
        <v>4680115883109</v>
      </c>
      <c r="E519" s="649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1"/>
      <c r="R519" s="651"/>
      <c r="S519" s="651"/>
      <c r="T519" s="652"/>
      <c r="U519" s="37" t="s">
        <v>46</v>
      </c>
      <c r="V519" s="37" t="s">
        <v>46</v>
      </c>
      <c r="W519" s="38" t="s">
        <v>0</v>
      </c>
      <c r="X519" s="56">
        <v>52.8</v>
      </c>
      <c r="Y519" s="53">
        <f t="shared" si="84"/>
        <v>52.800000000000004</v>
      </c>
      <c r="Z519" s="39">
        <f>IFERROR(IF(Y519=0,"",ROUNDUP(Y519/H519,0)*0.01196),"")</f>
        <v>0.1196</v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56.29999999999999</v>
      </c>
      <c r="BN519" s="75">
        <f t="shared" si="86"/>
        <v>56.3</v>
      </c>
      <c r="BO519" s="75">
        <f t="shared" si="87"/>
        <v>9.6153846153846145E-2</v>
      </c>
      <c r="BP519" s="75">
        <f t="shared" si="88"/>
        <v>9.6153846153846159E-2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649">
        <v>4680115882072</v>
      </c>
      <c r="E520" s="649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67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1"/>
      <c r="R520" s="651"/>
      <c r="S520" s="651"/>
      <c r="T520" s="652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649">
        <v>4680115882102</v>
      </c>
      <c r="E521" s="649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67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1"/>
      <c r="R521" s="651"/>
      <c r="S521" s="651"/>
      <c r="T521" s="652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649">
        <v>4680115882102</v>
      </c>
      <c r="E522" s="649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6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1"/>
      <c r="R522" s="651"/>
      <c r="S522" s="651"/>
      <c r="T522" s="652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649">
        <v>4680115882096</v>
      </c>
      <c r="E523" s="649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1"/>
      <c r="R523" s="651"/>
      <c r="S523" s="651"/>
      <c r="T523" s="652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x14ac:dyDescent="0.2">
      <c r="A524" s="656"/>
      <c r="B524" s="656"/>
      <c r="C524" s="656"/>
      <c r="D524" s="656"/>
      <c r="E524" s="656"/>
      <c r="F524" s="656"/>
      <c r="G524" s="656"/>
      <c r="H524" s="656"/>
      <c r="I524" s="656"/>
      <c r="J524" s="656"/>
      <c r="K524" s="656"/>
      <c r="L524" s="656"/>
      <c r="M524" s="656"/>
      <c r="N524" s="656"/>
      <c r="O524" s="657"/>
      <c r="P524" s="653" t="s">
        <v>40</v>
      </c>
      <c r="Q524" s="654"/>
      <c r="R524" s="654"/>
      <c r="S524" s="654"/>
      <c r="T524" s="654"/>
      <c r="U524" s="654"/>
      <c r="V524" s="655"/>
      <c r="W524" s="40" t="s">
        <v>39</v>
      </c>
      <c r="X524" s="41">
        <f>IFERROR(X517/H517,"0")+IFERROR(X518/H518,"0")+IFERROR(X519/H519,"0")+IFERROR(X520/H520,"0")+IFERROR(X521/H521,"0")+IFERROR(X522/H522,"0")+IFERROR(X523/H523,"0")</f>
        <v>19.999999999999996</v>
      </c>
      <c r="Y524" s="41">
        <f>IFERROR(Y517/H517,"0")+IFERROR(Y518/H518,"0")+IFERROR(Y519/H519,"0")+IFERROR(Y520/H520,"0")+IFERROR(Y521/H521,"0")+IFERROR(Y522/H522,"0")+IFERROR(Y523/H523,"0")</f>
        <v>20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0.2392</v>
      </c>
      <c r="AA524" s="64"/>
      <c r="AB524" s="64"/>
      <c r="AC524" s="64"/>
    </row>
    <row r="525" spans="1:68" x14ac:dyDescent="0.2">
      <c r="A525" s="656"/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7"/>
      <c r="P525" s="653" t="s">
        <v>40</v>
      </c>
      <c r="Q525" s="654"/>
      <c r="R525" s="654"/>
      <c r="S525" s="654"/>
      <c r="T525" s="654"/>
      <c r="U525" s="654"/>
      <c r="V525" s="655"/>
      <c r="W525" s="40" t="s">
        <v>0</v>
      </c>
      <c r="X525" s="41">
        <f>IFERROR(SUM(X517:X523),"0")</f>
        <v>105.6</v>
      </c>
      <c r="Y525" s="41">
        <f>IFERROR(SUM(Y517:Y523),"0")</f>
        <v>105.60000000000001</v>
      </c>
      <c r="Z525" s="40"/>
      <c r="AA525" s="64"/>
      <c r="AB525" s="64"/>
      <c r="AC525" s="64"/>
    </row>
    <row r="526" spans="1:68" ht="27.75" hidden="1" customHeight="1" x14ac:dyDescent="0.2">
      <c r="A526" s="668" t="s">
        <v>850</v>
      </c>
      <c r="B526" s="668"/>
      <c r="C526" s="668"/>
      <c r="D526" s="668"/>
      <c r="E526" s="668"/>
      <c r="F526" s="668"/>
      <c r="G526" s="668"/>
      <c r="H526" s="668"/>
      <c r="I526" s="668"/>
      <c r="J526" s="668"/>
      <c r="K526" s="668"/>
      <c r="L526" s="668"/>
      <c r="M526" s="668"/>
      <c r="N526" s="668"/>
      <c r="O526" s="668"/>
      <c r="P526" s="668"/>
      <c r="Q526" s="668"/>
      <c r="R526" s="668"/>
      <c r="S526" s="668"/>
      <c r="T526" s="668"/>
      <c r="U526" s="668"/>
      <c r="V526" s="668"/>
      <c r="W526" s="668"/>
      <c r="X526" s="668"/>
      <c r="Y526" s="668"/>
      <c r="Z526" s="668"/>
      <c r="AA526" s="52"/>
      <c r="AB526" s="52"/>
      <c r="AC526" s="52"/>
    </row>
    <row r="527" spans="1:68" ht="16.5" hidden="1" customHeight="1" x14ac:dyDescent="0.25">
      <c r="A527" s="647" t="s">
        <v>850</v>
      </c>
      <c r="B527" s="647"/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  <c r="M527" s="647"/>
      <c r="N527" s="647"/>
      <c r="O527" s="647"/>
      <c r="P527" s="647"/>
      <c r="Q527" s="647"/>
      <c r="R527" s="647"/>
      <c r="S527" s="647"/>
      <c r="T527" s="647"/>
      <c r="U527" s="647"/>
      <c r="V527" s="647"/>
      <c r="W527" s="647"/>
      <c r="X527" s="647"/>
      <c r="Y527" s="647"/>
      <c r="Z527" s="647"/>
      <c r="AA527" s="62"/>
      <c r="AB527" s="62"/>
      <c r="AC527" s="62"/>
    </row>
    <row r="528" spans="1:68" ht="14.25" hidden="1" customHeight="1" x14ac:dyDescent="0.25">
      <c r="A528" s="648" t="s">
        <v>122</v>
      </c>
      <c r="B528" s="648"/>
      <c r="C528" s="648"/>
      <c r="D528" s="648"/>
      <c r="E528" s="648"/>
      <c r="F528" s="648"/>
      <c r="G528" s="648"/>
      <c r="H528" s="648"/>
      <c r="I528" s="648"/>
      <c r="J528" s="648"/>
      <c r="K528" s="648"/>
      <c r="L528" s="648"/>
      <c r="M528" s="648"/>
      <c r="N528" s="648"/>
      <c r="O528" s="648"/>
      <c r="P528" s="648"/>
      <c r="Q528" s="648"/>
      <c r="R528" s="648"/>
      <c r="S528" s="648"/>
      <c r="T528" s="648"/>
      <c r="U528" s="648"/>
      <c r="V528" s="648"/>
      <c r="W528" s="648"/>
      <c r="X528" s="648"/>
      <c r="Y528" s="648"/>
      <c r="Z528" s="648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649">
        <v>4640242180564</v>
      </c>
      <c r="E529" s="649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1"/>
      <c r="R529" s="651"/>
      <c r="S529" s="651"/>
      <c r="T529" s="652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56"/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7"/>
      <c r="P531" s="653" t="s">
        <v>40</v>
      </c>
      <c r="Q531" s="654"/>
      <c r="R531" s="654"/>
      <c r="S531" s="654"/>
      <c r="T531" s="654"/>
      <c r="U531" s="654"/>
      <c r="V531" s="655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48" t="s">
        <v>157</v>
      </c>
      <c r="B532" s="648"/>
      <c r="C532" s="648"/>
      <c r="D532" s="648"/>
      <c r="E532" s="648"/>
      <c r="F532" s="648"/>
      <c r="G532" s="648"/>
      <c r="H532" s="648"/>
      <c r="I532" s="648"/>
      <c r="J532" s="648"/>
      <c r="K532" s="648"/>
      <c r="L532" s="648"/>
      <c r="M532" s="648"/>
      <c r="N532" s="648"/>
      <c r="O532" s="648"/>
      <c r="P532" s="648"/>
      <c r="Q532" s="648"/>
      <c r="R532" s="648"/>
      <c r="S532" s="648"/>
      <c r="T532" s="648"/>
      <c r="U532" s="648"/>
      <c r="V532" s="648"/>
      <c r="W532" s="648"/>
      <c r="X532" s="648"/>
      <c r="Y532" s="648"/>
      <c r="Z532" s="648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649">
        <v>4640242180519</v>
      </c>
      <c r="E533" s="649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1"/>
      <c r="R533" s="651"/>
      <c r="S533" s="651"/>
      <c r="T533" s="652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53" t="s">
        <v>40</v>
      </c>
      <c r="Q534" s="654"/>
      <c r="R534" s="654"/>
      <c r="S534" s="654"/>
      <c r="T534" s="654"/>
      <c r="U534" s="654"/>
      <c r="V534" s="655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48" t="s">
        <v>77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3"/>
      <c r="AB536" s="63"/>
      <c r="AC536" s="63"/>
    </row>
    <row r="537" spans="1:68" ht="27" customHeight="1" x14ac:dyDescent="0.25">
      <c r="A537" s="60" t="s">
        <v>857</v>
      </c>
      <c r="B537" s="60" t="s">
        <v>858</v>
      </c>
      <c r="C537" s="34">
        <v>4301031500</v>
      </c>
      <c r="D537" s="649">
        <v>4640242180595</v>
      </c>
      <c r="E537" s="649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66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1"/>
      <c r="R537" s="651"/>
      <c r="S537" s="651"/>
      <c r="T537" s="652"/>
      <c r="U537" s="37" t="s">
        <v>46</v>
      </c>
      <c r="V537" s="37" t="s">
        <v>46</v>
      </c>
      <c r="W537" s="38" t="s">
        <v>0</v>
      </c>
      <c r="X537" s="56">
        <v>42</v>
      </c>
      <c r="Y537" s="53">
        <f>IFERROR(IF(X537="",0,CEILING((X537/$H537),1)*$H537),"")</f>
        <v>42</v>
      </c>
      <c r="Z537" s="39">
        <f>IFERROR(IF(Y537=0,"",ROUNDUP(Y537/H537,0)*0.00902),"")</f>
        <v>9.0200000000000002E-2</v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44.5</v>
      </c>
      <c r="BN537" s="75">
        <f>IFERROR(Y537*I537/H537,"0")</f>
        <v>44.5</v>
      </c>
      <c r="BO537" s="75">
        <f>IFERROR(1/J537*(X537/H537),"0")</f>
        <v>7.575757575757576E-2</v>
      </c>
      <c r="BP537" s="75">
        <f>IFERROR(1/J537*(Y537/H537),"0")</f>
        <v>7.575757575757576E-2</v>
      </c>
    </row>
    <row r="538" spans="1:68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0" t="s">
        <v>39</v>
      </c>
      <c r="X538" s="41">
        <f>IFERROR(X537/H537,"0")</f>
        <v>10</v>
      </c>
      <c r="Y538" s="41">
        <f>IFERROR(Y537/H537,"0")</f>
        <v>10</v>
      </c>
      <c r="Z538" s="41">
        <f>IFERROR(IF(Z537="",0,Z537),"0")</f>
        <v>9.0200000000000002E-2</v>
      </c>
      <c r="AA538" s="64"/>
      <c r="AB538" s="64"/>
      <c r="AC538" s="64"/>
    </row>
    <row r="539" spans="1:68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0" t="s">
        <v>0</v>
      </c>
      <c r="X539" s="41">
        <f>IFERROR(SUM(X537:X537),"0")</f>
        <v>42</v>
      </c>
      <c r="Y539" s="41">
        <f>IFERROR(SUM(Y537:Y537),"0")</f>
        <v>42</v>
      </c>
      <c r="Z539" s="40"/>
      <c r="AA539" s="64"/>
      <c r="AB539" s="64"/>
      <c r="AC539" s="64"/>
    </row>
    <row r="540" spans="1:68" ht="14.25" hidden="1" customHeight="1" x14ac:dyDescent="0.25">
      <c r="A540" s="648" t="s">
        <v>86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649">
        <v>4640242180533</v>
      </c>
      <c r="E541" s="649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6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1"/>
      <c r="R541" s="651"/>
      <c r="S541" s="651"/>
      <c r="T541" s="652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648" t="s">
        <v>175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649">
        <v>4640242180120</v>
      </c>
      <c r="E545" s="649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66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1"/>
      <c r="R545" s="651"/>
      <c r="S545" s="651"/>
      <c r="T545" s="652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649">
        <v>4640242180137</v>
      </c>
      <c r="E546" s="649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66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1"/>
      <c r="R546" s="651"/>
      <c r="S546" s="651"/>
      <c r="T546" s="652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647" t="s">
        <v>869</v>
      </c>
      <c r="B549" s="647"/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  <c r="M549" s="647"/>
      <c r="N549" s="647"/>
      <c r="O549" s="647"/>
      <c r="P549" s="647"/>
      <c r="Q549" s="647"/>
      <c r="R549" s="647"/>
      <c r="S549" s="647"/>
      <c r="T549" s="647"/>
      <c r="U549" s="647"/>
      <c r="V549" s="647"/>
      <c r="W549" s="647"/>
      <c r="X549" s="647"/>
      <c r="Y549" s="647"/>
      <c r="Z549" s="647"/>
      <c r="AA549" s="62"/>
      <c r="AB549" s="62"/>
      <c r="AC549" s="62"/>
    </row>
    <row r="550" spans="1:68" ht="14.25" hidden="1" customHeight="1" x14ac:dyDescent="0.25">
      <c r="A550" s="648" t="s">
        <v>157</v>
      </c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8"/>
      <c r="P550" s="648"/>
      <c r="Q550" s="648"/>
      <c r="R550" s="648"/>
      <c r="S550" s="648"/>
      <c r="T550" s="648"/>
      <c r="U550" s="648"/>
      <c r="V550" s="648"/>
      <c r="W550" s="648"/>
      <c r="X550" s="648"/>
      <c r="Y550" s="648"/>
      <c r="Z550" s="648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649">
        <v>4680115889798</v>
      </c>
      <c r="E551" s="649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1"/>
      <c r="R551" s="651"/>
      <c r="S551" s="651"/>
      <c r="T551" s="652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656"/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61"/>
      <c r="P554" s="658" t="s">
        <v>33</v>
      </c>
      <c r="Q554" s="659"/>
      <c r="R554" s="659"/>
      <c r="S554" s="659"/>
      <c r="T554" s="659"/>
      <c r="U554" s="659"/>
      <c r="V554" s="660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5722.3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5722.3</v>
      </c>
      <c r="Z554" s="40"/>
      <c r="AA554" s="64"/>
      <c r="AB554" s="64"/>
      <c r="AC554" s="64"/>
    </row>
    <row r="555" spans="1:68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61"/>
      <c r="P555" s="658" t="s">
        <v>34</v>
      </c>
      <c r="Q555" s="659"/>
      <c r="R555" s="659"/>
      <c r="S555" s="659"/>
      <c r="T555" s="659"/>
      <c r="U555" s="659"/>
      <c r="V555" s="660"/>
      <c r="W555" s="40" t="s">
        <v>0</v>
      </c>
      <c r="X555" s="41">
        <f>IFERROR(SUM(BM22:BM551),"0")</f>
        <v>5960.5740000000014</v>
      </c>
      <c r="Y555" s="41">
        <f>IFERROR(SUM(BN22:BN551),"0")</f>
        <v>5960.5740000000014</v>
      </c>
      <c r="Z555" s="40"/>
      <c r="AA555" s="64"/>
      <c r="AB555" s="64"/>
      <c r="AC555" s="64"/>
    </row>
    <row r="556" spans="1:68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61"/>
      <c r="P556" s="658" t="s">
        <v>35</v>
      </c>
      <c r="Q556" s="659"/>
      <c r="R556" s="659"/>
      <c r="S556" s="659"/>
      <c r="T556" s="659"/>
      <c r="U556" s="659"/>
      <c r="V556" s="660"/>
      <c r="W556" s="40" t="s">
        <v>20</v>
      </c>
      <c r="X556" s="42">
        <f>ROUNDUP(SUM(BO22:BO551),0)</f>
        <v>9</v>
      </c>
      <c r="Y556" s="42">
        <f>ROUNDUP(SUM(BP22:BP551),0)</f>
        <v>9</v>
      </c>
      <c r="Z556" s="40"/>
      <c r="AA556" s="64"/>
      <c r="AB556" s="64"/>
      <c r="AC556" s="64"/>
    </row>
    <row r="557" spans="1:68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61"/>
      <c r="P557" s="658" t="s">
        <v>36</v>
      </c>
      <c r="Q557" s="659"/>
      <c r="R557" s="659"/>
      <c r="S557" s="659"/>
      <c r="T557" s="659"/>
      <c r="U557" s="659"/>
      <c r="V557" s="660"/>
      <c r="W557" s="40" t="s">
        <v>0</v>
      </c>
      <c r="X557" s="41">
        <f>GrossWeightTotal+PalletQtyTotal*25</f>
        <v>6185.5740000000014</v>
      </c>
      <c r="Y557" s="41">
        <f>GrossWeightTotalR+PalletQtyTotalR*25</f>
        <v>6185.5740000000014</v>
      </c>
      <c r="Z557" s="40"/>
      <c r="AA557" s="64"/>
      <c r="AB557" s="64"/>
      <c r="AC557" s="64"/>
    </row>
    <row r="558" spans="1:68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61"/>
      <c r="P558" s="658" t="s">
        <v>37</v>
      </c>
      <c r="Q558" s="659"/>
      <c r="R558" s="659"/>
      <c r="S558" s="659"/>
      <c r="T558" s="659"/>
      <c r="U558" s="659"/>
      <c r="V558" s="660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608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608</v>
      </c>
      <c r="Z558" s="40"/>
      <c r="AA558" s="64"/>
      <c r="AB558" s="64"/>
      <c r="AC558" s="64"/>
    </row>
    <row r="559" spans="1:68" ht="14.25" hidden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38</v>
      </c>
      <c r="Q559" s="659"/>
      <c r="R559" s="659"/>
      <c r="S559" s="659"/>
      <c r="T559" s="659"/>
      <c r="U559" s="659"/>
      <c r="V559" s="660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10.095120000000001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643" t="s">
        <v>120</v>
      </c>
      <c r="E561" s="643" t="s">
        <v>120</v>
      </c>
      <c r="F561" s="643" t="s">
        <v>120</v>
      </c>
      <c r="G561" s="643" t="s">
        <v>120</v>
      </c>
      <c r="H561" s="643" t="s">
        <v>120</v>
      </c>
      <c r="I561" s="643" t="s">
        <v>120</v>
      </c>
      <c r="J561" s="643" t="s">
        <v>120</v>
      </c>
      <c r="K561" s="643" t="s">
        <v>344</v>
      </c>
      <c r="L561" s="643" t="s">
        <v>344</v>
      </c>
      <c r="M561" s="643" t="s">
        <v>344</v>
      </c>
      <c r="N561" s="644"/>
      <c r="O561" s="643" t="s">
        <v>344</v>
      </c>
      <c r="P561" s="643" t="s">
        <v>344</v>
      </c>
      <c r="Q561" s="643" t="s">
        <v>344</v>
      </c>
      <c r="R561" s="643" t="s">
        <v>344</v>
      </c>
      <c r="S561" s="643" t="s">
        <v>344</v>
      </c>
      <c r="T561" s="643" t="s">
        <v>344</v>
      </c>
      <c r="U561" s="643" t="s">
        <v>344</v>
      </c>
      <c r="V561" s="643" t="s">
        <v>344</v>
      </c>
      <c r="W561" s="643" t="s">
        <v>701</v>
      </c>
      <c r="X561" s="643" t="s">
        <v>701</v>
      </c>
      <c r="Y561" s="643" t="s">
        <v>767</v>
      </c>
      <c r="Z561" s="643" t="s">
        <v>767</v>
      </c>
      <c r="AA561" s="80" t="s">
        <v>803</v>
      </c>
      <c r="AB561" s="643" t="s">
        <v>850</v>
      </c>
      <c r="AC561" s="643" t="s">
        <v>850</v>
      </c>
      <c r="AF561" s="1"/>
    </row>
    <row r="562" spans="1:32" ht="14.25" customHeight="1" thickTop="1" x14ac:dyDescent="0.2">
      <c r="A562" s="645" t="s">
        <v>10</v>
      </c>
      <c r="B562" s="643" t="s">
        <v>76</v>
      </c>
      <c r="C562" s="643" t="s">
        <v>104</v>
      </c>
      <c r="D562" s="643" t="s">
        <v>121</v>
      </c>
      <c r="E562" s="643" t="s">
        <v>137</v>
      </c>
      <c r="F562" s="643" t="s">
        <v>183</v>
      </c>
      <c r="G562" s="643" t="s">
        <v>206</v>
      </c>
      <c r="H562" s="643" t="s">
        <v>250</v>
      </c>
      <c r="I562" s="643" t="s">
        <v>263</v>
      </c>
      <c r="J562" s="643" t="s">
        <v>120</v>
      </c>
      <c r="K562" s="643" t="s">
        <v>345</v>
      </c>
      <c r="L562" s="643" t="s">
        <v>366</v>
      </c>
      <c r="M562" s="643" t="s">
        <v>440</v>
      </c>
      <c r="N562" s="1"/>
      <c r="O562" s="643" t="s">
        <v>508</v>
      </c>
      <c r="P562" s="643" t="s">
        <v>537</v>
      </c>
      <c r="Q562" s="643" t="s">
        <v>558</v>
      </c>
      <c r="R562" s="643" t="s">
        <v>567</v>
      </c>
      <c r="S562" s="643" t="s">
        <v>588</v>
      </c>
      <c r="T562" s="643" t="s">
        <v>597</v>
      </c>
      <c r="U562" s="643" t="s">
        <v>684</v>
      </c>
      <c r="V562" s="643" t="s">
        <v>691</v>
      </c>
      <c r="W562" s="643" t="s">
        <v>702</v>
      </c>
      <c r="X562" s="643" t="s">
        <v>751</v>
      </c>
      <c r="Y562" s="643" t="s">
        <v>768</v>
      </c>
      <c r="Z562" s="643" t="s">
        <v>791</v>
      </c>
      <c r="AA562" s="643" t="s">
        <v>803</v>
      </c>
      <c r="AB562" s="643" t="s">
        <v>850</v>
      </c>
      <c r="AC562" s="643" t="s">
        <v>869</v>
      </c>
      <c r="AF562" s="1"/>
    </row>
    <row r="563" spans="1:32" ht="13.5" thickBot="1" x14ac:dyDescent="0.25">
      <c r="A563" s="646"/>
      <c r="B563" s="643"/>
      <c r="C563" s="643"/>
      <c r="D563" s="643"/>
      <c r="E563" s="643"/>
      <c r="F563" s="643"/>
      <c r="G563" s="643"/>
      <c r="H563" s="643"/>
      <c r="I563" s="643"/>
      <c r="J563" s="643"/>
      <c r="K563" s="643"/>
      <c r="L563" s="643"/>
      <c r="M563" s="643"/>
      <c r="N563" s="1"/>
      <c r="O563" s="643"/>
      <c r="P563" s="643"/>
      <c r="Q563" s="643"/>
      <c r="R563" s="643"/>
      <c r="S563" s="643"/>
      <c r="T563" s="643"/>
      <c r="U563" s="643"/>
      <c r="V563" s="643"/>
      <c r="W563" s="643"/>
      <c r="X563" s="643"/>
      <c r="Y563" s="643"/>
      <c r="Z563" s="643"/>
      <c r="AA563" s="643"/>
      <c r="AB563" s="643"/>
      <c r="AC563" s="643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148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814.2</v>
      </c>
      <c r="F564" s="50">
        <f>IFERROR(Y85*1,"0")+IFERROR(Y86*1,"0")+IFERROR(Y87*1,"0")+IFERROR(Y88*1,"0")+IFERROR(Y89*1,"0")+IFERROR(Y93*1,"0")+IFERROR(Y94*1,"0")+IFERROR(Y95*1,"0")+IFERROR(Y96*1,"0")</f>
        <v>162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162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35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108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108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539.5</v>
      </c>
      <c r="U564" s="50">
        <f>IFERROR(Y412*1,"0")+IFERROR(Y413*1,"0")</f>
        <v>78</v>
      </c>
      <c r="V564" s="50">
        <f>IFERROR(Y418*1,"0")+IFERROR(Y419*1,"0")+IFERROR(Y420*1,"0")</f>
        <v>187.2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2916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422.40000000000003</v>
      </c>
      <c r="AB564" s="50">
        <f>IFERROR(Y529*1,"0")+IFERROR(Y533*1,"0")+IFERROR(Y537*1,"0")+IFERROR(Y541*1,"0")+IFERROR(Y545*1,"0")+IFERROR(Y546*1,"0")</f>
        <v>42</v>
      </c>
      <c r="AC564" s="50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0,00"/>
        <filter val="10,50"/>
        <filter val="105,60"/>
        <filter val="108,00"/>
        <filter val="12,60"/>
        <filter val="136,50"/>
        <filter val="144,00"/>
        <filter val="148,00"/>
        <filter val="162,00"/>
        <filter val="18,00"/>
        <filter val="187,20"/>
        <filter val="195,00"/>
        <filter val="2 160,00"/>
        <filter val="20,00"/>
        <filter val="211,20"/>
        <filter val="237,00"/>
        <filter val="27,00"/>
        <filter val="30,00"/>
        <filter val="32,00"/>
        <filter val="35,00"/>
        <filter val="36,00"/>
        <filter val="39,00"/>
        <filter val="4,00"/>
        <filter val="40,00"/>
        <filter val="42,00"/>
        <filter val="48,00"/>
        <filter val="5 722,30"/>
        <filter val="5 960,57"/>
        <filter val="52,80"/>
        <filter val="54,00"/>
        <filter val="56,00"/>
        <filter val="6 185,57"/>
        <filter val="6,00"/>
        <filter val="608,00"/>
        <filter val="63,00"/>
        <filter val="691,20"/>
        <filter val="720,00"/>
        <filter val="78,00"/>
        <filter val="787,20"/>
        <filter val="79,00"/>
        <filter val="9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10" spans="2:8" x14ac:dyDescent="0.2">
      <c r="B10" s="51" t="s">
        <v>885</v>
      </c>
      <c r="C10" s="51" t="s">
        <v>877</v>
      </c>
      <c r="D10" s="51" t="s">
        <v>46</v>
      </c>
      <c r="E10" s="51" t="s">
        <v>46</v>
      </c>
    </row>
    <row r="12" spans="2:8" x14ac:dyDescent="0.2">
      <c r="B12" s="51" t="s">
        <v>886</v>
      </c>
      <c r="C12" s="51" t="s">
        <v>880</v>
      </c>
      <c r="D12" s="51" t="s">
        <v>46</v>
      </c>
      <c r="E12" s="51" t="s">
        <v>46</v>
      </c>
    </row>
    <row r="14" spans="2:8" x14ac:dyDescent="0.2">
      <c r="B14" s="51" t="s">
        <v>887</v>
      </c>
      <c r="C14" s="51" t="s">
        <v>883</v>
      </c>
      <c r="D14" s="51" t="s">
        <v>46</v>
      </c>
      <c r="E14" s="51" t="s">
        <v>46</v>
      </c>
    </row>
    <row r="16" spans="2:8" x14ac:dyDescent="0.2">
      <c r="B16" s="51" t="s">
        <v>888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889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890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891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892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893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894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895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896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897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898</v>
      </c>
      <c r="C26" s="51" t="s">
        <v>46</v>
      </c>
      <c r="D26" s="51" t="s">
        <v>46</v>
      </c>
      <c r="E26" s="51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2026-09-23T16:35:36Z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