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79D32D-6575-47F5-9DDD-DA88C724764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N528" i="1"/>
  <c r="BM528" i="1"/>
  <c r="Y528" i="1"/>
  <c r="BP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BN479" i="1" s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O456" i="1"/>
  <c r="BN456" i="1"/>
  <c r="BM456" i="1"/>
  <c r="Y456" i="1"/>
  <c r="BP456" i="1" s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N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N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N432" i="1"/>
  <c r="BM432" i="1"/>
  <c r="Y432" i="1"/>
  <c r="BP432" i="1" s="1"/>
  <c r="P432" i="1"/>
  <c r="X428" i="1"/>
  <c r="X427" i="1"/>
  <c r="BO426" i="1"/>
  <c r="BM426" i="1"/>
  <c r="Y426" i="1"/>
  <c r="P426" i="1"/>
  <c r="BO425" i="1"/>
  <c r="BM425" i="1"/>
  <c r="Y425" i="1"/>
  <c r="P425" i="1"/>
  <c r="BO424" i="1"/>
  <c r="BN424" i="1"/>
  <c r="BM424" i="1"/>
  <c r="Y424" i="1"/>
  <c r="BP424" i="1" s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BN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Y395" i="1"/>
  <c r="X395" i="1"/>
  <c r="BO394" i="1"/>
  <c r="BN394" i="1"/>
  <c r="BM394" i="1"/>
  <c r="Y394" i="1"/>
  <c r="BP394" i="1" s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BN388" i="1" s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BN376" i="1" s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N359" i="1"/>
  <c r="BM359" i="1"/>
  <c r="Y359" i="1"/>
  <c r="BP359" i="1" s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BN344" i="1" s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N332" i="1"/>
  <c r="BM332" i="1"/>
  <c r="Y332" i="1"/>
  <c r="BP332" i="1" s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N307" i="1" s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N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O267" i="1"/>
  <c r="BN267" i="1"/>
  <c r="BM267" i="1"/>
  <c r="Y267" i="1"/>
  <c r="BP267" i="1" s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P247" i="1"/>
  <c r="BO246" i="1"/>
  <c r="BN246" i="1"/>
  <c r="BM246" i="1"/>
  <c r="Y246" i="1"/>
  <c r="BP246" i="1" s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P235" i="1"/>
  <c r="BO234" i="1"/>
  <c r="BN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N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Z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N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Y173" i="1" s="1"/>
  <c r="P171" i="1"/>
  <c r="X169" i="1"/>
  <c r="X168" i="1"/>
  <c r="BO167" i="1"/>
  <c r="BN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N150" i="1" s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O140" i="1"/>
  <c r="BM140" i="1"/>
  <c r="Y140" i="1"/>
  <c r="Y142" i="1" s="1"/>
  <c r="P140" i="1"/>
  <c r="BO139" i="1"/>
  <c r="BN139" i="1"/>
  <c r="BM139" i="1"/>
  <c r="Y139" i="1"/>
  <c r="BP139" i="1" s="1"/>
  <c r="P139" i="1"/>
  <c r="X137" i="1"/>
  <c r="X136" i="1"/>
  <c r="BO135" i="1"/>
  <c r="BM135" i="1"/>
  <c r="Y135" i="1"/>
  <c r="BP135" i="1" s="1"/>
  <c r="P135" i="1"/>
  <c r="BO134" i="1"/>
  <c r="BM134" i="1"/>
  <c r="Y134" i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N124" i="1" s="1"/>
  <c r="P124" i="1"/>
  <c r="BO123" i="1"/>
  <c r="BM123" i="1"/>
  <c r="Y123" i="1"/>
  <c r="P123" i="1"/>
  <c r="BO122" i="1"/>
  <c r="BM122" i="1"/>
  <c r="Y122" i="1"/>
  <c r="Y126" i="1" s="1"/>
  <c r="P122" i="1"/>
  <c r="X120" i="1"/>
  <c r="X119" i="1"/>
  <c r="BP118" i="1"/>
  <c r="BO118" i="1"/>
  <c r="BM118" i="1"/>
  <c r="Z118" i="1"/>
  <c r="Y118" i="1"/>
  <c r="BN118" i="1" s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O112" i="1"/>
  <c r="BN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N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O77" i="1"/>
  <c r="BM77" i="1"/>
  <c r="Y77" i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N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P48" i="1"/>
  <c r="BO47" i="1"/>
  <c r="BM47" i="1"/>
  <c r="Y47" i="1"/>
  <c r="BP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P28" i="1"/>
  <c r="BO27" i="1"/>
  <c r="BM27" i="1"/>
  <c r="Y27" i="1"/>
  <c r="Y33" i="1" s="1"/>
  <c r="P27" i="1"/>
  <c r="X25" i="1"/>
  <c r="X24" i="1"/>
  <c r="BP23" i="1"/>
  <c r="BO23" i="1"/>
  <c r="BM23" i="1"/>
  <c r="Z23" i="1"/>
  <c r="Y23" i="1"/>
  <c r="BN23" i="1" s="1"/>
  <c r="P23" i="1"/>
  <c r="BO22" i="1"/>
  <c r="BM22" i="1"/>
  <c r="X557" i="1" s="1"/>
  <c r="Y22" i="1"/>
  <c r="P22" i="1"/>
  <c r="H10" i="1"/>
  <c r="A9" i="1"/>
  <c r="A10" i="1" s="1"/>
  <c r="D7" i="1"/>
  <c r="Q6" i="1"/>
  <c r="P2" i="1"/>
  <c r="Z124" i="1" l="1"/>
  <c r="BP124" i="1"/>
  <c r="Z150" i="1"/>
  <c r="BP150" i="1"/>
  <c r="Z183" i="1"/>
  <c r="BP183" i="1"/>
  <c r="Z226" i="1"/>
  <c r="BP226" i="1"/>
  <c r="Z307" i="1"/>
  <c r="BP307" i="1"/>
  <c r="Z344" i="1"/>
  <c r="BP344" i="1"/>
  <c r="Z376" i="1"/>
  <c r="BP376" i="1"/>
  <c r="Z388" i="1"/>
  <c r="BP388" i="1"/>
  <c r="Z406" i="1"/>
  <c r="BP406" i="1"/>
  <c r="Z479" i="1"/>
  <c r="BP479" i="1"/>
  <c r="Z498" i="1"/>
  <c r="BP498" i="1"/>
  <c r="Z512" i="1"/>
  <c r="BP512" i="1"/>
  <c r="Z29" i="1"/>
  <c r="BP29" i="1"/>
  <c r="Z41" i="1"/>
  <c r="BP41" i="1"/>
  <c r="Z104" i="1"/>
  <c r="BP104" i="1"/>
  <c r="X556" i="1"/>
  <c r="Z37" i="1"/>
  <c r="Z49" i="1"/>
  <c r="E566" i="1"/>
  <c r="Z62" i="1"/>
  <c r="Y73" i="1"/>
  <c r="Y79" i="1"/>
  <c r="Z139" i="1"/>
  <c r="J566" i="1"/>
  <c r="Z177" i="1"/>
  <c r="Z191" i="1"/>
  <c r="Z222" i="1"/>
  <c r="Z267" i="1"/>
  <c r="Z279" i="1"/>
  <c r="Z394" i="1"/>
  <c r="Z424" i="1"/>
  <c r="Z436" i="1"/>
  <c r="Z456" i="1"/>
  <c r="Z508" i="1"/>
  <c r="Z58" i="1"/>
  <c r="Z70" i="1"/>
  <c r="Z89" i="1"/>
  <c r="Z112" i="1"/>
  <c r="H566" i="1"/>
  <c r="Z167" i="1"/>
  <c r="Z209" i="1"/>
  <c r="Z234" i="1"/>
  <c r="Z246" i="1"/>
  <c r="Z275" i="1"/>
  <c r="Z292" i="1"/>
  <c r="Z332" i="1"/>
  <c r="Z359" i="1"/>
  <c r="Z432" i="1"/>
  <c r="Z444" i="1"/>
  <c r="Z528" i="1"/>
  <c r="AB566" i="1"/>
  <c r="BP294" i="1"/>
  <c r="BN294" i="1"/>
  <c r="Z294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B566" i="1"/>
  <c r="X558" i="1"/>
  <c r="X559" i="1" s="1"/>
  <c r="X560" i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Z60" i="1"/>
  <c r="BN60" i="1"/>
  <c r="Z68" i="1"/>
  <c r="BN68" i="1"/>
  <c r="Z72" i="1"/>
  <c r="BN72" i="1"/>
  <c r="Y78" i="1"/>
  <c r="Z82" i="1"/>
  <c r="BN82" i="1"/>
  <c r="F566" i="1"/>
  <c r="Z91" i="1"/>
  <c r="BN91" i="1"/>
  <c r="Y100" i="1"/>
  <c r="Z99" i="1"/>
  <c r="BN99" i="1"/>
  <c r="Z106" i="1"/>
  <c r="BN106" i="1"/>
  <c r="Z110" i="1"/>
  <c r="BN110" i="1"/>
  <c r="Z116" i="1"/>
  <c r="BN116" i="1"/>
  <c r="BP116" i="1"/>
  <c r="Y119" i="1"/>
  <c r="Z122" i="1"/>
  <c r="BN122" i="1"/>
  <c r="BP122" i="1"/>
  <c r="Y127" i="1"/>
  <c r="Z135" i="1"/>
  <c r="BN135" i="1"/>
  <c r="Y141" i="1"/>
  <c r="Z145" i="1"/>
  <c r="BN145" i="1"/>
  <c r="Z152" i="1"/>
  <c r="BN152" i="1"/>
  <c r="Z165" i="1"/>
  <c r="BN165" i="1"/>
  <c r="Z171" i="1"/>
  <c r="BN171" i="1"/>
  <c r="BP171" i="1"/>
  <c r="Y174" i="1"/>
  <c r="Y187" i="1"/>
  <c r="Z181" i="1"/>
  <c r="BN181" i="1"/>
  <c r="Z185" i="1"/>
  <c r="BN185" i="1"/>
  <c r="Y194" i="1"/>
  <c r="Z207" i="1"/>
  <c r="BN207" i="1"/>
  <c r="Z211" i="1"/>
  <c r="BN211" i="1"/>
  <c r="Y237" i="1"/>
  <c r="Z224" i="1"/>
  <c r="BN224" i="1"/>
  <c r="Z228" i="1"/>
  <c r="BN228" i="1"/>
  <c r="Z232" i="1"/>
  <c r="BN232" i="1"/>
  <c r="Z240" i="1"/>
  <c r="BN240" i="1"/>
  <c r="Z244" i="1"/>
  <c r="BN244" i="1"/>
  <c r="Z252" i="1"/>
  <c r="BN252" i="1"/>
  <c r="Z273" i="1"/>
  <c r="BN273" i="1"/>
  <c r="Z277" i="1"/>
  <c r="BN277" i="1"/>
  <c r="Z283" i="1"/>
  <c r="BN283" i="1"/>
  <c r="Z286" i="1"/>
  <c r="BN286" i="1"/>
  <c r="Z290" i="1"/>
  <c r="BN290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00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66" i="1"/>
  <c r="Z38" i="1"/>
  <c r="Z42" i="1" s="1"/>
  <c r="BN38" i="1"/>
  <c r="BP38" i="1"/>
  <c r="Z40" i="1"/>
  <c r="BN40" i="1"/>
  <c r="Y43" i="1"/>
  <c r="D566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Y74" i="1"/>
  <c r="Z77" i="1"/>
  <c r="Z78" i="1" s="1"/>
  <c r="BN77" i="1"/>
  <c r="BP77" i="1"/>
  <c r="Z81" i="1"/>
  <c r="Z84" i="1" s="1"/>
  <c r="BN81" i="1"/>
  <c r="BP81" i="1"/>
  <c r="Z83" i="1"/>
  <c r="BN83" i="1"/>
  <c r="Y84" i="1"/>
  <c r="Z88" i="1"/>
  <c r="BN88" i="1"/>
  <c r="BP88" i="1"/>
  <c r="Z90" i="1"/>
  <c r="BN90" i="1"/>
  <c r="Z92" i="1"/>
  <c r="BN92" i="1"/>
  <c r="Y93" i="1"/>
  <c r="Z96" i="1"/>
  <c r="BN96" i="1"/>
  <c r="BP96" i="1"/>
  <c r="Z98" i="1"/>
  <c r="BN98" i="1"/>
  <c r="Y101" i="1"/>
  <c r="G566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BP117" i="1"/>
  <c r="Z123" i="1"/>
  <c r="BN123" i="1"/>
  <c r="BP123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Z141" i="1" s="1"/>
  <c r="BN140" i="1"/>
  <c r="BP140" i="1"/>
  <c r="Z144" i="1"/>
  <c r="Z146" i="1" s="1"/>
  <c r="BN144" i="1"/>
  <c r="BP144" i="1"/>
  <c r="Y147" i="1"/>
  <c r="I566" i="1"/>
  <c r="Z151" i="1"/>
  <c r="BN151" i="1"/>
  <c r="Z153" i="1"/>
  <c r="BN153" i="1"/>
  <c r="Z155" i="1"/>
  <c r="BN155" i="1"/>
  <c r="Y156" i="1"/>
  <c r="Z159" i="1"/>
  <c r="Z160" i="1" s="1"/>
  <c r="BN159" i="1"/>
  <c r="BP159" i="1"/>
  <c r="Y160" i="1"/>
  <c r="Z164" i="1"/>
  <c r="BN164" i="1"/>
  <c r="BP164" i="1"/>
  <c r="Z166" i="1"/>
  <c r="BN166" i="1"/>
  <c r="Y169" i="1"/>
  <c r="Z172" i="1"/>
  <c r="Z173" i="1" s="1"/>
  <c r="BN172" i="1"/>
  <c r="BP172" i="1"/>
  <c r="Z176" i="1"/>
  <c r="BN176" i="1"/>
  <c r="BP176" i="1"/>
  <c r="Z178" i="1"/>
  <c r="BN178" i="1"/>
  <c r="BP184" i="1"/>
  <c r="BN184" i="1"/>
  <c r="Z184" i="1"/>
  <c r="BP192" i="1"/>
  <c r="BN192" i="1"/>
  <c r="Z192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6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Y248" i="1"/>
  <c r="BP239" i="1"/>
  <c r="BN239" i="1"/>
  <c r="Z239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Y333" i="1"/>
  <c r="BP331" i="1"/>
  <c r="BN331" i="1"/>
  <c r="Z331" i="1"/>
  <c r="BP399" i="1"/>
  <c r="BN399" i="1"/>
  <c r="Z399" i="1"/>
  <c r="Y403" i="1"/>
  <c r="BP407" i="1"/>
  <c r="BN407" i="1"/>
  <c r="Z407" i="1"/>
  <c r="Y409" i="1"/>
  <c r="Y414" i="1"/>
  <c r="BP411" i="1"/>
  <c r="BN411" i="1"/>
  <c r="Z411" i="1"/>
  <c r="Y415" i="1"/>
  <c r="Z427" i="1"/>
  <c r="BP425" i="1"/>
  <c r="BN425" i="1"/>
  <c r="Z425" i="1"/>
  <c r="Y427" i="1"/>
  <c r="P566" i="1"/>
  <c r="H9" i="1"/>
  <c r="Y24" i="1"/>
  <c r="Y65" i="1"/>
  <c r="Y94" i="1"/>
  <c r="Y113" i="1"/>
  <c r="Y136" i="1"/>
  <c r="Y157" i="1"/>
  <c r="Y168" i="1"/>
  <c r="Z179" i="1"/>
  <c r="BN179" i="1"/>
  <c r="BP180" i="1"/>
  <c r="BN180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BP208" i="1"/>
  <c r="BN208" i="1"/>
  <c r="Z208" i="1"/>
  <c r="BP212" i="1"/>
  <c r="BN212" i="1"/>
  <c r="Z212" i="1"/>
  <c r="Y214" i="1"/>
  <c r="L566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53" i="1"/>
  <c r="BN253" i="1"/>
  <c r="Z253" i="1"/>
  <c r="Y255" i="1"/>
  <c r="Y258" i="1"/>
  <c r="BP257" i="1"/>
  <c r="BN257" i="1"/>
  <c r="Z257" i="1"/>
  <c r="Z258" i="1" s="1"/>
  <c r="Y259" i="1"/>
  <c r="M566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9" i="1"/>
  <c r="BN289" i="1"/>
  <c r="Z289" i="1"/>
  <c r="BP293" i="1"/>
  <c r="BN293" i="1"/>
  <c r="Z293" i="1"/>
  <c r="BP345" i="1"/>
  <c r="BN345" i="1"/>
  <c r="Z345" i="1"/>
  <c r="Y349" i="1"/>
  <c r="BP353" i="1"/>
  <c r="BN353" i="1"/>
  <c r="Z353" i="1"/>
  <c r="Z354" i="1" s="1"/>
  <c r="Y355" i="1"/>
  <c r="S566" i="1"/>
  <c r="Y361" i="1"/>
  <c r="BP358" i="1"/>
  <c r="BN358" i="1"/>
  <c r="Z358" i="1"/>
  <c r="Y362" i="1"/>
  <c r="BP367" i="1"/>
  <c r="BN367" i="1"/>
  <c r="Z367" i="1"/>
  <c r="BP371" i="1"/>
  <c r="BN371" i="1"/>
  <c r="Z371" i="1"/>
  <c r="Y373" i="1"/>
  <c r="Y382" i="1"/>
  <c r="BP375" i="1"/>
  <c r="BN375" i="1"/>
  <c r="Z375" i="1"/>
  <c r="Y383" i="1"/>
  <c r="BP379" i="1"/>
  <c r="BN379" i="1"/>
  <c r="Z379" i="1"/>
  <c r="BP387" i="1"/>
  <c r="BN387" i="1"/>
  <c r="Z387" i="1"/>
  <c r="Y296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BP347" i="1"/>
  <c r="BN347" i="1"/>
  <c r="Z347" i="1"/>
  <c r="Y354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Z402" i="1" s="1"/>
  <c r="Y408" i="1"/>
  <c r="BP405" i="1"/>
  <c r="BN405" i="1"/>
  <c r="Z405" i="1"/>
  <c r="Z408" i="1" s="1"/>
  <c r="BP413" i="1"/>
  <c r="BN413" i="1"/>
  <c r="Z413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Z489" i="1" s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Q566" i="1"/>
  <c r="Y341" i="1"/>
  <c r="R566" i="1"/>
  <c r="Y350" i="1"/>
  <c r="V566" i="1"/>
  <c r="Y428" i="1"/>
  <c r="W566" i="1"/>
  <c r="Y440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Z520" i="1" s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311" i="1" l="1"/>
  <c r="Z100" i="1"/>
  <c r="Z93" i="1"/>
  <c r="Z32" i="1"/>
  <c r="Z349" i="1"/>
  <c r="Z156" i="1"/>
  <c r="Z440" i="1"/>
  <c r="Z372" i="1"/>
  <c r="Z340" i="1"/>
  <c r="Z295" i="1"/>
  <c r="Z126" i="1"/>
  <c r="Z113" i="1"/>
  <c r="Z51" i="1"/>
  <c r="Z236" i="1"/>
  <c r="Y560" i="1"/>
  <c r="Z414" i="1"/>
  <c r="Z248" i="1"/>
  <c r="Z187" i="1"/>
  <c r="Y558" i="1"/>
  <c r="Z500" i="1"/>
  <c r="Z514" i="1"/>
  <c r="Z484" i="1"/>
  <c r="Z446" i="1"/>
  <c r="Z530" i="1"/>
  <c r="Z473" i="1"/>
  <c r="Z452" i="1"/>
  <c r="Z389" i="1"/>
  <c r="Z382" i="1"/>
  <c r="Z361" i="1"/>
  <c r="Z333" i="1"/>
  <c r="Z280" i="1"/>
  <c r="Z254" i="1"/>
  <c r="Z213" i="1"/>
  <c r="Z168" i="1"/>
  <c r="Z73" i="1"/>
  <c r="Z64" i="1"/>
  <c r="Y556" i="1"/>
  <c r="Y557" i="1"/>
  <c r="Y559" i="1" s="1"/>
  <c r="Z561" i="1" l="1"/>
</calcChain>
</file>

<file path=xl/sharedStrings.xml><?xml version="1.0" encoding="utf-8"?>
<sst xmlns="http://schemas.openxmlformats.org/spreadsheetml/2006/main" count="2545" uniqueCount="912">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</sst>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7" t="s">
        <v>0</v>
      </c>
      <c r="E1" s="680"/>
      <c r="F1" s="680"/>
      <c r="G1" s="12" t="s">
        <v>1</v>
      </c>
      <c r="H1" s="727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91" t="s">
        <v>8</v>
      </c>
      <c r="B5" s="672"/>
      <c r="C5" s="673"/>
      <c r="D5" s="737"/>
      <c r="E5" s="738"/>
      <c r="F5" s="969" t="s">
        <v>9</v>
      </c>
      <c r="G5" s="673"/>
      <c r="H5" s="737" t="s">
        <v>911</v>
      </c>
      <c r="I5" s="912"/>
      <c r="J5" s="912"/>
      <c r="K5" s="912"/>
      <c r="L5" s="912"/>
      <c r="M5" s="738"/>
      <c r="N5" s="58"/>
      <c r="P5" s="24" t="s">
        <v>10</v>
      </c>
      <c r="Q5" s="987">
        <v>46291</v>
      </c>
      <c r="R5" s="790"/>
      <c r="T5" s="823" t="s">
        <v>11</v>
      </c>
      <c r="U5" s="824"/>
      <c r="V5" s="826" t="s">
        <v>12</v>
      </c>
      <c r="W5" s="790"/>
      <c r="AB5" s="51"/>
      <c r="AC5" s="51"/>
      <c r="AD5" s="51"/>
      <c r="AE5" s="51"/>
    </row>
    <row r="6" spans="1:32" s="637" customFormat="1" ht="24" customHeight="1" x14ac:dyDescent="0.2">
      <c r="A6" s="791" t="s">
        <v>13</v>
      </c>
      <c r="B6" s="672"/>
      <c r="C6" s="673"/>
      <c r="D6" s="915" t="s">
        <v>887</v>
      </c>
      <c r="E6" s="916"/>
      <c r="F6" s="916"/>
      <c r="G6" s="916"/>
      <c r="H6" s="916"/>
      <c r="I6" s="916"/>
      <c r="J6" s="916"/>
      <c r="K6" s="916"/>
      <c r="L6" s="916"/>
      <c r="M6" s="790"/>
      <c r="N6" s="59"/>
      <c r="P6" s="24" t="s">
        <v>14</v>
      </c>
      <c r="Q6" s="996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2" t="s">
        <v>15</v>
      </c>
      <c r="U6" s="824"/>
      <c r="V6" s="898" t="s">
        <v>16</v>
      </c>
      <c r="W6" s="730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15" t="str">
        <f>IFERROR(VLOOKUP(DeliveryAddress,Table,3,0),1)</f>
        <v>6</v>
      </c>
      <c r="E7" s="716"/>
      <c r="F7" s="716"/>
      <c r="G7" s="716"/>
      <c r="H7" s="716"/>
      <c r="I7" s="716"/>
      <c r="J7" s="716"/>
      <c r="K7" s="716"/>
      <c r="L7" s="716"/>
      <c r="M7" s="717"/>
      <c r="N7" s="60"/>
      <c r="P7" s="24"/>
      <c r="Q7" s="42"/>
      <c r="R7" s="42"/>
      <c r="T7" s="658"/>
      <c r="U7" s="824"/>
      <c r="V7" s="899"/>
      <c r="W7" s="900"/>
      <c r="AB7" s="51"/>
      <c r="AC7" s="51"/>
      <c r="AD7" s="51"/>
      <c r="AE7" s="51"/>
    </row>
    <row r="8" spans="1:32" s="637" customFormat="1" ht="25.5" customHeight="1" x14ac:dyDescent="0.2">
      <c r="A8" s="1011" t="s">
        <v>17</v>
      </c>
      <c r="B8" s="650"/>
      <c r="C8" s="651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99">
        <v>0.54166666666666663</v>
      </c>
      <c r="R8" s="717"/>
      <c r="T8" s="658"/>
      <c r="U8" s="824"/>
      <c r="V8" s="899"/>
      <c r="W8" s="900"/>
      <c r="AB8" s="51"/>
      <c r="AC8" s="51"/>
      <c r="AD8" s="51"/>
      <c r="AE8" s="51"/>
    </row>
    <row r="9" spans="1:32" s="637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06"/>
      <c r="E9" s="668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86"/>
      <c r="R9" s="787"/>
      <c r="T9" s="658"/>
      <c r="U9" s="824"/>
      <c r="V9" s="901"/>
      <c r="W9" s="90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06"/>
      <c r="E10" s="668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5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3"/>
      <c r="R10" s="834"/>
      <c r="U10" s="24" t="s">
        <v>21</v>
      </c>
      <c r="V10" s="729" t="s">
        <v>22</v>
      </c>
      <c r="W10" s="730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9"/>
      <c r="R11" s="790"/>
      <c r="U11" s="24" t="s">
        <v>25</v>
      </c>
      <c r="V11" s="933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48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28</v>
      </c>
      <c r="Q12" s="799"/>
      <c r="R12" s="717"/>
      <c r="S12" s="23"/>
      <c r="U12" s="24"/>
      <c r="V12" s="680"/>
      <c r="W12" s="658"/>
      <c r="AB12" s="51"/>
      <c r="AC12" s="51"/>
      <c r="AD12" s="51"/>
      <c r="AE12" s="51"/>
    </row>
    <row r="13" spans="1:32" s="637" customFormat="1" ht="23.25" customHeight="1" x14ac:dyDescent="0.2">
      <c r="A13" s="848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30</v>
      </c>
      <c r="Q13" s="933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48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9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811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4" t="s">
        <v>36</v>
      </c>
      <c r="D17" s="692" t="s">
        <v>37</v>
      </c>
      <c r="E17" s="766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65"/>
      <c r="R17" s="765"/>
      <c r="S17" s="765"/>
      <c r="T17" s="766"/>
      <c r="U17" s="1009" t="s">
        <v>49</v>
      </c>
      <c r="V17" s="673"/>
      <c r="W17" s="692" t="s">
        <v>50</v>
      </c>
      <c r="X17" s="692" t="s">
        <v>51</v>
      </c>
      <c r="Y17" s="1007" t="s">
        <v>52</v>
      </c>
      <c r="Z17" s="896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67"/>
      <c r="E18" s="769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7"/>
      <c r="Q18" s="768"/>
      <c r="R18" s="768"/>
      <c r="S18" s="768"/>
      <c r="T18" s="769"/>
      <c r="U18" s="67" t="s">
        <v>59</v>
      </c>
      <c r="V18" s="67" t="s">
        <v>60</v>
      </c>
      <c r="W18" s="693"/>
      <c r="X18" s="693"/>
      <c r="Y18" s="1008"/>
      <c r="Z18" s="897"/>
      <c r="AA18" s="884"/>
      <c r="AB18" s="884"/>
      <c r="AC18" s="884"/>
      <c r="AD18" s="962"/>
      <c r="AE18" s="963"/>
      <c r="AF18" s="964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76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3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29</v>
      </c>
      <c r="Y29" s="644">
        <f>IFERROR(IF(X29="",0,CEILING((X29/$H29),1)*$H29),"")</f>
        <v>30.6</v>
      </c>
      <c r="Z29" s="36">
        <f>IFERROR(IF(Y29=0,"",ROUNDUP(Y29/H29,0)*0.00651),"")</f>
        <v>0.11067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51.233333333333334</v>
      </c>
      <c r="BN29" s="64">
        <f>IFERROR(Y29*I29/H29,"0")</f>
        <v>54.06</v>
      </c>
      <c r="BO29" s="64">
        <f>IFERROR(1/J29*(X29/H29),"0")</f>
        <v>8.8522588522588527E-2</v>
      </c>
      <c r="BP29" s="64">
        <f>IFERROR(1/J29*(Y29/H29),"0")</f>
        <v>9.3406593406593408E-2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16.111111111111111</v>
      </c>
      <c r="Y32" s="645">
        <f>IFERROR(Y27/H27,"0")+IFERROR(Y28/H28,"0")+IFERROR(Y29/H29,"0")+IFERROR(Y30/H30,"0")+IFERROR(Y31/H31,"0")</f>
        <v>17</v>
      </c>
      <c r="Z32" s="645">
        <f>IFERROR(IF(Z27="",0,Z27),"0")+IFERROR(IF(Z28="",0,Z28),"0")+IFERROR(IF(Z29="",0,Z29),"0")+IFERROR(IF(Z30="",0,Z30),"0")+IFERROR(IF(Z31="",0,Z31),"0")</f>
        <v>0.11067</v>
      </c>
      <c r="AA32" s="646"/>
      <c r="AB32" s="646"/>
      <c r="AC32" s="646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29</v>
      </c>
      <c r="Y33" s="645">
        <f>IFERROR(SUM(Y27:Y31),"0")</f>
        <v>30.6</v>
      </c>
      <c r="Z33" s="37"/>
      <c r="AA33" s="646"/>
      <c r="AB33" s="646"/>
      <c r="AC33" s="646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76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3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76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3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0</v>
      </c>
      <c r="Y51" s="645">
        <f>IFERROR(Y47/H47,"0")+IFERROR(Y48/H48,"0")+IFERROR(Y49/H49,"0")+IFERROR(Y50/H50,"0")</f>
        <v>0</v>
      </c>
      <c r="Z51" s="645">
        <f>IFERROR(IF(Z47="",0,Z47),"0")+IFERROR(IF(Z48="",0,Z48),"0")+IFERROR(IF(Z49="",0,Z49),"0")+IFERROR(IF(Z50="",0,Z50),"0")</f>
        <v>0</v>
      </c>
      <c r="AA51" s="646"/>
      <c r="AB51" s="646"/>
      <c r="AC51" s="646"/>
    </row>
    <row r="52" spans="1:68" hidden="1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0</v>
      </c>
      <c r="Y52" s="645">
        <f>IFERROR(SUM(Y47:Y50),"0")</f>
        <v>0</v>
      </c>
      <c r="Z52" s="37"/>
      <c r="AA52" s="646"/>
      <c r="AB52" s="646"/>
      <c r="AC52" s="646"/>
    </row>
    <row r="53" spans="1:68" ht="16.5" hidden="1" customHeight="1" x14ac:dyDescent="0.25">
      <c r="A53" s="676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3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110</v>
      </c>
      <c r="Y55" s="644">
        <f t="shared" ref="Y55:Y63" si="0">IFERROR(IF(X55="",0,CEILING((X55/$H55),1)*$H55),"")</f>
        <v>112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114.02678571428571</v>
      </c>
      <c r="BN55" s="64">
        <f t="shared" ref="BN55:BN63" si="2">IFERROR(Y55*I55/H55,"0")</f>
        <v>116.10000000000001</v>
      </c>
      <c r="BO55" s="64">
        <f t="shared" ref="BO55:BO63" si="3">IFERROR(1/J55*(X55/H55),"0")</f>
        <v>0.15345982142857142</v>
      </c>
      <c r="BP55" s="64">
        <f t="shared" ref="BP55:BP63" si="4">IFERROR(1/J55*(Y55/H55),"0")</f>
        <v>0.15625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292</v>
      </c>
      <c r="Y56" s="644">
        <f t="shared" si="0"/>
        <v>302.40000000000003</v>
      </c>
      <c r="Z56" s="36">
        <f>IFERROR(IF(Y56=0,"",ROUNDUP(Y56/H56,0)*0.01898),"")</f>
        <v>0.53144000000000002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303.0851851851852</v>
      </c>
      <c r="BN56" s="64">
        <f t="shared" si="2"/>
        <v>313.88</v>
      </c>
      <c r="BO56" s="64">
        <f t="shared" si="3"/>
        <v>0.42245370370370366</v>
      </c>
      <c r="BP56" s="64">
        <f t="shared" si="4"/>
        <v>0.4375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87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54</v>
      </c>
      <c r="Y62" s="644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56.28</v>
      </c>
      <c r="BN62" s="64">
        <f t="shared" si="2"/>
        <v>56.28</v>
      </c>
      <c r="BO62" s="64">
        <f t="shared" si="3"/>
        <v>9.0909090909090912E-2</v>
      </c>
      <c r="BP62" s="64">
        <f t="shared" si="4"/>
        <v>9.0909090909090912E-2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48.858465608465607</v>
      </c>
      <c r="Y64" s="645">
        <f>IFERROR(Y55/H55,"0")+IFERROR(Y56/H56,"0")+IFERROR(Y57/H57,"0")+IFERROR(Y58/H58,"0")+IFERROR(Y59/H59,"0")+IFERROR(Y60/H60,"0")+IFERROR(Y61/H61,"0")+IFERROR(Y62/H62,"0")+IFERROR(Y63/H63,"0")</f>
        <v>50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0.82948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456</v>
      </c>
      <c r="Y65" s="645">
        <f>IFERROR(SUM(Y55:Y63),"0")</f>
        <v>468.40000000000003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115</v>
      </c>
      <c r="Y67" s="644">
        <f t="shared" ref="Y67:Y72" si="5">IFERROR(IF(X67="",0,CEILING((X67/$H67),1)*$H67),"")</f>
        <v>118.80000000000001</v>
      </c>
      <c r="Z67" s="36">
        <f>IFERROR(IF(Y67=0,"",ROUNDUP(Y67/H67,0)*0.01898),"")</f>
        <v>0.20877999999999999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119.36574074074075</v>
      </c>
      <c r="BN67" s="64">
        <f t="shared" ref="BN67:BN72" si="7">IFERROR(Y67*I67/H67,"0")</f>
        <v>123.31000000000002</v>
      </c>
      <c r="BO67" s="64">
        <f t="shared" ref="BO67:BO72" si="8">IFERROR(1/J67*(X67/H67),"0")</f>
        <v>0.1663773148148148</v>
      </c>
      <c r="BP67" s="64">
        <f t="shared" ref="BP67:BP72" si="9">IFERROR(1/J67*(Y67/H67),"0")</f>
        <v>0.171875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7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10.648148148148147</v>
      </c>
      <c r="Y73" s="645">
        <f>IFERROR(Y67/H67,"0")+IFERROR(Y68/H68,"0")+IFERROR(Y69/H69,"0")+IFERROR(Y70/H70,"0")+IFERROR(Y71/H71,"0")+IFERROR(Y72/H72,"0")</f>
        <v>11</v>
      </c>
      <c r="Z73" s="645">
        <f>IFERROR(IF(Z67="",0,Z67),"0")+IFERROR(IF(Z68="",0,Z68),"0")+IFERROR(IF(Z69="",0,Z69),"0")+IFERROR(IF(Z70="",0,Z70),"0")+IFERROR(IF(Z71="",0,Z71),"0")+IFERROR(IF(Z72="",0,Z72),"0")</f>
        <v>0.20877999999999999</v>
      </c>
      <c r="AA73" s="646"/>
      <c r="AB73" s="646"/>
      <c r="AC73" s="646"/>
    </row>
    <row r="74" spans="1:68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115</v>
      </c>
      <c r="Y74" s="645">
        <f>IFERROR(SUM(Y67:Y72),"0")</f>
        <v>118.80000000000001</v>
      </c>
      <c r="Z74" s="37"/>
      <c r="AA74" s="646"/>
      <c r="AB74" s="646"/>
      <c r="AC74" s="646"/>
    </row>
    <row r="75" spans="1:68" ht="14.25" hidden="1" customHeight="1" x14ac:dyDescent="0.25">
      <c r="A75" s="663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3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hidden="1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0</v>
      </c>
      <c r="Y84" s="645">
        <f>IFERROR(Y81/H81,"0")+IFERROR(Y82/H82,"0")+IFERROR(Y83/H83,"0")</f>
        <v>0</v>
      </c>
      <c r="Z84" s="645">
        <f>IFERROR(IF(Z81="",0,Z81),"0")+IFERROR(IF(Z82="",0,Z82),"0")+IFERROR(IF(Z83="",0,Z83),"0")</f>
        <v>0</v>
      </c>
      <c r="AA84" s="646"/>
      <c r="AB84" s="646"/>
      <c r="AC84" s="646"/>
    </row>
    <row r="85" spans="1:68" hidden="1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0</v>
      </c>
      <c r="Y85" s="645">
        <f>IFERROR(SUM(Y81:Y83),"0")</f>
        <v>0</v>
      </c>
      <c r="Z85" s="37"/>
      <c r="AA85" s="646"/>
      <c r="AB85" s="646"/>
      <c r="AC85" s="646"/>
    </row>
    <row r="86" spans="1:68" ht="16.5" hidden="1" customHeight="1" x14ac:dyDescent="0.25">
      <c r="A86" s="676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3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277</v>
      </c>
      <c r="Y88" s="644">
        <f>IFERROR(IF(X88="",0,CEILING((X88/$H88),1)*$H88),"")</f>
        <v>280.8</v>
      </c>
      <c r="Z88" s="36">
        <f>IFERROR(IF(Y88=0,"",ROUNDUP(Y88/H88,0)*0.01898),"")</f>
        <v>0.49348000000000003</v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287.51574074074074</v>
      </c>
      <c r="BN88" s="64">
        <f>IFERROR(Y88*I88/H88,"0")</f>
        <v>291.46000000000004</v>
      </c>
      <c r="BO88" s="64">
        <f>IFERROR(1/J88*(X88/H88),"0")</f>
        <v>0.40075231481481477</v>
      </c>
      <c r="BP88" s="64">
        <f>IFERROR(1/J88*(Y88/H88),"0")</f>
        <v>0.40625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106</v>
      </c>
      <c r="Y92" s="644">
        <f>IFERROR(IF(X92="",0,CEILING((X92/$H92),1)*$H92),"")</f>
        <v>108</v>
      </c>
      <c r="Z92" s="36">
        <f>IFERROR(IF(Y92=0,"",ROUNDUP(Y92/H92,0)*0.00902),"")</f>
        <v>0.21648000000000001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110.47555555555556</v>
      </c>
      <c r="BN92" s="64">
        <f>IFERROR(Y92*I92/H92,"0")</f>
        <v>112.56</v>
      </c>
      <c r="BO92" s="64">
        <f>IFERROR(1/J92*(X92/H92),"0")</f>
        <v>0.17845117845117847</v>
      </c>
      <c r="BP92" s="64">
        <f>IFERROR(1/J92*(Y92/H92),"0")</f>
        <v>0.18181818181818182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49.203703703703702</v>
      </c>
      <c r="Y93" s="645">
        <f>IFERROR(Y88/H88,"0")+IFERROR(Y89/H89,"0")+IFERROR(Y90/H90,"0")+IFERROR(Y91/H91,"0")+IFERROR(Y92/H92,"0")</f>
        <v>50</v>
      </c>
      <c r="Z93" s="645">
        <f>IFERROR(IF(Z88="",0,Z88),"0")+IFERROR(IF(Z89="",0,Z89),"0")+IFERROR(IF(Z90="",0,Z90),"0")+IFERROR(IF(Z91="",0,Z91),"0")+IFERROR(IF(Z92="",0,Z92),"0")</f>
        <v>0.70996000000000004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383</v>
      </c>
      <c r="Y94" s="645">
        <f>IFERROR(SUM(Y88:Y92),"0")</f>
        <v>388.8</v>
      </c>
      <c r="Z94" s="37"/>
      <c r="AA94" s="646"/>
      <c r="AB94" s="646"/>
      <c r="AC94" s="646"/>
    </row>
    <row r="95" spans="1:68" ht="14.25" hidden="1" customHeight="1" x14ac:dyDescent="0.25">
      <c r="A95" s="663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72</v>
      </c>
      <c r="Y96" s="644">
        <f>IFERROR(IF(X96="",0,CEILING((X96/$H96),1)*$H96),"")</f>
        <v>72.899999999999991</v>
      </c>
      <c r="Z96" s="36">
        <f>IFERROR(IF(Y96=0,"",ROUNDUP(Y96/H96,0)*0.01898),"")</f>
        <v>0.17082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76.391111111111101</v>
      </c>
      <c r="BN96" s="64">
        <f>IFERROR(Y96*I96/H96,"0")</f>
        <v>77.345999999999989</v>
      </c>
      <c r="BO96" s="64">
        <f>IFERROR(1/J96*(X96/H96),"0")</f>
        <v>0.1388888888888889</v>
      </c>
      <c r="BP96" s="64">
        <f>IFERROR(1/J96*(Y96/H96),"0")</f>
        <v>0.140625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10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8.8888888888888893</v>
      </c>
      <c r="Y100" s="645">
        <f>IFERROR(Y96/H96,"0")+IFERROR(Y97/H97,"0")+IFERROR(Y98/H98,"0")+IFERROR(Y99/H99,"0")</f>
        <v>9</v>
      </c>
      <c r="Z100" s="645">
        <f>IFERROR(IF(Z96="",0,Z96),"0")+IFERROR(IF(Z97="",0,Z97),"0")+IFERROR(IF(Z98="",0,Z98),"0")+IFERROR(IF(Z99="",0,Z99),"0")</f>
        <v>0.17082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72</v>
      </c>
      <c r="Y101" s="645">
        <f>IFERROR(SUM(Y96:Y99),"0")</f>
        <v>72.899999999999991</v>
      </c>
      <c r="Z101" s="37"/>
      <c r="AA101" s="646"/>
      <c r="AB101" s="646"/>
      <c r="AC101" s="646"/>
    </row>
    <row r="102" spans="1:68" ht="16.5" hidden="1" customHeight="1" x14ac:dyDescent="0.25">
      <c r="A102" s="676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3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332</v>
      </c>
      <c r="Y104" s="644">
        <f t="shared" ref="Y104:Y112" si="10">IFERROR(IF(X104="",0,CEILING((X104/$H104),1)*$H104),"")</f>
        <v>334.8</v>
      </c>
      <c r="Z104" s="36">
        <f>IFERROR(IF(Y104=0,"",ROUNDUP(Y104/H104,0)*0.01898),"")</f>
        <v>0.58838000000000001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344.60370370370373</v>
      </c>
      <c r="BN104" s="64">
        <f t="shared" ref="BN104:BN112" si="12">IFERROR(Y104*I104/H104,"0")</f>
        <v>347.51000000000005</v>
      </c>
      <c r="BO104" s="64">
        <f t="shared" ref="BO104:BO112" si="13">IFERROR(1/J104*(X104/H104),"0")</f>
        <v>0.48032407407407407</v>
      </c>
      <c r="BP104" s="64">
        <f t="shared" ref="BP104:BP112" si="14">IFERROR(1/J104*(Y104/H104),"0")</f>
        <v>0.484375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9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3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30.74074074074074</v>
      </c>
      <c r="Y113" s="645">
        <f>IFERROR(Y104/H104,"0")+IFERROR(Y105/H105,"0")+IFERROR(Y106/H106,"0")+IFERROR(Y107/H107,"0")+IFERROR(Y108/H108,"0")+IFERROR(Y109/H109,"0")+IFERROR(Y110/H110,"0")+IFERROR(Y111/H111,"0")+IFERROR(Y112/H112,"0")</f>
        <v>31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0.58838000000000001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332</v>
      </c>
      <c r="Y114" s="645">
        <f>IFERROR(SUM(Y104:Y112),"0")</f>
        <v>334.8</v>
      </c>
      <c r="Z114" s="37"/>
      <c r="AA114" s="646"/>
      <c r="AB114" s="646"/>
      <c r="AC114" s="646"/>
    </row>
    <row r="115" spans="1:68" ht="14.25" hidden="1" customHeight="1" x14ac:dyDescent="0.25">
      <c r="A115" s="663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0</v>
      </c>
      <c r="Y119" s="645">
        <f>IFERROR(Y116/H116,"0")+IFERROR(Y117/H117,"0")+IFERROR(Y118/H118,"0")</f>
        <v>0</v>
      </c>
      <c r="Z119" s="645">
        <f>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0</v>
      </c>
      <c r="Y120" s="645">
        <f>IFERROR(SUM(Y116:Y118),"0")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63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75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104</v>
      </c>
      <c r="Y122" s="644">
        <f>IFERROR(IF(X122="",0,CEILING((X122/$H122),1)*$H122),"")</f>
        <v>105.3</v>
      </c>
      <c r="Z122" s="36">
        <f>IFERROR(IF(Y122=0,"",ROUNDUP(Y122/H122,0)*0.01898),"")</f>
        <v>0.24674000000000001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110.26567901234567</v>
      </c>
      <c r="BN122" s="64">
        <f>IFERROR(Y122*I122/H122,"0")</f>
        <v>111.64399999999999</v>
      </c>
      <c r="BO122" s="64">
        <f>IFERROR(1/J122*(X122/H122),"0")</f>
        <v>0.20061728395061729</v>
      </c>
      <c r="BP122" s="64">
        <f>IFERROR(1/J122*(Y122/H122),"0")</f>
        <v>0.203125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78</v>
      </c>
      <c r="Y124" s="644">
        <f>IFERROR(IF(X124="",0,CEILING((X124/$H124),1)*$H124),"")</f>
        <v>78.300000000000011</v>
      </c>
      <c r="Z124" s="36">
        <f>IFERROR(IF(Y124=0,"",ROUNDUP(Y124/H124,0)*0.00651),"")</f>
        <v>0.18879000000000001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85.28</v>
      </c>
      <c r="BN124" s="64">
        <f>IFERROR(Y124*I124/H124,"0")</f>
        <v>85.608000000000004</v>
      </c>
      <c r="BO124" s="64">
        <f>IFERROR(1/J124*(X124/H124),"0")</f>
        <v>0.15873015873015872</v>
      </c>
      <c r="BP124" s="64">
        <f>IFERROR(1/J124*(Y124/H124),"0")</f>
        <v>0.15934065934065939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41.728395061728392</v>
      </c>
      <c r="Y126" s="645">
        <f>IFERROR(Y122/H122,"0")+IFERROR(Y123/H123,"0")+IFERROR(Y124/H124,"0")+IFERROR(Y125/H125,"0")</f>
        <v>42</v>
      </c>
      <c r="Z126" s="645">
        <f>IFERROR(IF(Z122="",0,Z122),"0")+IFERROR(IF(Z123="",0,Z123),"0")+IFERROR(IF(Z124="",0,Z124),"0")+IFERROR(IF(Z125="",0,Z125),"0")</f>
        <v>0.43553000000000003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182</v>
      </c>
      <c r="Y127" s="645">
        <f>IFERROR(SUM(Y122:Y125),"0")</f>
        <v>183.60000000000002</v>
      </c>
      <c r="Z127" s="37"/>
      <c r="AA127" s="646"/>
      <c r="AB127" s="646"/>
      <c r="AC127" s="646"/>
    </row>
    <row r="128" spans="1:68" ht="14.25" hidden="1" customHeight="1" x14ac:dyDescent="0.25">
      <c r="A128" s="663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hidden="1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7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0</v>
      </c>
      <c r="Y129" s="6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0</v>
      </c>
      <c r="Y130" s="645">
        <f>IFERROR(Y129/H129,"0")</f>
        <v>0</v>
      </c>
      <c r="Z130" s="645">
        <f>IFERROR(IF(Z129="",0,Z129),"0")</f>
        <v>0</v>
      </c>
      <c r="AA130" s="646"/>
      <c r="AB130" s="646"/>
      <c r="AC130" s="646"/>
    </row>
    <row r="131" spans="1:68" hidden="1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0</v>
      </c>
      <c r="Y131" s="645">
        <f>IFERROR(SUM(Y129:Y129),"0")</f>
        <v>0</v>
      </c>
      <c r="Z131" s="37"/>
      <c r="AA131" s="646"/>
      <c r="AB131" s="646"/>
      <c r="AC131" s="646"/>
    </row>
    <row r="132" spans="1:68" ht="16.5" hidden="1" customHeight="1" x14ac:dyDescent="0.25">
      <c r="A132" s="676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3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hidden="1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0</v>
      </c>
      <c r="Y136" s="645">
        <f>IFERROR(Y134/H134,"0")+IFERROR(Y135/H135,"0")</f>
        <v>0</v>
      </c>
      <c r="Z136" s="645">
        <f>IFERROR(IF(Z134="",0,Z134),"0")+IFERROR(IF(Z135="",0,Z135),"0")</f>
        <v>0</v>
      </c>
      <c r="AA136" s="646"/>
      <c r="AB136" s="646"/>
      <c r="AC136" s="646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0</v>
      </c>
      <c r="Y137" s="645">
        <f>IFERROR(SUM(Y134:Y135),"0")</f>
        <v>0</v>
      </c>
      <c r="Z137" s="37"/>
      <c r="AA137" s="646"/>
      <c r="AB137" s="646"/>
      <c r="AC137" s="646"/>
    </row>
    <row r="138" spans="1:68" ht="14.25" hidden="1" customHeight="1" x14ac:dyDescent="0.25">
      <c r="A138" s="663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hidden="1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0</v>
      </c>
      <c r="Y141" s="645">
        <f>IFERROR(Y139/H139,"0")+IFERROR(Y140/H140,"0")</f>
        <v>0</v>
      </c>
      <c r="Z141" s="645">
        <f>IFERROR(IF(Z139="",0,Z139),"0")+IFERROR(IF(Z140="",0,Z140),"0")</f>
        <v>0</v>
      </c>
      <c r="AA141" s="646"/>
      <c r="AB141" s="646"/>
      <c r="AC141" s="646"/>
    </row>
    <row r="142" spans="1:68" hidden="1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0</v>
      </c>
      <c r="Y142" s="645">
        <f>IFERROR(SUM(Y139:Y140),"0")</f>
        <v>0</v>
      </c>
      <c r="Z142" s="37"/>
      <c r="AA142" s="646"/>
      <c r="AB142" s="646"/>
      <c r="AC142" s="646"/>
    </row>
    <row r="143" spans="1:68" ht="14.25" hidden="1" customHeight="1" x14ac:dyDescent="0.25">
      <c r="A143" s="663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hidden="1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0</v>
      </c>
      <c r="Y146" s="645">
        <f>IFERROR(Y144/H144,"0")+IFERROR(Y145/H145,"0")</f>
        <v>0</v>
      </c>
      <c r="Z146" s="645">
        <f>IFERROR(IF(Z144="",0,Z144),"0")+IFERROR(IF(Z145="",0,Z145),"0")</f>
        <v>0</v>
      </c>
      <c r="AA146" s="646"/>
      <c r="AB146" s="646"/>
      <c r="AC146" s="646"/>
    </row>
    <row r="147" spans="1:68" hidden="1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0</v>
      </c>
      <c r="Y147" s="645">
        <f>IFERROR(SUM(Y144:Y145),"0")</f>
        <v>0</v>
      </c>
      <c r="Z147" s="37"/>
      <c r="AA147" s="646"/>
      <c r="AB147" s="646"/>
      <c r="AC147" s="646"/>
    </row>
    <row r="148" spans="1:68" ht="16.5" hidden="1" customHeight="1" x14ac:dyDescent="0.25">
      <c r="A148" s="676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3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3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10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6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3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3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3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3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240</v>
      </c>
      <c r="Y176" s="644">
        <f t="shared" ref="Y176:Y186" si="21">IFERROR(IF(X176="",0,CEILING((X176/$H176),1)*$H176),"")</f>
        <v>241.5</v>
      </c>
      <c r="Z176" s="36">
        <f>IFERROR(IF(Y176=0,"",ROUNDUP(Y176/H176,0)*0.00902),"")</f>
        <v>0.62238000000000004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253.02857142857144</v>
      </c>
      <c r="BN176" s="64">
        <f t="shared" ref="BN176:BN186" si="23">IFERROR(Y176*I176/H176,"0")</f>
        <v>254.60999999999999</v>
      </c>
      <c r="BO176" s="64">
        <f t="shared" ref="BO176:BO186" si="24">IFERROR(1/J176*(X176/H176),"0")</f>
        <v>0.51948051948051943</v>
      </c>
      <c r="BP176" s="64">
        <f t="shared" ref="BP176:BP186" si="25">IFERROR(1/J176*(Y176/H176),"0")</f>
        <v>0.52272727272727271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2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168</v>
      </c>
      <c r="Y178" s="644">
        <f t="shared" si="21"/>
        <v>168</v>
      </c>
      <c r="Z178" s="36">
        <f>IFERROR(IF(Y178=0,"",ROUNDUP(Y178/H178,0)*0.00902),"")</f>
        <v>0.43296000000000001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177.11999999999998</v>
      </c>
      <c r="BN178" s="64">
        <f t="shared" si="23"/>
        <v>177.11999999999998</v>
      </c>
      <c r="BO178" s="64">
        <f t="shared" si="24"/>
        <v>0.36363636363636365</v>
      </c>
      <c r="BP178" s="64">
        <f t="shared" si="25"/>
        <v>0.36363636363636365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300</v>
      </c>
      <c r="Y179" s="644">
        <f t="shared" si="21"/>
        <v>301</v>
      </c>
      <c r="Z179" s="36">
        <f>IFERROR(IF(Y179=0,"",ROUNDUP(Y179/H179,0)*0.00902),"")</f>
        <v>0.77571999999999997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316.28571428571428</v>
      </c>
      <c r="BN179" s="64">
        <f t="shared" si="23"/>
        <v>317.34000000000003</v>
      </c>
      <c r="BO179" s="64">
        <f t="shared" si="24"/>
        <v>0.64935064935064934</v>
      </c>
      <c r="BP179" s="64">
        <f t="shared" si="25"/>
        <v>0.65151515151515149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50</v>
      </c>
      <c r="Y182" s="644">
        <f t="shared" si="21"/>
        <v>50.4</v>
      </c>
      <c r="Z182" s="36">
        <f>IFERROR(IF(Y182=0,"",ROUNDUP(Y182/H182,0)*0.00502),"")</f>
        <v>0.15060000000000001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52.976190476190482</v>
      </c>
      <c r="BN182" s="64">
        <f t="shared" si="23"/>
        <v>53.400000000000006</v>
      </c>
      <c r="BO182" s="64">
        <f t="shared" si="24"/>
        <v>0.12718762718762722</v>
      </c>
      <c r="BP182" s="64">
        <f t="shared" si="25"/>
        <v>0.12820512820512822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7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34</v>
      </c>
      <c r="Y186" s="644">
        <f t="shared" si="21"/>
        <v>35.28</v>
      </c>
      <c r="Z186" s="36">
        <f>IFERROR(IF(Y186=0,"",ROUNDUP(Y186/H186,0)*0.00502),"")</f>
        <v>0.10542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36.023809523809526</v>
      </c>
      <c r="BN186" s="64">
        <f t="shared" si="23"/>
        <v>37.380000000000003</v>
      </c>
      <c r="BO186" s="64">
        <f t="shared" si="24"/>
        <v>8.648758648758649E-2</v>
      </c>
      <c r="BP186" s="64">
        <f t="shared" si="25"/>
        <v>8.9743589743589758E-2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252.28571428571428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254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2.0870800000000003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792</v>
      </c>
      <c r="Y188" s="645">
        <f>IFERROR(SUM(Y176:Y186),"0")</f>
        <v>796.18</v>
      </c>
      <c r="Z188" s="37"/>
      <c r="AA188" s="646"/>
      <c r="AB188" s="646"/>
      <c r="AC188" s="646"/>
    </row>
    <row r="189" spans="1:68" ht="14.25" hidden="1" customHeight="1" x14ac:dyDescent="0.25">
      <c r="A189" s="663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8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3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3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4" t="s">
        <v>335</v>
      </c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48"/>
      <c r="AB203" s="48"/>
      <c r="AC203" s="48"/>
    </row>
    <row r="204" spans="1:68" ht="16.5" hidden="1" customHeight="1" x14ac:dyDescent="0.25">
      <c r="A204" s="676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3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70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5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7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8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6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3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3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hidden="1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0</v>
      </c>
      <c r="Y221" s="644">
        <f t="shared" ref="Y221:Y235" si="32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0</v>
      </c>
      <c r="BN221" s="64">
        <f t="shared" ref="BN221:BN235" si="34">IFERROR(Y221*I221/H221,"0")</f>
        <v>0</v>
      </c>
      <c r="BO221" s="64">
        <f t="shared" ref="BO221:BO235" si="35">IFERROR(1/J221*(X221/H221),"0")</f>
        <v>0</v>
      </c>
      <c r="BP221" s="64">
        <f t="shared" ref="BP221:BP235" si="36">IFERROR(1/J221*(Y221/H221),"0")</f>
        <v>0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300</v>
      </c>
      <c r="Y223" s="644">
        <f t="shared" si="32"/>
        <v>302.40000000000003</v>
      </c>
      <c r="Z223" s="36">
        <f>IFERROR(IF(Y223=0,"",ROUNDUP(Y223/H223,0)*0.00902),"")</f>
        <v>0.64944000000000002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313.57142857142856</v>
      </c>
      <c r="BN223" s="64">
        <f t="shared" si="34"/>
        <v>316.08</v>
      </c>
      <c r="BO223" s="64">
        <f t="shared" si="35"/>
        <v>0.54112554112554112</v>
      </c>
      <c r="BP223" s="64">
        <f t="shared" si="36"/>
        <v>0.54545454545454541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32</v>
      </c>
      <c r="Y225" s="644">
        <f t="shared" si="32"/>
        <v>33.6</v>
      </c>
      <c r="Z225" s="36">
        <f t="shared" ref="Z225:Z230" si="37">IFERROR(IF(Y225=0,"",ROUNDUP(Y225/H225,0)*0.00502),"")</f>
        <v>8.0320000000000003E-2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33.980952380952381</v>
      </c>
      <c r="BN225" s="64">
        <f t="shared" si="34"/>
        <v>35.68</v>
      </c>
      <c r="BO225" s="64">
        <f t="shared" si="35"/>
        <v>6.5120065120065129E-2</v>
      </c>
      <c r="BP225" s="64">
        <f t="shared" si="36"/>
        <v>6.8376068376068383E-2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82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0</v>
      </c>
      <c r="Y230" s="644">
        <f t="shared" si="32"/>
        <v>0</v>
      </c>
      <c r="Z230" s="36" t="str">
        <f t="shared" si="37"/>
        <v/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147</v>
      </c>
      <c r="Y232" s="644">
        <f t="shared" si="32"/>
        <v>147</v>
      </c>
      <c r="Z232" s="36">
        <f>IFERROR(IF(Y232=0,"",ROUNDUP(Y232/H232,0)*0.00502),"")</f>
        <v>0.35139999999999999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154</v>
      </c>
      <c r="BN232" s="64">
        <f t="shared" si="34"/>
        <v>154</v>
      </c>
      <c r="BO232" s="64">
        <f t="shared" si="35"/>
        <v>0.29914529914529919</v>
      </c>
      <c r="BP232" s="64">
        <f t="shared" si="36"/>
        <v>0.29914529914529919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1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156.66666666666669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158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1.0811599999999999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479</v>
      </c>
      <c r="Y237" s="645">
        <f>IFERROR(SUM(Y221:Y235),"0")</f>
        <v>483.00000000000006</v>
      </c>
      <c r="Z237" s="37"/>
      <c r="AA237" s="646"/>
      <c r="AB237" s="646"/>
      <c r="AC237" s="646"/>
    </row>
    <row r="238" spans="1:68" ht="14.25" hidden="1" customHeight="1" x14ac:dyDescent="0.25">
      <c r="A238" s="663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4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7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3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6</v>
      </c>
      <c r="Y253" s="644">
        <f>IFERROR(IF(X253="",0,CEILING((X253/$H253),1)*$H253),"")</f>
        <v>6.3</v>
      </c>
      <c r="Z253" s="36">
        <f>IFERROR(IF(Y253=0,"",ROUNDUP(Y253/H253,0)*0.0059),"")</f>
        <v>2.9499999999999998E-2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6.9047619047619042</v>
      </c>
      <c r="BN253" s="64">
        <f>IFERROR(Y253*I253/H253,"0")</f>
        <v>7.25</v>
      </c>
      <c r="BO253" s="64">
        <f>IFERROR(1/J253*(X253/H253),"0")</f>
        <v>2.2045855379188711E-2</v>
      </c>
      <c r="BP253" s="64">
        <f>IFERROR(1/J253*(Y253/H253),"0")</f>
        <v>2.3148148148148147E-2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4.7619047619047619</v>
      </c>
      <c r="Y254" s="645">
        <f>IFERROR(Y251/H251,"0")+IFERROR(Y252/H252,"0")+IFERROR(Y253/H253,"0")</f>
        <v>5</v>
      </c>
      <c r="Z254" s="645">
        <f>IFERROR(IF(Z251="",0,Z251),"0")+IFERROR(IF(Z252="",0,Z252),"0")+IFERROR(IF(Z253="",0,Z253),"0")</f>
        <v>2.9499999999999998E-2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6</v>
      </c>
      <c r="Y255" s="645">
        <f>IFERROR(SUM(Y251:Y253),"0")</f>
        <v>6.3</v>
      </c>
      <c r="Z255" s="37"/>
      <c r="AA255" s="646"/>
      <c r="AB255" s="646"/>
      <c r="AC255" s="646"/>
    </row>
    <row r="256" spans="1:68" ht="14.25" hidden="1" customHeight="1" x14ac:dyDescent="0.25">
      <c r="A256" s="663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hidden="1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76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3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3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3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0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360</v>
      </c>
      <c r="Y274" s="644">
        <f t="shared" si="43"/>
        <v>361.8</v>
      </c>
      <c r="Z274" s="36">
        <f>IFERROR(IF(Y274=0,"",ROUNDUP(Y274/H274,0)*0.00902),"")</f>
        <v>0.60433999999999999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372.66666666666663</v>
      </c>
      <c r="BN274" s="64">
        <f t="shared" si="45"/>
        <v>374.53</v>
      </c>
      <c r="BO274" s="64">
        <f t="shared" si="46"/>
        <v>0.50505050505050497</v>
      </c>
      <c r="BP274" s="64">
        <f t="shared" si="47"/>
        <v>0.50757575757575757</v>
      </c>
    </row>
    <row r="275" spans="1:68" ht="27" hidden="1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66.666666666666657</v>
      </c>
      <c r="Y280" s="645">
        <f>IFERROR(Y272/H272,"0")+IFERROR(Y273/H273,"0")+IFERROR(Y274/H274,"0")+IFERROR(Y275/H275,"0")+IFERROR(Y276/H276,"0")+IFERROR(Y277/H277,"0")+IFERROR(Y278/H278,"0")+IFERROR(Y279/H279,"0")</f>
        <v>67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0.60433999999999999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360</v>
      </c>
      <c r="Y281" s="645">
        <f>IFERROR(SUM(Y272:Y279),"0")</f>
        <v>361.8</v>
      </c>
      <c r="Z281" s="37"/>
      <c r="AA281" s="646"/>
      <c r="AB281" s="646"/>
      <c r="AC281" s="646"/>
    </row>
    <row r="282" spans="1:68" ht="14.25" hidden="1" customHeight="1" x14ac:dyDescent="0.25">
      <c r="A282" s="663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237</v>
      </c>
      <c r="Y283" s="644">
        <f t="shared" ref="Y283:Y294" si="48">IFERROR(IF(X283="",0,CEILING((X283/$H283),1)*$H283),"")</f>
        <v>243</v>
      </c>
      <c r="Z283" s="36">
        <f>IFERROR(IF(Y283=0,"",ROUNDUP(Y283/H283,0)*0.01898),"")</f>
        <v>0.56940000000000002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251.45407407407407</v>
      </c>
      <c r="BN283" s="64">
        <f t="shared" ref="BN283:BN294" si="50">IFERROR(Y283*I283/H283,"0")</f>
        <v>257.82</v>
      </c>
      <c r="BO283" s="64">
        <f t="shared" ref="BO283:BO294" si="51">IFERROR(1/J283*(X283/H283),"0")</f>
        <v>0.45717592592592593</v>
      </c>
      <c r="BP283" s="64">
        <f t="shared" ref="BP283:BP294" si="52">IFERROR(1/J283*(Y283/H283),"0")</f>
        <v>0.46875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180</v>
      </c>
      <c r="Y284" s="644">
        <f t="shared" si="48"/>
        <v>186.29999999999998</v>
      </c>
      <c r="Z284" s="36">
        <f>IFERROR(IF(Y284=0,"",ROUNDUP(Y284/H284,0)*0.01898),"")</f>
        <v>0.43653999999999998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190.57777777777778</v>
      </c>
      <c r="BN284" s="64">
        <f t="shared" si="50"/>
        <v>197.24799999999999</v>
      </c>
      <c r="BO284" s="64">
        <f t="shared" si="51"/>
        <v>0.34722222222222221</v>
      </c>
      <c r="BP284" s="64">
        <f t="shared" si="52"/>
        <v>0.359375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86</v>
      </c>
      <c r="Y286" s="644">
        <f t="shared" si="48"/>
        <v>86.399999999999991</v>
      </c>
      <c r="Z286" s="36">
        <f>IFERROR(IF(Y286=0,"",ROUNDUP(Y286/H286,0)*0.00651),"")</f>
        <v>0.23436000000000001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95.675000000000011</v>
      </c>
      <c r="BN286" s="64">
        <f t="shared" si="50"/>
        <v>96.11999999999999</v>
      </c>
      <c r="BO286" s="64">
        <f t="shared" si="51"/>
        <v>0.19688644688644691</v>
      </c>
      <c r="BP286" s="64">
        <f t="shared" si="52"/>
        <v>0.19780219780219782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528</v>
      </c>
      <c r="Y289" s="644">
        <f t="shared" si="48"/>
        <v>528</v>
      </c>
      <c r="Z289" s="36">
        <f>IFERROR(IF(Y289=0,"",ROUNDUP(Y289/H289,0)*0.00651),"")</f>
        <v>1.4322000000000001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583.44000000000005</v>
      </c>
      <c r="BN289" s="64">
        <f t="shared" si="50"/>
        <v>583.44000000000005</v>
      </c>
      <c r="BO289" s="64">
        <f t="shared" si="51"/>
        <v>1.2087912087912089</v>
      </c>
      <c r="BP289" s="64">
        <f t="shared" si="52"/>
        <v>1.2087912087912089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44</v>
      </c>
      <c r="Y291" s="644">
        <f t="shared" si="48"/>
        <v>45.6</v>
      </c>
      <c r="Z291" s="36">
        <f>IFERROR(IF(Y291=0,"",ROUNDUP(Y291/H291,0)*0.00651),"")</f>
        <v>0.12369000000000001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48.620000000000005</v>
      </c>
      <c r="BN291" s="64">
        <f t="shared" si="50"/>
        <v>50.388000000000005</v>
      </c>
      <c r="BO291" s="64">
        <f t="shared" si="51"/>
        <v>0.10073260073260075</v>
      </c>
      <c r="BP291" s="64">
        <f t="shared" si="52"/>
        <v>0.1043956043956044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168</v>
      </c>
      <c r="Y292" s="644">
        <f t="shared" si="48"/>
        <v>168</v>
      </c>
      <c r="Z292" s="36">
        <f>IFERROR(IF(Y292=0,"",ROUNDUP(Y292/H292,0)*0.00651),"")</f>
        <v>0.45569999999999999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185.64000000000001</v>
      </c>
      <c r="BN292" s="64">
        <f t="shared" si="50"/>
        <v>185.64000000000001</v>
      </c>
      <c r="BO292" s="64">
        <f t="shared" si="51"/>
        <v>0.38461538461538464</v>
      </c>
      <c r="BP292" s="64">
        <f t="shared" si="52"/>
        <v>0.38461538461538464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395.6481481481481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398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3.2518900000000004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1243</v>
      </c>
      <c r="Y296" s="645">
        <f>IFERROR(SUM(Y283:Y294),"0")</f>
        <v>1257.2999999999997</v>
      </c>
      <c r="Z296" s="37"/>
      <c r="AA296" s="646"/>
      <c r="AB296" s="646"/>
      <c r="AC296" s="646"/>
    </row>
    <row r="297" spans="1:68" ht="14.25" hidden="1" customHeight="1" x14ac:dyDescent="0.25">
      <c r="A297" s="663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hidden="1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6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3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7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35</v>
      </c>
      <c r="Y310" s="644">
        <f t="shared" si="53"/>
        <v>36</v>
      </c>
      <c r="Z310" s="36">
        <f>IFERROR(IF(Y310=0,"",ROUNDUP(Y310/H310,0)*0.00902),"")</f>
        <v>8.1180000000000002E-2</v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36.662500000000001</v>
      </c>
      <c r="BN310" s="64">
        <f t="shared" si="55"/>
        <v>37.71</v>
      </c>
      <c r="BO310" s="64">
        <f t="shared" si="56"/>
        <v>6.6287878787878785E-2</v>
      </c>
      <c r="BP310" s="64">
        <f t="shared" si="57"/>
        <v>6.8181818181818177E-2</v>
      </c>
    </row>
    <row r="311" spans="1:68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8.75</v>
      </c>
      <c r="Y311" s="645">
        <f>IFERROR(Y304/H304,"0")+IFERROR(Y305/H305,"0")+IFERROR(Y306/H306,"0")+IFERROR(Y307/H307,"0")+IFERROR(Y308/H308,"0")+IFERROR(Y309/H309,"0")+IFERROR(Y310/H310,"0")</f>
        <v>9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8.1180000000000002E-2</v>
      </c>
      <c r="AA311" s="646"/>
      <c r="AB311" s="646"/>
      <c r="AC311" s="646"/>
    </row>
    <row r="312" spans="1:68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35</v>
      </c>
      <c r="Y312" s="645">
        <f>IFERROR(SUM(Y304:Y310),"0")</f>
        <v>36</v>
      </c>
      <c r="Z312" s="37"/>
      <c r="AA312" s="646"/>
      <c r="AB312" s="646"/>
      <c r="AC312" s="646"/>
    </row>
    <row r="313" spans="1:68" ht="14.25" hidden="1" customHeight="1" x14ac:dyDescent="0.25">
      <c r="A313" s="663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9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3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hidden="1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63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6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3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2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6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3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60</v>
      </c>
      <c r="Y339" s="644">
        <f>IFERROR(IF(X339="",0,CEILING((X339/$H339),1)*$H339),"")</f>
        <v>60</v>
      </c>
      <c r="Z339" s="36">
        <f>IFERROR(IF(Y339=0,"",ROUNDUP(Y339/H339,0)*0.00651),"")</f>
        <v>0.16275000000000001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64.500000000000014</v>
      </c>
      <c r="BN339" s="64">
        <f>IFERROR(Y339*I339/H339,"0")</f>
        <v>64.500000000000014</v>
      </c>
      <c r="BO339" s="64">
        <f>IFERROR(1/J339*(X339/H339),"0")</f>
        <v>0.13736263736263737</v>
      </c>
      <c r="BP339" s="64">
        <f>IFERROR(1/J339*(Y339/H339),"0")</f>
        <v>0.13736263736263737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25</v>
      </c>
      <c r="Y340" s="645">
        <f>IFERROR(Y337/H337,"0")+IFERROR(Y338/H338,"0")+IFERROR(Y339/H339,"0")</f>
        <v>25</v>
      </c>
      <c r="Z340" s="645">
        <f>IFERROR(IF(Z337="",0,Z337),"0")+IFERROR(IF(Z338="",0,Z338),"0")+IFERROR(IF(Z339="",0,Z339),"0")</f>
        <v>0.16275000000000001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60</v>
      </c>
      <c r="Y341" s="645">
        <f>IFERROR(SUM(Y337:Y339),"0")</f>
        <v>60</v>
      </c>
      <c r="Z341" s="37"/>
      <c r="AA341" s="646"/>
      <c r="AB341" s="646"/>
      <c r="AC341" s="646"/>
    </row>
    <row r="342" spans="1:68" ht="16.5" hidden="1" customHeight="1" x14ac:dyDescent="0.25">
      <c r="A342" s="676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3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6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3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hidden="1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0</v>
      </c>
      <c r="Y361" s="645">
        <f>IFERROR(Y358/H358,"0")+IFERROR(Y359/H359,"0")+IFERROR(Y360/H360,"0")</f>
        <v>0</v>
      </c>
      <c r="Z361" s="645">
        <f>IFERROR(IF(Z358="",0,Z358),"0")+IFERROR(IF(Z359="",0,Z359),"0")+IFERROR(IF(Z360="",0,Z360),"0")</f>
        <v>0</v>
      </c>
      <c r="AA361" s="646"/>
      <c r="AB361" s="646"/>
      <c r="AC361" s="646"/>
    </row>
    <row r="362" spans="1:68" hidden="1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0</v>
      </c>
      <c r="Y362" s="645">
        <f>IFERROR(SUM(Y358:Y360),"0")</f>
        <v>0</v>
      </c>
      <c r="Z362" s="37"/>
      <c r="AA362" s="646"/>
      <c r="AB362" s="646"/>
      <c r="AC362" s="646"/>
    </row>
    <row r="363" spans="1:68" ht="16.5" hidden="1" customHeight="1" x14ac:dyDescent="0.25">
      <c r="A363" s="676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3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8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3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36</v>
      </c>
      <c r="Y381" s="644">
        <f t="shared" si="68"/>
        <v>36</v>
      </c>
      <c r="Z381" s="36">
        <f>IFERROR(IF(Y381=0,"",ROUNDUP(Y381/H381,0)*0.00651),"")</f>
        <v>0.13020000000000001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40.559999999999995</v>
      </c>
      <c r="BN381" s="64">
        <f t="shared" si="70"/>
        <v>40.559999999999995</v>
      </c>
      <c r="BO381" s="64">
        <f t="shared" si="71"/>
        <v>0.1098901098901099</v>
      </c>
      <c r="BP381" s="64">
        <f t="shared" si="72"/>
        <v>0.1098901098901099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20</v>
      </c>
      <c r="Y382" s="645">
        <f>IFERROR(Y375/H375,"0")+IFERROR(Y376/H376,"0")+IFERROR(Y377/H377,"0")+IFERROR(Y378/H378,"0")+IFERROR(Y379/H379,"0")+IFERROR(Y380/H380,"0")+IFERROR(Y381/H381,"0")</f>
        <v>20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0.13020000000000001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36</v>
      </c>
      <c r="Y383" s="645">
        <f>IFERROR(SUM(Y375:Y381),"0")</f>
        <v>36</v>
      </c>
      <c r="Z383" s="37"/>
      <c r="AA383" s="646"/>
      <c r="AB383" s="646"/>
      <c r="AC383" s="646"/>
    </row>
    <row r="384" spans="1:68" ht="14.25" hidden="1" customHeight="1" x14ac:dyDescent="0.25">
      <c r="A384" s="663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6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3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113</v>
      </c>
      <c r="Y392" s="644">
        <f>IFERROR(IF(X392="",0,CEILING((X392/$H392),1)*$H392),"")</f>
        <v>117.60000000000001</v>
      </c>
      <c r="Z392" s="36">
        <f>IFERROR(IF(Y392=0,"",ROUNDUP(Y392/H392,0)*0.01898),"")</f>
        <v>0.26572000000000001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119.64547619047619</v>
      </c>
      <c r="BN392" s="64">
        <f>IFERROR(Y392*I392/H392,"0")</f>
        <v>124.51600000000001</v>
      </c>
      <c r="BO392" s="64">
        <f>IFERROR(1/J392*(X392/H392),"0")</f>
        <v>0.21019345238095238</v>
      </c>
      <c r="BP392" s="64">
        <f>IFERROR(1/J392*(Y392/H392),"0")</f>
        <v>0.21875</v>
      </c>
    </row>
    <row r="393" spans="1:68" ht="27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464</v>
      </c>
      <c r="Y393" s="644">
        <f>IFERROR(IF(X393="",0,CEILING((X393/$H393),1)*$H393),"")</f>
        <v>468</v>
      </c>
      <c r="Z393" s="36">
        <f>IFERROR(IF(Y393=0,"",ROUNDUP(Y393/H393,0)*0.01898),"")</f>
        <v>1.1388</v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493.38666666666671</v>
      </c>
      <c r="BN393" s="64">
        <f>IFERROR(Y393*I393/H393,"0")</f>
        <v>497.64000000000004</v>
      </c>
      <c r="BO393" s="64">
        <f>IFERROR(1/J393*(X393/H393),"0")</f>
        <v>0.92948717948717952</v>
      </c>
      <c r="BP393" s="64">
        <f>IFERROR(1/J393*(Y393/H393),"0")</f>
        <v>0.9375</v>
      </c>
    </row>
    <row r="394" spans="1:68" ht="27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94</v>
      </c>
      <c r="Y394" s="644">
        <f>IFERROR(IF(X394="",0,CEILING((X394/$H394),1)*$H394),"")</f>
        <v>100.80000000000001</v>
      </c>
      <c r="Z394" s="36">
        <f>IFERROR(IF(Y394=0,"",ROUNDUP(Y394/H394,0)*0.01898),"")</f>
        <v>0.22776000000000002</v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99.528095238095247</v>
      </c>
      <c r="BN394" s="64">
        <f>IFERROR(Y394*I394/H394,"0")</f>
        <v>106.72800000000001</v>
      </c>
      <c r="BO394" s="64">
        <f>IFERROR(1/J394*(X394/H394),"0")</f>
        <v>0.17485119047619047</v>
      </c>
      <c r="BP394" s="64">
        <f>IFERROR(1/J394*(Y394/H394),"0")</f>
        <v>0.1875</v>
      </c>
    </row>
    <row r="395" spans="1:68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84.130036630036628</v>
      </c>
      <c r="Y395" s="645">
        <f>IFERROR(Y392/H392,"0")+IFERROR(Y393/H393,"0")+IFERROR(Y394/H394,"0")</f>
        <v>86</v>
      </c>
      <c r="Z395" s="645">
        <f>IFERROR(IF(Z392="",0,Z392),"0")+IFERROR(IF(Z393="",0,Z393),"0")+IFERROR(IF(Z394="",0,Z394),"0")</f>
        <v>1.63228</v>
      </c>
      <c r="AA395" s="646"/>
      <c r="AB395" s="646"/>
      <c r="AC395" s="646"/>
    </row>
    <row r="396" spans="1:68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671</v>
      </c>
      <c r="Y396" s="645">
        <f>IFERROR(SUM(Y392:Y394),"0")</f>
        <v>686.40000000000009</v>
      </c>
      <c r="Z396" s="37"/>
      <c r="AA396" s="646"/>
      <c r="AB396" s="646"/>
      <c r="AC396" s="646"/>
    </row>
    <row r="397" spans="1:68" ht="14.25" hidden="1" customHeight="1" x14ac:dyDescent="0.25">
      <c r="A397" s="663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8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3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3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80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6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3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7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6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3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23</v>
      </c>
      <c r="Y425" s="644">
        <f>IFERROR(IF(X425="",0,CEILING((X425/$H425),1)*$H425),"")</f>
        <v>23.1</v>
      </c>
      <c r="Z425" s="36">
        <f>IFERROR(IF(Y425=0,"",ROUNDUP(Y425/H425,0)*0.00651),"")</f>
        <v>7.1610000000000007E-2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25.759999999999998</v>
      </c>
      <c r="BN425" s="64">
        <f>IFERROR(Y425*I425/H425,"0")</f>
        <v>25.872</v>
      </c>
      <c r="BO425" s="64">
        <f>IFERROR(1/J425*(X425/H425),"0")</f>
        <v>6.0177917320774467E-2</v>
      </c>
      <c r="BP425" s="64">
        <f>IFERROR(1/J425*(Y425/H425),"0")</f>
        <v>6.0439560439560447E-2</v>
      </c>
    </row>
    <row r="426" spans="1:68" ht="27" hidden="1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0</v>
      </c>
      <c r="Y426" s="644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10.952380952380953</v>
      </c>
      <c r="Y427" s="645">
        <f>IFERROR(Y424/H424,"0")+IFERROR(Y425/H425,"0")+IFERROR(Y426/H426,"0")</f>
        <v>11</v>
      </c>
      <c r="Z427" s="645">
        <f>IFERROR(IF(Z424="",0,Z424),"0")+IFERROR(IF(Z425="",0,Z425),"0")+IFERROR(IF(Z426="",0,Z426),"0")</f>
        <v>7.1610000000000007E-2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23</v>
      </c>
      <c r="Y428" s="645">
        <f>IFERROR(SUM(Y424:Y426),"0")</f>
        <v>23.1</v>
      </c>
      <c r="Z428" s="37"/>
      <c r="AA428" s="646"/>
      <c r="AB428" s="646"/>
      <c r="AC428" s="646"/>
    </row>
    <row r="429" spans="1:68" ht="27.75" hidden="1" customHeight="1" x14ac:dyDescent="0.2">
      <c r="A429" s="664" t="s">
        <v>690</v>
      </c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48"/>
      <c r="AB429" s="48"/>
      <c r="AC429" s="48"/>
    </row>
    <row r="430" spans="1:68" ht="16.5" hidden="1" customHeight="1" x14ac:dyDescent="0.25">
      <c r="A430" s="676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3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302</v>
      </c>
      <c r="Y433" s="644">
        <f t="shared" si="73"/>
        <v>315</v>
      </c>
      <c r="Z433" s="36">
        <f>IFERROR(IF(Y433=0,"",ROUNDUP(Y433/H433,0)*0.02175),"")</f>
        <v>0.45674999999999999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311.46266666666668</v>
      </c>
      <c r="BN433" s="64">
        <f t="shared" si="75"/>
        <v>324.87</v>
      </c>
      <c r="BO433" s="64">
        <f t="shared" si="76"/>
        <v>0.4194444444444444</v>
      </c>
      <c r="BP433" s="64">
        <f t="shared" si="77"/>
        <v>0.4375</v>
      </c>
    </row>
    <row r="434" spans="1:68" ht="27" hidden="1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0</v>
      </c>
      <c r="Y434" s="644">
        <f t="shared" si="73"/>
        <v>0</v>
      </c>
      <c r="Z434" s="36" t="str">
        <f>IFERROR(IF(Y434=0,"",ROUNDUP(Y434/H434,0)*0.02175),"")</f>
        <v/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0</v>
      </c>
      <c r="BN434" s="64">
        <f t="shared" si="75"/>
        <v>0</v>
      </c>
      <c r="BO434" s="64">
        <f t="shared" si="76"/>
        <v>0</v>
      </c>
      <c r="BP434" s="64">
        <f t="shared" si="77"/>
        <v>0</v>
      </c>
    </row>
    <row r="435" spans="1:68" ht="27" hidden="1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0</v>
      </c>
      <c r="Y435" s="644">
        <f t="shared" si="73"/>
        <v>0</v>
      </c>
      <c r="Z435" s="36" t="str">
        <f>IFERROR(IF(Y435=0,"",ROUNDUP(Y435/H435,0)*0.02175),"")</f>
        <v/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0</v>
      </c>
      <c r="BN435" s="64">
        <f t="shared" si="75"/>
        <v>0</v>
      </c>
      <c r="BO435" s="64">
        <f t="shared" si="76"/>
        <v>0</v>
      </c>
      <c r="BP435" s="64">
        <f t="shared" si="77"/>
        <v>0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100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334</v>
      </c>
      <c r="Y436" s="644">
        <f t="shared" si="73"/>
        <v>345</v>
      </c>
      <c r="Z436" s="36">
        <f>IFERROR(IF(Y436=0,"",ROUNDUP(Y436/H436,0)*0.02175),"")</f>
        <v>0.50024999999999997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344.46533333333338</v>
      </c>
      <c r="BN436" s="64">
        <f t="shared" si="75"/>
        <v>355.81000000000006</v>
      </c>
      <c r="BO436" s="64">
        <f t="shared" si="76"/>
        <v>0.46388888888888885</v>
      </c>
      <c r="BP436" s="64">
        <f t="shared" si="77"/>
        <v>0.47916666666666663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42.4</v>
      </c>
      <c r="Y440" s="645">
        <f>IFERROR(Y432/H432,"0")+IFERROR(Y433/H433,"0")+IFERROR(Y434/H434,"0")+IFERROR(Y435/H435,"0")+IFERROR(Y436/H436,"0")+IFERROR(Y437/H437,"0")+IFERROR(Y438/H438,"0")+IFERROR(Y439/H439,"0")</f>
        <v>44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0.95699999999999996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636</v>
      </c>
      <c r="Y441" s="645">
        <f>IFERROR(SUM(Y432:Y439),"0")</f>
        <v>660</v>
      </c>
      <c r="Z441" s="37"/>
      <c r="AA441" s="646"/>
      <c r="AB441" s="646"/>
      <c r="AC441" s="646"/>
    </row>
    <row r="442" spans="1:68" ht="14.25" hidden="1" customHeight="1" x14ac:dyDescent="0.25">
      <c r="A442" s="663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750</v>
      </c>
      <c r="Y443" s="644">
        <f>IFERROR(IF(X443="",0,CEILING((X443/$H443),1)*$H443),"")</f>
        <v>750</v>
      </c>
      <c r="Z443" s="36">
        <f>IFERROR(IF(Y443=0,"",ROUNDUP(Y443/H443,0)*0.02175),"")</f>
        <v>1.0874999999999999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773.5</v>
      </c>
      <c r="BN443" s="64">
        <f>IFERROR(Y443*I443/H443,"0")</f>
        <v>773.5</v>
      </c>
      <c r="BO443" s="64">
        <f>IFERROR(1/J443*(X443/H443),"0")</f>
        <v>1.0416666666666665</v>
      </c>
      <c r="BP443" s="64">
        <f>IFERROR(1/J443*(Y443/H443),"0")</f>
        <v>1.0416666666666665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50</v>
      </c>
      <c r="Y446" s="645">
        <f>IFERROR(Y443/H443,"0")+IFERROR(Y444/H444,"0")+IFERROR(Y445/H445,"0")</f>
        <v>50</v>
      </c>
      <c r="Z446" s="645">
        <f>IFERROR(IF(Z443="",0,Z443),"0")+IFERROR(IF(Z444="",0,Z444),"0")+IFERROR(IF(Z445="",0,Z445),"0")</f>
        <v>1.0874999999999999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750</v>
      </c>
      <c r="Y447" s="645">
        <f>IFERROR(SUM(Y443:Y445),"0")</f>
        <v>750</v>
      </c>
      <c r="Z447" s="37"/>
      <c r="AA447" s="646"/>
      <c r="AB447" s="646"/>
      <c r="AC447" s="646"/>
    </row>
    <row r="448" spans="1:68" ht="14.25" hidden="1" customHeight="1" x14ac:dyDescent="0.25">
      <c r="A448" s="663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3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141</v>
      </c>
      <c r="Y456" s="644">
        <f>IFERROR(IF(X456="",0,CEILING((X456/$H456),1)*$H456),"")</f>
        <v>144</v>
      </c>
      <c r="Z456" s="36">
        <f>IFERROR(IF(Y456=0,"",ROUNDUP(Y456/H456,0)*0.01898),"")</f>
        <v>0.30368000000000001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148.73933333333332</v>
      </c>
      <c r="BN456" s="64">
        <f>IFERROR(Y456*I456/H456,"0")</f>
        <v>151.904</v>
      </c>
      <c r="BO456" s="64">
        <f>IFERROR(1/J456*(X456/H456),"0")</f>
        <v>0.24479166666666666</v>
      </c>
      <c r="BP456" s="64">
        <f>IFERROR(1/J456*(Y456/H456),"0")</f>
        <v>0.25</v>
      </c>
    </row>
    <row r="457" spans="1:68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15.666666666666666</v>
      </c>
      <c r="Y457" s="645">
        <f>IFERROR(Y455/H455,"0")+IFERROR(Y456/H456,"0")</f>
        <v>16</v>
      </c>
      <c r="Z457" s="645">
        <f>IFERROR(IF(Z455="",0,Z455),"0")+IFERROR(IF(Z456="",0,Z456),"0")</f>
        <v>0.30368000000000001</v>
      </c>
      <c r="AA457" s="646"/>
      <c r="AB457" s="646"/>
      <c r="AC457" s="646"/>
    </row>
    <row r="458" spans="1:68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141</v>
      </c>
      <c r="Y458" s="645">
        <f>IFERROR(SUM(Y455:Y456),"0")</f>
        <v>144</v>
      </c>
      <c r="Z458" s="37"/>
      <c r="AA458" s="646"/>
      <c r="AB458" s="646"/>
      <c r="AC458" s="646"/>
    </row>
    <row r="459" spans="1:68" ht="16.5" hidden="1" customHeight="1" x14ac:dyDescent="0.25">
      <c r="A459" s="676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3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3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8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3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810</v>
      </c>
      <c r="Y470" s="644">
        <f>IFERROR(IF(X470="",0,CEILING((X470/$H470),1)*$H470),"")</f>
        <v>810</v>
      </c>
      <c r="Z470" s="36">
        <f>IFERROR(IF(Y470=0,"",ROUNDUP(Y470/H470,0)*0.01898),"")</f>
        <v>1.7081999999999999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854.45999999999992</v>
      </c>
      <c r="BN470" s="64">
        <f>IFERROR(Y470*I470/H470,"0")</f>
        <v>854.45999999999992</v>
      </c>
      <c r="BO470" s="64">
        <f>IFERROR(1/J470*(X470/H470),"0")</f>
        <v>1.40625</v>
      </c>
      <c r="BP470" s="64">
        <f>IFERROR(1/J470*(Y470/H470),"0")</f>
        <v>1.40625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90</v>
      </c>
      <c r="Y473" s="645">
        <f>IFERROR(Y470/H470,"0")+IFERROR(Y471/H471,"0")+IFERROR(Y472/H472,"0")</f>
        <v>90</v>
      </c>
      <c r="Z473" s="645">
        <f>IFERROR(IF(Z470="",0,Z470),"0")+IFERROR(IF(Z471="",0,Z471),"0")+IFERROR(IF(Z472="",0,Z472),"0")</f>
        <v>1.7081999999999999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810</v>
      </c>
      <c r="Y474" s="645">
        <f>IFERROR(SUM(Y470:Y472),"0")</f>
        <v>810</v>
      </c>
      <c r="Z474" s="37"/>
      <c r="AA474" s="646"/>
      <c r="AB474" s="646"/>
      <c r="AC474" s="646"/>
    </row>
    <row r="475" spans="1:68" ht="27.75" hidden="1" customHeight="1" x14ac:dyDescent="0.2">
      <c r="A475" s="664" t="s">
        <v>756</v>
      </c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48"/>
      <c r="AB475" s="48"/>
      <c r="AC475" s="48"/>
    </row>
    <row r="476" spans="1:68" ht="16.5" hidden="1" customHeight="1" x14ac:dyDescent="0.25">
      <c r="A476" s="676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3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8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3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8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6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3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80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3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4" t="s">
        <v>792</v>
      </c>
      <c r="B502" s="665"/>
      <c r="C502" s="665"/>
      <c r="D502" s="665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48"/>
      <c r="AB502" s="48"/>
      <c r="AC502" s="48"/>
    </row>
    <row r="503" spans="1:68" ht="16.5" hidden="1" customHeight="1" x14ac:dyDescent="0.25">
      <c r="A503" s="676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3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hidden="1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0</v>
      </c>
      <c r="Y505" s="644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122</v>
      </c>
      <c r="Y508" s="644">
        <f t="shared" si="83"/>
        <v>126.72</v>
      </c>
      <c r="Z508" s="36">
        <f t="shared" si="84"/>
        <v>0.28704000000000002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130.08712121212122</v>
      </c>
      <c r="BN508" s="64">
        <f t="shared" si="86"/>
        <v>135.11999999999998</v>
      </c>
      <c r="BO508" s="64">
        <f t="shared" si="87"/>
        <v>0.22217365967365968</v>
      </c>
      <c r="BP508" s="64">
        <f t="shared" si="88"/>
        <v>0.23076923076923078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9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462</v>
      </c>
      <c r="Y510" s="644">
        <f t="shared" si="83"/>
        <v>464.64000000000004</v>
      </c>
      <c r="Z510" s="36">
        <f t="shared" si="84"/>
        <v>1.0524800000000001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492.62499999999994</v>
      </c>
      <c r="BN510" s="64">
        <f t="shared" si="86"/>
        <v>495.44</v>
      </c>
      <c r="BO510" s="64">
        <f t="shared" si="87"/>
        <v>0.84134615384615385</v>
      </c>
      <c r="BP510" s="64">
        <f t="shared" si="88"/>
        <v>0.84615384615384626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110.60606060606061</v>
      </c>
      <c r="Y514" s="645">
        <f>IFERROR(Y505/H505,"0")+IFERROR(Y506/H506,"0")+IFERROR(Y507/H507,"0")+IFERROR(Y508/H508,"0")+IFERROR(Y509/H509,"0")+IFERROR(Y510/H510,"0")+IFERROR(Y511/H511,"0")+IFERROR(Y512/H512,"0")+IFERROR(Y513/H513,"0")</f>
        <v>112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1.33952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584</v>
      </c>
      <c r="Y515" s="645">
        <f>IFERROR(SUM(Y505:Y513),"0")</f>
        <v>591.36</v>
      </c>
      <c r="Z515" s="37"/>
      <c r="AA515" s="646"/>
      <c r="AB515" s="646"/>
      <c r="AC515" s="646"/>
    </row>
    <row r="516" spans="1:68" ht="14.25" hidden="1" customHeight="1" x14ac:dyDescent="0.25">
      <c r="A516" s="663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663</v>
      </c>
      <c r="Y517" s="644">
        <f>IFERROR(IF(X517="",0,CEILING((X517/$H517),1)*$H517),"")</f>
        <v>665.28000000000009</v>
      </c>
      <c r="Z517" s="36">
        <f>IFERROR(IF(Y517=0,"",ROUNDUP(Y517/H517,0)*0.01196),"")</f>
        <v>1.5069600000000001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706.94886363636363</v>
      </c>
      <c r="BN517" s="64">
        <f>IFERROR(Y517*I517/H517,"0")</f>
        <v>709.38</v>
      </c>
      <c r="BO517" s="64">
        <f>IFERROR(1/J517*(X517/H517),"0")</f>
        <v>1.2073863636363638</v>
      </c>
      <c r="BP517" s="64">
        <f>IFERROR(1/J517*(Y517/H517),"0")</f>
        <v>1.2115384615384617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7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0</v>
      </c>
      <c r="Y519" s="644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125.56818181818181</v>
      </c>
      <c r="Y520" s="645">
        <f>IFERROR(Y517/H517,"0")+IFERROR(Y518/H518,"0")+IFERROR(Y519/H519,"0")</f>
        <v>126.00000000000001</v>
      </c>
      <c r="Z520" s="645">
        <f>IFERROR(IF(Z517="",0,Z517),"0")+IFERROR(IF(Z518="",0,Z518),"0")+IFERROR(IF(Z519="",0,Z519),"0")</f>
        <v>1.5069600000000001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663</v>
      </c>
      <c r="Y521" s="645">
        <f>IFERROR(SUM(Y517:Y519),"0")</f>
        <v>665.28000000000009</v>
      </c>
      <c r="Z521" s="37"/>
      <c r="AA521" s="646"/>
      <c r="AB521" s="646"/>
      <c r="AC521" s="646"/>
    </row>
    <row r="522" spans="1:68" ht="14.25" hidden="1" customHeight="1" x14ac:dyDescent="0.25">
      <c r="A522" s="663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169</v>
      </c>
      <c r="Y523" s="644">
        <f t="shared" ref="Y523:Y529" si="89">IFERROR(IF(X523="",0,CEILING((X523/$H523),1)*$H523),"")</f>
        <v>174.24</v>
      </c>
      <c r="Z523" s="36">
        <f>IFERROR(IF(Y523=0,"",ROUNDUP(Y523/H523,0)*0.01196),"")</f>
        <v>0.39468000000000003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180.2026515151515</v>
      </c>
      <c r="BN523" s="64">
        <f t="shared" ref="BN523:BN529" si="91">IFERROR(Y523*I523/H523,"0")</f>
        <v>185.79</v>
      </c>
      <c r="BO523" s="64">
        <f t="shared" ref="BO523:BO529" si="92">IFERROR(1/J523*(X523/H523),"0")</f>
        <v>0.30776515151515155</v>
      </c>
      <c r="BP523" s="64">
        <f t="shared" ref="BP523:BP529" si="93">IFERROR(1/J523*(Y523/H523),"0")</f>
        <v>0.31730769230769235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8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286</v>
      </c>
      <c r="Y525" s="644">
        <f t="shared" si="89"/>
        <v>290.40000000000003</v>
      </c>
      <c r="Z525" s="36">
        <f>IFERROR(IF(Y525=0,"",ROUNDUP(Y525/H525,0)*0.01196),"")</f>
        <v>0.65780000000000005</v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304.95833333333331</v>
      </c>
      <c r="BN525" s="64">
        <f t="shared" si="91"/>
        <v>309.65000000000003</v>
      </c>
      <c r="BO525" s="64">
        <f t="shared" si="92"/>
        <v>0.52083333333333337</v>
      </c>
      <c r="BP525" s="64">
        <f t="shared" si="93"/>
        <v>0.52884615384615397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8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8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86.174242424242422</v>
      </c>
      <c r="Y530" s="645">
        <f>IFERROR(Y523/H523,"0")+IFERROR(Y524/H524,"0")+IFERROR(Y525/H525,"0")+IFERROR(Y526/H526,"0")+IFERROR(Y527/H527,"0")+IFERROR(Y528/H528,"0")+IFERROR(Y529/H529,"0")</f>
        <v>88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1.0524800000000001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455</v>
      </c>
      <c r="Y531" s="645">
        <f>IFERROR(SUM(Y523:Y529),"0")</f>
        <v>464.64000000000004</v>
      </c>
      <c r="Z531" s="37"/>
      <c r="AA531" s="646"/>
      <c r="AB531" s="646"/>
      <c r="AC531" s="646"/>
    </row>
    <row r="532" spans="1:68" ht="27.75" hidden="1" customHeight="1" x14ac:dyDescent="0.2">
      <c r="A532" s="664" t="s">
        <v>839</v>
      </c>
      <c r="B532" s="665"/>
      <c r="C532" s="665"/>
      <c r="D532" s="665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48"/>
      <c r="AB532" s="48"/>
      <c r="AC532" s="48"/>
    </row>
    <row r="533" spans="1:68" ht="16.5" hidden="1" customHeight="1" x14ac:dyDescent="0.25">
      <c r="A533" s="676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3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3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3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3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6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3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29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4"/>
      <c r="P556" s="671" t="s">
        <v>859</v>
      </c>
      <c r="Q556" s="672"/>
      <c r="R556" s="672"/>
      <c r="S556" s="672"/>
      <c r="T556" s="672"/>
      <c r="U556" s="672"/>
      <c r="V556" s="673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9313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9429.26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4"/>
      <c r="P557" s="671" t="s">
        <v>860</v>
      </c>
      <c r="Q557" s="672"/>
      <c r="R557" s="672"/>
      <c r="S557" s="672"/>
      <c r="T557" s="672"/>
      <c r="U557" s="672"/>
      <c r="V557" s="673"/>
      <c r="W557" s="37" t="s">
        <v>67</v>
      </c>
      <c r="X557" s="645">
        <f>IFERROR(SUM(BM22:BM553),"0")</f>
        <v>9857.9798233124911</v>
      </c>
      <c r="Y557" s="645">
        <f>IFERROR(SUM(BN22:BN553),"0")</f>
        <v>9981.2540000000008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4"/>
      <c r="P558" s="671" t="s">
        <v>861</v>
      </c>
      <c r="Q558" s="672"/>
      <c r="R558" s="672"/>
      <c r="S558" s="672"/>
      <c r="T558" s="672"/>
      <c r="U558" s="672"/>
      <c r="V558" s="673"/>
      <c r="W558" s="37" t="s">
        <v>862</v>
      </c>
      <c r="X558" s="38">
        <f>ROUNDUP(SUM(BO22:BO553),0)</f>
        <v>17</v>
      </c>
      <c r="Y558" s="38">
        <f>ROUNDUP(SUM(BP22:BP553),0)</f>
        <v>17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4"/>
      <c r="P559" s="671" t="s">
        <v>863</v>
      </c>
      <c r="Q559" s="672"/>
      <c r="R559" s="672"/>
      <c r="S559" s="672"/>
      <c r="T559" s="672"/>
      <c r="U559" s="672"/>
      <c r="V559" s="673"/>
      <c r="W559" s="37" t="s">
        <v>67</v>
      </c>
      <c r="X559" s="645">
        <f>GrossWeightTotal+PalletQtyTotal*25</f>
        <v>10282.979823312491</v>
      </c>
      <c r="Y559" s="645">
        <f>GrossWeightTotalR+PalletQtyTotalR*25</f>
        <v>10406.254000000001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4"/>
      <c r="P560" s="671" t="s">
        <v>864</v>
      </c>
      <c r="Q560" s="672"/>
      <c r="R560" s="672"/>
      <c r="S560" s="672"/>
      <c r="T560" s="672"/>
      <c r="U560" s="672"/>
      <c r="V560" s="673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1751.4561228894563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1769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4"/>
      <c r="P561" s="671" t="s">
        <v>865</v>
      </c>
      <c r="Q561" s="672"/>
      <c r="R561" s="672"/>
      <c r="S561" s="672"/>
      <c r="T561" s="672"/>
      <c r="U561" s="672"/>
      <c r="V561" s="673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20.14095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13"/>
      <c r="F563" s="713"/>
      <c r="G563" s="713"/>
      <c r="H563" s="713"/>
      <c r="I563" s="713"/>
      <c r="J563" s="704"/>
      <c r="K563" s="703" t="s">
        <v>335</v>
      </c>
      <c r="L563" s="713"/>
      <c r="M563" s="713"/>
      <c r="N563" s="713"/>
      <c r="O563" s="713"/>
      <c r="P563" s="713"/>
      <c r="Q563" s="713"/>
      <c r="R563" s="713"/>
      <c r="S563" s="713"/>
      <c r="T563" s="713"/>
      <c r="U563" s="713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9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70"/>
      <c r="B565" s="710"/>
      <c r="C565" s="710"/>
      <c r="D565" s="710"/>
      <c r="E565" s="710"/>
      <c r="F565" s="710"/>
      <c r="G565" s="710"/>
      <c r="H565" s="710"/>
      <c r="I565" s="710"/>
      <c r="J565" s="710"/>
      <c r="K565" s="710"/>
      <c r="L565" s="710"/>
      <c r="M565" s="710"/>
      <c r="N565" s="641"/>
      <c r="O565" s="710"/>
      <c r="P565" s="710"/>
      <c r="Q565" s="710"/>
      <c r="R565" s="710"/>
      <c r="S565" s="710"/>
      <c r="T565" s="710"/>
      <c r="U565" s="710"/>
      <c r="V565" s="710"/>
      <c r="W565" s="710"/>
      <c r="X565" s="710"/>
      <c r="Y565" s="710"/>
      <c r="Z565" s="710"/>
      <c r="AA565" s="710"/>
      <c r="AB565" s="710"/>
      <c r="AC565" s="710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30.6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0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587.20000000000005</v>
      </c>
      <c r="F566" s="46">
        <f>IFERROR(Y88*1,"0")+IFERROR(Y89*1,"0")+IFERROR(Y90*1,"0")+IFERROR(Y91*1,"0")+IFERROR(Y92*1,"0")+IFERROR(Y96*1,"0")+IFERROR(Y97*1,"0")+IFERROR(Y98*1,"0")+IFERROR(Y99*1,"0")</f>
        <v>461.7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518.40000000000009</v>
      </c>
      <c r="H566" s="46">
        <f>IFERROR(Y134*1,"0")+IFERROR(Y135*1,"0")+IFERROR(Y139*1,"0")+IFERROR(Y140*1,"0")+IFERROR(Y144*1,"0")+IFERROR(Y145*1,"0")</f>
        <v>0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796.18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489.30000000000007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1619.1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36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60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0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722.40000000000009</v>
      </c>
      <c r="U566" s="46">
        <f>IFERROR(Y418*1,"0")+IFERROR(Y419*1,"0")</f>
        <v>0</v>
      </c>
      <c r="V566" s="46">
        <f>IFERROR(Y424*1,"0")+IFERROR(Y425*1,"0")+IFERROR(Y426*1,"0")</f>
        <v>23.1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1554</v>
      </c>
      <c r="X566" s="46">
        <f>IFERROR(Y461*1,"0")+IFERROR(Y462*1,"0")+IFERROR(Y466*1,"0")+IFERROR(Y470*1,"0")+IFERROR(Y471*1,"0")+IFERROR(Y472*1,"0")</f>
        <v>810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1721.2800000000002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3,00"/>
        <filter val="1 751,46"/>
        <filter val="10 282,98"/>
        <filter val="10,65"/>
        <filter val="10,95"/>
        <filter val="104,00"/>
        <filter val="106,00"/>
        <filter val="110,00"/>
        <filter val="110,61"/>
        <filter val="113,00"/>
        <filter val="115,00"/>
        <filter val="122,00"/>
        <filter val="125,57"/>
        <filter val="141,00"/>
        <filter val="147,00"/>
        <filter val="15,67"/>
        <filter val="156,67"/>
        <filter val="16,11"/>
        <filter val="168,00"/>
        <filter val="169,00"/>
        <filter val="17"/>
        <filter val="180,00"/>
        <filter val="182,00"/>
        <filter val="20,00"/>
        <filter val="23,00"/>
        <filter val="237,00"/>
        <filter val="240,00"/>
        <filter val="25,00"/>
        <filter val="252,29"/>
        <filter val="277,00"/>
        <filter val="286,00"/>
        <filter val="29,00"/>
        <filter val="292,00"/>
        <filter val="30,74"/>
        <filter val="300,00"/>
        <filter val="302,00"/>
        <filter val="32,00"/>
        <filter val="332,00"/>
        <filter val="334,00"/>
        <filter val="34,00"/>
        <filter val="35,00"/>
        <filter val="36,00"/>
        <filter val="360,00"/>
        <filter val="383,00"/>
        <filter val="395,65"/>
        <filter val="4,76"/>
        <filter val="41,73"/>
        <filter val="42,40"/>
        <filter val="44,00"/>
        <filter val="455,00"/>
        <filter val="456,00"/>
        <filter val="462,00"/>
        <filter val="464,00"/>
        <filter val="479,00"/>
        <filter val="48,86"/>
        <filter val="49,20"/>
        <filter val="50,00"/>
        <filter val="528,00"/>
        <filter val="54,00"/>
        <filter val="584,00"/>
        <filter val="6,00"/>
        <filter val="60,00"/>
        <filter val="636,00"/>
        <filter val="66,67"/>
        <filter val="663,00"/>
        <filter val="671,00"/>
        <filter val="72,00"/>
        <filter val="750,00"/>
        <filter val="78,00"/>
        <filter val="792,00"/>
        <filter val="8,75"/>
        <filter val="8,89"/>
        <filter val="810,00"/>
        <filter val="84,13"/>
        <filter val="86,00"/>
        <filter val="86,17"/>
        <filter val="9 313,00"/>
        <filter val="9 857,98"/>
        <filter val="90,00"/>
        <filter val="94,00"/>
      </filters>
    </filterColumn>
    <filterColumn colId="29" showButton="0"/>
    <filterColumn colId="30" showButton="0"/>
  </autoFilter>
  <mergeCells count="999">
    <mergeCell ref="C564:C565"/>
    <mergeCell ref="D286:E286"/>
    <mergeCell ref="D563:J56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I564:I565"/>
    <mergeCell ref="P444:T444"/>
    <mergeCell ref="D50:E50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D359:E359"/>
    <mergeCell ref="D347:E347"/>
    <mergeCell ref="P157:V157"/>
    <mergeCell ref="P159:T159"/>
    <mergeCell ref="D140:E140"/>
    <mergeCell ref="A138:Z138"/>
    <mergeCell ref="A12:M12"/>
    <mergeCell ref="P130:V130"/>
    <mergeCell ref="P97:T97"/>
    <mergeCell ref="Y17:Y18"/>
    <mergeCell ref="U17:V17"/>
    <mergeCell ref="D293:E293"/>
    <mergeCell ref="P58:T58"/>
    <mergeCell ref="D110:E110"/>
    <mergeCell ref="X17:X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P307:T307"/>
    <mergeCell ref="D483:E483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P71:T71"/>
    <mergeCell ref="D123:E123"/>
    <mergeCell ref="P160:V160"/>
    <mergeCell ref="P83:T83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P131:V131"/>
    <mergeCell ref="P187:V187"/>
    <mergeCell ref="P258:V258"/>
    <mergeCell ref="P439:T439"/>
    <mergeCell ref="P433:T433"/>
    <mergeCell ref="D276:E276"/>
    <mergeCell ref="P37:T37"/>
    <mergeCell ref="A78:O79"/>
    <mergeCell ref="A42:O43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A546:Z546"/>
    <mergeCell ref="P373:V373"/>
    <mergeCell ref="P202:V202"/>
    <mergeCell ref="P380:T380"/>
    <mergeCell ref="P500:V500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355:V355"/>
    <mergeCell ref="D487:E487"/>
    <mergeCell ref="A14:M14"/>
    <mergeCell ref="I17:I18"/>
    <mergeCell ref="D211:E211"/>
    <mergeCell ref="P466:T466"/>
    <mergeCell ref="A486:Z486"/>
    <mergeCell ref="P531:V531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9:Z19"/>
    <mergeCell ref="P310:T310"/>
    <mergeCell ref="D182:E182"/>
    <mergeCell ref="A489:O490"/>
    <mergeCell ref="D480:E480"/>
    <mergeCell ref="A160:O161"/>
    <mergeCell ref="D109:E109"/>
    <mergeCell ref="P424:T424"/>
    <mergeCell ref="D345:E345"/>
    <mergeCell ref="A280:O281"/>
    <mergeCell ref="P254:V254"/>
    <mergeCell ref="A349:O350"/>
    <mergeCell ref="P447:V447"/>
    <mergeCell ref="P389:V389"/>
    <mergeCell ref="D348:E348"/>
    <mergeCell ref="D62:E62"/>
    <mergeCell ref="D72:E72"/>
    <mergeCell ref="A95:Z95"/>
    <mergeCell ref="A26:Z26"/>
    <mergeCell ref="P230:T230"/>
    <mergeCell ref="A325:Z325"/>
    <mergeCell ref="P96:T96"/>
    <mergeCell ref="P90:T90"/>
    <mergeCell ref="A469:Z469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235:E235"/>
    <mergeCell ref="P214:V214"/>
    <mergeCell ref="P270:V270"/>
    <mergeCell ref="D517:E517"/>
    <mergeCell ref="P401:T401"/>
    <mergeCell ref="P268:T268"/>
    <mergeCell ref="P339:T339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D47:E47"/>
    <mergeCell ref="P136:V136"/>
    <mergeCell ref="P65:V65"/>
    <mergeCell ref="A53:Z53"/>
    <mergeCell ref="D124:E124"/>
    <mergeCell ref="P81:T81"/>
    <mergeCell ref="P56:T56"/>
    <mergeCell ref="D56:E56"/>
    <mergeCell ref="A416:Z416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D251:E251"/>
    <mergeCell ref="A549:O550"/>
    <mergeCell ref="P554:V554"/>
    <mergeCell ref="D543:E543"/>
    <mergeCell ref="D518:E518"/>
    <mergeCell ref="P252:T252"/>
    <mergeCell ref="P379:T379"/>
    <mergeCell ref="A313:Z313"/>
    <mergeCell ref="A538:Z538"/>
    <mergeCell ref="A514:O515"/>
    <mergeCell ref="D519:E519"/>
    <mergeCell ref="A496:Z496"/>
    <mergeCell ref="D513:E513"/>
    <mergeCell ref="P560:V560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P377:T377"/>
    <mergeCell ref="P206:T206"/>
    <mergeCell ref="P233:T233"/>
    <mergeCell ref="A473:O474"/>
    <mergeCell ref="D411:E411"/>
    <mergeCell ref="D482:E482"/>
    <mergeCell ref="D289:E289"/>
    <mergeCell ref="A149:Z149"/>
    <mergeCell ref="P395:V395"/>
    <mergeCell ref="P209:T209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