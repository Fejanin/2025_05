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851D028-E3C3-47A0-8289-EE6931654C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385" i="2" l="1"/>
  <c r="BN80" i="2"/>
  <c r="BN277" i="2"/>
  <c r="BN393" i="2"/>
  <c r="BN60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4" i="2" l="1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<sst xmlns="http://schemas.openxmlformats.org/spreadsheetml/2006/main" count="4310" uniqueCount="900">
  <si>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</si>
  <si>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</si>
  <si>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</si>
  <si>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</si>
  <si>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</si>
  <si>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</si>
  <si>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</si>
  <si>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</si>
  <si>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</si>
  <si>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</si>
  <si>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</si>
  <si>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</si>
  <si>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</si>
  <si>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</si>
  <si>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</si>
  <si>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</si>
  <si>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</si>
  <si>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</si>
  <si>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</si>
  <si>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</si>
  <si>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</si>
  <si>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</si>
  <si>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</si>
  <si>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</si>
  <si>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</si>
  <si>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</si>
  <si>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</si>
  <si>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</si>
  <si>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</si>
  <si>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</si>
  <si>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</si>
  <si>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</si>
  <si>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</si>
  <si>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</si>
  <si>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</si>
  <si>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</si>
  <si>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</si>
  <si>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</si>
  <si>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</si>
  <si>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</si>
  <si>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</si>
  <si>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</si>
  <si>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</si>
  <si>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</si>
  <si>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</si>
  <si>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</si>
  <si>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</si>
  <si>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</si>
  <si>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</si>
  <si>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</si>
  <si>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</si>
  <si>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</si>
  <si>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</si>
  <si>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</si>
  <si>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</si>
  <si>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</si>
  <si>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</si>
  <si>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</si>
  <si>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</si>
  <si>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</si>
  <si>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</si>
  <si>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</si>
  <si>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</si>
  <si>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</si>
  <si>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</si>
  <si>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</si>
  <si>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</si>
  <si>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</si>
  <si>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</si>
  <si>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</si>
  <si>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</si>
  <si>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</si>
  <si>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</si>
  <si>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</si>
  <si>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</si>
  <si>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</si>
  <si>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</si>
  <si>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</si>
  <si>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</si>
  <si>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</si>
  <si>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</si>
  <si>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</si>
  <si>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</si>
  <si>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</si>
  <si>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</si>
  <si>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</si>
  <si>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</si>
  <si>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</si>
  <si>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</si>
  <si>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</si>
  <si>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</si>
  <si>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</si>
  <si>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</si>
  <si>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</si>
  <si>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</si>
  <si>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</si>
  <si>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</si>
  <si>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</si>
  <si>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</si>
  <si>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</si>
  <si>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</si>
  <si>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</si>
  <si>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</si>
  <si>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</si>
  <si>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</si>
  <si>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</si>
  <si>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</si>
  <si>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</si>
  <si>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</si>
  <si>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</si>
  <si>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</si>
  <si>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</si>
  <si>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</si>
  <si>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</si>
  <si>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</si>
  <si>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</si>
  <si>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</si>
  <si>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</si>
  <si>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</si>
  <si>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</si>
  <si>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</si>
  <si>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</si>
  <si>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</si>
  <si>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</si>
  <si>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</si>
  <si>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</si>
  <si>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</si>
  <si>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</si>
  <si>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</si>
  <si>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</si>
  <si>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</si>
  <si>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</si>
  <si>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</si>
  <si>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</si>
  <si>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</si>
  <si>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</si>
  <si>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</si>
  <si>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</si>
  <si>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</si>
  <si>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</si>
  <si>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</si>
  <si>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</si>
  <si>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</si>
  <si>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</si>
  <si>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</si>
  <si>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</si>
  <si>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</si>
  <si>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</si>
  <si>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</si>
  <si>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</si>
  <si>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</si>
  <si>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</si>
  <si>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</si>
  <si>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</si>
  <si>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</si>
  <si>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</si>
  <si>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</si>
  <si>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</si>
  <si>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</si>
  <si>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</si>
  <si>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</si>
  <si>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</si>
  <si>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</si>
  <si>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</si>
  <si>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</si>
  <si>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</si>
  <si>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</si>
  <si>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</si>
  <si>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</si>
  <si>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</si>
  <si>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</si>
  <si>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</si>
  <si>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</si>
  <si>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</si>
  <si>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</si>
  <si>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</si>
  <si>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</si>
  <si>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</si>
  <si>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</si>
  <si>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</si>
  <si>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</si>
  <si>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</si>
  <si>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</si>
  <si>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</si>
  <si>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</si>
  <si>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</si>
  <si>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</si>
  <si>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</si>
  <si>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</si>
  <si>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</si>
  <si>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</si>
  <si>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</si>
  <si>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</si>
  <si>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</si>
  <si>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</si>
  <si>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</si>
  <si>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</si>
  <si>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</si>
  <si>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</si>
  <si>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</si>
  <si>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</si>
  <si>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</si>
  <si>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</si>
  <si>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</si>
  <si>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</si>
  <si>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</si>
  <si>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</si>
  <si>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</si>
  <si>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</si>
  <si>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</si>
  <si>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</si>
  <si>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</si>
  <si>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</si>
  <si>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</si>
  <si>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</si>
  <si>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</si>
  <si>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</si>
  <si>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</si>
  <si>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</si>
  <si>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</si>
  <si>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</si>
  <si>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</si>
  <si>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</si>
  <si>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</si>
  <si>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</si>
  <si>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</si>
  <si>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</si>
  <si>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</si>
  <si>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</si>
  <si>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</si>
  <si>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</si>
  <si>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</si>
  <si>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</si>
  <si>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</si>
  <si>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</si>
  <si>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</si>
  <si>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</si>
  <si>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</si>
  <si>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</si>
  <si>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</si>
  <si>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</si>
  <si>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</si>
  <si>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</si>
  <si>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</si>
  <si>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</si>
  <si>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</si>
  <si>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</si>
  <si>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</si>
  <si>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</si>
  <si>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</si>
  <si>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</si>
  <si>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</si>
  <si>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</si>
  <si>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</si>
  <si>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</si>
  <si>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</si>
  <si>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</si>
  <si>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</si>
  <si>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</si>
  <si>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</si>
  <si>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</si>
  <si>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</si>
  <si>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</si>
  <si>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</si>
  <si>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</si>
  <si>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</si>
  <si>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</si>
  <si>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</si>
  <si>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</si>
  <si>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</si>
  <si>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</si>
  <si>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</si>
  <si>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</si>
  <si>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</si>
  <si>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</si>
  <si>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</si>
  <si>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</si>
  <si>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</si>
  <si>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</si>
  <si>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</si>
  <si>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</si>
  <si>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</si>
  <si>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</si>
  <si>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</si>
  <si>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</si>
  <si>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</si>
  <si>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</si>
  <si>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</si>
  <si>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</si>
  <si>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</si>
  <si>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</si>
  <si>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</si>
  <si>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</si>
  <si>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</si>
  <si>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</si>
  <si>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</si>
  <si>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</si>
  <si>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</si>
  <si>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</si>
  <si>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</si>
  <si>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</si>
  <si>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</si>
  <si>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</si>
  <si>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</si>
  <si>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</si>
  <si>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</si>
  <si>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</si>
  <si>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</si>
  <si>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</si>
  <si>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</si>
  <si>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</si>
  <si>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</si>
  <si>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</si>
  <si>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</si>
  <si>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</si>
  <si>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</si>
  <si>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</si>
  <si>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</si>
  <si>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</si>
  <si>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</si>
  <si>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</si>
  <si>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</si>
  <si>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</si>
  <si>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</si>
  <si>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</si>
  <si>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</si>
  <si>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</si>
  <si>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</si>
  <si>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</si>
  <si>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</si>
  <si>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</si>
  <si>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</si>
  <si>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</si>
  <si>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</si>
  <si>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</si>
  <si>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</si>
  <si>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</si>
  <si>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</si>
  <si>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</si>
  <si>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</si>
  <si>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</si>
  <si>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</si>
  <si>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</si>
  <si>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</si>
  <si>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</si>
  <si>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</si>
  <si>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</si>
  <si>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</si>
  <si>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</si>
  <si>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</si>
  <si>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</si>
  <si>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</si>
  <si>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</si>
  <si>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</si>
  <si>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</si>
  <si>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</si>
  <si>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</si>
  <si>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</si>
  <si>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</si>
  <si>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</si>
  <si>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</si>
  <si>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</si>
  <si>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</si>
  <si>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</si>
  <si>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</si>
  <si>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</si>
  <si>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</si>
  <si>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</si>
  <si>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</si>
  <si>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</si>
  <si>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</si>
  <si>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</si>
  <si>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</si>
  <si>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</si>
  <si>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</si>
  <si>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</si>
  <si>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</si>
  <si>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</si>
  <si>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</si>
  <si>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</si>
  <si>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</si>
  <si>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</si>
  <si>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</si>
  <si>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</si>
  <si>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</si>
  <si>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</si>
  <si>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</si>
  <si>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</si>
  <si>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</si>
  <si>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</si>
  <si>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</si>
  <si>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</si>
  <si>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</si>
  <si>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</si>
  <si>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</si>
  <si>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</si>
  <si>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</si>
  <si>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</si>
  <si>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</si>
  <si>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</si>
  <si>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</si>
  <si>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</si>
  <si>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</si>
  <si>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</si>
  <si>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</si>
  <si>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</si>
  <si>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</si>
  <si>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</si>
  <si>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</si>
  <si>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</si>
  <si>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</si>
  <si>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</si>
  <si>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</si>
  <si>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</si>
  <si>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</si>
  <si>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</si>
  <si>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</si>
  <si>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</si>
  <si>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</si>
  <si>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</si>
  <si>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</si>
  <si>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</si>
  <si>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</si>
  <si>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</si>
  <si>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</si>
  <si>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</si>
  <si>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</si>
  <si>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</si>
  <si>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</si>
  <si>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</si>
  <si>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</si>
  <si>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</si>
  <si>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</si>
  <si>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</si>
  <si>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</si>
  <si>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</si>
  <si>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</si>
  <si>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</si>
  <si>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</si>
  <si>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</si>
  <si>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</si>
  <si>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</si>
  <si>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</si>
  <si>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</si>
  <si>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</si>
  <si>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</si>
  <si>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</si>
  <si>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</si>
  <si>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</si>
  <si>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</si>
  <si>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</si>
  <si>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</si>
  <si>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</si>
  <si>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</si>
  <si>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</si>
  <si>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</si>
  <si>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</si>
  <si>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</si>
  <si>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</si>
  <si>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</si>
  <si>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</si>
  <si>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</si>
  <si>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</si>
  <si>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</si>
  <si>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</si>
  <si>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</si>
  <si>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</si>
  <si>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</si>
  <si>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</si>
  <si>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</si>
  <si>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</si>
  <si>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</si>
  <si>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</si>
  <si>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</si>
  <si>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</si>
  <si>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</si>
  <si>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</si>
  <si>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</si>
  <si>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</si>
  <si>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</si>
  <si>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</si>
  <si>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</si>
  <si>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</si>
  <si>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</si>
  <si>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</si>
  <si>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</si>
  <si>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</si>
  <si>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</si>
  <si>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</si>
  <si>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</si>
  <si>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</si>
  <si>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</si>
  <si>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</si>
  <si>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</si>
  <si>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</si>
  <si>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</si>
  <si>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</si>
  <si>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</si>
  <si>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</si>
  <si>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</si>
  <si>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</si>
  <si>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</si>
  <si>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</si>
  <si>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</si>
  <si>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</si>
  <si>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</si>
  <si>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</si>
  <si>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</si>
  <si>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</si>
  <si>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</si>
  <si>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</si>
  <si>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</si>
  <si>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</si>
  <si>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</si>
  <si>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</si>
  <si>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</si>
  <si>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</si>
  <si>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</si>
  <si>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</si>
  <si>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</si>
  <si>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</si>
  <si>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</si>
  <si>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</si>
  <si>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</si>
  <si>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</si>
  <si>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</si>
  <si>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</si>
  <si>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</si>
  <si>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</si>
  <si>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</si>
  <si>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</si>
  <si>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</si>
  <si>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</si>
  <si>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</si>
  <si>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</si>
  <si>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</si>
  <si>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</si>
  <si>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</si>
  <si>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</si>
  <si>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</si>
  <si>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</si>
  <si>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</si>
  <si>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</si>
  <si>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</si>
  <si>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</si>
  <si>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</si>
  <si>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</si>
  <si>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</si>
  <si>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</si>
  <si>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</si>
  <si>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</si>
  <si>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</si>
  <si>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</si>
  <si>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</si>
  <si>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</si>
  <si>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</si>
  <si>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</si>
  <si>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</si>
  <si>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</si>
  <si>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</si>
  <si>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</si>
  <si>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</si>
  <si>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</si>
  <si>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</si>
  <si>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</si>
  <si>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</si>
  <si>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</si>
  <si>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</si>
  <si>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</si>
  <si>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</si>
  <si>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</si>
  <si>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</si>
  <si>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</si>
  <si>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</si>
  <si>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</si>
  <si>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</si>
  <si>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</si>
  <si>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</si>
  <si>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</si>
  <si>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</si>
  <si>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</si>
  <si>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</si>
  <si>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</si>
  <si>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</si>
  <si>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</si>
  <si>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</si>
  <si>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</si>
  <si>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</si>
  <si>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</si>
  <si>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</si>
  <si>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</si>
  <si>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</si>
  <si>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</si>
  <si>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</si>
  <si>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</si>
  <si>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</si>
  <si>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</si>
  <si>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</si>
  <si>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</si>
  <si>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</si>
  <si>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</si>
  <si>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</si>
  <si>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</si>
  <si>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</si>
  <si>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</si>
  <si>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</si>
  <si>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</si>
  <si>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</si>
  <si>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</si>
  <si>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</si>
  <si>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</si>
  <si>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</si>
  <si>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</si>
  <si>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</si>
  <si>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</si>
  <si>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</si>
  <si>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</si>
  <si>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</si>
  <si>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</si>
  <si>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</si>
  <si>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</si>
  <si>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</si>
  <si>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</si>
  <si>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</si>
  <si>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</si>
  <si>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</si>
  <si>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</si>
  <si>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</si>
  <si>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</si>
  <si>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</si>
  <si>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</si>
  <si>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</si>
  <si>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</si>
  <si>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</si>
  <si>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</si>
  <si>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</si>
  <si>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</si>
  <si>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</si>
  <si>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</si>
  <si>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</si>
  <si>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</si>
  <si>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</si>
  <si>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</si>
  <si>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</si>
  <si>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</si>
  <si>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</si>
  <si>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</si>
  <si>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</si>
  <si>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</si>
  <si>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</si>
  <si>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</si>
  <si>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</si>
  <si>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</si>
  <si>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</si>
  <si>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</si>
  <si>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</si>
  <si>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</si>
  <si>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</si>
  <si>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</si>
  <si>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</si>
  <si>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</si>
  <si>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</si>
  <si>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</si>
  <si>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</si>
  <si>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</si>
  <si>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</si>
  <si>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</si>
  <si>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</si>
  <si>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</si>
  <si>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</si>
  <si>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</si>
  <si>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</si>
  <si>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</si>
  <si>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</si>
  <si>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</si>
  <si>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</si>
  <si>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</si>
  <si>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</si>
  <si>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</si>
  <si>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</si>
  <si>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</si>
  <si>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</si>
  <si>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</si>
  <si>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</si>
  <si>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</si>
  <si>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</si>
  <si>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</si>
  <si>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</si>
  <si>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</si>
  <si>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</si>
  <si>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</si>
  <si>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</si>
  <si>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</si>
  <si>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</si>
  <si>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</si>
  <si>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</si>
  <si>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</si>
  <si>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</si>
  <si>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</si>
  <si>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</si>
  <si>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</si>
  <si>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</si>
  <si>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</si>
  <si>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</si>
  <si>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</si>
  <si>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</si>
  <si>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</si>
  <si>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</si>
  <si>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</si>
  <si>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</si>
  <si>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</si>
  <si>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</si>
  <si>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</si>
  <si>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</si>
  <si>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</si>
  <si>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</si>
  <si>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</si>
  <si>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</si>
  <si>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</si>
  <si>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</si>
  <si>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</si>
  <si>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</si>
  <si>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</si>
  <si>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</si>
  <si>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</si>
  <si>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</si>
  <si>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</si>
  <si>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</si>
  <si>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</si>
  <si>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</si>
  <si>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</si>
  <si>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</si>
  <si>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</si>
  <si>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</si>
  <si>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</si>
  <si>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</si>
  <si>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</si>
  <si>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</si>
  <si>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</si>
  <si>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</si>
  <si>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</si>
  <si>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</si>
  <si>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</si>
  <si>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</si>
  <si>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</si>
  <si>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</si>
  <si>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</si>
  <si>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</si>
  <si>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</si>
  <si>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</si>
  <si>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</si>
  <si>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</si>
  <si>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</si>
  <si>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</si>
  <si>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</si>
  <si>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</si>
  <si>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</si>
  <si>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</si>
  <si>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</si>
  <si>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</si>
  <si>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</si>
  <si>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</si>
  <si>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</si>
  <si>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</si>
  <si>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</si>
  <si>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</si>
  <si>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</si>
  <si>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</si>
  <si>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</si>
  <si>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</si>
  <si>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</si>
  <si>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</si>
  <si>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</si>
  <si>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</si>
  <si>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</si>
  <si>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</si>
  <si>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</si>
  <si>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</si>
  <si>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</si>
  <si>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</si>
  <si>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</si>
  <si>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</si>
  <si>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</si>
  <si>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</si>
  <si>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</si>
  <si>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</si>
  <si>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</si>
  <si>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</si>
  <si>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</si>
  <si>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</si>
  <si>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</si>
  <si>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</si>
  <si>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</si>
  <si>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</si>
  <si>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</si>
  <si>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</si>
  <si>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</si>
  <si>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</si>
  <si>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</si>
  <si>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</si>
  <si>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</si>
  <si>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</si>
  <si>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</si>
  <si>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</si>
  <si>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</si>
  <si>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</si>
  <si>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</si>
  <si>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</si>
  <si>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</si>
  <si>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</si>
  <si>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</si>
  <si>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</si>
  <si>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</si>
  <si>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</si>
  <si>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</si>
  <si>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</si>
  <si>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</si>
  <si>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</si>
  <si>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</si>
  <si>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</si>
  <si>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</si>
  <si>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</si>
  <si>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</si>
  <si>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</si>
  <si>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</si>
  <si>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</si>
  <si>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</si>
  <si>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</si>
  <si>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</si>
  <si>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</si>
  <si>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</si>
  <si>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</si>
  <si>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</si>
  <si>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</si>
  <si>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</si>
  <si>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</si>
  <si>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</si>
  <si>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</si>
  <si>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</si>
  <si>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</si>
  <si>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</si>
  <si>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</si>
  <si>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</si>
  <si>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</si>
  <si>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</si>
  <si>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</si>
  <si>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</si>
  <si>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</si>
  <si>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</si>
  <si>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</si>
  <si>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</si>
  <si>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</si>
  <si>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</si>
  <si>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</si>
  <si>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</si>
  <si>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</si>
  <si>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</si>
  <si>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</si>
  <si>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</si>
  <si>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</si>
  <si>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</si>
  <si>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</si>
  <si>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</si>
  <si>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</si>
  <si>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</si>
  <si>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</si>
  <si>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</si>
  <si>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</si>
  <si>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</si>
  <si>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</si>
  <si>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</si>
  <si>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</si>
  <si>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</si>
  <si>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</si>
  <si>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</si>
  <si>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</si>
  <si>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</si>
  <si>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</si>
  <si>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</si>
  <si>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</si>
  <si>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</si>
  <si>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</si>
  <si>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</si>
  <si>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</si>
  <si>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</si>
  <si>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</si>
  <si>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</si>
  <si>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</si>
  <si>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</si>
  <si>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</si>
  <si>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</si>
  <si>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</si>
  <si>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</si>
  <si>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</si>
  <si>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</si>
  <si>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</si>
  <si>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</si>
  <si>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</si>
  <si>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</si>
  <si>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 за 26,09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</si>
</sst>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46292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Воскресенье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0.75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si="68"/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103.13333333333334</v>
      </c>
      <c r="BN433" s="78">
        <f t="shared" si="70"/>
        <v>108.29</v>
      </c>
      <c r="BO433" s="78">
        <f t="shared" si="71"/>
        <v>0.1388888888888889</v>
      </c>
      <c r="BP433" s="78">
        <f t="shared" si="72"/>
        <v>0.14583333333333331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100</v>
      </c>
      <c r="Y434" s="55">
        <f t="shared" si="68"/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103.13333333333334</v>
      </c>
      <c r="BN434" s="78">
        <f t="shared" si="70"/>
        <v>108.29</v>
      </c>
      <c r="BO434" s="78">
        <f t="shared" si="71"/>
        <v>0.1388888888888889</v>
      </c>
      <c r="BP434" s="78">
        <f t="shared" si="72"/>
        <v>0.14583333333333331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68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103.13333333333334</v>
      </c>
      <c r="BN435" s="78">
        <f t="shared" si="70"/>
        <v>108.29</v>
      </c>
      <c r="BO435" s="78">
        <f t="shared" si="71"/>
        <v>0.1388888888888889</v>
      </c>
      <c r="BP435" s="78">
        <f t="shared" si="72"/>
        <v>0.14583333333333331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20</v>
      </c>
      <c r="Y440" s="43">
        <f>IFERROR(Y432/H432,"0")+IFERROR(Y433/H433,"0")+IFERROR(Y434/H434,"0")+IFERROR(Y435/H435,"0")+IFERROR(Y436/H436,"0")+IFERROR(Y437/H437,"0")+IFERROR(Y438/H438,"0")+IFERROR(Y439/H439,"0")</f>
        <v>21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0.45674999999999999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300</v>
      </c>
      <c r="Y441" s="43">
        <f>IFERROR(SUM(Y432:Y439),"0")</f>
        <v>315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100</v>
      </c>
      <c r="Y443" s="55">
        <f>IFERROR(IF(X443="",0,CEILING((X443/$H443),1)*$H443),"")</f>
        <v>105</v>
      </c>
      <c r="Z443" s="41">
        <f>IFERROR(IF(Y443=0,"",ROUNDUP(Y443/H443,0)*0.02175),"")</f>
        <v>0.15225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103.13333333333334</v>
      </c>
      <c r="BN443" s="78">
        <f>IFERROR(Y443*I443/H443,"0")</f>
        <v>108.29</v>
      </c>
      <c r="BO443" s="78">
        <f>IFERROR(1/J443*(X443/H443),"0")</f>
        <v>0.1388888888888889</v>
      </c>
      <c r="BP443" s="78">
        <f>IFERROR(1/J443*(Y443/H443),"0")</f>
        <v>0.14583333333333331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6.666666666666667</v>
      </c>
      <c r="Y446" s="43">
        <f>IFERROR(Y443/H443,"0")+IFERROR(Y444/H444,"0")+IFERROR(Y445/H445,"0")</f>
        <v>7</v>
      </c>
      <c r="Z446" s="43">
        <f>IFERROR(IF(Z443="",0,Z443),"0")+IFERROR(IF(Z444="",0,Z444),"0")+IFERROR(IF(Z445="",0,Z445),"0")</f>
        <v>0.15225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100</v>
      </c>
      <c r="Y447" s="43">
        <f>IFERROR(SUM(Y443:Y445),"0")</f>
        <v>105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420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412.53333333333336</v>
      </c>
      <c r="Y561" s="43">
        <f>IFERROR(SUM(BN22:BN557),"0")</f>
        <v>433.16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437.53333333333336</v>
      </c>
      <c r="Y563" s="43">
        <f>GrossWeightTotalR+PalletQtyTotalR*25</f>
        <v>458.16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26.666666666666668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28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0.60899999999999999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420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0,00"/>
        <filter val="26,67"/>
        <filter val="300,00"/>
        <filter val="400,00"/>
        <filter val="412,53"/>
        <filter val="437,53"/>
        <filter val="6,67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2026-09-28T06:37:20Z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